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28680" yWindow="-120" windowWidth="29040" windowHeight="15840"/>
  </bookViews>
  <sheets>
    <sheet name="전체" sheetId="1" r:id="rId1"/>
    <sheet name="프로세스현황" sheetId="3" r:id="rId2"/>
  </sheets>
  <definedNames>
    <definedName name="_xlnm._FilterDatabase" localSheetId="0" hidden="1">전체!$A$1:$S$408</definedName>
    <definedName name="_xlnm._FilterDatabase">전체!$A$1:$S$408</definedName>
  </definedNames>
  <calcPr calcId="162913"/>
</workbook>
</file>

<file path=xl/calcChain.xml><?xml version="1.0" encoding="utf-8"?>
<calcChain xmlns="http://schemas.openxmlformats.org/spreadsheetml/2006/main">
  <c r="I93" i="1" l="1"/>
  <c r="I94" i="1"/>
  <c r="D408" i="1" l="1"/>
  <c r="D407" i="1"/>
  <c r="I406" i="1"/>
  <c r="D406" i="1"/>
  <c r="I405" i="1"/>
  <c r="D405" i="1"/>
  <c r="I404" i="1"/>
  <c r="D404" i="1"/>
  <c r="I403" i="1"/>
  <c r="D403" i="1"/>
  <c r="I402" i="1"/>
  <c r="D402" i="1"/>
  <c r="I401" i="1"/>
  <c r="D401" i="1"/>
  <c r="I400" i="1"/>
  <c r="D400" i="1"/>
  <c r="I399" i="1"/>
  <c r="D399" i="1"/>
  <c r="I398" i="1"/>
  <c r="D398" i="1"/>
  <c r="I397" i="1"/>
  <c r="D397" i="1"/>
  <c r="I396" i="1"/>
  <c r="D396" i="1"/>
  <c r="I395" i="1"/>
  <c r="D395" i="1"/>
  <c r="I394" i="1"/>
  <c r="D394" i="1"/>
  <c r="I393" i="1"/>
  <c r="D393" i="1"/>
  <c r="I392" i="1"/>
  <c r="D392" i="1"/>
  <c r="I391" i="1"/>
  <c r="D391" i="1"/>
  <c r="I390" i="1"/>
  <c r="D390" i="1"/>
  <c r="I389" i="1"/>
  <c r="D389" i="1"/>
  <c r="I388" i="1"/>
  <c r="D388" i="1"/>
  <c r="I387" i="1"/>
  <c r="D387" i="1"/>
  <c r="I386" i="1"/>
  <c r="D386" i="1"/>
  <c r="I385" i="1"/>
  <c r="D385" i="1"/>
  <c r="I384" i="1"/>
  <c r="D384" i="1"/>
  <c r="I383" i="1"/>
  <c r="D383" i="1"/>
  <c r="I382" i="1"/>
  <c r="D382" i="1"/>
  <c r="I381" i="1"/>
  <c r="D381" i="1"/>
  <c r="I380" i="1"/>
  <c r="D380" i="1"/>
  <c r="I379" i="1"/>
  <c r="D379" i="1"/>
  <c r="I378" i="1"/>
  <c r="D378" i="1"/>
  <c r="I377" i="1"/>
  <c r="D377" i="1"/>
  <c r="I376" i="1"/>
  <c r="D376" i="1"/>
  <c r="I375" i="1"/>
  <c r="D375" i="1"/>
  <c r="I374" i="1"/>
  <c r="D374" i="1"/>
  <c r="I373" i="1"/>
  <c r="D373" i="1"/>
  <c r="I372" i="1"/>
  <c r="D372" i="1"/>
  <c r="I371" i="1"/>
  <c r="D371" i="1"/>
  <c r="I370" i="1"/>
  <c r="D370" i="1"/>
  <c r="I369" i="1"/>
  <c r="D369" i="1"/>
  <c r="I368" i="1"/>
  <c r="D368" i="1"/>
  <c r="I367" i="1"/>
  <c r="D367" i="1"/>
  <c r="I366" i="1"/>
  <c r="D366" i="1"/>
  <c r="I365" i="1"/>
  <c r="D365" i="1"/>
  <c r="I364" i="1"/>
  <c r="D364" i="1"/>
  <c r="I363" i="1"/>
  <c r="D363" i="1"/>
  <c r="I362" i="1"/>
  <c r="D362" i="1"/>
  <c r="I361" i="1"/>
  <c r="D361" i="1"/>
  <c r="I360" i="1"/>
  <c r="D360" i="1"/>
  <c r="I359" i="1"/>
  <c r="D359" i="1"/>
  <c r="I358" i="1"/>
  <c r="D358" i="1"/>
  <c r="I357" i="1"/>
  <c r="D357" i="1"/>
  <c r="I356" i="1"/>
  <c r="D356" i="1"/>
  <c r="I355" i="1"/>
  <c r="D355" i="1"/>
  <c r="I354" i="1"/>
  <c r="D354" i="1"/>
  <c r="I353" i="1"/>
  <c r="D353" i="1"/>
  <c r="I352" i="1"/>
  <c r="D352" i="1"/>
  <c r="I351" i="1"/>
  <c r="D351" i="1"/>
  <c r="I350" i="1"/>
  <c r="D350" i="1"/>
  <c r="I349" i="1"/>
  <c r="D349" i="1"/>
  <c r="I348" i="1"/>
  <c r="D348" i="1"/>
  <c r="I347" i="1"/>
  <c r="D347" i="1"/>
  <c r="I346" i="1"/>
  <c r="D346" i="1"/>
  <c r="I345" i="1"/>
  <c r="D345" i="1"/>
  <c r="I344" i="1"/>
  <c r="D344" i="1"/>
  <c r="I343" i="1"/>
  <c r="D343" i="1"/>
  <c r="I342" i="1"/>
  <c r="D342" i="1"/>
  <c r="I341" i="1"/>
  <c r="D341" i="1"/>
  <c r="I340" i="1"/>
  <c r="D340" i="1"/>
  <c r="I339" i="1"/>
  <c r="D339" i="1"/>
  <c r="I338" i="1"/>
  <c r="D338" i="1"/>
  <c r="I337" i="1"/>
  <c r="D337" i="1"/>
  <c r="I336" i="1"/>
  <c r="D336" i="1"/>
  <c r="I335" i="1"/>
  <c r="D335" i="1"/>
  <c r="I334" i="1"/>
  <c r="D334" i="1"/>
  <c r="I333" i="1"/>
  <c r="D333" i="1"/>
  <c r="I332" i="1"/>
  <c r="D332" i="1"/>
  <c r="I331" i="1"/>
  <c r="D331" i="1"/>
  <c r="I330" i="1"/>
  <c r="D330" i="1"/>
  <c r="I329" i="1"/>
  <c r="D329" i="1"/>
  <c r="I328" i="1"/>
  <c r="D328" i="1"/>
  <c r="I327" i="1"/>
  <c r="D327" i="1"/>
  <c r="I326" i="1"/>
  <c r="D326" i="1"/>
  <c r="I325" i="1"/>
  <c r="D325" i="1"/>
  <c r="I324" i="1"/>
  <c r="D324" i="1"/>
  <c r="I323" i="1"/>
  <c r="D323" i="1"/>
  <c r="I322" i="1"/>
  <c r="D322" i="1"/>
  <c r="I321" i="1"/>
  <c r="D321" i="1"/>
  <c r="I320" i="1"/>
  <c r="D320" i="1"/>
  <c r="I319" i="1"/>
  <c r="D319" i="1"/>
  <c r="I318" i="1"/>
  <c r="D318" i="1"/>
  <c r="I317" i="1"/>
  <c r="D317" i="1"/>
  <c r="I316" i="1"/>
  <c r="D316" i="1"/>
  <c r="I315" i="1"/>
  <c r="D315" i="1"/>
  <c r="I314" i="1"/>
  <c r="D314" i="1"/>
  <c r="I313" i="1"/>
  <c r="D313" i="1"/>
  <c r="I312" i="1"/>
  <c r="D312" i="1"/>
  <c r="I311" i="1"/>
  <c r="D311" i="1"/>
  <c r="I310" i="1"/>
  <c r="D310" i="1"/>
  <c r="I309" i="1"/>
  <c r="D309" i="1"/>
  <c r="I308" i="1"/>
  <c r="D308" i="1"/>
  <c r="I307" i="1"/>
  <c r="D307" i="1"/>
  <c r="I306" i="1"/>
  <c r="D306" i="1"/>
  <c r="I305" i="1"/>
  <c r="D305" i="1"/>
  <c r="I304" i="1"/>
  <c r="D304" i="1"/>
  <c r="I303" i="1"/>
  <c r="D303" i="1"/>
  <c r="I302" i="1"/>
  <c r="D302" i="1"/>
  <c r="I301" i="1"/>
  <c r="D301" i="1"/>
  <c r="I300" i="1"/>
  <c r="D300" i="1"/>
  <c r="I299" i="1"/>
  <c r="D299" i="1"/>
  <c r="I298" i="1"/>
  <c r="D298" i="1"/>
  <c r="I297" i="1"/>
  <c r="D297" i="1"/>
  <c r="I296" i="1"/>
  <c r="D296" i="1"/>
  <c r="I295" i="1"/>
  <c r="D295" i="1"/>
  <c r="I294" i="1"/>
  <c r="D294" i="1"/>
  <c r="I293" i="1"/>
  <c r="D293" i="1"/>
  <c r="I292" i="1"/>
  <c r="D292" i="1"/>
  <c r="I291" i="1"/>
  <c r="D291" i="1"/>
  <c r="I290" i="1"/>
  <c r="D290" i="1"/>
  <c r="I289" i="1"/>
  <c r="D289" i="1"/>
  <c r="I288" i="1"/>
  <c r="D288" i="1"/>
  <c r="I287" i="1"/>
  <c r="D287" i="1"/>
  <c r="I286" i="1"/>
  <c r="D286" i="1"/>
  <c r="I285" i="1"/>
  <c r="D285" i="1"/>
  <c r="I284" i="1"/>
  <c r="D284" i="1"/>
  <c r="I283" i="1"/>
  <c r="D283" i="1"/>
  <c r="I282" i="1"/>
  <c r="D282" i="1"/>
  <c r="I281" i="1"/>
  <c r="D281" i="1"/>
  <c r="I280" i="1"/>
  <c r="D280" i="1"/>
  <c r="I279" i="1"/>
  <c r="D279" i="1"/>
  <c r="I278" i="1"/>
  <c r="D278" i="1"/>
  <c r="I277" i="1"/>
  <c r="D277" i="1"/>
  <c r="I276" i="1"/>
  <c r="D276" i="1"/>
  <c r="I275" i="1"/>
  <c r="D275" i="1"/>
  <c r="I274" i="1"/>
  <c r="D274" i="1"/>
  <c r="I273" i="1"/>
  <c r="D273" i="1"/>
  <c r="I272" i="1"/>
  <c r="D272" i="1"/>
  <c r="I271" i="1"/>
  <c r="D271" i="1"/>
  <c r="I270" i="1"/>
  <c r="D270" i="1"/>
  <c r="I269" i="1"/>
  <c r="D269" i="1"/>
  <c r="I268" i="1"/>
  <c r="D268" i="1"/>
  <c r="I267" i="1"/>
  <c r="D267" i="1"/>
  <c r="I266" i="1"/>
  <c r="D266" i="1"/>
  <c r="I265" i="1"/>
  <c r="D265" i="1"/>
  <c r="I264" i="1"/>
  <c r="D264" i="1"/>
  <c r="I263" i="1"/>
  <c r="D263" i="1"/>
  <c r="I262" i="1"/>
  <c r="D262" i="1"/>
  <c r="I261" i="1"/>
  <c r="D261" i="1"/>
  <c r="I260" i="1"/>
  <c r="D260" i="1"/>
  <c r="I259" i="1"/>
  <c r="D259" i="1"/>
  <c r="I258" i="1"/>
  <c r="D258" i="1"/>
  <c r="I257" i="1"/>
  <c r="D257" i="1"/>
  <c r="I256" i="1"/>
  <c r="D256" i="1"/>
  <c r="I255" i="1"/>
  <c r="D255" i="1"/>
  <c r="I254" i="1"/>
  <c r="D254" i="1"/>
  <c r="I253" i="1"/>
  <c r="D253" i="1"/>
  <c r="I252" i="1"/>
  <c r="D252" i="1"/>
  <c r="I251" i="1"/>
  <c r="D251" i="1"/>
  <c r="I250" i="1"/>
  <c r="D250" i="1"/>
  <c r="I249" i="1"/>
  <c r="D249" i="1"/>
  <c r="I248" i="1"/>
  <c r="D248" i="1"/>
  <c r="I247" i="1"/>
  <c r="D247" i="1"/>
  <c r="I246" i="1"/>
  <c r="D246" i="1"/>
  <c r="I245" i="1"/>
  <c r="D245" i="1"/>
  <c r="I244" i="1"/>
  <c r="D244" i="1"/>
  <c r="I243" i="1"/>
  <c r="D243" i="1"/>
  <c r="I242" i="1"/>
  <c r="D242" i="1"/>
  <c r="I241" i="1"/>
  <c r="D241" i="1"/>
  <c r="I240" i="1"/>
  <c r="D240" i="1"/>
  <c r="I239" i="1"/>
  <c r="D239" i="1"/>
  <c r="I238" i="1"/>
  <c r="D238" i="1"/>
  <c r="I237" i="1"/>
  <c r="D237" i="1"/>
  <c r="I236" i="1"/>
  <c r="D236" i="1"/>
  <c r="I235" i="1"/>
  <c r="D235" i="1"/>
  <c r="I234" i="1"/>
  <c r="D234" i="1"/>
  <c r="I233" i="1"/>
  <c r="D233" i="1"/>
  <c r="I232" i="1"/>
  <c r="D232" i="1"/>
  <c r="I231" i="1"/>
  <c r="D231" i="1"/>
  <c r="I230" i="1"/>
  <c r="D230" i="1"/>
  <c r="I229" i="1"/>
  <c r="D229" i="1"/>
  <c r="I228" i="1"/>
  <c r="D228" i="1"/>
  <c r="I227" i="1"/>
  <c r="D227" i="1"/>
  <c r="I226" i="1"/>
  <c r="D226" i="1"/>
  <c r="I225" i="1"/>
  <c r="D225" i="1"/>
  <c r="I224" i="1"/>
  <c r="D224" i="1"/>
  <c r="I223" i="1"/>
  <c r="D223" i="1"/>
  <c r="I222" i="1"/>
  <c r="D222" i="1"/>
  <c r="I221" i="1"/>
  <c r="D221" i="1"/>
  <c r="I220" i="1"/>
  <c r="D220" i="1"/>
  <c r="I219" i="1"/>
  <c r="D219" i="1"/>
  <c r="I218" i="1"/>
  <c r="D218" i="1"/>
  <c r="I217" i="1"/>
  <c r="D217" i="1"/>
  <c r="I216" i="1"/>
  <c r="D216" i="1"/>
  <c r="I215" i="1"/>
  <c r="D215" i="1"/>
  <c r="I214" i="1"/>
  <c r="D214" i="1"/>
  <c r="I213" i="1"/>
  <c r="D213" i="1"/>
  <c r="I212" i="1"/>
  <c r="D212" i="1"/>
  <c r="I211" i="1"/>
  <c r="D211" i="1"/>
  <c r="B211" i="1"/>
  <c r="I210" i="1"/>
  <c r="D210" i="1"/>
  <c r="B210" i="1"/>
  <c r="I209" i="1"/>
  <c r="D209" i="1"/>
  <c r="B209" i="1"/>
  <c r="I208" i="1"/>
  <c r="D208" i="1"/>
  <c r="B208" i="1"/>
  <c r="I207" i="1"/>
  <c r="D207" i="1"/>
  <c r="B207" i="1"/>
  <c r="I206" i="1"/>
  <c r="D206" i="1"/>
  <c r="B206" i="1"/>
  <c r="I205" i="1"/>
  <c r="D205" i="1"/>
  <c r="B205" i="1"/>
  <c r="I204" i="1"/>
  <c r="D204" i="1"/>
  <c r="B204" i="1"/>
  <c r="I203" i="1"/>
  <c r="D203" i="1"/>
  <c r="B203" i="1"/>
  <c r="I202" i="1"/>
  <c r="D202" i="1"/>
  <c r="B202" i="1"/>
  <c r="I201" i="1"/>
  <c r="D201" i="1"/>
  <c r="B201" i="1"/>
  <c r="I200" i="1"/>
  <c r="D200" i="1"/>
  <c r="B200" i="1"/>
  <c r="I199" i="1"/>
  <c r="D199" i="1"/>
  <c r="B199" i="1"/>
  <c r="I198" i="1"/>
  <c r="D198" i="1"/>
  <c r="B198" i="1"/>
  <c r="I197" i="1"/>
  <c r="D197" i="1"/>
  <c r="B197" i="1"/>
  <c r="I196" i="1"/>
  <c r="D196" i="1"/>
  <c r="B196" i="1"/>
  <c r="I195" i="1"/>
  <c r="D195" i="1"/>
  <c r="B195" i="1"/>
  <c r="I194" i="1"/>
  <c r="D194" i="1"/>
  <c r="B194" i="1"/>
  <c r="I193" i="1"/>
  <c r="D193" i="1"/>
  <c r="B193" i="1"/>
  <c r="I192" i="1"/>
  <c r="D192" i="1"/>
  <c r="B192" i="1"/>
  <c r="I191" i="1"/>
  <c r="D191" i="1"/>
  <c r="B191" i="1"/>
  <c r="I190" i="1"/>
  <c r="D190" i="1"/>
  <c r="B190" i="1"/>
  <c r="I189" i="1"/>
  <c r="D189" i="1"/>
  <c r="B189" i="1"/>
  <c r="I188" i="1"/>
  <c r="D188" i="1"/>
  <c r="B188" i="1"/>
  <c r="I187" i="1"/>
  <c r="D187" i="1"/>
  <c r="B187" i="1"/>
  <c r="I186" i="1"/>
  <c r="D186" i="1"/>
  <c r="B186" i="1"/>
  <c r="I185" i="1"/>
  <c r="D185" i="1"/>
  <c r="B185" i="1"/>
  <c r="I184" i="1"/>
  <c r="D184" i="1"/>
  <c r="B184" i="1"/>
  <c r="I183" i="1"/>
  <c r="D183" i="1"/>
  <c r="B183" i="1"/>
  <c r="I182" i="1"/>
  <c r="D182" i="1"/>
  <c r="B182" i="1"/>
  <c r="I181" i="1"/>
  <c r="D181" i="1"/>
  <c r="B181" i="1"/>
  <c r="I180" i="1"/>
  <c r="D180" i="1"/>
  <c r="B180" i="1"/>
  <c r="I179" i="1"/>
  <c r="D179" i="1"/>
  <c r="B179" i="1"/>
  <c r="I178" i="1"/>
  <c r="D178" i="1"/>
  <c r="B178" i="1"/>
  <c r="I177" i="1"/>
  <c r="D177" i="1"/>
  <c r="B177" i="1"/>
  <c r="I176" i="1"/>
  <c r="D176" i="1"/>
  <c r="B176" i="1"/>
  <c r="I175" i="1"/>
  <c r="D175" i="1"/>
  <c r="B175" i="1"/>
  <c r="I174" i="1"/>
  <c r="D174" i="1"/>
  <c r="B174" i="1"/>
  <c r="I173" i="1"/>
  <c r="D173" i="1"/>
  <c r="B173" i="1"/>
  <c r="I172" i="1"/>
  <c r="D172" i="1"/>
  <c r="B172" i="1"/>
  <c r="I171" i="1"/>
  <c r="D171" i="1"/>
  <c r="B171" i="1"/>
  <c r="I170" i="1"/>
  <c r="D170" i="1"/>
  <c r="B170" i="1"/>
  <c r="I169" i="1"/>
  <c r="D169" i="1"/>
  <c r="B169" i="1"/>
  <c r="I168" i="1"/>
  <c r="D168" i="1"/>
  <c r="B168" i="1"/>
  <c r="I167" i="1"/>
  <c r="D167" i="1"/>
  <c r="B167" i="1"/>
  <c r="I166" i="1"/>
  <c r="D166" i="1"/>
  <c r="B166" i="1"/>
  <c r="I165" i="1"/>
  <c r="D165" i="1"/>
  <c r="B165" i="1"/>
  <c r="I164" i="1"/>
  <c r="D164" i="1"/>
  <c r="B164" i="1"/>
  <c r="I163" i="1"/>
  <c r="D163" i="1"/>
  <c r="B163" i="1"/>
  <c r="I162" i="1"/>
  <c r="D162" i="1"/>
  <c r="B162" i="1"/>
  <c r="I161" i="1"/>
  <c r="D161" i="1"/>
  <c r="B161" i="1"/>
  <c r="I160" i="1"/>
  <c r="D160" i="1"/>
  <c r="B160" i="1"/>
  <c r="I159" i="1"/>
  <c r="D159" i="1"/>
  <c r="B159" i="1"/>
  <c r="I158" i="1"/>
  <c r="D158" i="1"/>
  <c r="B158" i="1"/>
  <c r="I157" i="1"/>
  <c r="D157" i="1"/>
  <c r="B157" i="1"/>
  <c r="I156" i="1"/>
  <c r="D156" i="1"/>
  <c r="B156" i="1"/>
  <c r="I155" i="1"/>
  <c r="D155" i="1"/>
  <c r="B155" i="1"/>
  <c r="I154" i="1"/>
  <c r="D154" i="1"/>
  <c r="B154" i="1"/>
  <c r="I153" i="1"/>
  <c r="D153" i="1"/>
  <c r="B153" i="1"/>
  <c r="I152" i="1"/>
  <c r="D152" i="1"/>
  <c r="B152" i="1"/>
  <c r="I151" i="1"/>
  <c r="D151" i="1"/>
  <c r="B151" i="1"/>
  <c r="I150" i="1"/>
  <c r="D150" i="1"/>
  <c r="B150" i="1"/>
  <c r="I149" i="1"/>
  <c r="D149" i="1"/>
  <c r="B149" i="1"/>
  <c r="I148" i="1"/>
  <c r="D148" i="1"/>
  <c r="B148" i="1"/>
  <c r="I147" i="1"/>
  <c r="D147" i="1"/>
  <c r="B147" i="1"/>
  <c r="I146" i="1"/>
  <c r="D146" i="1"/>
  <c r="B146" i="1"/>
  <c r="I145" i="1"/>
  <c r="D145" i="1"/>
  <c r="B145" i="1"/>
  <c r="I144" i="1"/>
  <c r="D144" i="1"/>
  <c r="B144" i="1"/>
  <c r="I143" i="1"/>
  <c r="D143" i="1"/>
  <c r="B143" i="1"/>
  <c r="I142" i="1"/>
  <c r="D142" i="1"/>
  <c r="B142" i="1"/>
  <c r="I141" i="1"/>
  <c r="D141" i="1"/>
  <c r="B141" i="1"/>
  <c r="I140" i="1"/>
  <c r="D140" i="1"/>
  <c r="B140" i="1"/>
  <c r="I139" i="1"/>
  <c r="D139" i="1"/>
  <c r="B139" i="1"/>
  <c r="I138" i="1"/>
  <c r="D138" i="1"/>
  <c r="B138" i="1"/>
  <c r="I137" i="1"/>
  <c r="D137" i="1"/>
  <c r="B137" i="1"/>
  <c r="I136" i="1"/>
  <c r="D136" i="1"/>
  <c r="B136" i="1"/>
  <c r="I135" i="1"/>
  <c r="D135" i="1"/>
  <c r="B135" i="1"/>
  <c r="I134" i="1"/>
  <c r="D134" i="1"/>
  <c r="B134" i="1"/>
  <c r="I133" i="1"/>
  <c r="D133" i="1"/>
  <c r="B133" i="1"/>
  <c r="I132" i="1"/>
  <c r="D132" i="1"/>
  <c r="B132" i="1"/>
  <c r="I131" i="1"/>
  <c r="D131" i="1"/>
  <c r="B131" i="1"/>
  <c r="I130" i="1"/>
  <c r="J130" i="1" s="1"/>
  <c r="D130" i="1"/>
  <c r="B130" i="1"/>
  <c r="I129" i="1"/>
  <c r="J129" i="1" s="1"/>
  <c r="D129" i="1"/>
  <c r="B129" i="1"/>
  <c r="I128" i="1"/>
  <c r="J128" i="1" s="1"/>
  <c r="D128" i="1"/>
  <c r="B128" i="1"/>
  <c r="I127" i="1"/>
  <c r="J127" i="1" s="1"/>
  <c r="D127" i="1"/>
  <c r="B127" i="1"/>
  <c r="I126" i="1"/>
  <c r="J126" i="1" s="1"/>
  <c r="D126" i="1"/>
  <c r="B126" i="1"/>
  <c r="I125" i="1"/>
  <c r="J125" i="1" s="1"/>
  <c r="D125" i="1"/>
  <c r="B125" i="1"/>
  <c r="I124" i="1"/>
  <c r="J124" i="1" s="1"/>
  <c r="D124" i="1"/>
  <c r="B124" i="1"/>
  <c r="I123" i="1"/>
  <c r="J123" i="1" s="1"/>
  <c r="D123" i="1"/>
  <c r="B123" i="1"/>
  <c r="I122" i="1"/>
  <c r="J122" i="1" s="1"/>
  <c r="D122" i="1"/>
  <c r="B122" i="1"/>
  <c r="I121" i="1"/>
  <c r="J121" i="1" s="1"/>
  <c r="D121" i="1"/>
  <c r="B121" i="1"/>
  <c r="I120" i="1"/>
  <c r="J120" i="1" s="1"/>
  <c r="D120" i="1"/>
  <c r="B120" i="1"/>
  <c r="I119" i="1"/>
  <c r="J119" i="1" s="1"/>
  <c r="D119" i="1"/>
  <c r="B119" i="1"/>
  <c r="I118" i="1"/>
  <c r="J118" i="1" s="1"/>
  <c r="D118" i="1"/>
  <c r="B118" i="1"/>
  <c r="I117" i="1"/>
  <c r="J117" i="1" s="1"/>
  <c r="D117" i="1"/>
  <c r="B117" i="1"/>
  <c r="I116" i="1"/>
  <c r="J116" i="1" s="1"/>
  <c r="D116" i="1"/>
  <c r="B116" i="1"/>
  <c r="I115" i="1"/>
  <c r="J115" i="1" s="1"/>
  <c r="D115" i="1"/>
  <c r="B115" i="1"/>
  <c r="I114" i="1"/>
  <c r="J114" i="1" s="1"/>
  <c r="D114" i="1"/>
  <c r="B114" i="1"/>
  <c r="I113" i="1"/>
  <c r="J113" i="1" s="1"/>
  <c r="D113" i="1"/>
  <c r="B113" i="1"/>
  <c r="I112" i="1"/>
  <c r="J112" i="1" s="1"/>
  <c r="D112" i="1"/>
  <c r="B112" i="1"/>
  <c r="I111" i="1"/>
  <c r="J111" i="1" s="1"/>
  <c r="D111" i="1"/>
  <c r="B111" i="1"/>
  <c r="I110" i="1"/>
  <c r="J110" i="1" s="1"/>
  <c r="D110" i="1"/>
  <c r="B110" i="1"/>
  <c r="I109" i="1"/>
  <c r="J109" i="1" s="1"/>
  <c r="D109" i="1"/>
  <c r="B109" i="1"/>
  <c r="I108" i="1"/>
  <c r="J108" i="1" s="1"/>
  <c r="D108" i="1"/>
  <c r="B108" i="1"/>
  <c r="I107" i="1"/>
  <c r="J107" i="1" s="1"/>
  <c r="D107" i="1"/>
  <c r="B107" i="1"/>
  <c r="I106" i="1"/>
  <c r="J106" i="1" s="1"/>
  <c r="D106" i="1"/>
  <c r="B106" i="1"/>
  <c r="I105" i="1"/>
  <c r="J105" i="1" s="1"/>
  <c r="D105" i="1"/>
  <c r="B105" i="1"/>
  <c r="I104" i="1"/>
  <c r="J104" i="1" s="1"/>
  <c r="D104" i="1"/>
  <c r="B104" i="1"/>
  <c r="I103" i="1"/>
  <c r="J103" i="1" s="1"/>
  <c r="D103" i="1"/>
  <c r="B103" i="1"/>
  <c r="I102" i="1"/>
  <c r="J102" i="1" s="1"/>
  <c r="D102" i="1"/>
  <c r="B102" i="1"/>
  <c r="I101" i="1"/>
  <c r="J101" i="1" s="1"/>
  <c r="D101" i="1"/>
  <c r="B101" i="1"/>
  <c r="I100" i="1"/>
  <c r="J100" i="1" s="1"/>
  <c r="D100" i="1"/>
  <c r="B100" i="1"/>
  <c r="I99" i="1"/>
  <c r="J99" i="1" s="1"/>
  <c r="D99" i="1"/>
  <c r="B99" i="1"/>
  <c r="I98" i="1"/>
  <c r="J98" i="1" s="1"/>
  <c r="D98" i="1"/>
  <c r="B98" i="1"/>
  <c r="I97" i="1"/>
  <c r="J97" i="1" s="1"/>
  <c r="D97" i="1"/>
  <c r="B97" i="1"/>
  <c r="I96" i="1"/>
  <c r="J96" i="1" s="1"/>
  <c r="D96" i="1"/>
  <c r="B96" i="1"/>
  <c r="I95" i="1"/>
  <c r="J95" i="1" s="1"/>
  <c r="D95" i="1"/>
  <c r="B95" i="1"/>
  <c r="J94" i="1"/>
  <c r="D94" i="1"/>
  <c r="B94" i="1"/>
  <c r="J93" i="1"/>
  <c r="D93" i="1"/>
  <c r="B93" i="1"/>
  <c r="I92" i="1"/>
  <c r="J92" i="1" s="1"/>
  <c r="D92" i="1"/>
  <c r="B92" i="1"/>
  <c r="I91" i="1"/>
  <c r="J91" i="1" s="1"/>
  <c r="D91" i="1"/>
  <c r="B91" i="1"/>
  <c r="I90" i="1"/>
  <c r="J90" i="1" s="1"/>
  <c r="D90" i="1"/>
  <c r="B90" i="1"/>
  <c r="I89" i="1"/>
  <c r="J89" i="1" s="1"/>
  <c r="D89" i="1"/>
  <c r="B89" i="1"/>
  <c r="I88" i="1"/>
  <c r="J88" i="1" s="1"/>
  <c r="D88" i="1"/>
  <c r="B88" i="1"/>
  <c r="I87" i="1"/>
  <c r="J87" i="1" s="1"/>
  <c r="D87" i="1"/>
  <c r="B87" i="1"/>
  <c r="I86" i="1"/>
  <c r="J86" i="1" s="1"/>
  <c r="D86" i="1"/>
  <c r="B86" i="1"/>
  <c r="I85" i="1"/>
  <c r="J85" i="1" s="1"/>
  <c r="D85" i="1"/>
  <c r="B85" i="1"/>
  <c r="I84" i="1"/>
  <c r="J84" i="1" s="1"/>
  <c r="D84" i="1"/>
  <c r="B84" i="1"/>
  <c r="I83" i="1"/>
  <c r="J83" i="1" s="1"/>
  <c r="D83" i="1"/>
  <c r="B83" i="1"/>
  <c r="I82" i="1"/>
  <c r="J82" i="1" s="1"/>
  <c r="D82" i="1"/>
  <c r="B82" i="1"/>
  <c r="I81" i="1"/>
  <c r="J81" i="1" s="1"/>
  <c r="D81" i="1"/>
  <c r="B81" i="1"/>
  <c r="I80" i="1"/>
  <c r="J80" i="1" s="1"/>
  <c r="D80" i="1"/>
  <c r="B80" i="1"/>
  <c r="I79" i="1"/>
  <c r="J79" i="1" s="1"/>
  <c r="D79" i="1"/>
  <c r="B79" i="1"/>
  <c r="I78" i="1"/>
  <c r="J78" i="1" s="1"/>
  <c r="D78" i="1"/>
  <c r="B78" i="1"/>
  <c r="I77" i="1"/>
  <c r="J77" i="1" s="1"/>
  <c r="D77" i="1"/>
  <c r="B77" i="1"/>
  <c r="I76" i="1"/>
  <c r="J76" i="1" s="1"/>
  <c r="D76" i="1"/>
  <c r="B76" i="1"/>
  <c r="I75" i="1"/>
  <c r="J75" i="1" s="1"/>
  <c r="D75" i="1"/>
  <c r="B75" i="1"/>
  <c r="I74" i="1"/>
  <c r="J74" i="1" s="1"/>
  <c r="D74" i="1"/>
  <c r="B74" i="1"/>
  <c r="I73" i="1"/>
  <c r="J73" i="1" s="1"/>
  <c r="D73" i="1"/>
  <c r="B73" i="1"/>
  <c r="I72" i="1"/>
  <c r="J72" i="1" s="1"/>
  <c r="D72" i="1"/>
  <c r="B72" i="1"/>
  <c r="I71" i="1"/>
  <c r="J71" i="1" s="1"/>
  <c r="D71" i="1"/>
  <c r="B71" i="1"/>
  <c r="I70" i="1"/>
  <c r="J70" i="1" s="1"/>
  <c r="D70" i="1"/>
  <c r="B70" i="1"/>
  <c r="I69" i="1"/>
  <c r="J69" i="1" s="1"/>
  <c r="D69" i="1"/>
  <c r="B69" i="1"/>
  <c r="I68" i="1"/>
  <c r="J68" i="1" s="1"/>
  <c r="D68" i="1"/>
  <c r="B68" i="1"/>
  <c r="I67" i="1"/>
  <c r="J67" i="1" s="1"/>
  <c r="D67" i="1"/>
  <c r="B67" i="1"/>
  <c r="I66" i="1"/>
  <c r="J66" i="1" s="1"/>
  <c r="D66" i="1"/>
  <c r="B66" i="1"/>
  <c r="I65" i="1"/>
  <c r="J65" i="1" s="1"/>
  <c r="D65" i="1"/>
  <c r="B65" i="1"/>
  <c r="I64" i="1"/>
  <c r="J64" i="1" s="1"/>
  <c r="D64" i="1"/>
  <c r="B64" i="1"/>
  <c r="I63" i="1"/>
  <c r="J63" i="1" s="1"/>
  <c r="D63" i="1"/>
  <c r="B63" i="1"/>
  <c r="I62" i="1"/>
  <c r="J62" i="1" s="1"/>
  <c r="D62" i="1"/>
  <c r="B62" i="1"/>
  <c r="I61" i="1"/>
  <c r="J61" i="1" s="1"/>
  <c r="D61" i="1"/>
  <c r="B61" i="1"/>
  <c r="I60" i="1"/>
  <c r="J60" i="1" s="1"/>
  <c r="D60" i="1"/>
  <c r="B60" i="1"/>
  <c r="I59" i="1"/>
  <c r="J59" i="1" s="1"/>
  <c r="D59" i="1"/>
  <c r="B59" i="1"/>
  <c r="I58" i="1"/>
  <c r="J58" i="1" s="1"/>
  <c r="D58" i="1"/>
  <c r="B58" i="1"/>
  <c r="I57" i="1"/>
  <c r="J57" i="1" s="1"/>
  <c r="D57" i="1"/>
  <c r="B57" i="1"/>
  <c r="I56" i="1"/>
  <c r="J56" i="1" s="1"/>
  <c r="D56" i="1"/>
  <c r="B56" i="1"/>
  <c r="I55" i="1"/>
  <c r="J55" i="1" s="1"/>
  <c r="D55" i="1"/>
  <c r="B55" i="1"/>
  <c r="I54" i="1"/>
  <c r="J54" i="1" s="1"/>
  <c r="D54" i="1"/>
  <c r="B54" i="1"/>
  <c r="I53" i="1"/>
  <c r="J53" i="1" s="1"/>
  <c r="D53" i="1"/>
  <c r="B53" i="1"/>
  <c r="I52" i="1"/>
  <c r="J52" i="1" s="1"/>
  <c r="D52" i="1"/>
  <c r="B52" i="1"/>
  <c r="I51" i="1"/>
  <c r="J51" i="1" s="1"/>
  <c r="D51" i="1"/>
  <c r="B51" i="1"/>
  <c r="I50" i="1"/>
  <c r="J50" i="1" s="1"/>
  <c r="D50" i="1"/>
  <c r="B50" i="1"/>
  <c r="I49" i="1"/>
  <c r="J49" i="1" s="1"/>
  <c r="D49" i="1"/>
  <c r="B49" i="1"/>
  <c r="I48" i="1"/>
  <c r="J48" i="1" s="1"/>
  <c r="D48" i="1"/>
  <c r="B48" i="1"/>
  <c r="I47" i="1"/>
  <c r="J47" i="1" s="1"/>
  <c r="D47" i="1"/>
  <c r="B47" i="1"/>
  <c r="I46" i="1"/>
  <c r="J46" i="1" s="1"/>
  <c r="D46" i="1"/>
  <c r="B46" i="1"/>
  <c r="I45" i="1"/>
  <c r="J45" i="1" s="1"/>
  <c r="D45" i="1"/>
  <c r="B45" i="1"/>
  <c r="I44" i="1"/>
  <c r="J44" i="1" s="1"/>
  <c r="D44" i="1"/>
  <c r="B44" i="1"/>
  <c r="I43" i="1"/>
  <c r="J43" i="1" s="1"/>
  <c r="D43" i="1"/>
  <c r="B43" i="1"/>
  <c r="I42" i="1"/>
  <c r="J42" i="1" s="1"/>
  <c r="D42" i="1"/>
  <c r="B42" i="1"/>
  <c r="I41" i="1"/>
  <c r="J41" i="1" s="1"/>
  <c r="D41" i="1"/>
  <c r="B41" i="1"/>
  <c r="I40" i="1"/>
  <c r="J40" i="1" s="1"/>
  <c r="D40" i="1"/>
  <c r="B40" i="1"/>
  <c r="I39" i="1"/>
  <c r="J39" i="1" s="1"/>
  <c r="D39" i="1"/>
  <c r="B39" i="1"/>
  <c r="I38" i="1"/>
  <c r="J38" i="1" s="1"/>
  <c r="D38" i="1"/>
  <c r="B38" i="1"/>
  <c r="I37" i="1"/>
  <c r="J37" i="1" s="1"/>
  <c r="D37" i="1"/>
  <c r="B37" i="1"/>
  <c r="I36" i="1"/>
  <c r="J36" i="1" s="1"/>
  <c r="D36" i="1"/>
  <c r="B36" i="1"/>
  <c r="I35" i="1"/>
  <c r="J35" i="1" s="1"/>
  <c r="D35" i="1"/>
  <c r="B35" i="1"/>
  <c r="I34" i="1"/>
  <c r="J34" i="1" s="1"/>
  <c r="D34" i="1"/>
  <c r="B34" i="1"/>
  <c r="I33" i="1"/>
  <c r="J33" i="1" s="1"/>
  <c r="D33" i="1"/>
  <c r="B33" i="1"/>
  <c r="I32" i="1"/>
  <c r="J32" i="1" s="1"/>
  <c r="D32" i="1"/>
  <c r="B32" i="1"/>
  <c r="I31" i="1"/>
  <c r="J31" i="1" s="1"/>
  <c r="D31" i="1"/>
  <c r="B31" i="1"/>
  <c r="I30" i="1"/>
  <c r="J30" i="1" s="1"/>
  <c r="D30" i="1"/>
  <c r="B30" i="1"/>
  <c r="I29" i="1"/>
  <c r="J29" i="1" s="1"/>
  <c r="D29" i="1"/>
  <c r="B29" i="1"/>
  <c r="I28" i="1"/>
  <c r="J28" i="1" s="1"/>
  <c r="D28" i="1"/>
  <c r="B28" i="1"/>
  <c r="I27" i="1"/>
  <c r="J27" i="1" s="1"/>
  <c r="D27" i="1"/>
  <c r="B27" i="1"/>
  <c r="I26" i="1"/>
  <c r="J26" i="1" s="1"/>
  <c r="D26" i="1"/>
  <c r="B26" i="1"/>
  <c r="I25" i="1"/>
  <c r="J25" i="1" s="1"/>
  <c r="D25" i="1"/>
  <c r="B25" i="1"/>
  <c r="I24" i="1"/>
  <c r="J24" i="1" s="1"/>
  <c r="D24" i="1"/>
  <c r="B24" i="1"/>
  <c r="I23" i="1"/>
  <c r="J23" i="1" s="1"/>
  <c r="D23" i="1"/>
  <c r="B23" i="1"/>
  <c r="I22" i="1"/>
  <c r="J22" i="1" s="1"/>
  <c r="D22" i="1"/>
  <c r="B22" i="1"/>
  <c r="I21" i="1"/>
  <c r="J21" i="1" s="1"/>
  <c r="D21" i="1"/>
  <c r="B21" i="1"/>
  <c r="I20" i="1"/>
  <c r="J20" i="1" s="1"/>
  <c r="D20" i="1"/>
  <c r="B20" i="1"/>
  <c r="I19" i="1"/>
  <c r="J19" i="1" s="1"/>
  <c r="D19" i="1"/>
  <c r="B19" i="1"/>
  <c r="I18" i="1"/>
  <c r="J18" i="1" s="1"/>
  <c r="D18" i="1"/>
  <c r="B18" i="1"/>
  <c r="I17" i="1"/>
  <c r="J17" i="1" s="1"/>
  <c r="D17" i="1"/>
  <c r="B17" i="1"/>
  <c r="I16" i="1"/>
  <c r="J16" i="1" s="1"/>
  <c r="D16" i="1"/>
  <c r="B16" i="1"/>
  <c r="I15" i="1"/>
  <c r="J15" i="1" s="1"/>
  <c r="D15" i="1"/>
  <c r="B15" i="1"/>
  <c r="I14" i="1"/>
  <c r="J14" i="1" s="1"/>
  <c r="D14" i="1"/>
  <c r="B14" i="1"/>
  <c r="I13" i="1"/>
  <c r="J13" i="1" s="1"/>
  <c r="D13" i="1"/>
  <c r="B13" i="1"/>
  <c r="I12" i="1"/>
  <c r="J12" i="1" s="1"/>
  <c r="D12" i="1"/>
  <c r="B12" i="1"/>
  <c r="I11" i="1"/>
  <c r="J11" i="1" s="1"/>
  <c r="D11" i="1"/>
  <c r="B11" i="1"/>
  <c r="I10" i="1"/>
  <c r="J10" i="1" s="1"/>
  <c r="D10" i="1"/>
  <c r="B10" i="1"/>
  <c r="I9" i="1"/>
  <c r="J9" i="1" s="1"/>
  <c r="D9" i="1"/>
  <c r="B9" i="1"/>
  <c r="I8" i="1"/>
  <c r="J8" i="1" s="1"/>
  <c r="D8" i="1"/>
  <c r="B8" i="1"/>
  <c r="I7" i="1"/>
  <c r="J7" i="1" s="1"/>
  <c r="D7" i="1"/>
  <c r="B7" i="1"/>
  <c r="I6" i="1"/>
  <c r="J6" i="1" s="1"/>
  <c r="D6" i="1"/>
  <c r="B6" i="1"/>
  <c r="I5" i="1"/>
  <c r="J5" i="1" s="1"/>
  <c r="D5" i="1"/>
  <c r="B5" i="1"/>
  <c r="I4" i="1"/>
  <c r="J4" i="1" s="1"/>
  <c r="D4" i="1"/>
  <c r="B4" i="1"/>
  <c r="I3" i="1"/>
  <c r="J3" i="1" s="1"/>
  <c r="D3" i="1"/>
  <c r="B3" i="1"/>
  <c r="I2" i="1"/>
  <c r="J2" i="1" s="1"/>
  <c r="D2" i="1"/>
</calcChain>
</file>

<file path=xl/sharedStrings.xml><?xml version="1.0" encoding="utf-8"?>
<sst xmlns="http://schemas.openxmlformats.org/spreadsheetml/2006/main" count="566" uniqueCount="165">
  <si>
    <t>순번</t>
  </si>
  <si>
    <t>계산서발행일</t>
  </si>
  <si>
    <t>트랙</t>
  </si>
  <si>
    <t>업체명</t>
  </si>
  <si>
    <t>현장명</t>
  </si>
  <si>
    <t>구분</t>
  </si>
  <si>
    <t>미수금액(v-)</t>
  </si>
  <si>
    <t>경과일</t>
  </si>
  <si>
    <t>단계</t>
  </si>
  <si>
    <t>예상입금일</t>
  </si>
  <si>
    <t>입금일</t>
  </si>
  <si>
    <t>예외여부</t>
  </si>
  <si>
    <t>예외사유</t>
  </si>
  <si>
    <t>지연사유</t>
  </si>
  <si>
    <t>예외승인일</t>
  </si>
  <si>
    <t>예외종료예정</t>
  </si>
  <si>
    <t>비고</t>
  </si>
  <si>
    <t>(주)적산건설</t>
  </si>
  <si>
    <t>원주기업도시2차 호반베르디움</t>
  </si>
  <si>
    <t>선급금</t>
  </si>
  <si>
    <t>Y</t>
  </si>
  <si>
    <t>발주처 정산 지연 확인</t>
  </si>
  <si>
    <t>선보수 공사건(이음 확인 필요)</t>
  </si>
  <si>
    <t>26년 하반기-27년 상반기 정산예정</t>
  </si>
  <si>
    <t>(주)부영씨엔씨</t>
  </si>
  <si>
    <t>탑마을 타워빌</t>
  </si>
  <si>
    <t>(주)에이치제이건설</t>
  </si>
  <si>
    <t>해운대 센텀트루엘</t>
  </si>
  <si>
    <t>영업수수료</t>
  </si>
  <si>
    <t>옥방방수 착송 시 정산 예정(김훈 지사장님 협의)</t>
  </si>
  <si>
    <t>혜성씨앤씨(주)</t>
  </si>
  <si>
    <t>호계신성미소지움</t>
  </si>
  <si>
    <t>중도금</t>
  </si>
  <si>
    <t>N</t>
  </si>
  <si>
    <t>(주)한국전문건설</t>
  </si>
  <si>
    <t>오창롯데캐슬더하이스트</t>
  </si>
  <si>
    <t>발주처 미정산, 대표님 협의 중</t>
  </si>
  <si>
    <t>이편한세상화랑대</t>
  </si>
  <si>
    <t>잔금</t>
  </si>
  <si>
    <t>엘케이개발(주)</t>
  </si>
  <si>
    <t>율전삼성2단지</t>
  </si>
  <si>
    <t>합판보수 관련 비용 협의 없이 차감_협의예정</t>
  </si>
  <si>
    <t>드림종합건설(주)</t>
  </si>
  <si>
    <t>홍은풍림1차</t>
  </si>
  <si>
    <t>특허료</t>
  </si>
  <si>
    <t>대표님 별도 확인</t>
  </si>
  <si>
    <t>솔루션 현장</t>
  </si>
  <si>
    <t>로토텍다이아몬드(주)</t>
  </si>
  <si>
    <t>월곡일산</t>
  </si>
  <si>
    <t>자재</t>
  </si>
  <si>
    <t>채권추심 진행</t>
  </si>
  <si>
    <t>문지동효성해링턴</t>
  </si>
  <si>
    <t>세종다원파크리안</t>
  </si>
  <si>
    <t>효성해링턴플레이스</t>
  </si>
  <si>
    <t>(주)삼인유엔아이</t>
  </si>
  <si>
    <t>행복한마을서해그랑블</t>
  </si>
  <si>
    <t>부도, 1분기 입금예정</t>
  </si>
  <si>
    <t>(주)백승</t>
  </si>
  <si>
    <t>명지중흥S클래스</t>
  </si>
  <si>
    <t>대표님 협의</t>
  </si>
  <si>
    <t xml:space="preserve">별도 공유 전까지 </t>
  </si>
  <si>
    <t>부산명지중흥S클래스</t>
  </si>
  <si>
    <t>관저어반힐스</t>
  </si>
  <si>
    <t>(주)지앤필드종합건설</t>
  </si>
  <si>
    <t>신봉마을 동일하이빌 3단지</t>
  </si>
  <si>
    <t>소액 미입금 담당자 확인중</t>
  </si>
  <si>
    <t>까치마을신원</t>
  </si>
  <si>
    <t>우리방재건설(주)</t>
  </si>
  <si>
    <t>삼천세창짜임</t>
  </si>
  <si>
    <t>재연님 협의</t>
  </si>
  <si>
    <t>12/31 1천만원 입금</t>
  </si>
  <si>
    <t>다한건설</t>
  </si>
  <si>
    <t>양산반도유보라4차</t>
  </si>
  <si>
    <t>경남 지사 건</t>
  </si>
  <si>
    <t>원주호반베르디움 2차더힐</t>
  </si>
  <si>
    <t>석민 면대 현장</t>
  </si>
  <si>
    <t>발주처 정산 지연 확인(정훈님확인)</t>
  </si>
  <si>
    <t>삼천세창짜임 자재반환</t>
  </si>
  <si>
    <t>성훈종합건설(주)</t>
  </si>
  <si>
    <t>호원건영</t>
  </si>
  <si>
    <t>포항자이</t>
  </si>
  <si>
    <t>연산동현대홈타운</t>
  </si>
  <si>
    <t>양산유탑유블레스 ( 에폭시 )</t>
  </si>
  <si>
    <t>자재대금 2달 후 정산 협의</t>
  </si>
  <si>
    <t>경기이앤에스(주)</t>
  </si>
  <si>
    <t>연향금호타운 ( 에폭시 )</t>
  </si>
  <si>
    <t>남양산역반도유보라아이파크5차</t>
  </si>
  <si>
    <t>잠실리센츠 ( 에폭시 )</t>
  </si>
  <si>
    <t>(주)우단건설</t>
  </si>
  <si>
    <t>함안대경파미르</t>
  </si>
  <si>
    <t>운암일신 2차</t>
  </si>
  <si>
    <t>신흥마을</t>
  </si>
  <si>
    <t>메르하우젠</t>
  </si>
  <si>
    <t>지안스로가</t>
  </si>
  <si>
    <t>성남 한빛스위티 주상복합</t>
  </si>
  <si>
    <t>신음금류1차</t>
  </si>
  <si>
    <t>(주)예랑건설</t>
  </si>
  <si>
    <t>이안 더 센트럴</t>
  </si>
  <si>
    <t>상인청구</t>
  </si>
  <si>
    <t>(주)세원티엠</t>
  </si>
  <si>
    <t>강변래미안</t>
  </si>
  <si>
    <t>(주)도원씨엔씨</t>
  </si>
  <si>
    <t>유등마을쌍용</t>
  </si>
  <si>
    <t>(주)효덕산업</t>
  </si>
  <si>
    <t>신정현대6차 아파트</t>
  </si>
  <si>
    <t>석진건설(주)</t>
  </si>
  <si>
    <t>포레나광교상현아파트</t>
  </si>
  <si>
    <t>동탄역더샵센트럴시티2차아파트</t>
  </si>
  <si>
    <t xml:space="preserve">	(주)청명이앤디</t>
  </si>
  <si>
    <t xml:space="preserve">	영주동 도경오벨리스아파트</t>
  </si>
  <si>
    <t>한별이엔씨(주)</t>
  </si>
  <si>
    <t>LG원당자이아파트</t>
  </si>
  <si>
    <t>잠실리센츠</t>
  </si>
  <si>
    <t>양산유탑유블레스</t>
  </si>
  <si>
    <t>(주)대한진단건설</t>
  </si>
  <si>
    <t>더샵센텀파크1차</t>
  </si>
  <si>
    <t>정광이엔씨</t>
  </si>
  <si>
    <t>경동 안성공도만정626</t>
  </si>
  <si>
    <t>천강건설(주)</t>
  </si>
  <si>
    <t>미사강변샌텀팰리스</t>
  </si>
  <si>
    <t>(주)일성기업</t>
  </si>
  <si>
    <t>대연경동메르빌</t>
  </si>
  <si>
    <t>(주)국제특수건설</t>
  </si>
  <si>
    <t>등촌임광그린 교환건</t>
  </si>
  <si>
    <t>동일산건(주)</t>
  </si>
  <si>
    <t>백현마을8단지</t>
  </si>
  <si>
    <t>삼우건설(주)</t>
  </si>
  <si>
    <t>광주남구송하로492</t>
  </si>
  <si>
    <t>(주)은성이엔씨</t>
  </si>
  <si>
    <t>노형뜨란채</t>
  </si>
  <si>
    <t>샛별종합관리</t>
  </si>
  <si>
    <t>본사 방문</t>
  </si>
  <si>
    <t>코지건설(주)</t>
  </si>
  <si>
    <t>수림1차</t>
  </si>
  <si>
    <t>(주)케이원씨앤씨</t>
  </si>
  <si>
    <t>창원지하</t>
  </si>
  <si>
    <t>프로세스 단계 명칭</t>
  </si>
  <si>
    <t>발송 시점</t>
    <phoneticPr fontId="5" type="noConversion"/>
  </si>
  <si>
    <t>프로세스현황</t>
    <phoneticPr fontId="5" type="noConversion"/>
  </si>
  <si>
    <t>#프로세스현황</t>
    <phoneticPr fontId="5" type="noConversion"/>
  </si>
  <si>
    <t>(주)다산종합건설</t>
  </si>
  <si>
    <t>지행역동원베네스트</t>
  </si>
  <si>
    <t>주식회사 삼흥티에스건설</t>
  </si>
  <si>
    <t>협성그린타운아파트</t>
  </si>
  <si>
    <t>특허료</t>
    <phoneticPr fontId="5" type="noConversion"/>
  </si>
  <si>
    <t>[L1] 관리단계 진입 안내</t>
    <phoneticPr fontId="5" type="noConversion"/>
  </si>
  <si>
    <t>[L4] 장기 미수 관련 경영 보고</t>
    <phoneticPr fontId="5" type="noConversion"/>
  </si>
  <si>
    <t>[L5] 장기 미수 공식 통지</t>
    <phoneticPr fontId="5" type="noConversion"/>
  </si>
  <si>
    <t>[L6] 법적 조치 검토 사전 안내</t>
    <phoneticPr fontId="5" type="noConversion"/>
  </si>
  <si>
    <t>1차 입금 예정일이 경과되어 관리단계에 최초 진입하는 시점</t>
    <phoneticPr fontId="5" type="noConversion"/>
  </si>
  <si>
    <t>경영진 보고와 동시에 장기미수 현장에 대해 발송</t>
    <phoneticPr fontId="5" type="noConversion"/>
  </si>
  <si>
    <t>경영진 확인 결과 유예 미적용(N) 시, 경영지원팀 이관 전 발송</t>
    <phoneticPr fontId="5" type="noConversion"/>
  </si>
  <si>
    <t>[L2] 납부 일정 협의(1차)</t>
    <phoneticPr fontId="5" type="noConversion"/>
  </si>
  <si>
    <t>[L3] 납부 일정 협의(2차)</t>
    <phoneticPr fontId="5" type="noConversion"/>
  </si>
  <si>
    <t>시공사와 입금 일정 협의 후, 합의된 입금 예정일을 공문 형태로 확정 통지</t>
    <phoneticPr fontId="5" type="noConversion"/>
  </si>
  <si>
    <t>1차 협의·확정된 입금 예정일이 미이행된 경우, 재협의를 거쳐 2차 확정 내용을 공문으로 통지</t>
    <phoneticPr fontId="5" type="noConversion"/>
  </si>
  <si>
    <t xml:space="preserve">계산서 발행일 기준 91일 경과 시점 </t>
    <phoneticPr fontId="5" type="noConversion"/>
  </si>
  <si>
    <t>[L4] 장기 미수 관련 경영 보고</t>
    <phoneticPr fontId="5" type="noConversion"/>
  </si>
  <si>
    <t>대표님 협의</t>
    <phoneticPr fontId="5" type="noConversion"/>
  </si>
  <si>
    <t>부영씨앤씨 청구보류(2/9대표님확인)</t>
  </si>
  <si>
    <t>부영씨앤씨 청구보류(2/9대표님확인)</t>
    <phoneticPr fontId="5" type="noConversion"/>
  </si>
  <si>
    <t>부영씨앤씨 청구보류(2/9대표님확인)</t>
    <phoneticPr fontId="5" type="noConversion"/>
  </si>
  <si>
    <t>진영자이아파트</t>
  </si>
  <si>
    <t>미사강변센텀팰리스</t>
  </si>
  <si>
    <t>2026-02-09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</si>
</sst>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41" fontId="2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18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</cellXfs>
  <cellStyles count="1">
    <cellStyle name="표준" xfId="0" builtinId="0"/>
  </cellStyles>
  <dxfs count="5">
    <dxf>
      <fill>
        <patternFill>
          <bgColor rgb="FFE6F3FF"/>
        </patternFill>
      </fill>
      <border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>
        <left/>
        <right/>
        <top/>
        <bottom style="thin">
          <color auto="1"/>
        </bottom>
      </border>
    </dxf>
    <dxf>
      <fill>
        <patternFill>
          <bgColor rgb="FFE6F3FF"/>
        </patternFill>
      </fill>
      <border>
        <left/>
        <right/>
        <top/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8"/>
  <sheetViews>
    <sheetView tabSelected="1" zoomScaleNormal="100" workbookViewId="0">
      <pane xSplit="5" ySplit="1" topLeftCell="F2" activePane="bottomRight" state="frozen"/>
      <selection pane="topRight"/>
      <selection pane="bottomLeft"/>
      <selection pane="bottomRight" activeCell="F13" sqref="F13"/>
    </sheetView>
  </sheetViews>
  <sheetFormatPr defaultRowHeight="16.5" customHeight="1" x14ac:dyDescent="0.3"/>
  <cols>
    <col min="1" max="1" width="2.125" style="1" customWidth="1"/>
    <col min="2" max="2" width="5" style="2" customWidth="1"/>
    <col min="3" max="3" width="15.375" style="3" customWidth="1"/>
    <col min="4" max="4" width="6.375" style="1" customWidth="1"/>
    <col min="5" max="5" width="17.875" style="1" customWidth="1"/>
    <col min="6" max="6" width="25.75" style="1" customWidth="1"/>
    <col min="7" max="7" width="8" style="1" customWidth="1"/>
    <col min="8" max="8" width="14.375" style="4" customWidth="1"/>
    <col min="9" max="9" width="8" style="1" customWidth="1"/>
    <col min="10" max="10" width="8.75" style="1" customWidth="1"/>
    <col min="11" max="12" width="12" style="5" customWidth="1"/>
    <col min="13" max="13" width="25" style="2" bestFit="1" customWidth="1"/>
    <col min="14" max="14" width="11.25" style="1" customWidth="1"/>
    <col min="15" max="15" width="18.875" style="1" customWidth="1"/>
    <col min="16" max="16" width="37.25" style="1" customWidth="1"/>
    <col min="17" max="17" width="12" style="3" customWidth="1"/>
    <col min="18" max="18" width="15.375" style="3" customWidth="1"/>
    <col min="19" max="19" width="30.25" style="1" customWidth="1"/>
    <col min="20" max="20" width="9" style="1" customWidth="1"/>
    <col min="21" max="16384" width="9" style="1"/>
  </cols>
  <sheetData>
    <row r="1" spans="1:19" s="6" customFormat="1" ht="16.5" customHeight="1" x14ac:dyDescent="0.3">
      <c r="A1" s="7">
        <v>0.71111111111167702</v>
      </c>
      <c r="B1" s="8" t="s">
        <v>0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4" t="s">
        <v>6</v>
      </c>
      <c r="I1" s="8" t="s">
        <v>7</v>
      </c>
      <c r="J1" s="8" t="s">
        <v>8</v>
      </c>
      <c r="K1" s="9" t="s">
        <v>9</v>
      </c>
      <c r="L1" s="9" t="s">
        <v>10</v>
      </c>
      <c r="M1" s="8" t="s">
        <v>138</v>
      </c>
      <c r="N1" s="8" t="s">
        <v>11</v>
      </c>
      <c r="O1" s="8" t="s">
        <v>12</v>
      </c>
      <c r="P1" s="8" t="s">
        <v>13</v>
      </c>
      <c r="Q1" s="9" t="s">
        <v>14</v>
      </c>
      <c r="R1" s="9" t="s">
        <v>15</v>
      </c>
      <c r="S1" s="8" t="s">
        <v>16</v>
      </c>
    </row>
    <row r="2" spans="1:19" s="6" customFormat="1" ht="16.5" customHeight="1" x14ac:dyDescent="0.3">
      <c r="B2" s="10">
        <v>1</v>
      </c>
      <c r="C2" s="11">
        <v>45797</v>
      </c>
      <c r="D2" s="10" t="str">
        <f t="shared" ref="D2:D55" si="0">IF(G2="","",IF(OR(G2="선급금",G2="중도금",G2="잔금"),"A",IF(G2="자재","B",IF(G2="특허료","C",""))))</f>
        <v>A</v>
      </c>
      <c r="E2" s="6" t="s">
        <v>17</v>
      </c>
      <c r="F2" s="6" t="s">
        <v>18</v>
      </c>
      <c r="G2" s="6" t="s">
        <v>19</v>
      </c>
      <c r="H2" s="4">
        <v>23770800</v>
      </c>
      <c r="I2" s="12">
        <f t="shared" ref="I2:I55" ca="1" si="1">IF(C2="","",IF(L2="",TODAY()-C2,L2-C2))</f>
        <v>266</v>
      </c>
      <c r="J2" s="13" t="str">
        <f ca="1">IF(I2="","",
 IF(G2="선급금",
   IF(I2&lt;=20,"정상",IF(I2&lt;=90,"관리","장기미수")),
 IF(G2="자재",
   IF(I2&lt;=40,"정상",IF(I2&lt;=90,"관리","장기미수")),
   IF(I2&lt;=30,"정상",IF(I2&lt;=90,"관리","장기미수"))
  )
 )
)</f>
        <v>장기미수</v>
      </c>
      <c r="K2" s="11">
        <v>46203</v>
      </c>
      <c r="L2" s="11"/>
      <c r="M2" s="10" t="s">
        <v>157</v>
      </c>
      <c r="N2" s="10" t="s">
        <v>20</v>
      </c>
      <c r="O2" s="6" t="s">
        <v>21</v>
      </c>
      <c r="P2" s="6" t="s">
        <v>22</v>
      </c>
      <c r="Q2" s="14"/>
      <c r="R2" s="14">
        <v>46233</v>
      </c>
      <c r="S2" s="10" t="s">
        <v>23</v>
      </c>
    </row>
    <row r="3" spans="1:19" s="6" customFormat="1" ht="16.5" customHeight="1" x14ac:dyDescent="0.3">
      <c r="B3" s="10">
        <f>IF(C3="","",COUNTA($C$2:C3))</f>
        <v>2</v>
      </c>
      <c r="C3" s="11">
        <v>45947</v>
      </c>
      <c r="D3" s="10" t="str">
        <f t="shared" si="0"/>
        <v>A</v>
      </c>
      <c r="E3" s="15" t="s">
        <v>24</v>
      </c>
      <c r="F3" s="6" t="s">
        <v>25</v>
      </c>
      <c r="G3" s="6" t="s">
        <v>19</v>
      </c>
      <c r="H3" s="4">
        <v>91762800</v>
      </c>
      <c r="I3" s="12">
        <f t="shared" ca="1" si="1"/>
        <v>116</v>
      </c>
      <c r="J3" s="13" t="str">
        <f t="shared" ref="J3:J58" ca="1" si="2">IF(I3="","",
 IF(G3="선급금",
   IF(I3&lt;=20,"정상",IF(I3&lt;=90,"관리","장기미수")),
 IF(G3="자재",
   IF(I3&lt;=40,"정상",IF(I3&lt;=90,"관리","장기미수")),
   IF(I3&lt;=30,"정상",IF(I3&lt;=90,"관리","장기미수"))
  )
 )
)</f>
        <v>장기미수</v>
      </c>
      <c r="K3" s="11">
        <v>46111</v>
      </c>
      <c r="L3" s="11"/>
      <c r="M3" s="10" t="s">
        <v>157</v>
      </c>
      <c r="N3" s="10" t="s">
        <v>20</v>
      </c>
      <c r="O3" s="6" t="s">
        <v>21</v>
      </c>
      <c r="Q3" s="14"/>
      <c r="R3" s="14">
        <v>46111</v>
      </c>
      <c r="S3" s="10"/>
    </row>
    <row r="4" spans="1:19" s="6" customFormat="1" ht="16.5" customHeight="1" x14ac:dyDescent="0.3">
      <c r="B4" s="10">
        <f>IF(C4="","",COUNTA($C$2:C4))</f>
        <v>3</v>
      </c>
      <c r="C4" s="11">
        <v>45967</v>
      </c>
      <c r="D4" s="10" t="str">
        <f t="shared" si="0"/>
        <v>A</v>
      </c>
      <c r="E4" s="15" t="s">
        <v>26</v>
      </c>
      <c r="F4" s="6" t="s">
        <v>27</v>
      </c>
      <c r="G4" s="6" t="s">
        <v>19</v>
      </c>
      <c r="H4" s="4">
        <v>26760000</v>
      </c>
      <c r="I4" s="12">
        <f t="shared" ca="1" si="1"/>
        <v>96</v>
      </c>
      <c r="J4" s="13" t="str">
        <f t="shared" ca="1" si="2"/>
        <v>장기미수</v>
      </c>
      <c r="K4" s="11">
        <v>46111</v>
      </c>
      <c r="L4" s="11"/>
      <c r="M4" s="10"/>
      <c r="N4" s="10" t="s">
        <v>20</v>
      </c>
      <c r="O4" s="6" t="s">
        <v>28</v>
      </c>
      <c r="P4" s="6" t="s">
        <v>29</v>
      </c>
      <c r="Q4" s="14"/>
      <c r="R4" s="14">
        <v>46111</v>
      </c>
      <c r="S4" s="10"/>
    </row>
    <row r="5" spans="1:19" s="6" customFormat="1" ht="16.5" customHeight="1" x14ac:dyDescent="0.3">
      <c r="B5" s="10">
        <f>IF(C5="","",COUNTA($C$2:C5))</f>
        <v>4</v>
      </c>
      <c r="C5" s="11">
        <v>46007</v>
      </c>
      <c r="D5" s="10" t="str">
        <f t="shared" si="0"/>
        <v>A</v>
      </c>
      <c r="E5" s="6" t="s">
        <v>30</v>
      </c>
      <c r="F5" s="6" t="s">
        <v>31</v>
      </c>
      <c r="G5" s="6" t="s">
        <v>32</v>
      </c>
      <c r="H5" s="4">
        <v>13750000</v>
      </c>
      <c r="I5" s="12">
        <f t="shared" ca="1" si="1"/>
        <v>56</v>
      </c>
      <c r="J5" s="13" t="str">
        <f t="shared" ca="1" si="2"/>
        <v>관리</v>
      </c>
      <c r="K5" s="11">
        <v>46063</v>
      </c>
      <c r="L5" s="11"/>
      <c r="M5" s="10"/>
      <c r="N5" s="10" t="s">
        <v>33</v>
      </c>
      <c r="Q5" s="14"/>
      <c r="R5" s="14"/>
      <c r="S5" s="10"/>
    </row>
    <row r="6" spans="1:19" s="6" customFormat="1" ht="16.5" customHeight="1" x14ac:dyDescent="0.3">
      <c r="B6" s="10">
        <f>IF(C6="","",COUNTA($C$2:C6))</f>
        <v>5</v>
      </c>
      <c r="C6" s="11">
        <v>45817</v>
      </c>
      <c r="D6" s="10" t="str">
        <f t="shared" si="0"/>
        <v>A</v>
      </c>
      <c r="E6" s="6" t="s">
        <v>17</v>
      </c>
      <c r="F6" s="6" t="s">
        <v>18</v>
      </c>
      <c r="G6" s="6" t="s">
        <v>32</v>
      </c>
      <c r="H6" s="4">
        <v>47541600</v>
      </c>
      <c r="I6" s="12">
        <f t="shared" ca="1" si="1"/>
        <v>246</v>
      </c>
      <c r="J6" s="13" t="str">
        <f t="shared" ca="1" si="2"/>
        <v>장기미수</v>
      </c>
      <c r="K6" s="11">
        <v>46203</v>
      </c>
      <c r="L6" s="11"/>
      <c r="M6" s="10" t="s">
        <v>157</v>
      </c>
      <c r="N6" s="10" t="s">
        <v>20</v>
      </c>
      <c r="O6" s="6" t="s">
        <v>21</v>
      </c>
      <c r="P6" s="6" t="s">
        <v>22</v>
      </c>
      <c r="Q6" s="14"/>
      <c r="R6" s="14">
        <v>46233</v>
      </c>
      <c r="S6" s="10" t="s">
        <v>23</v>
      </c>
    </row>
    <row r="7" spans="1:19" s="6" customFormat="1" ht="16.5" customHeight="1" x14ac:dyDescent="0.3">
      <c r="B7" s="10">
        <f>IF(C7="","",COUNTA($C$2:C7))</f>
        <v>6</v>
      </c>
      <c r="C7" s="11">
        <v>45915</v>
      </c>
      <c r="D7" s="10" t="str">
        <f t="shared" si="0"/>
        <v>A</v>
      </c>
      <c r="E7" s="6" t="s">
        <v>34</v>
      </c>
      <c r="F7" s="6" t="s">
        <v>35</v>
      </c>
      <c r="G7" s="6" t="s">
        <v>32</v>
      </c>
      <c r="H7" s="4">
        <v>93482400</v>
      </c>
      <c r="I7" s="12">
        <f t="shared" ca="1" si="1"/>
        <v>148</v>
      </c>
      <c r="J7" s="13" t="str">
        <f t="shared" ca="1" si="2"/>
        <v>장기미수</v>
      </c>
      <c r="K7" s="11"/>
      <c r="L7" s="11"/>
      <c r="M7" s="10" t="s">
        <v>157</v>
      </c>
      <c r="N7" s="10" t="s">
        <v>33</v>
      </c>
      <c r="P7" s="6" t="s">
        <v>36</v>
      </c>
      <c r="Q7" s="14"/>
      <c r="R7" s="14">
        <v>46052</v>
      </c>
      <c r="S7" s="10"/>
    </row>
    <row r="8" spans="1:19" s="6" customFormat="1" ht="16.5" customHeight="1" x14ac:dyDescent="0.3">
      <c r="B8" s="10">
        <f>IF(C8="","",COUNTA($C$2:C8))</f>
        <v>7</v>
      </c>
      <c r="C8" s="11">
        <v>45965</v>
      </c>
      <c r="D8" s="10" t="str">
        <f t="shared" si="0"/>
        <v>A</v>
      </c>
      <c r="E8" s="15" t="s">
        <v>24</v>
      </c>
      <c r="F8" s="6" t="s">
        <v>25</v>
      </c>
      <c r="G8" s="6" t="s">
        <v>32</v>
      </c>
      <c r="H8" s="4">
        <v>91762800</v>
      </c>
      <c r="I8" s="12">
        <f t="shared" ca="1" si="1"/>
        <v>98</v>
      </c>
      <c r="J8" s="13" t="str">
        <f t="shared" ca="1" si="2"/>
        <v>장기미수</v>
      </c>
      <c r="K8" s="11">
        <v>46111</v>
      </c>
      <c r="L8" s="11"/>
      <c r="M8" s="10" t="s">
        <v>157</v>
      </c>
      <c r="N8" s="10" t="s">
        <v>20</v>
      </c>
      <c r="O8" s="6" t="s">
        <v>21</v>
      </c>
      <c r="Q8" s="14"/>
      <c r="R8" s="14">
        <v>46111</v>
      </c>
      <c r="S8" s="10"/>
    </row>
    <row r="9" spans="1:19" s="6" customFormat="1" ht="16.5" customHeight="1" x14ac:dyDescent="0.3">
      <c r="B9" s="10">
        <f>IF(C9="","",COUNTA($C$2:C9))</f>
        <v>8</v>
      </c>
      <c r="C9" s="11">
        <v>46010</v>
      </c>
      <c r="D9" s="10" t="str">
        <f t="shared" si="0"/>
        <v>A</v>
      </c>
      <c r="E9" s="15" t="s">
        <v>26</v>
      </c>
      <c r="F9" s="6" t="s">
        <v>27</v>
      </c>
      <c r="G9" s="6" t="s">
        <v>32</v>
      </c>
      <c r="H9" s="4">
        <v>53520000</v>
      </c>
      <c r="I9" s="12">
        <f t="shared" ca="1" si="1"/>
        <v>53</v>
      </c>
      <c r="J9" s="13" t="str">
        <f t="shared" ca="1" si="2"/>
        <v>관리</v>
      </c>
      <c r="K9" s="11">
        <v>46111</v>
      </c>
      <c r="L9" s="11"/>
      <c r="M9" s="10"/>
      <c r="N9" s="10" t="s">
        <v>20</v>
      </c>
      <c r="O9" s="6" t="s">
        <v>28</v>
      </c>
      <c r="P9" s="6" t="s">
        <v>29</v>
      </c>
      <c r="Q9" s="14"/>
      <c r="R9" s="14">
        <v>46111</v>
      </c>
      <c r="S9" s="10"/>
    </row>
    <row r="10" spans="1:19" s="6" customFormat="1" ht="16.5" customHeight="1" x14ac:dyDescent="0.3">
      <c r="B10" s="10">
        <f>IF(C10="","",COUNTA($C$2:C10))</f>
        <v>9</v>
      </c>
      <c r="C10" s="11">
        <v>46015</v>
      </c>
      <c r="D10" s="10" t="str">
        <f t="shared" si="0"/>
        <v>A</v>
      </c>
      <c r="E10" s="6" t="s">
        <v>34</v>
      </c>
      <c r="F10" s="6" t="s">
        <v>37</v>
      </c>
      <c r="G10" s="6" t="s">
        <v>38</v>
      </c>
      <c r="H10" s="4">
        <v>38239400</v>
      </c>
      <c r="I10" s="12">
        <f t="shared" ca="1" si="1"/>
        <v>48</v>
      </c>
      <c r="J10" s="13" t="str">
        <f t="shared" ca="1" si="2"/>
        <v>관리</v>
      </c>
      <c r="K10" s="11"/>
      <c r="L10" s="11"/>
      <c r="M10" s="10" t="s">
        <v>157</v>
      </c>
      <c r="N10" s="10" t="s">
        <v>33</v>
      </c>
      <c r="Q10" s="14"/>
      <c r="R10" s="14"/>
      <c r="S10" s="10"/>
    </row>
    <row r="11" spans="1:19" s="6" customFormat="1" ht="16.5" customHeight="1" x14ac:dyDescent="0.3">
      <c r="B11" s="10">
        <f>IF(C11="","",COUNTA($C$2:C11))</f>
        <v>10</v>
      </c>
      <c r="C11" s="11">
        <v>46006</v>
      </c>
      <c r="D11" s="10" t="str">
        <f t="shared" si="0"/>
        <v>A</v>
      </c>
      <c r="E11" s="6" t="s">
        <v>39</v>
      </c>
      <c r="F11" s="6" t="s">
        <v>40</v>
      </c>
      <c r="G11" s="6" t="s">
        <v>38</v>
      </c>
      <c r="H11" s="4">
        <v>6000000</v>
      </c>
      <c r="I11" s="12">
        <f t="shared" ca="1" si="1"/>
        <v>57</v>
      </c>
      <c r="J11" s="13" t="str">
        <f t="shared" ca="1" si="2"/>
        <v>관리</v>
      </c>
      <c r="K11" s="11">
        <v>46066</v>
      </c>
      <c r="L11" s="11"/>
      <c r="M11" s="10"/>
      <c r="N11" s="10" t="s">
        <v>33</v>
      </c>
      <c r="P11" s="6" t="s">
        <v>41</v>
      </c>
      <c r="Q11" s="14"/>
      <c r="R11" s="14"/>
      <c r="S11" s="10"/>
    </row>
    <row r="12" spans="1:19" s="6" customFormat="1" ht="16.5" customHeight="1" x14ac:dyDescent="0.3">
      <c r="B12" s="10">
        <f>IF(C12="","",COUNTA($C$2:C12))</f>
        <v>11</v>
      </c>
      <c r="C12" s="11">
        <v>46015</v>
      </c>
      <c r="D12" s="10" t="str">
        <f t="shared" si="0"/>
        <v>A</v>
      </c>
      <c r="E12" s="6" t="s">
        <v>30</v>
      </c>
      <c r="F12" s="6" t="s">
        <v>31</v>
      </c>
      <c r="G12" s="6" t="s">
        <v>38</v>
      </c>
      <c r="H12" s="4">
        <v>14598800</v>
      </c>
      <c r="I12" s="12">
        <f t="shared" ca="1" si="1"/>
        <v>48</v>
      </c>
      <c r="J12" s="13" t="str">
        <f t="shared" ca="1" si="2"/>
        <v>관리</v>
      </c>
      <c r="K12" s="11">
        <v>46063</v>
      </c>
      <c r="L12" s="11"/>
      <c r="M12" s="10"/>
      <c r="N12" s="10" t="s">
        <v>33</v>
      </c>
      <c r="Q12" s="14"/>
      <c r="R12" s="14"/>
      <c r="S12" s="10"/>
    </row>
    <row r="13" spans="1:19" s="6" customFormat="1" ht="16.5" customHeight="1" x14ac:dyDescent="0.3">
      <c r="B13" s="10">
        <f>IF(C13="","",COUNTA($C$2:C13))</f>
        <v>12</v>
      </c>
      <c r="C13" s="11">
        <v>45832</v>
      </c>
      <c r="D13" s="10" t="str">
        <f t="shared" si="0"/>
        <v>A</v>
      </c>
      <c r="E13" s="6" t="s">
        <v>17</v>
      </c>
      <c r="F13" s="6" t="s">
        <v>18</v>
      </c>
      <c r="G13" s="6" t="s">
        <v>38</v>
      </c>
      <c r="H13" s="4">
        <v>46991600</v>
      </c>
      <c r="I13" s="12">
        <f t="shared" ca="1" si="1"/>
        <v>231</v>
      </c>
      <c r="J13" s="13" t="str">
        <f t="shared" ca="1" si="2"/>
        <v>장기미수</v>
      </c>
      <c r="K13" s="11">
        <v>46203</v>
      </c>
      <c r="L13" s="11"/>
      <c r="M13" s="10" t="s">
        <v>157</v>
      </c>
      <c r="N13" s="10" t="s">
        <v>20</v>
      </c>
      <c r="O13" s="6" t="s">
        <v>21</v>
      </c>
      <c r="P13" s="6" t="s">
        <v>22</v>
      </c>
      <c r="Q13" s="14"/>
      <c r="R13" s="14">
        <v>46111</v>
      </c>
      <c r="S13" s="10" t="s">
        <v>23</v>
      </c>
    </row>
    <row r="14" spans="1:19" s="6" customFormat="1" ht="16.5" customHeight="1" x14ac:dyDescent="0.3">
      <c r="B14" s="10">
        <f>IF(C14="","",COUNTA($C$2:C14))</f>
        <v>13</v>
      </c>
      <c r="C14" s="11">
        <v>45972</v>
      </c>
      <c r="D14" s="10" t="str">
        <f t="shared" si="0"/>
        <v>A</v>
      </c>
      <c r="E14" s="6" t="s">
        <v>34</v>
      </c>
      <c r="F14" s="6" t="s">
        <v>35</v>
      </c>
      <c r="G14" s="6" t="s">
        <v>38</v>
      </c>
      <c r="H14" s="4">
        <v>114453000</v>
      </c>
      <c r="I14" s="12">
        <f t="shared" ca="1" si="1"/>
        <v>91</v>
      </c>
      <c r="J14" s="13" t="str">
        <f t="shared" ca="1" si="2"/>
        <v>장기미수</v>
      </c>
      <c r="K14" s="11"/>
      <c r="L14" s="11"/>
      <c r="M14" s="10" t="s">
        <v>157</v>
      </c>
      <c r="N14" s="10" t="s">
        <v>33</v>
      </c>
      <c r="P14" s="6" t="s">
        <v>36</v>
      </c>
      <c r="Q14" s="14"/>
      <c r="R14" s="14">
        <v>46052</v>
      </c>
      <c r="S14" s="10"/>
    </row>
    <row r="15" spans="1:19" s="6" customFormat="1" ht="16.5" customHeight="1" x14ac:dyDescent="0.3">
      <c r="B15" s="10">
        <f>IF(C15="","",COUNTA($C$2:C15))</f>
        <v>14</v>
      </c>
      <c r="C15" s="11">
        <v>45657</v>
      </c>
      <c r="D15" s="10" t="str">
        <f t="shared" si="0"/>
        <v>C</v>
      </c>
      <c r="E15" s="6" t="s">
        <v>42</v>
      </c>
      <c r="F15" s="6" t="s">
        <v>43</v>
      </c>
      <c r="G15" s="6" t="s">
        <v>44</v>
      </c>
      <c r="H15" s="4">
        <v>5000000</v>
      </c>
      <c r="I15" s="12">
        <f t="shared" ca="1" si="1"/>
        <v>406</v>
      </c>
      <c r="J15" s="13" t="str">
        <f t="shared" ca="1" si="2"/>
        <v>장기미수</v>
      </c>
      <c r="K15" s="11"/>
      <c r="L15" s="11"/>
      <c r="M15" s="10" t="s">
        <v>157</v>
      </c>
      <c r="N15" s="10" t="s">
        <v>20</v>
      </c>
      <c r="O15" s="6" t="s">
        <v>45</v>
      </c>
      <c r="Q15" s="14"/>
      <c r="R15" s="14"/>
      <c r="S15" s="10" t="s">
        <v>46</v>
      </c>
    </row>
    <row r="16" spans="1:19" s="6" customFormat="1" ht="16.5" customHeight="1" x14ac:dyDescent="0.3">
      <c r="B16" s="10">
        <f>IF(C16="","",COUNTA($C$2:C16))</f>
        <v>15</v>
      </c>
      <c r="C16" s="11">
        <v>45237</v>
      </c>
      <c r="D16" s="10" t="str">
        <f t="shared" si="0"/>
        <v>B</v>
      </c>
      <c r="E16" s="6" t="s">
        <v>47</v>
      </c>
      <c r="F16" s="6" t="s">
        <v>48</v>
      </c>
      <c r="G16" s="6" t="s">
        <v>49</v>
      </c>
      <c r="H16" s="4">
        <v>1265000</v>
      </c>
      <c r="I16" s="12">
        <f t="shared" ca="1" si="1"/>
        <v>826</v>
      </c>
      <c r="J16" s="13" t="str">
        <f t="shared" ca="1" si="2"/>
        <v>장기미수</v>
      </c>
      <c r="K16" s="11"/>
      <c r="L16" s="11"/>
      <c r="M16" s="10" t="s">
        <v>157</v>
      </c>
      <c r="N16" s="10" t="s">
        <v>20</v>
      </c>
      <c r="O16" s="6" t="s">
        <v>50</v>
      </c>
      <c r="Q16" s="14"/>
      <c r="R16" s="14"/>
      <c r="S16" s="10"/>
    </row>
    <row r="17" spans="2:19" s="6" customFormat="1" ht="16.5" customHeight="1" x14ac:dyDescent="0.3">
      <c r="B17" s="10">
        <f>IF(C17="","",COUNTA($C$2:C17))</f>
        <v>16</v>
      </c>
      <c r="C17" s="11">
        <v>45433</v>
      </c>
      <c r="D17" s="10" t="str">
        <f t="shared" si="0"/>
        <v>B</v>
      </c>
      <c r="E17" s="6" t="s">
        <v>47</v>
      </c>
      <c r="F17" s="6" t="s">
        <v>51</v>
      </c>
      <c r="G17" s="6" t="s">
        <v>49</v>
      </c>
      <c r="H17" s="4">
        <v>48041200</v>
      </c>
      <c r="I17" s="12">
        <f t="shared" ca="1" si="1"/>
        <v>630</v>
      </c>
      <c r="J17" s="13" t="str">
        <f t="shared" ca="1" si="2"/>
        <v>장기미수</v>
      </c>
      <c r="K17" s="11"/>
      <c r="L17" s="11"/>
      <c r="M17" s="10" t="s">
        <v>157</v>
      </c>
      <c r="N17" s="10" t="s">
        <v>20</v>
      </c>
      <c r="O17" s="6" t="s">
        <v>50</v>
      </c>
      <c r="Q17" s="14"/>
      <c r="R17" s="14"/>
      <c r="S17" s="10"/>
    </row>
    <row r="18" spans="2:19" s="6" customFormat="1" ht="16.5" customHeight="1" x14ac:dyDescent="0.3">
      <c r="B18" s="10">
        <f>IF(C18="","",COUNTA($C$2:C18))</f>
        <v>17</v>
      </c>
      <c r="C18" s="11">
        <v>45593</v>
      </c>
      <c r="D18" s="10" t="str">
        <f t="shared" si="0"/>
        <v>B</v>
      </c>
      <c r="E18" s="6" t="s">
        <v>47</v>
      </c>
      <c r="F18" s="6" t="s">
        <v>51</v>
      </c>
      <c r="G18" s="6" t="s">
        <v>49</v>
      </c>
      <c r="H18" s="4">
        <v>8096900</v>
      </c>
      <c r="I18" s="12">
        <f t="shared" ca="1" si="1"/>
        <v>470</v>
      </c>
      <c r="J18" s="13" t="str">
        <f t="shared" ca="1" si="2"/>
        <v>장기미수</v>
      </c>
      <c r="K18" s="11"/>
      <c r="L18" s="11"/>
      <c r="M18" s="10" t="s">
        <v>157</v>
      </c>
      <c r="N18" s="10" t="s">
        <v>20</v>
      </c>
      <c r="O18" s="6" t="s">
        <v>50</v>
      </c>
      <c r="Q18" s="14"/>
      <c r="R18" s="14"/>
      <c r="S18" s="10"/>
    </row>
    <row r="19" spans="2:19" s="6" customFormat="1" ht="16.5" customHeight="1" x14ac:dyDescent="0.3">
      <c r="B19" s="10">
        <f>IF(C19="","",COUNTA($C$2:C19))</f>
        <v>18</v>
      </c>
      <c r="C19" s="11">
        <v>45455</v>
      </c>
      <c r="D19" s="10" t="str">
        <f t="shared" si="0"/>
        <v>B</v>
      </c>
      <c r="E19" s="6" t="s">
        <v>47</v>
      </c>
      <c r="F19" s="6" t="s">
        <v>52</v>
      </c>
      <c r="G19" s="6" t="s">
        <v>49</v>
      </c>
      <c r="H19" s="4">
        <v>486000</v>
      </c>
      <c r="I19" s="12">
        <f t="shared" ca="1" si="1"/>
        <v>608</v>
      </c>
      <c r="J19" s="13" t="str">
        <f t="shared" ca="1" si="2"/>
        <v>장기미수</v>
      </c>
      <c r="K19" s="11"/>
      <c r="L19" s="11"/>
      <c r="M19" s="10" t="s">
        <v>157</v>
      </c>
      <c r="N19" s="10" t="s">
        <v>20</v>
      </c>
      <c r="O19" s="6" t="s">
        <v>50</v>
      </c>
      <c r="Q19" s="14"/>
      <c r="R19" s="14"/>
      <c r="S19" s="10"/>
    </row>
    <row r="20" spans="2:19" s="6" customFormat="1" ht="16.5" customHeight="1" x14ac:dyDescent="0.3">
      <c r="B20" s="10">
        <f>IF(C20="","",COUNTA($C$2:C20))</f>
        <v>19</v>
      </c>
      <c r="C20" s="11">
        <v>45456</v>
      </c>
      <c r="D20" s="10" t="str">
        <f t="shared" si="0"/>
        <v>B</v>
      </c>
      <c r="E20" s="6" t="s">
        <v>47</v>
      </c>
      <c r="F20" s="6" t="s">
        <v>53</v>
      </c>
      <c r="G20" s="6" t="s">
        <v>49</v>
      </c>
      <c r="H20" s="4">
        <v>54866200</v>
      </c>
      <c r="I20" s="12">
        <f t="shared" ca="1" si="1"/>
        <v>607</v>
      </c>
      <c r="J20" s="13" t="str">
        <f t="shared" ca="1" si="2"/>
        <v>장기미수</v>
      </c>
      <c r="K20" s="11"/>
      <c r="L20" s="11"/>
      <c r="M20" s="10" t="s">
        <v>157</v>
      </c>
      <c r="N20" s="10" t="s">
        <v>20</v>
      </c>
      <c r="O20" s="6" t="s">
        <v>50</v>
      </c>
      <c r="Q20" s="14"/>
      <c r="R20" s="14"/>
      <c r="S20" s="10"/>
    </row>
    <row r="21" spans="2:19" s="6" customFormat="1" ht="16.5" customHeight="1" x14ac:dyDescent="0.3">
      <c r="B21" s="10">
        <f>IF(C21="","",COUNTA($C$2:C21))</f>
        <v>20</v>
      </c>
      <c r="C21" s="11">
        <v>45364</v>
      </c>
      <c r="D21" s="10" t="str">
        <f t="shared" si="0"/>
        <v>B</v>
      </c>
      <c r="E21" s="6" t="s">
        <v>54</v>
      </c>
      <c r="F21" s="6" t="s">
        <v>55</v>
      </c>
      <c r="G21" s="6" t="s">
        <v>49</v>
      </c>
      <c r="H21" s="4">
        <v>9090909</v>
      </c>
      <c r="I21" s="12">
        <f t="shared" ca="1" si="1"/>
        <v>699</v>
      </c>
      <c r="J21" s="13" t="str">
        <f t="shared" ca="1" si="2"/>
        <v>장기미수</v>
      </c>
      <c r="K21" s="11"/>
      <c r="L21" s="11"/>
      <c r="M21" s="10" t="s">
        <v>157</v>
      </c>
      <c r="N21" s="10" t="s">
        <v>20</v>
      </c>
      <c r="O21" s="6" t="s">
        <v>56</v>
      </c>
      <c r="Q21" s="14"/>
      <c r="R21" s="14">
        <v>46111</v>
      </c>
      <c r="S21" s="10"/>
    </row>
    <row r="22" spans="2:19" s="6" customFormat="1" ht="16.5" customHeight="1" x14ac:dyDescent="0.3">
      <c r="B22" s="10">
        <f>IF(C22="","",COUNTA($C$2:C22))</f>
        <v>21</v>
      </c>
      <c r="C22" s="11">
        <v>45722</v>
      </c>
      <c r="D22" s="10" t="str">
        <f t="shared" si="0"/>
        <v>B</v>
      </c>
      <c r="E22" s="6" t="s">
        <v>57</v>
      </c>
      <c r="F22" s="6" t="s">
        <v>58</v>
      </c>
      <c r="G22" s="6" t="s">
        <v>49</v>
      </c>
      <c r="H22" s="4">
        <v>3479000</v>
      </c>
      <c r="I22" s="12">
        <f t="shared" ca="1" si="1"/>
        <v>341</v>
      </c>
      <c r="J22" s="13" t="str">
        <f t="shared" ca="1" si="2"/>
        <v>장기미수</v>
      </c>
      <c r="K22" s="11"/>
      <c r="L22" s="11"/>
      <c r="M22" s="10" t="s">
        <v>157</v>
      </c>
      <c r="N22" s="10" t="s">
        <v>20</v>
      </c>
      <c r="O22" s="6" t="s">
        <v>59</v>
      </c>
      <c r="Q22" s="14"/>
      <c r="R22" s="14"/>
      <c r="S22" s="10" t="s">
        <v>60</v>
      </c>
    </row>
    <row r="23" spans="2:19" s="6" customFormat="1" ht="16.5" customHeight="1" x14ac:dyDescent="0.3">
      <c r="B23" s="10">
        <f>IF(C23="","",COUNTA($C$2:C23))</f>
        <v>22</v>
      </c>
      <c r="C23" s="11">
        <v>45727</v>
      </c>
      <c r="D23" s="10" t="str">
        <f t="shared" si="0"/>
        <v>B</v>
      </c>
      <c r="E23" s="6" t="s">
        <v>57</v>
      </c>
      <c r="F23" s="6" t="s">
        <v>61</v>
      </c>
      <c r="G23" s="6" t="s">
        <v>49</v>
      </c>
      <c r="H23" s="4">
        <v>5080000</v>
      </c>
      <c r="I23" s="12">
        <f t="shared" ca="1" si="1"/>
        <v>336</v>
      </c>
      <c r="J23" s="13" t="str">
        <f t="shared" ca="1" si="2"/>
        <v>장기미수</v>
      </c>
      <c r="K23" s="11"/>
      <c r="L23" s="11"/>
      <c r="M23" s="10" t="s">
        <v>157</v>
      </c>
      <c r="N23" s="10" t="s">
        <v>20</v>
      </c>
      <c r="O23" s="6" t="s">
        <v>59</v>
      </c>
      <c r="Q23" s="14"/>
      <c r="R23" s="14"/>
      <c r="S23" s="10" t="s">
        <v>60</v>
      </c>
    </row>
    <row r="24" spans="2:19" s="6" customFormat="1" ht="16.5" customHeight="1" x14ac:dyDescent="0.3">
      <c r="B24" s="10">
        <f>IF(C24="","",COUNTA($C$2:C24))</f>
        <v>23</v>
      </c>
      <c r="C24" s="11">
        <v>45737</v>
      </c>
      <c r="D24" s="10" t="str">
        <f t="shared" si="0"/>
        <v>B</v>
      </c>
      <c r="E24" s="6" t="s">
        <v>57</v>
      </c>
      <c r="F24" s="6" t="s">
        <v>58</v>
      </c>
      <c r="G24" s="6" t="s">
        <v>49</v>
      </c>
      <c r="H24" s="4">
        <v>775500</v>
      </c>
      <c r="I24" s="12">
        <f t="shared" ca="1" si="1"/>
        <v>326</v>
      </c>
      <c r="J24" s="13" t="str">
        <f t="shared" ca="1" si="2"/>
        <v>장기미수</v>
      </c>
      <c r="K24" s="11"/>
      <c r="L24" s="11"/>
      <c r="M24" s="10" t="s">
        <v>157</v>
      </c>
      <c r="N24" s="10" t="s">
        <v>20</v>
      </c>
      <c r="O24" s="6" t="s">
        <v>59</v>
      </c>
      <c r="Q24" s="14"/>
      <c r="R24" s="14"/>
      <c r="S24" s="10" t="s">
        <v>60</v>
      </c>
    </row>
    <row r="25" spans="2:19" s="6" customFormat="1" ht="16.5" customHeight="1" x14ac:dyDescent="0.3">
      <c r="B25" s="10">
        <f>IF(C25="","",COUNTA($C$2:C25))</f>
        <v>24</v>
      </c>
      <c r="C25" s="11">
        <v>45743</v>
      </c>
      <c r="D25" s="10" t="str">
        <f t="shared" si="0"/>
        <v>B</v>
      </c>
      <c r="E25" s="6" t="s">
        <v>57</v>
      </c>
      <c r="F25" s="6" t="s">
        <v>61</v>
      </c>
      <c r="G25" s="6" t="s">
        <v>49</v>
      </c>
      <c r="H25" s="4">
        <v>658000</v>
      </c>
      <c r="I25" s="12">
        <f t="shared" ca="1" si="1"/>
        <v>320</v>
      </c>
      <c r="J25" s="13" t="str">
        <f t="shared" ca="1" si="2"/>
        <v>장기미수</v>
      </c>
      <c r="K25" s="11"/>
      <c r="L25" s="11"/>
      <c r="M25" s="10" t="s">
        <v>157</v>
      </c>
      <c r="N25" s="10" t="s">
        <v>20</v>
      </c>
      <c r="O25" s="6" t="s">
        <v>59</v>
      </c>
      <c r="Q25" s="14"/>
      <c r="R25" s="14"/>
      <c r="S25" s="10" t="s">
        <v>60</v>
      </c>
    </row>
    <row r="26" spans="2:19" s="6" customFormat="1" ht="16.5" customHeight="1" x14ac:dyDescent="0.3">
      <c r="B26" s="10">
        <f>IF(C26="","",COUNTA($C$2:C26))</f>
        <v>25</v>
      </c>
      <c r="C26" s="11">
        <v>45747</v>
      </c>
      <c r="D26" s="10" t="str">
        <f t="shared" si="0"/>
        <v>B</v>
      </c>
      <c r="E26" s="6" t="s">
        <v>57</v>
      </c>
      <c r="F26" s="6" t="s">
        <v>58</v>
      </c>
      <c r="G26" s="6" t="s">
        <v>49</v>
      </c>
      <c r="H26" s="4">
        <v>3126000</v>
      </c>
      <c r="I26" s="12">
        <f t="shared" ca="1" si="1"/>
        <v>316</v>
      </c>
      <c r="J26" s="13" t="str">
        <f t="shared" ca="1" si="2"/>
        <v>장기미수</v>
      </c>
      <c r="K26" s="11"/>
      <c r="L26" s="11"/>
      <c r="M26" s="10" t="s">
        <v>157</v>
      </c>
      <c r="N26" s="10" t="s">
        <v>20</v>
      </c>
      <c r="O26" s="6" t="s">
        <v>59</v>
      </c>
      <c r="Q26" s="14"/>
      <c r="R26" s="14"/>
      <c r="S26" s="10" t="s">
        <v>60</v>
      </c>
    </row>
    <row r="27" spans="2:19" s="6" customFormat="1" ht="16.5" customHeight="1" x14ac:dyDescent="0.3">
      <c r="B27" s="10">
        <f>IF(C27="","",COUNTA($C$2:C27))</f>
        <v>26</v>
      </c>
      <c r="C27" s="11">
        <v>45747</v>
      </c>
      <c r="D27" s="10" t="str">
        <f t="shared" si="0"/>
        <v>B</v>
      </c>
      <c r="E27" s="6" t="s">
        <v>57</v>
      </c>
      <c r="F27" s="6" t="s">
        <v>62</v>
      </c>
      <c r="G27" s="6" t="s">
        <v>49</v>
      </c>
      <c r="H27" s="4">
        <v>329000</v>
      </c>
      <c r="I27" s="12">
        <f t="shared" ca="1" si="1"/>
        <v>316</v>
      </c>
      <c r="J27" s="13" t="str">
        <f t="shared" ca="1" si="2"/>
        <v>장기미수</v>
      </c>
      <c r="K27" s="11"/>
      <c r="L27" s="11"/>
      <c r="M27" s="10" t="s">
        <v>157</v>
      </c>
      <c r="N27" s="10" t="s">
        <v>20</v>
      </c>
      <c r="O27" s="6" t="s">
        <v>59</v>
      </c>
      <c r="Q27" s="14"/>
      <c r="R27" s="14"/>
      <c r="S27" s="10" t="s">
        <v>60</v>
      </c>
    </row>
    <row r="28" spans="2:19" s="6" customFormat="1" ht="16.5" customHeight="1" x14ac:dyDescent="0.3">
      <c r="B28" s="10">
        <f>IF(C28="","",COUNTA($C$2:C28))</f>
        <v>27</v>
      </c>
      <c r="C28" s="11">
        <v>45748</v>
      </c>
      <c r="D28" s="10" t="str">
        <f t="shared" si="0"/>
        <v>B</v>
      </c>
      <c r="E28" s="6" t="s">
        <v>57</v>
      </c>
      <c r="F28" s="6" t="s">
        <v>62</v>
      </c>
      <c r="G28" s="6" t="s">
        <v>49</v>
      </c>
      <c r="H28" s="4">
        <v>3066000</v>
      </c>
      <c r="I28" s="12">
        <f t="shared" ca="1" si="1"/>
        <v>315</v>
      </c>
      <c r="J28" s="13" t="str">
        <f t="shared" ca="1" si="2"/>
        <v>장기미수</v>
      </c>
      <c r="K28" s="11"/>
      <c r="L28" s="11"/>
      <c r="M28" s="10" t="s">
        <v>157</v>
      </c>
      <c r="N28" s="10" t="s">
        <v>20</v>
      </c>
      <c r="O28" s="6" t="s">
        <v>59</v>
      </c>
      <c r="Q28" s="14"/>
      <c r="R28" s="14"/>
      <c r="S28" s="10" t="s">
        <v>60</v>
      </c>
    </row>
    <row r="29" spans="2:19" s="6" customFormat="1" ht="16.5" customHeight="1" x14ac:dyDescent="0.3">
      <c r="B29" s="10">
        <f>IF(C29="","",COUNTA($C$2:C29))</f>
        <v>28</v>
      </c>
      <c r="C29" s="11">
        <v>45750</v>
      </c>
      <c r="D29" s="10" t="str">
        <f t="shared" si="0"/>
        <v>B</v>
      </c>
      <c r="E29" s="6" t="s">
        <v>57</v>
      </c>
      <c r="F29" s="6" t="s">
        <v>58</v>
      </c>
      <c r="G29" s="6" t="s">
        <v>49</v>
      </c>
      <c r="H29" s="4">
        <v>474000</v>
      </c>
      <c r="I29" s="12">
        <f t="shared" ca="1" si="1"/>
        <v>313</v>
      </c>
      <c r="J29" s="13" t="str">
        <f t="shared" ca="1" si="2"/>
        <v>장기미수</v>
      </c>
      <c r="K29" s="11"/>
      <c r="L29" s="11"/>
      <c r="M29" s="10" t="s">
        <v>157</v>
      </c>
      <c r="N29" s="10" t="s">
        <v>20</v>
      </c>
      <c r="O29" s="6" t="s">
        <v>59</v>
      </c>
      <c r="Q29" s="14"/>
      <c r="R29" s="14"/>
      <c r="S29" s="10" t="s">
        <v>60</v>
      </c>
    </row>
    <row r="30" spans="2:19" s="6" customFormat="1" ht="16.5" customHeight="1" x14ac:dyDescent="0.3">
      <c r="B30" s="10">
        <f>IF(C30="","",COUNTA($C$2:C30))</f>
        <v>29</v>
      </c>
      <c r="C30" s="11">
        <v>45771</v>
      </c>
      <c r="D30" s="10" t="str">
        <f t="shared" si="0"/>
        <v>B</v>
      </c>
      <c r="E30" s="6" t="s">
        <v>57</v>
      </c>
      <c r="F30" s="6" t="s">
        <v>62</v>
      </c>
      <c r="G30" s="6" t="s">
        <v>49</v>
      </c>
      <c r="H30" s="4">
        <v>4867000</v>
      </c>
      <c r="I30" s="12">
        <f t="shared" ca="1" si="1"/>
        <v>292</v>
      </c>
      <c r="J30" s="13" t="str">
        <f t="shared" ca="1" si="2"/>
        <v>장기미수</v>
      </c>
      <c r="K30" s="11"/>
      <c r="L30" s="11"/>
      <c r="M30" s="10" t="s">
        <v>157</v>
      </c>
      <c r="N30" s="10" t="s">
        <v>20</v>
      </c>
      <c r="O30" s="6" t="s">
        <v>59</v>
      </c>
      <c r="Q30" s="14"/>
      <c r="R30" s="14"/>
      <c r="S30" s="10" t="s">
        <v>60</v>
      </c>
    </row>
    <row r="31" spans="2:19" s="6" customFormat="1" ht="16.5" customHeight="1" x14ac:dyDescent="0.3">
      <c r="B31" s="10">
        <f>IF(C31="","",COUNTA($C$2:C31))</f>
        <v>30</v>
      </c>
      <c r="C31" s="11">
        <v>45785</v>
      </c>
      <c r="D31" s="10" t="str">
        <f t="shared" si="0"/>
        <v>B</v>
      </c>
      <c r="E31" s="6" t="s">
        <v>57</v>
      </c>
      <c r="F31" s="6" t="s">
        <v>62</v>
      </c>
      <c r="G31" s="6" t="s">
        <v>49</v>
      </c>
      <c r="H31" s="4">
        <v>607500</v>
      </c>
      <c r="I31" s="12">
        <f t="shared" ca="1" si="1"/>
        <v>278</v>
      </c>
      <c r="J31" s="13" t="str">
        <f t="shared" ca="1" si="2"/>
        <v>장기미수</v>
      </c>
      <c r="K31" s="11"/>
      <c r="L31" s="11"/>
      <c r="M31" s="10" t="s">
        <v>157</v>
      </c>
      <c r="N31" s="10" t="s">
        <v>20</v>
      </c>
      <c r="O31" s="6" t="s">
        <v>59</v>
      </c>
      <c r="Q31" s="14"/>
      <c r="R31" s="14"/>
      <c r="S31" s="10" t="s">
        <v>60</v>
      </c>
    </row>
    <row r="32" spans="2:19" s="6" customFormat="1" ht="16.5" customHeight="1" x14ac:dyDescent="0.3">
      <c r="B32" s="10">
        <f>IF(C32="","",COUNTA($C$2:C32))</f>
        <v>31</v>
      </c>
      <c r="C32" s="11">
        <v>45806</v>
      </c>
      <c r="D32" s="10" t="str">
        <f t="shared" si="0"/>
        <v>B</v>
      </c>
      <c r="E32" s="6" t="s">
        <v>57</v>
      </c>
      <c r="F32" s="6" t="s">
        <v>58</v>
      </c>
      <c r="G32" s="6" t="s">
        <v>49</v>
      </c>
      <c r="H32" s="4">
        <v>3253400</v>
      </c>
      <c r="I32" s="12">
        <f t="shared" ca="1" si="1"/>
        <v>257</v>
      </c>
      <c r="J32" s="13" t="str">
        <f t="shared" ca="1" si="2"/>
        <v>장기미수</v>
      </c>
      <c r="K32" s="11"/>
      <c r="L32" s="11"/>
      <c r="M32" s="10" t="s">
        <v>157</v>
      </c>
      <c r="N32" s="10" t="s">
        <v>20</v>
      </c>
      <c r="O32" s="6" t="s">
        <v>59</v>
      </c>
      <c r="Q32" s="14"/>
      <c r="R32" s="14"/>
      <c r="S32" s="10" t="s">
        <v>60</v>
      </c>
    </row>
    <row r="33" spans="2:19" s="6" customFormat="1" ht="16.5" customHeight="1" x14ac:dyDescent="0.3">
      <c r="B33" s="10">
        <f>IF(C33="","",COUNTA($C$2:C33))</f>
        <v>32</v>
      </c>
      <c r="C33" s="11">
        <v>45818</v>
      </c>
      <c r="D33" s="10" t="str">
        <f t="shared" si="0"/>
        <v>B</v>
      </c>
      <c r="E33" s="6" t="s">
        <v>57</v>
      </c>
      <c r="F33" s="6" t="s">
        <v>58</v>
      </c>
      <c r="G33" s="6" t="s">
        <v>49</v>
      </c>
      <c r="H33" s="4">
        <v>2426000</v>
      </c>
      <c r="I33" s="12">
        <f t="shared" ca="1" si="1"/>
        <v>245</v>
      </c>
      <c r="J33" s="13" t="str">
        <f t="shared" ca="1" si="2"/>
        <v>장기미수</v>
      </c>
      <c r="K33" s="11"/>
      <c r="L33" s="11"/>
      <c r="M33" s="10" t="s">
        <v>157</v>
      </c>
      <c r="N33" s="10" t="s">
        <v>20</v>
      </c>
      <c r="O33" s="6" t="s">
        <v>59</v>
      </c>
      <c r="Q33" s="14"/>
      <c r="R33" s="14"/>
      <c r="S33" s="10" t="s">
        <v>60</v>
      </c>
    </row>
    <row r="34" spans="2:19" s="6" customFormat="1" ht="16.5" customHeight="1" x14ac:dyDescent="0.3">
      <c r="B34" s="10">
        <f>IF(C34="","",COUNTA($C$2:C34))</f>
        <v>33</v>
      </c>
      <c r="C34" s="11">
        <v>45848</v>
      </c>
      <c r="D34" s="10" t="str">
        <f t="shared" si="0"/>
        <v>B</v>
      </c>
      <c r="E34" s="6" t="s">
        <v>57</v>
      </c>
      <c r="F34" s="6" t="s">
        <v>58</v>
      </c>
      <c r="G34" s="6" t="s">
        <v>49</v>
      </c>
      <c r="H34" s="4">
        <v>2390000</v>
      </c>
      <c r="I34" s="12">
        <f t="shared" ca="1" si="1"/>
        <v>215</v>
      </c>
      <c r="J34" s="13" t="str">
        <f t="shared" ca="1" si="2"/>
        <v>장기미수</v>
      </c>
      <c r="K34" s="11"/>
      <c r="L34" s="11"/>
      <c r="M34" s="10" t="s">
        <v>157</v>
      </c>
      <c r="N34" s="10" t="s">
        <v>20</v>
      </c>
      <c r="O34" s="6" t="s">
        <v>59</v>
      </c>
      <c r="Q34" s="14"/>
      <c r="R34" s="14"/>
      <c r="S34" s="10" t="s">
        <v>60</v>
      </c>
    </row>
    <row r="35" spans="2:19" s="6" customFormat="1" ht="16.5" customHeight="1" x14ac:dyDescent="0.3">
      <c r="B35" s="10">
        <f>IF(C35="","",COUNTA($C$2:C35))</f>
        <v>34</v>
      </c>
      <c r="C35" s="11">
        <v>45870</v>
      </c>
      <c r="D35" s="10" t="str">
        <f t="shared" si="0"/>
        <v>B</v>
      </c>
      <c r="E35" s="6" t="s">
        <v>57</v>
      </c>
      <c r="F35" s="6" t="s">
        <v>58</v>
      </c>
      <c r="G35" s="6" t="s">
        <v>49</v>
      </c>
      <c r="H35" s="4">
        <v>432000</v>
      </c>
      <c r="I35" s="12">
        <f t="shared" ca="1" si="1"/>
        <v>193</v>
      </c>
      <c r="J35" s="13" t="str">
        <f t="shared" ca="1" si="2"/>
        <v>장기미수</v>
      </c>
      <c r="K35" s="11"/>
      <c r="L35" s="11"/>
      <c r="M35" s="10" t="s">
        <v>157</v>
      </c>
      <c r="N35" s="10" t="s">
        <v>20</v>
      </c>
      <c r="O35" s="6" t="s">
        <v>59</v>
      </c>
      <c r="Q35" s="14"/>
      <c r="R35" s="14"/>
      <c r="S35" s="10" t="s">
        <v>60</v>
      </c>
    </row>
    <row r="36" spans="2:19" s="6" customFormat="1" ht="16.5" customHeight="1" x14ac:dyDescent="0.3">
      <c r="B36" s="10">
        <f>IF(C36="","",COUNTA($C$2:C36))</f>
        <v>35</v>
      </c>
      <c r="C36" s="11">
        <v>45799</v>
      </c>
      <c r="D36" s="10" t="str">
        <f t="shared" si="0"/>
        <v>B</v>
      </c>
      <c r="E36" s="6" t="s">
        <v>63</v>
      </c>
      <c r="F36" s="6" t="s">
        <v>64</v>
      </c>
      <c r="G36" s="6" t="s">
        <v>49</v>
      </c>
      <c r="H36" s="4">
        <v>727</v>
      </c>
      <c r="I36" s="12">
        <f t="shared" ca="1" si="1"/>
        <v>264</v>
      </c>
      <c r="J36" s="13" t="str">
        <f t="shared" ca="1" si="2"/>
        <v>장기미수</v>
      </c>
      <c r="K36" s="11"/>
      <c r="L36" s="11"/>
      <c r="M36" s="10"/>
      <c r="N36" s="10" t="s">
        <v>20</v>
      </c>
      <c r="P36" s="6" t="s">
        <v>65</v>
      </c>
      <c r="Q36" s="14"/>
      <c r="R36" s="14"/>
      <c r="S36" s="10"/>
    </row>
    <row r="37" spans="2:19" s="6" customFormat="1" ht="16.5" customHeight="1" x14ac:dyDescent="0.3">
      <c r="B37" s="10">
        <f>IF(C37="","",COUNTA($C$2:C37))</f>
        <v>36</v>
      </c>
      <c r="C37" s="11">
        <v>45875</v>
      </c>
      <c r="D37" s="10" t="str">
        <f t="shared" si="0"/>
        <v>B</v>
      </c>
      <c r="E37" s="15" t="s">
        <v>24</v>
      </c>
      <c r="F37" s="6" t="s">
        <v>66</v>
      </c>
      <c r="G37" s="6" t="s">
        <v>49</v>
      </c>
      <c r="H37" s="4">
        <v>37830200</v>
      </c>
      <c r="I37" s="12">
        <f t="shared" ca="1" si="1"/>
        <v>188</v>
      </c>
      <c r="J37" s="13" t="str">
        <f t="shared" ca="1" si="2"/>
        <v>장기미수</v>
      </c>
      <c r="K37" s="11"/>
      <c r="L37" s="11"/>
      <c r="M37" s="10" t="s">
        <v>157</v>
      </c>
      <c r="N37" s="10" t="s">
        <v>20</v>
      </c>
      <c r="O37" s="6" t="s">
        <v>158</v>
      </c>
      <c r="P37" s="6" t="s">
        <v>160</v>
      </c>
      <c r="Q37" s="11">
        <v>46062</v>
      </c>
      <c r="R37" s="10" t="s">
        <v>60</v>
      </c>
      <c r="S37" s="10"/>
    </row>
    <row r="38" spans="2:19" s="6" customFormat="1" ht="16.5" customHeight="1" x14ac:dyDescent="0.3">
      <c r="B38" s="10">
        <f>IF(C38="","",COUNTA($C$2:C38))</f>
        <v>37</v>
      </c>
      <c r="C38" s="11">
        <v>45897</v>
      </c>
      <c r="D38" s="10" t="str">
        <f t="shared" si="0"/>
        <v>B</v>
      </c>
      <c r="E38" s="6" t="s">
        <v>67</v>
      </c>
      <c r="F38" s="6" t="s">
        <v>68</v>
      </c>
      <c r="G38" s="6" t="s">
        <v>49</v>
      </c>
      <c r="H38" s="4">
        <v>60697390.909090906</v>
      </c>
      <c r="I38" s="12">
        <f t="shared" ca="1" si="1"/>
        <v>166</v>
      </c>
      <c r="J38" s="13" t="str">
        <f t="shared" ca="1" si="2"/>
        <v>장기미수</v>
      </c>
      <c r="K38" s="11">
        <v>46081</v>
      </c>
      <c r="L38" s="11"/>
      <c r="M38" s="10" t="s">
        <v>157</v>
      </c>
      <c r="N38" s="10" t="s">
        <v>20</v>
      </c>
      <c r="O38" s="6" t="s">
        <v>69</v>
      </c>
      <c r="P38" s="6" t="s">
        <v>70</v>
      </c>
      <c r="Q38" s="11">
        <v>46029</v>
      </c>
      <c r="R38" s="11">
        <v>46081</v>
      </c>
      <c r="S38" s="10"/>
    </row>
    <row r="39" spans="2:19" s="6" customFormat="1" ht="16.5" customHeight="1" x14ac:dyDescent="0.3">
      <c r="B39" s="10">
        <f>IF(C39="","",COUNTA($C$2:C39))</f>
        <v>38</v>
      </c>
      <c r="C39" s="11">
        <v>45902</v>
      </c>
      <c r="D39" s="10" t="str">
        <f t="shared" si="0"/>
        <v>B</v>
      </c>
      <c r="E39" s="6" t="s">
        <v>67</v>
      </c>
      <c r="F39" s="6" t="s">
        <v>68</v>
      </c>
      <c r="G39" s="6" t="s">
        <v>49</v>
      </c>
      <c r="H39" s="4">
        <v>2331400</v>
      </c>
      <c r="I39" s="12">
        <f t="shared" ca="1" si="1"/>
        <v>161</v>
      </c>
      <c r="J39" s="13" t="str">
        <f t="shared" ca="1" si="2"/>
        <v>장기미수</v>
      </c>
      <c r="K39" s="11">
        <v>46081</v>
      </c>
      <c r="L39" s="11"/>
      <c r="M39" s="10" t="s">
        <v>157</v>
      </c>
      <c r="N39" s="10" t="s">
        <v>20</v>
      </c>
      <c r="O39" s="6" t="s">
        <v>69</v>
      </c>
      <c r="Q39" s="11">
        <v>46029</v>
      </c>
      <c r="R39" s="11">
        <v>46081</v>
      </c>
      <c r="S39" s="10"/>
    </row>
    <row r="40" spans="2:19" s="6" customFormat="1" ht="16.5" customHeight="1" x14ac:dyDescent="0.3">
      <c r="B40" s="10">
        <f>IF(C40="","",COUNTA($C$2:C40))</f>
        <v>39</v>
      </c>
      <c r="C40" s="11">
        <v>45916</v>
      </c>
      <c r="D40" s="10" t="str">
        <f t="shared" si="0"/>
        <v>B</v>
      </c>
      <c r="E40" s="6" t="s">
        <v>71</v>
      </c>
      <c r="F40" s="6" t="s">
        <v>72</v>
      </c>
      <c r="G40" s="6" t="s">
        <v>49</v>
      </c>
      <c r="H40" s="4">
        <v>981900</v>
      </c>
      <c r="I40" s="12">
        <f t="shared" ca="1" si="1"/>
        <v>147</v>
      </c>
      <c r="J40" s="13" t="str">
        <f t="shared" ca="1" si="2"/>
        <v>장기미수</v>
      </c>
      <c r="K40" s="11">
        <v>46063</v>
      </c>
      <c r="L40" s="11"/>
      <c r="M40" s="10"/>
      <c r="N40" s="10" t="s">
        <v>20</v>
      </c>
      <c r="P40" s="6" t="s">
        <v>73</v>
      </c>
      <c r="Q40" s="11"/>
      <c r="R40" s="11"/>
      <c r="S40" s="10"/>
    </row>
    <row r="41" spans="2:19" s="6" customFormat="1" ht="16.5" customHeight="1" x14ac:dyDescent="0.3">
      <c r="B41" s="10">
        <f>IF(C41="","",COUNTA($C$2:C41))</f>
        <v>40</v>
      </c>
      <c r="C41" s="11">
        <v>45945</v>
      </c>
      <c r="D41" s="10" t="str">
        <f t="shared" si="0"/>
        <v>B</v>
      </c>
      <c r="E41" s="15" t="s">
        <v>24</v>
      </c>
      <c r="F41" s="6" t="s">
        <v>66</v>
      </c>
      <c r="G41" s="6" t="s">
        <v>49</v>
      </c>
      <c r="H41" s="4">
        <v>15846200</v>
      </c>
      <c r="I41" s="12">
        <f t="shared" ca="1" si="1"/>
        <v>118</v>
      </c>
      <c r="J41" s="13" t="str">
        <f t="shared" ca="1" si="2"/>
        <v>장기미수</v>
      </c>
      <c r="K41" s="11"/>
      <c r="L41" s="11"/>
      <c r="M41" s="10" t="s">
        <v>157</v>
      </c>
      <c r="N41" s="10" t="s">
        <v>20</v>
      </c>
      <c r="O41" s="6" t="s">
        <v>158</v>
      </c>
      <c r="P41" s="6" t="s">
        <v>161</v>
      </c>
      <c r="Q41" s="11">
        <v>46062</v>
      </c>
      <c r="R41" s="10" t="s">
        <v>60</v>
      </c>
      <c r="S41" s="10"/>
    </row>
    <row r="42" spans="2:19" s="6" customFormat="1" ht="16.5" customHeight="1" x14ac:dyDescent="0.3">
      <c r="B42" s="10">
        <f>IF(C42="","",COUNTA($C$2:C42))</f>
        <v>41</v>
      </c>
      <c r="C42" s="11">
        <v>45947</v>
      </c>
      <c r="D42" s="10" t="str">
        <f t="shared" si="0"/>
        <v>B</v>
      </c>
      <c r="E42" s="6" t="s">
        <v>67</v>
      </c>
      <c r="F42" s="6" t="s">
        <v>68</v>
      </c>
      <c r="G42" s="6" t="s">
        <v>49</v>
      </c>
      <c r="H42" s="4">
        <v>6300000</v>
      </c>
      <c r="I42" s="12">
        <f t="shared" ca="1" si="1"/>
        <v>116</v>
      </c>
      <c r="J42" s="13" t="str">
        <f t="shared" ca="1" si="2"/>
        <v>장기미수</v>
      </c>
      <c r="K42" s="11">
        <v>46081</v>
      </c>
      <c r="L42" s="11"/>
      <c r="M42" s="10" t="s">
        <v>157</v>
      </c>
      <c r="N42" s="10" t="s">
        <v>20</v>
      </c>
      <c r="O42" s="6" t="s">
        <v>69</v>
      </c>
      <c r="Q42" s="11">
        <v>46029</v>
      </c>
      <c r="R42" s="11">
        <v>46081</v>
      </c>
      <c r="S42" s="10"/>
    </row>
    <row r="43" spans="2:19" s="6" customFormat="1" ht="16.5" customHeight="1" x14ac:dyDescent="0.3">
      <c r="B43" s="10">
        <f>IF(C43="","",COUNTA($C$2:C43))</f>
        <v>42</v>
      </c>
      <c r="C43" s="11">
        <v>45952</v>
      </c>
      <c r="D43" s="10" t="str">
        <f t="shared" si="0"/>
        <v>B</v>
      </c>
      <c r="E43" s="6" t="s">
        <v>39</v>
      </c>
      <c r="F43" s="6" t="s">
        <v>74</v>
      </c>
      <c r="G43" s="6" t="s">
        <v>49</v>
      </c>
      <c r="H43" s="4">
        <v>7276000</v>
      </c>
      <c r="I43" s="12">
        <f t="shared" ca="1" si="1"/>
        <v>111</v>
      </c>
      <c r="J43" s="13" t="str">
        <f t="shared" ca="1" si="2"/>
        <v>장기미수</v>
      </c>
      <c r="K43" s="11">
        <v>46066</v>
      </c>
      <c r="L43" s="11"/>
      <c r="M43" s="10"/>
      <c r="N43" s="10" t="s">
        <v>20</v>
      </c>
      <c r="O43" s="6" t="s">
        <v>75</v>
      </c>
      <c r="P43" s="6" t="s">
        <v>76</v>
      </c>
      <c r="Q43" s="11"/>
      <c r="R43" s="11"/>
      <c r="S43" s="10"/>
    </row>
    <row r="44" spans="2:19" s="6" customFormat="1" ht="16.5" customHeight="1" x14ac:dyDescent="0.3">
      <c r="B44" s="10">
        <f>IF(C44="","",COUNTA($C$2:C44))</f>
        <v>43</v>
      </c>
      <c r="C44" s="11">
        <v>45958</v>
      </c>
      <c r="D44" s="10" t="str">
        <f t="shared" si="0"/>
        <v>B</v>
      </c>
      <c r="E44" s="6" t="s">
        <v>67</v>
      </c>
      <c r="F44" s="6" t="s">
        <v>77</v>
      </c>
      <c r="G44" s="6" t="s">
        <v>49</v>
      </c>
      <c r="H44" s="4">
        <v>-9744900</v>
      </c>
      <c r="I44" s="12">
        <f t="shared" ca="1" si="1"/>
        <v>105</v>
      </c>
      <c r="J44" s="13" t="str">
        <f t="shared" ca="1" si="2"/>
        <v>장기미수</v>
      </c>
      <c r="K44" s="11">
        <v>46081</v>
      </c>
      <c r="L44" s="11"/>
      <c r="M44" s="10"/>
      <c r="N44" s="10" t="s">
        <v>20</v>
      </c>
      <c r="O44" s="6" t="s">
        <v>69</v>
      </c>
      <c r="Q44" s="11">
        <v>46029</v>
      </c>
      <c r="R44" s="11">
        <v>46081</v>
      </c>
      <c r="S44" s="10"/>
    </row>
    <row r="45" spans="2:19" s="6" customFormat="1" ht="16.5" customHeight="1" x14ac:dyDescent="0.3">
      <c r="B45" s="10">
        <f>IF(C45="","",COUNTA($C$2:C45))</f>
        <v>44</v>
      </c>
      <c r="C45" s="11">
        <v>45964</v>
      </c>
      <c r="D45" s="10" t="str">
        <f t="shared" si="0"/>
        <v>B</v>
      </c>
      <c r="E45" s="6" t="s">
        <v>78</v>
      </c>
      <c r="F45" s="6" t="s">
        <v>79</v>
      </c>
      <c r="G45" s="6" t="s">
        <v>49</v>
      </c>
      <c r="H45" s="4">
        <v>3380000</v>
      </c>
      <c r="I45" s="12">
        <f t="shared" ca="1" si="1"/>
        <v>99</v>
      </c>
      <c r="J45" s="13" t="str">
        <f t="shared" ca="1" si="2"/>
        <v>장기미수</v>
      </c>
      <c r="K45" s="11">
        <v>46052</v>
      </c>
      <c r="L45" s="11"/>
      <c r="M45" s="10"/>
      <c r="N45" s="10" t="s">
        <v>33</v>
      </c>
      <c r="Q45" s="11"/>
      <c r="R45" s="11"/>
      <c r="S45" s="10"/>
    </row>
    <row r="46" spans="2:19" s="6" customFormat="1" ht="16.5" customHeight="1" x14ac:dyDescent="0.3">
      <c r="B46" s="10">
        <f>IF(C46="","",COUNTA($C$2:C46))</f>
        <v>45</v>
      </c>
      <c r="C46" s="11">
        <v>45967</v>
      </c>
      <c r="D46" s="10" t="str">
        <f t="shared" si="0"/>
        <v>B</v>
      </c>
      <c r="E46" s="6" t="s">
        <v>78</v>
      </c>
      <c r="F46" s="6" t="s">
        <v>79</v>
      </c>
      <c r="G46" s="6" t="s">
        <v>49</v>
      </c>
      <c r="H46" s="4">
        <v>1180000</v>
      </c>
      <c r="I46" s="12">
        <f t="shared" ca="1" si="1"/>
        <v>96</v>
      </c>
      <c r="J46" s="13" t="str">
        <f t="shared" ca="1" si="2"/>
        <v>장기미수</v>
      </c>
      <c r="K46" s="11">
        <v>46052</v>
      </c>
      <c r="L46" s="11"/>
      <c r="M46" s="10"/>
      <c r="N46" s="10" t="s">
        <v>33</v>
      </c>
      <c r="Q46" s="11"/>
      <c r="R46" s="11"/>
      <c r="S46" s="10"/>
    </row>
    <row r="47" spans="2:19" s="6" customFormat="1" ht="16.5" customHeight="1" x14ac:dyDescent="0.3">
      <c r="B47" s="10">
        <f>IF(C47="","",COUNTA($C$2:C47))</f>
        <v>46</v>
      </c>
      <c r="C47" s="11">
        <v>45968</v>
      </c>
      <c r="D47" s="10" t="str">
        <f t="shared" si="0"/>
        <v>B</v>
      </c>
      <c r="E47" s="6" t="s">
        <v>71</v>
      </c>
      <c r="F47" s="6" t="s">
        <v>80</v>
      </c>
      <c r="G47" s="6" t="s">
        <v>49</v>
      </c>
      <c r="H47" s="4">
        <v>801700</v>
      </c>
      <c r="I47" s="12">
        <f t="shared" ca="1" si="1"/>
        <v>95</v>
      </c>
      <c r="J47" s="13" t="str">
        <f t="shared" ca="1" si="2"/>
        <v>장기미수</v>
      </c>
      <c r="K47" s="11">
        <v>46063</v>
      </c>
      <c r="L47" s="11"/>
      <c r="M47" s="10"/>
      <c r="N47" s="10" t="s">
        <v>20</v>
      </c>
      <c r="P47" s="6" t="s">
        <v>73</v>
      </c>
      <c r="Q47" s="11"/>
      <c r="R47" s="11"/>
      <c r="S47" s="10"/>
    </row>
    <row r="48" spans="2:19" s="6" customFormat="1" ht="16.5" customHeight="1" x14ac:dyDescent="0.3">
      <c r="B48" s="10">
        <f>IF(C48="","",COUNTA($C$2:C48))</f>
        <v>47</v>
      </c>
      <c r="C48" s="11">
        <v>45971</v>
      </c>
      <c r="D48" s="10" t="str">
        <f t="shared" si="0"/>
        <v>B</v>
      </c>
      <c r="E48" s="6" t="s">
        <v>71</v>
      </c>
      <c r="F48" s="6" t="s">
        <v>81</v>
      </c>
      <c r="G48" s="6" t="s">
        <v>49</v>
      </c>
      <c r="H48" s="4">
        <v>556000</v>
      </c>
      <c r="I48" s="12">
        <f t="shared" ca="1" si="1"/>
        <v>92</v>
      </c>
      <c r="J48" s="13" t="str">
        <f t="shared" ca="1" si="2"/>
        <v>장기미수</v>
      </c>
      <c r="K48" s="11">
        <v>46063</v>
      </c>
      <c r="L48" s="11"/>
      <c r="M48" s="10"/>
      <c r="N48" s="10" t="s">
        <v>20</v>
      </c>
      <c r="P48" s="6" t="s">
        <v>73</v>
      </c>
      <c r="Q48" s="11"/>
      <c r="R48" s="11"/>
      <c r="S48" s="10"/>
    </row>
    <row r="49" spans="2:19" s="6" customFormat="1" ht="16.5" customHeight="1" x14ac:dyDescent="0.3">
      <c r="B49" s="10">
        <f>IF(C49="","",COUNTA($C$2:C49))</f>
        <v>48</v>
      </c>
      <c r="C49" s="11">
        <v>45993</v>
      </c>
      <c r="D49" s="10" t="str">
        <f t="shared" si="0"/>
        <v>B</v>
      </c>
      <c r="E49" s="6" t="s">
        <v>26</v>
      </c>
      <c r="F49" s="6" t="s">
        <v>82</v>
      </c>
      <c r="G49" s="6" t="s">
        <v>49</v>
      </c>
      <c r="H49" s="4">
        <v>7920000</v>
      </c>
      <c r="I49" s="12">
        <f t="shared" ca="1" si="1"/>
        <v>70</v>
      </c>
      <c r="J49" s="13" t="str">
        <f t="shared" ca="1" si="2"/>
        <v>관리</v>
      </c>
      <c r="K49" s="11">
        <v>46080</v>
      </c>
      <c r="L49" s="11"/>
      <c r="M49" s="10"/>
      <c r="N49" s="10" t="s">
        <v>33</v>
      </c>
      <c r="P49" s="6" t="s">
        <v>83</v>
      </c>
      <c r="Q49" s="11"/>
      <c r="R49" s="11"/>
      <c r="S49" s="10"/>
    </row>
    <row r="50" spans="2:19" s="6" customFormat="1" ht="16.5" customHeight="1" x14ac:dyDescent="0.3">
      <c r="B50" s="10">
        <f>IF(C50="","",COUNTA($C$2:C50))</f>
        <v>49</v>
      </c>
      <c r="C50" s="11">
        <v>45999</v>
      </c>
      <c r="D50" s="10" t="str">
        <f t="shared" si="0"/>
        <v>B</v>
      </c>
      <c r="E50" s="6" t="s">
        <v>84</v>
      </c>
      <c r="F50" s="6" t="s">
        <v>85</v>
      </c>
      <c r="G50" s="6" t="s">
        <v>49</v>
      </c>
      <c r="H50" s="4">
        <v>5253000</v>
      </c>
      <c r="I50" s="12">
        <f t="shared" ca="1" si="1"/>
        <v>64</v>
      </c>
      <c r="J50" s="13" t="str">
        <f t="shared" ca="1" si="2"/>
        <v>관리</v>
      </c>
      <c r="K50" s="11">
        <v>46081</v>
      </c>
      <c r="L50" s="11"/>
      <c r="M50" s="10"/>
      <c r="N50" s="10" t="s">
        <v>33</v>
      </c>
      <c r="Q50" s="11"/>
      <c r="R50" s="11"/>
      <c r="S50" s="10"/>
    </row>
    <row r="51" spans="2:19" s="6" customFormat="1" ht="16.5" customHeight="1" x14ac:dyDescent="0.3">
      <c r="B51" s="10">
        <f>IF(C51="","",COUNTA($C$2:C51))</f>
        <v>50</v>
      </c>
      <c r="C51" s="11">
        <v>46006</v>
      </c>
      <c r="D51" s="10" t="str">
        <f t="shared" si="0"/>
        <v>B</v>
      </c>
      <c r="E51" s="6" t="s">
        <v>84</v>
      </c>
      <c r="F51" s="6" t="s">
        <v>85</v>
      </c>
      <c r="G51" s="6" t="s">
        <v>49</v>
      </c>
      <c r="H51" s="4">
        <v>1120000</v>
      </c>
      <c r="I51" s="12">
        <f t="shared" ca="1" si="1"/>
        <v>57</v>
      </c>
      <c r="J51" s="13" t="str">
        <f t="shared" ca="1" si="2"/>
        <v>관리</v>
      </c>
      <c r="K51" s="11">
        <v>46081</v>
      </c>
      <c r="L51" s="11"/>
      <c r="M51" s="10"/>
      <c r="N51" s="10" t="s">
        <v>33</v>
      </c>
      <c r="Q51" s="11"/>
      <c r="R51" s="11"/>
      <c r="S51" s="10"/>
    </row>
    <row r="52" spans="2:19" s="6" customFormat="1" ht="16.5" customHeight="1" x14ac:dyDescent="0.3">
      <c r="B52" s="10">
        <f>IF(C52="","",COUNTA($C$2:C52))</f>
        <v>51</v>
      </c>
      <c r="C52" s="11">
        <v>46007</v>
      </c>
      <c r="D52" s="10" t="str">
        <f t="shared" si="0"/>
        <v>B</v>
      </c>
      <c r="E52" s="6" t="s">
        <v>26</v>
      </c>
      <c r="F52" s="6" t="s">
        <v>86</v>
      </c>
      <c r="G52" s="6" t="s">
        <v>49</v>
      </c>
      <c r="H52" s="4">
        <v>1969400</v>
      </c>
      <c r="I52" s="12">
        <f t="shared" ca="1" si="1"/>
        <v>56</v>
      </c>
      <c r="J52" s="13" t="str">
        <f t="shared" ca="1" si="2"/>
        <v>관리</v>
      </c>
      <c r="K52" s="11">
        <v>46080</v>
      </c>
      <c r="L52" s="11"/>
      <c r="M52" s="10"/>
      <c r="N52" s="10" t="s">
        <v>33</v>
      </c>
      <c r="P52" s="6" t="s">
        <v>83</v>
      </c>
      <c r="Q52" s="11"/>
      <c r="R52" s="11"/>
      <c r="S52" s="10"/>
    </row>
    <row r="53" spans="2:19" s="6" customFormat="1" ht="16.5" customHeight="1" x14ac:dyDescent="0.3">
      <c r="B53" s="10">
        <f>IF(C53="","",COUNTA($C$2:C53))</f>
        <v>52</v>
      </c>
      <c r="C53" s="11">
        <v>46008</v>
      </c>
      <c r="D53" s="10" t="str">
        <f t="shared" si="0"/>
        <v>B</v>
      </c>
      <c r="E53" s="6" t="s">
        <v>24</v>
      </c>
      <c r="F53" s="6" t="s">
        <v>87</v>
      </c>
      <c r="G53" s="6" t="s">
        <v>49</v>
      </c>
      <c r="H53" s="4">
        <v>54744000</v>
      </c>
      <c r="I53" s="12">
        <f t="shared" ca="1" si="1"/>
        <v>55</v>
      </c>
      <c r="J53" s="13" t="str">
        <f t="shared" ca="1" si="2"/>
        <v>관리</v>
      </c>
      <c r="K53" s="11"/>
      <c r="L53" s="11"/>
      <c r="M53" s="10"/>
      <c r="N53" s="10" t="s">
        <v>20</v>
      </c>
      <c r="O53" s="6" t="s">
        <v>158</v>
      </c>
      <c r="P53" s="6" t="s">
        <v>159</v>
      </c>
      <c r="Q53" s="11">
        <v>46036</v>
      </c>
      <c r="R53" s="10" t="s">
        <v>60</v>
      </c>
      <c r="S53" s="10"/>
    </row>
    <row r="54" spans="2:19" s="6" customFormat="1" ht="16.5" customHeight="1" x14ac:dyDescent="0.3">
      <c r="B54" s="10">
        <f>IF(C54="","",COUNTA($C$2:C54))</f>
        <v>53</v>
      </c>
      <c r="C54" s="11">
        <v>46008</v>
      </c>
      <c r="D54" s="10" t="str">
        <f t="shared" si="0"/>
        <v>B</v>
      </c>
      <c r="E54" s="6" t="s">
        <v>88</v>
      </c>
      <c r="F54" s="6" t="s">
        <v>89</v>
      </c>
      <c r="G54" s="6" t="s">
        <v>49</v>
      </c>
      <c r="H54" s="4">
        <v>321000</v>
      </c>
      <c r="I54" s="12">
        <f t="shared" ca="1" si="1"/>
        <v>55</v>
      </c>
      <c r="J54" s="13" t="str">
        <f t="shared" ca="1" si="2"/>
        <v>관리</v>
      </c>
      <c r="K54" s="11"/>
      <c r="L54" s="11"/>
      <c r="M54" s="10"/>
      <c r="N54" s="10" t="s">
        <v>33</v>
      </c>
      <c r="Q54" s="11"/>
      <c r="R54" s="11"/>
      <c r="S54" s="10"/>
    </row>
    <row r="55" spans="2:19" s="6" customFormat="1" ht="16.5" customHeight="1" x14ac:dyDescent="0.3">
      <c r="B55" s="10">
        <f>IF(C55="","",COUNTA($C$2:C55))</f>
        <v>54</v>
      </c>
      <c r="C55" s="11">
        <v>46013</v>
      </c>
      <c r="D55" s="10" t="str">
        <f t="shared" si="0"/>
        <v>B</v>
      </c>
      <c r="E55" s="6" t="s">
        <v>26</v>
      </c>
      <c r="F55" s="6" t="s">
        <v>82</v>
      </c>
      <c r="G55" s="6" t="s">
        <v>49</v>
      </c>
      <c r="H55" s="4">
        <v>15840000</v>
      </c>
      <c r="I55" s="12">
        <f t="shared" ca="1" si="1"/>
        <v>50</v>
      </c>
      <c r="J55" s="13" t="str">
        <f t="shared" ca="1" si="2"/>
        <v>관리</v>
      </c>
      <c r="K55" s="11">
        <v>46080</v>
      </c>
      <c r="L55" s="11"/>
      <c r="M55" s="10"/>
      <c r="N55" s="10" t="s">
        <v>33</v>
      </c>
      <c r="P55" s="6" t="s">
        <v>83</v>
      </c>
      <c r="Q55" s="11"/>
      <c r="R55" s="11"/>
      <c r="S55" s="10"/>
    </row>
    <row r="56" spans="2:19" s="6" customFormat="1" ht="16.5" customHeight="1" x14ac:dyDescent="0.3">
      <c r="B56" s="10">
        <f>IF(C56="","",COUNTA($C$2:C56))</f>
        <v>55</v>
      </c>
      <c r="C56" s="11">
        <v>45705</v>
      </c>
      <c r="D56" s="10" t="str">
        <f t="shared" ref="D56:D65" si="3">IF(G56="","",IF(OR(G56="선급금",G56="중도금",G56="잔금"),"A",IF(G56="자재","B",IF(G56="특허료","C",""))))</f>
        <v>C</v>
      </c>
      <c r="E56" s="6" t="s">
        <v>47</v>
      </c>
      <c r="F56" s="6" t="s">
        <v>90</v>
      </c>
      <c r="G56" s="6" t="s">
        <v>44</v>
      </c>
      <c r="H56" s="4">
        <v>1632000</v>
      </c>
      <c r="I56" s="12">
        <f t="shared" ref="I56:I65" ca="1" si="4">IF(C56="","",IF(L56="",TODAY()-C56,L56-C56))</f>
        <v>358</v>
      </c>
      <c r="J56" s="13" t="str">
        <f t="shared" ca="1" si="2"/>
        <v>장기미수</v>
      </c>
      <c r="K56" s="11"/>
      <c r="L56" s="11"/>
      <c r="M56" s="10" t="s">
        <v>157</v>
      </c>
      <c r="N56" s="10" t="s">
        <v>20</v>
      </c>
      <c r="O56" s="6" t="s">
        <v>50</v>
      </c>
      <c r="Q56" s="14"/>
      <c r="R56" s="14"/>
      <c r="S56" s="10"/>
    </row>
    <row r="57" spans="2:19" s="6" customFormat="1" ht="16.5" customHeight="1" x14ac:dyDescent="0.3">
      <c r="B57" s="10">
        <f>IF(C57="","",COUNTA($C$2:C57))</f>
        <v>56</v>
      </c>
      <c r="C57" s="11">
        <v>45840</v>
      </c>
      <c r="D57" s="10" t="str">
        <f t="shared" si="3"/>
        <v>C</v>
      </c>
      <c r="E57" s="6" t="s">
        <v>47</v>
      </c>
      <c r="F57" s="6" t="s">
        <v>91</v>
      </c>
      <c r="G57" s="6" t="s">
        <v>44</v>
      </c>
      <c r="H57" s="4">
        <v>5380000</v>
      </c>
      <c r="I57" s="12">
        <f t="shared" ca="1" si="4"/>
        <v>223</v>
      </c>
      <c r="J57" s="13" t="str">
        <f t="shared" ca="1" si="2"/>
        <v>장기미수</v>
      </c>
      <c r="K57" s="11"/>
      <c r="L57" s="11"/>
      <c r="M57" s="10" t="s">
        <v>157</v>
      </c>
      <c r="N57" s="10" t="s">
        <v>20</v>
      </c>
      <c r="O57" s="6" t="s">
        <v>50</v>
      </c>
      <c r="Q57" s="14"/>
      <c r="R57" s="14"/>
      <c r="S57" s="10"/>
    </row>
    <row r="58" spans="2:19" s="6" customFormat="1" ht="16.5" customHeight="1" x14ac:dyDescent="0.3">
      <c r="B58" s="10">
        <f>IF(C58="","",COUNTA($C$2:C58))</f>
        <v>57</v>
      </c>
      <c r="C58" s="11">
        <v>45840</v>
      </c>
      <c r="D58" s="10" t="str">
        <f t="shared" si="3"/>
        <v>C</v>
      </c>
      <c r="E58" s="6" t="s">
        <v>47</v>
      </c>
      <c r="F58" s="6" t="s">
        <v>92</v>
      </c>
      <c r="G58" s="6" t="s">
        <v>44</v>
      </c>
      <c r="H58" s="4">
        <v>765000</v>
      </c>
      <c r="I58" s="12">
        <f t="shared" ca="1" si="4"/>
        <v>223</v>
      </c>
      <c r="J58" s="13" t="str">
        <f t="shared" ca="1" si="2"/>
        <v>장기미수</v>
      </c>
      <c r="K58" s="11"/>
      <c r="L58" s="11"/>
      <c r="M58" s="10" t="s">
        <v>157</v>
      </c>
      <c r="N58" s="10" t="s">
        <v>20</v>
      </c>
      <c r="O58" s="6" t="s">
        <v>50</v>
      </c>
      <c r="Q58" s="14"/>
      <c r="R58" s="14"/>
      <c r="S58" s="10"/>
    </row>
    <row r="59" spans="2:19" s="6" customFormat="1" ht="16.5" customHeight="1" x14ac:dyDescent="0.3">
      <c r="B59" s="10">
        <f>IF(C59="","",COUNTA($C$2:C59))</f>
        <v>58</v>
      </c>
      <c r="C59" s="11">
        <v>45889</v>
      </c>
      <c r="D59" s="10" t="str">
        <f t="shared" si="3"/>
        <v>C</v>
      </c>
      <c r="E59" s="6" t="s">
        <v>47</v>
      </c>
      <c r="F59" s="6" t="s">
        <v>93</v>
      </c>
      <c r="G59" s="6" t="s">
        <v>44</v>
      </c>
      <c r="H59" s="4">
        <v>2738900</v>
      </c>
      <c r="I59" s="12">
        <f t="shared" ca="1" si="4"/>
        <v>174</v>
      </c>
      <c r="J59" s="13" t="str">
        <f t="shared" ref="J59:J113" ca="1" si="5">IF(I59="","",
 IF(G59="선급금",
   IF(I59&lt;=20,"정상",IF(I59&lt;=90,"관리","장기미수")),
 IF(G59="자재",
   IF(I59&lt;=40,"정상",IF(I59&lt;=90,"관리","장기미수")),
   IF(I59&lt;=30,"정상",IF(I59&lt;=90,"관리","장기미수"))
  )
 )
)</f>
        <v>장기미수</v>
      </c>
      <c r="K59" s="11"/>
      <c r="L59" s="11"/>
      <c r="M59" s="10" t="s">
        <v>157</v>
      </c>
      <c r="N59" s="10" t="s">
        <v>20</v>
      </c>
      <c r="O59" s="6" t="s">
        <v>50</v>
      </c>
      <c r="Q59" s="14"/>
      <c r="R59" s="14"/>
      <c r="S59" s="10"/>
    </row>
    <row r="60" spans="2:19" s="6" customFormat="1" ht="16.5" customHeight="1" x14ac:dyDescent="0.3">
      <c r="B60" s="10">
        <f>IF(C60="","",COUNTA($C$2:C60))</f>
        <v>59</v>
      </c>
      <c r="C60" s="11">
        <v>46006</v>
      </c>
      <c r="D60" s="10" t="str">
        <f t="shared" si="3"/>
        <v>C</v>
      </c>
      <c r="E60" s="6" t="s">
        <v>63</v>
      </c>
      <c r="F60" s="6" t="s">
        <v>94</v>
      </c>
      <c r="G60" s="6" t="s">
        <v>44</v>
      </c>
      <c r="H60" s="4">
        <v>1648500</v>
      </c>
      <c r="I60" s="12">
        <f t="shared" ca="1" si="4"/>
        <v>57</v>
      </c>
      <c r="J60" s="13" t="str">
        <f t="shared" ca="1" si="5"/>
        <v>관리</v>
      </c>
      <c r="K60" s="11">
        <v>46052</v>
      </c>
      <c r="L60" s="11"/>
      <c r="M60" s="10"/>
      <c r="N60" s="10" t="s">
        <v>33</v>
      </c>
      <c r="Q60" s="14"/>
      <c r="R60" s="14"/>
      <c r="S60" s="10"/>
    </row>
    <row r="61" spans="2:19" s="6" customFormat="1" ht="16.5" customHeight="1" x14ac:dyDescent="0.3">
      <c r="B61" s="10">
        <f>IF(C61="","",COUNTA($C$2:C61))</f>
        <v>60</v>
      </c>
      <c r="C61" s="11">
        <v>46006</v>
      </c>
      <c r="D61" s="10" t="str">
        <f t="shared" si="3"/>
        <v>C</v>
      </c>
      <c r="E61" s="6" t="s">
        <v>63</v>
      </c>
      <c r="F61" s="6" t="s">
        <v>95</v>
      </c>
      <c r="G61" s="6" t="s">
        <v>44</v>
      </c>
      <c r="H61" s="4">
        <v>2625000</v>
      </c>
      <c r="I61" s="12">
        <f t="shared" ca="1" si="4"/>
        <v>57</v>
      </c>
      <c r="J61" s="13" t="str">
        <f t="shared" ca="1" si="5"/>
        <v>관리</v>
      </c>
      <c r="K61" s="11">
        <v>46052</v>
      </c>
      <c r="L61" s="11"/>
      <c r="M61" s="10"/>
      <c r="N61" s="10" t="s">
        <v>33</v>
      </c>
      <c r="Q61" s="14"/>
      <c r="R61" s="14"/>
      <c r="S61" s="10"/>
    </row>
    <row r="62" spans="2:19" s="6" customFormat="1" ht="16.5" customHeight="1" x14ac:dyDescent="0.3">
      <c r="B62" s="10">
        <f>IF(C62="","",COUNTA($C$2:C62))</f>
        <v>61</v>
      </c>
      <c r="C62" s="11">
        <v>46006</v>
      </c>
      <c r="D62" s="10" t="str">
        <f t="shared" si="3"/>
        <v>C</v>
      </c>
      <c r="E62" s="6" t="s">
        <v>96</v>
      </c>
      <c r="F62" s="6" t="s">
        <v>97</v>
      </c>
      <c r="G62" s="6" t="s">
        <v>44</v>
      </c>
      <c r="H62" s="4">
        <v>495000</v>
      </c>
      <c r="I62" s="12">
        <f t="shared" ca="1" si="4"/>
        <v>57</v>
      </c>
      <c r="J62" s="13" t="str">
        <f t="shared" ca="1" si="5"/>
        <v>관리</v>
      </c>
      <c r="K62" s="11">
        <v>46087</v>
      </c>
      <c r="L62" s="11"/>
      <c r="M62" s="10"/>
      <c r="N62" s="10" t="s">
        <v>33</v>
      </c>
      <c r="Q62" s="14"/>
      <c r="R62" s="14"/>
      <c r="S62" s="10"/>
    </row>
    <row r="63" spans="2:19" s="6" customFormat="1" ht="16.5" customHeight="1" x14ac:dyDescent="0.3">
      <c r="B63" s="10">
        <f>IF(C63="","",COUNTA($C$2:C63))</f>
        <v>62</v>
      </c>
      <c r="C63" s="11">
        <v>46006</v>
      </c>
      <c r="D63" s="10" t="str">
        <f t="shared" si="3"/>
        <v>C</v>
      </c>
      <c r="E63" s="6" t="s">
        <v>96</v>
      </c>
      <c r="F63" s="6" t="s">
        <v>98</v>
      </c>
      <c r="G63" s="6" t="s">
        <v>44</v>
      </c>
      <c r="H63" s="4">
        <v>485000</v>
      </c>
      <c r="I63" s="12">
        <f t="shared" ca="1" si="4"/>
        <v>57</v>
      </c>
      <c r="J63" s="13" t="str">
        <f t="shared" ca="1" si="5"/>
        <v>관리</v>
      </c>
      <c r="K63" s="11">
        <v>46087</v>
      </c>
      <c r="L63" s="11"/>
      <c r="M63" s="10"/>
      <c r="N63" s="10" t="s">
        <v>33</v>
      </c>
      <c r="Q63" s="14"/>
      <c r="R63" s="14"/>
      <c r="S63" s="10"/>
    </row>
    <row r="64" spans="2:19" s="6" customFormat="1" ht="16.5" customHeight="1" x14ac:dyDescent="0.3">
      <c r="B64" s="10">
        <f>IF(C64="","",COUNTA($C$2:C64))</f>
        <v>63</v>
      </c>
      <c r="C64" s="11">
        <v>46009</v>
      </c>
      <c r="D64" s="10" t="str">
        <f t="shared" si="3"/>
        <v>C</v>
      </c>
      <c r="E64" s="6" t="s">
        <v>99</v>
      </c>
      <c r="F64" s="6" t="s">
        <v>100</v>
      </c>
      <c r="G64" s="6" t="s">
        <v>44</v>
      </c>
      <c r="H64" s="4">
        <v>662500</v>
      </c>
      <c r="I64" s="12">
        <f t="shared" ca="1" si="4"/>
        <v>54</v>
      </c>
      <c r="J64" s="13" t="str">
        <f t="shared" ca="1" si="5"/>
        <v>관리</v>
      </c>
      <c r="K64" s="11">
        <v>46052</v>
      </c>
      <c r="L64" s="11"/>
      <c r="M64" s="10"/>
      <c r="N64" s="10" t="s">
        <v>33</v>
      </c>
      <c r="Q64" s="14"/>
      <c r="R64" s="14"/>
      <c r="S64" s="10"/>
    </row>
    <row r="65" spans="2:19" s="6" customFormat="1" ht="16.5" customHeight="1" x14ac:dyDescent="0.3">
      <c r="B65" s="10">
        <f>IF(C65="","",COUNTA($C$2:C65))</f>
        <v>64</v>
      </c>
      <c r="C65" s="11">
        <v>46009</v>
      </c>
      <c r="D65" s="10" t="str">
        <f t="shared" si="3"/>
        <v>C</v>
      </c>
      <c r="E65" s="6" t="s">
        <v>101</v>
      </c>
      <c r="F65" s="6" t="s">
        <v>102</v>
      </c>
      <c r="G65" s="6" t="s">
        <v>44</v>
      </c>
      <c r="H65" s="4">
        <v>3537700</v>
      </c>
      <c r="I65" s="12">
        <f t="shared" ca="1" si="4"/>
        <v>54</v>
      </c>
      <c r="J65" s="13" t="str">
        <f t="shared" ca="1" si="5"/>
        <v>관리</v>
      </c>
      <c r="K65" s="11">
        <v>46052</v>
      </c>
      <c r="L65" s="11"/>
      <c r="M65" s="10"/>
      <c r="N65" s="10" t="s">
        <v>33</v>
      </c>
      <c r="Q65" s="14"/>
      <c r="R65" s="14"/>
      <c r="S65" s="10"/>
    </row>
    <row r="66" spans="2:19" s="6" customFormat="1" ht="16.5" customHeight="1" x14ac:dyDescent="0.3">
      <c r="B66" s="10">
        <f>IF(C66="","",COUNTA($C$2:C66))</f>
        <v>65</v>
      </c>
      <c r="C66" s="11">
        <v>46027</v>
      </c>
      <c r="D66" s="10" t="str">
        <f t="shared" ref="D66:D75" si="6">IF(G66="","",IF(OR(G66="선급금",G66="중도금",G66="잔금"),"A",IF(G66="자재","B",IF(G66="특허료","C",""))))</f>
        <v>C</v>
      </c>
      <c r="E66" s="6" t="s">
        <v>103</v>
      </c>
      <c r="F66" s="6" t="s">
        <v>104</v>
      </c>
      <c r="G66" s="6" t="s">
        <v>44</v>
      </c>
      <c r="H66" s="4">
        <v>3802500</v>
      </c>
      <c r="I66" s="6">
        <f t="shared" ref="I66:I71" ca="1" si="7">IF(C66="","",IF(L66="",TODAY()-C66,L66-C66))</f>
        <v>36</v>
      </c>
      <c r="J66" s="13" t="str">
        <f t="shared" ca="1" si="5"/>
        <v>관리</v>
      </c>
      <c r="K66" s="11"/>
      <c r="L66" s="11"/>
      <c r="M66" s="10"/>
      <c r="N66" s="10" t="s">
        <v>33</v>
      </c>
      <c r="Q66" s="11"/>
      <c r="R66" s="11"/>
      <c r="S66" s="10"/>
    </row>
    <row r="67" spans="2:19" s="6" customFormat="1" ht="16.5" customHeight="1" x14ac:dyDescent="0.3">
      <c r="B67" s="10">
        <f>IF(C67="","",COUNTA($C$2:C67))</f>
        <v>66</v>
      </c>
      <c r="C67" s="11">
        <v>46028</v>
      </c>
      <c r="D67" s="10" t="str">
        <f t="shared" si="6"/>
        <v>C</v>
      </c>
      <c r="E67" s="6" t="s">
        <v>105</v>
      </c>
      <c r="F67" s="6" t="s">
        <v>106</v>
      </c>
      <c r="G67" s="6" t="s">
        <v>44</v>
      </c>
      <c r="H67" s="4">
        <v>138050</v>
      </c>
      <c r="I67" s="6">
        <f t="shared" ca="1" si="7"/>
        <v>35</v>
      </c>
      <c r="J67" s="13" t="str">
        <f t="shared" ca="1" si="5"/>
        <v>관리</v>
      </c>
      <c r="K67" s="11"/>
      <c r="L67" s="11"/>
      <c r="M67" s="10"/>
      <c r="N67" s="10" t="s">
        <v>33</v>
      </c>
      <c r="Q67" s="11"/>
      <c r="R67" s="11"/>
      <c r="S67" s="10"/>
    </row>
    <row r="68" spans="2:19" s="6" customFormat="1" ht="16.5" customHeight="1" x14ac:dyDescent="0.3">
      <c r="B68" s="10">
        <f>IF(C68="","",COUNTA($C$2:C68))</f>
        <v>67</v>
      </c>
      <c r="C68" s="11">
        <v>46028</v>
      </c>
      <c r="D68" s="10" t="str">
        <f t="shared" si="6"/>
        <v>C</v>
      </c>
      <c r="E68" s="6" t="s">
        <v>105</v>
      </c>
      <c r="F68" s="6" t="s">
        <v>107</v>
      </c>
      <c r="G68" s="6" t="s">
        <v>44</v>
      </c>
      <c r="H68" s="4">
        <v>6675050</v>
      </c>
      <c r="I68" s="6">
        <f t="shared" ca="1" si="7"/>
        <v>35</v>
      </c>
      <c r="J68" s="13" t="str">
        <f t="shared" ca="1" si="5"/>
        <v>관리</v>
      </c>
      <c r="K68" s="11"/>
      <c r="L68" s="11"/>
      <c r="M68" s="10"/>
      <c r="N68" s="10" t="s">
        <v>33</v>
      </c>
      <c r="Q68" s="11"/>
      <c r="R68" s="11"/>
      <c r="S68" s="10"/>
    </row>
    <row r="69" spans="2:19" s="6" customFormat="1" ht="16.5" customHeight="1" x14ac:dyDescent="0.3">
      <c r="B69" s="10">
        <f>IF(C69="","",COUNTA($C$2:C69))</f>
        <v>68</v>
      </c>
      <c r="C69" s="11">
        <v>46028</v>
      </c>
      <c r="D69" s="10" t="str">
        <f t="shared" si="6"/>
        <v>C</v>
      </c>
      <c r="E69" s="6" t="s">
        <v>108</v>
      </c>
      <c r="F69" s="6" t="s">
        <v>109</v>
      </c>
      <c r="G69" s="6" t="s">
        <v>44</v>
      </c>
      <c r="H69" s="4">
        <v>7500000</v>
      </c>
      <c r="I69" s="6">
        <f t="shared" ca="1" si="7"/>
        <v>35</v>
      </c>
      <c r="J69" s="13" t="str">
        <f t="shared" ca="1" si="5"/>
        <v>관리</v>
      </c>
      <c r="K69" s="11"/>
      <c r="L69" s="11"/>
      <c r="M69" s="10"/>
      <c r="N69" s="10" t="s">
        <v>20</v>
      </c>
      <c r="O69" s="6" t="s">
        <v>28</v>
      </c>
      <c r="Q69" s="11"/>
      <c r="R69" s="11"/>
      <c r="S69" s="10"/>
    </row>
    <row r="70" spans="2:19" s="6" customFormat="1" ht="16.5" customHeight="1" x14ac:dyDescent="0.3">
      <c r="B70" s="10">
        <f>IF(C70="","",COUNTA($C$2:C70))</f>
        <v>69</v>
      </c>
      <c r="C70" s="11">
        <v>46034</v>
      </c>
      <c r="D70" s="10" t="str">
        <f t="shared" si="6"/>
        <v>C</v>
      </c>
      <c r="E70" s="6" t="s">
        <v>110</v>
      </c>
      <c r="F70" s="6" t="s">
        <v>111</v>
      </c>
      <c r="G70" s="6" t="s">
        <v>44</v>
      </c>
      <c r="H70" s="4">
        <v>179500</v>
      </c>
      <c r="I70" s="6">
        <f t="shared" ca="1" si="7"/>
        <v>3</v>
      </c>
      <c r="J70" s="13" t="str">
        <f ca="1">IF(I70="","",
 IF(G70="선급금",
   IF(I70&lt;=20,"정상",IF(I70&lt;=90,"관리","장기미수")),
 IF(G70="자재",
   IF(I70&lt;=40,"정상",IF(I70&lt;=90,"관리","장기미수")),
   IF(I70&lt;=30,"정상",IF(I70&lt;=90,"관리","장기미수"))
  )
 )
)</f>
        <v>정상</v>
      </c>
      <c r="K70" s="11"/>
      <c r="L70" s="11">
        <v>46037</v>
      </c>
      <c r="M70" s="10"/>
      <c r="N70" s="10" t="s">
        <v>33</v>
      </c>
      <c r="Q70" s="11"/>
      <c r="R70" s="11"/>
      <c r="S70" s="10"/>
    </row>
    <row r="71" spans="2:19" s="6" customFormat="1" ht="16.5" customHeight="1" x14ac:dyDescent="0.3">
      <c r="B71" s="10">
        <f>IF(C71="","",COUNTA($C$2:C71))</f>
        <v>70</v>
      </c>
      <c r="C71" s="11">
        <v>46027</v>
      </c>
      <c r="D71" s="10" t="str">
        <f t="shared" si="6"/>
        <v>B</v>
      </c>
      <c r="E71" s="6" t="s">
        <v>24</v>
      </c>
      <c r="F71" s="6" t="s">
        <v>112</v>
      </c>
      <c r="G71" s="6" t="s">
        <v>49</v>
      </c>
      <c r="H71" s="4">
        <v>26182000</v>
      </c>
      <c r="I71" s="6">
        <f t="shared" ca="1" si="7"/>
        <v>36</v>
      </c>
      <c r="J71" s="13" t="str">
        <f t="shared" ca="1" si="5"/>
        <v>정상</v>
      </c>
      <c r="K71" s="11"/>
      <c r="L71" s="11"/>
      <c r="M71" s="10"/>
      <c r="N71" s="10" t="s">
        <v>20</v>
      </c>
      <c r="O71" s="6" t="s">
        <v>158</v>
      </c>
      <c r="P71" s="6" t="s">
        <v>160</v>
      </c>
      <c r="Q71" s="11">
        <v>46036</v>
      </c>
      <c r="R71" s="10" t="s">
        <v>60</v>
      </c>
      <c r="S71" s="10"/>
    </row>
    <row r="72" spans="2:19" s="6" customFormat="1" ht="16.5" customHeight="1" x14ac:dyDescent="0.3">
      <c r="B72" s="10">
        <f>IF(C72="","",COUNTA($C$2:C72))</f>
        <v>71</v>
      </c>
      <c r="C72" s="11">
        <v>46027</v>
      </c>
      <c r="D72" s="10" t="str">
        <f t="shared" si="6"/>
        <v>B</v>
      </c>
      <c r="E72" s="6" t="s">
        <v>26</v>
      </c>
      <c r="F72" s="6" t="s">
        <v>113</v>
      </c>
      <c r="G72" s="6" t="s">
        <v>49</v>
      </c>
      <c r="H72" s="4">
        <v>1100000</v>
      </c>
      <c r="I72" s="6">
        <f t="shared" ref="I72:I75" ca="1" si="8">IF(C72="","",IF(L72="",TODAY()-C72,L72-C72))</f>
        <v>36</v>
      </c>
      <c r="J72" s="13" t="str">
        <f t="shared" ca="1" si="5"/>
        <v>정상</v>
      </c>
      <c r="K72" s="11">
        <v>46112</v>
      </c>
      <c r="L72" s="11"/>
      <c r="M72" s="10"/>
      <c r="N72" s="10" t="s">
        <v>33</v>
      </c>
      <c r="P72" s="6" t="s">
        <v>83</v>
      </c>
      <c r="Q72" s="11"/>
      <c r="R72" s="11"/>
      <c r="S72" s="10"/>
    </row>
    <row r="73" spans="2:19" s="6" customFormat="1" ht="16.5" customHeight="1" x14ac:dyDescent="0.3">
      <c r="B73" s="10">
        <f>IF(C73="","",COUNTA($C$2:C73))</f>
        <v>72</v>
      </c>
      <c r="C73" s="11">
        <v>46028</v>
      </c>
      <c r="D73" s="10" t="str">
        <f t="shared" si="6"/>
        <v>B</v>
      </c>
      <c r="E73" s="6" t="s">
        <v>24</v>
      </c>
      <c r="F73" s="6" t="s">
        <v>112</v>
      </c>
      <c r="G73" s="6" t="s">
        <v>49</v>
      </c>
      <c r="H73" s="4">
        <v>799000</v>
      </c>
      <c r="I73" s="6">
        <f t="shared" ca="1" si="8"/>
        <v>17</v>
      </c>
      <c r="J73" s="13" t="str">
        <f t="shared" ca="1" si="5"/>
        <v>정상</v>
      </c>
      <c r="K73" s="11"/>
      <c r="L73" s="11">
        <v>46045</v>
      </c>
      <c r="M73" s="10"/>
      <c r="N73" s="10" t="s">
        <v>20</v>
      </c>
      <c r="O73" s="6" t="s">
        <v>158</v>
      </c>
      <c r="P73" s="6" t="s">
        <v>159</v>
      </c>
      <c r="Q73" s="11">
        <v>46036</v>
      </c>
      <c r="R73" s="10" t="s">
        <v>60</v>
      </c>
      <c r="S73" s="10"/>
    </row>
    <row r="74" spans="2:19" s="6" customFormat="1" ht="16.5" customHeight="1" x14ac:dyDescent="0.3">
      <c r="B74" s="10">
        <f>IF(C74="","",COUNTA($C$2:C74))</f>
        <v>73</v>
      </c>
      <c r="C74" s="11">
        <v>46028</v>
      </c>
      <c r="D74" s="10" t="str">
        <f t="shared" si="6"/>
        <v>B</v>
      </c>
      <c r="E74" s="6" t="s">
        <v>114</v>
      </c>
      <c r="F74" s="6" t="s">
        <v>115</v>
      </c>
      <c r="G74" s="6" t="s">
        <v>49</v>
      </c>
      <c r="H74" s="4">
        <v>3430000</v>
      </c>
      <c r="I74" s="6">
        <f t="shared" ca="1" si="8"/>
        <v>24</v>
      </c>
      <c r="J74" s="13" t="str">
        <f t="shared" ca="1" si="5"/>
        <v>정상</v>
      </c>
      <c r="K74" s="11"/>
      <c r="L74" s="11">
        <v>46052</v>
      </c>
      <c r="M74" s="10"/>
      <c r="N74" s="10" t="s">
        <v>33</v>
      </c>
      <c r="Q74" s="11"/>
      <c r="R74" s="11"/>
      <c r="S74" s="10"/>
    </row>
    <row r="75" spans="2:19" s="6" customFormat="1" ht="16.5" customHeight="1" x14ac:dyDescent="0.3">
      <c r="B75" s="10">
        <f>IF(C75="","",COUNTA($C$2:C75))</f>
        <v>74</v>
      </c>
      <c r="C75" s="11">
        <v>46030</v>
      </c>
      <c r="D75" s="10" t="str">
        <f t="shared" si="6"/>
        <v>B</v>
      </c>
      <c r="E75" s="6" t="s">
        <v>116</v>
      </c>
      <c r="F75" s="6" t="s">
        <v>117</v>
      </c>
      <c r="G75" s="6" t="s">
        <v>49</v>
      </c>
      <c r="H75" s="4">
        <v>528000</v>
      </c>
      <c r="I75" s="6">
        <f t="shared" ca="1" si="8"/>
        <v>33</v>
      </c>
      <c r="J75" s="13" t="str">
        <f t="shared" ca="1" si="5"/>
        <v>정상</v>
      </c>
      <c r="K75" s="11"/>
      <c r="L75" s="11"/>
      <c r="M75" s="10"/>
      <c r="N75" s="10" t="s">
        <v>33</v>
      </c>
      <c r="Q75" s="11"/>
      <c r="R75" s="11"/>
      <c r="S75" s="10"/>
    </row>
    <row r="76" spans="2:19" s="6" customFormat="1" ht="16.5" customHeight="1" x14ac:dyDescent="0.3">
      <c r="B76" s="10">
        <f>IF(C76="","",COUNTA($C$2:C76))</f>
        <v>75</v>
      </c>
      <c r="C76" s="11">
        <v>46034</v>
      </c>
      <c r="D76" s="10" t="str">
        <f t="shared" ref="D76:D139" si="9">IF(G76="","",IF(OR(G76="선급금",G76="중도금",G76="잔금"),"A",IF(G76="자재","B",IF(G76="특허료","C",""))))</f>
        <v>B</v>
      </c>
      <c r="E76" s="6" t="s">
        <v>24</v>
      </c>
      <c r="F76" s="6" t="s">
        <v>112</v>
      </c>
      <c r="G76" s="6" t="s">
        <v>49</v>
      </c>
      <c r="H76" s="4">
        <v>2200000</v>
      </c>
      <c r="I76" s="6">
        <f t="shared" ref="I76:I139" ca="1" si="10">IF(C76="","",IF(L76="",TODAY()-C76,L76-C76))</f>
        <v>11</v>
      </c>
      <c r="J76" s="13" t="str">
        <f t="shared" ca="1" si="5"/>
        <v>정상</v>
      </c>
      <c r="K76" s="11"/>
      <c r="L76" s="11">
        <v>46045</v>
      </c>
      <c r="M76" s="10"/>
      <c r="N76" s="10" t="s">
        <v>20</v>
      </c>
      <c r="O76" s="6" t="s">
        <v>158</v>
      </c>
      <c r="P76" s="6" t="s">
        <v>159</v>
      </c>
      <c r="Q76" s="11">
        <v>46036</v>
      </c>
      <c r="R76" s="10" t="s">
        <v>60</v>
      </c>
      <c r="S76" s="10"/>
    </row>
    <row r="77" spans="2:19" s="6" customFormat="1" ht="16.5" customHeight="1" x14ac:dyDescent="0.3">
      <c r="B77" s="10">
        <f>IF(C77="","",COUNTA($C$2:C77))</f>
        <v>76</v>
      </c>
      <c r="C77" s="11">
        <v>46034</v>
      </c>
      <c r="D77" s="10" t="str">
        <f t="shared" si="9"/>
        <v>B</v>
      </c>
      <c r="E77" s="6" t="s">
        <v>24</v>
      </c>
      <c r="F77" s="6" t="s">
        <v>112</v>
      </c>
      <c r="G77" s="6" t="s">
        <v>49</v>
      </c>
      <c r="H77" s="4">
        <v>580000</v>
      </c>
      <c r="I77" s="6">
        <f t="shared" ca="1" si="10"/>
        <v>11</v>
      </c>
      <c r="J77" s="13" t="str">
        <f t="shared" ca="1" si="5"/>
        <v>정상</v>
      </c>
      <c r="K77" s="11"/>
      <c r="L77" s="11">
        <v>46045</v>
      </c>
      <c r="M77" s="10"/>
      <c r="N77" s="10" t="s">
        <v>20</v>
      </c>
      <c r="O77" s="6" t="s">
        <v>158</v>
      </c>
      <c r="P77" s="6" t="s">
        <v>159</v>
      </c>
      <c r="Q77" s="11">
        <v>46036</v>
      </c>
      <c r="R77" s="10" t="s">
        <v>60</v>
      </c>
      <c r="S77" s="10"/>
    </row>
    <row r="78" spans="2:19" s="6" customFormat="1" ht="16.5" customHeight="1" x14ac:dyDescent="0.3">
      <c r="B78" s="10">
        <f>IF(C78="","",COUNTA($C$2:C78))</f>
        <v>77</v>
      </c>
      <c r="C78" s="11">
        <v>46034</v>
      </c>
      <c r="D78" s="10" t="str">
        <f t="shared" si="9"/>
        <v>B</v>
      </c>
      <c r="E78" s="6" t="s">
        <v>118</v>
      </c>
      <c r="F78" s="6" t="s">
        <v>119</v>
      </c>
      <c r="G78" s="6" t="s">
        <v>49</v>
      </c>
      <c r="H78" s="4">
        <v>3418000</v>
      </c>
      <c r="I78" s="6">
        <f t="shared" ca="1" si="10"/>
        <v>0</v>
      </c>
      <c r="J78" s="13" t="str">
        <f t="shared" ca="1" si="5"/>
        <v>정상</v>
      </c>
      <c r="K78" s="11"/>
      <c r="L78" s="11">
        <v>46034</v>
      </c>
      <c r="M78" s="10"/>
      <c r="N78" s="10" t="s">
        <v>33</v>
      </c>
      <c r="Q78" s="11"/>
      <c r="R78" s="11"/>
      <c r="S78" s="10"/>
    </row>
    <row r="79" spans="2:19" s="6" customFormat="1" ht="16.5" customHeight="1" x14ac:dyDescent="0.3">
      <c r="B79" s="10">
        <f>IF(C79="","",COUNTA($C$2:C79))</f>
        <v>78</v>
      </c>
      <c r="C79" s="11">
        <v>46036</v>
      </c>
      <c r="D79" s="10" t="str">
        <f t="shared" si="9"/>
        <v>B</v>
      </c>
      <c r="E79" s="6" t="s">
        <v>120</v>
      </c>
      <c r="F79" s="6" t="s">
        <v>121</v>
      </c>
      <c r="G79" s="6" t="s">
        <v>49</v>
      </c>
      <c r="H79" s="4">
        <v>496500</v>
      </c>
      <c r="I79" s="6">
        <f t="shared" ca="1" si="10"/>
        <v>0</v>
      </c>
      <c r="J79" s="13" t="str">
        <f t="shared" ca="1" si="5"/>
        <v>정상</v>
      </c>
      <c r="K79" s="11"/>
      <c r="L79" s="11">
        <v>46036</v>
      </c>
      <c r="M79" s="10"/>
      <c r="N79" s="10" t="s">
        <v>33</v>
      </c>
      <c r="Q79" s="11"/>
      <c r="R79" s="11"/>
      <c r="S79" s="10"/>
    </row>
    <row r="80" spans="2:19" s="6" customFormat="1" ht="16.5" customHeight="1" x14ac:dyDescent="0.3">
      <c r="B80" s="10">
        <f>IF(C80="","",COUNTA($C$2:C80))</f>
        <v>79</v>
      </c>
      <c r="C80" s="11">
        <v>46038</v>
      </c>
      <c r="D80" s="10" t="str">
        <f t="shared" si="9"/>
        <v>B</v>
      </c>
      <c r="E80" s="6" t="s">
        <v>122</v>
      </c>
      <c r="F80" s="6" t="s">
        <v>123</v>
      </c>
      <c r="G80" s="6" t="s">
        <v>49</v>
      </c>
      <c r="H80" s="4">
        <v>280000</v>
      </c>
      <c r="I80" s="6">
        <f t="shared" ca="1" si="10"/>
        <v>25</v>
      </c>
      <c r="J80" s="13" t="str">
        <f t="shared" ca="1" si="5"/>
        <v>정상</v>
      </c>
      <c r="K80" s="11"/>
      <c r="L80" s="11"/>
      <c r="M80" s="10"/>
      <c r="N80" s="10" t="s">
        <v>33</v>
      </c>
      <c r="Q80" s="11"/>
      <c r="R80" s="11"/>
      <c r="S80" s="10"/>
    </row>
    <row r="81" spans="2:19" s="6" customFormat="1" ht="16.5" customHeight="1" x14ac:dyDescent="0.3">
      <c r="B81" s="10">
        <f>IF(C81="","",COUNTA($C$2:C81))</f>
        <v>80</v>
      </c>
      <c r="C81" s="11">
        <v>46038</v>
      </c>
      <c r="D81" s="10" t="str">
        <f t="shared" si="9"/>
        <v>B</v>
      </c>
      <c r="E81" s="6" t="s">
        <v>124</v>
      </c>
      <c r="F81" s="6" t="s">
        <v>125</v>
      </c>
      <c r="G81" s="6" t="s">
        <v>49</v>
      </c>
      <c r="H81" s="4">
        <v>380000</v>
      </c>
      <c r="I81" s="6">
        <f t="shared" ca="1" si="10"/>
        <v>0</v>
      </c>
      <c r="J81" s="13" t="str">
        <f t="shared" ca="1" si="5"/>
        <v>정상</v>
      </c>
      <c r="K81" s="11"/>
      <c r="L81" s="11">
        <v>46038</v>
      </c>
      <c r="M81" s="10"/>
      <c r="N81" s="10" t="s">
        <v>33</v>
      </c>
      <c r="Q81" s="11"/>
      <c r="R81" s="11"/>
      <c r="S81" s="10"/>
    </row>
    <row r="82" spans="2:19" s="6" customFormat="1" ht="16.5" customHeight="1" x14ac:dyDescent="0.3">
      <c r="B82" s="10">
        <f>IF(C82="","",COUNTA($C$2:C82))</f>
        <v>81</v>
      </c>
      <c r="C82" s="11">
        <v>46042</v>
      </c>
      <c r="D82" s="10" t="str">
        <f t="shared" si="9"/>
        <v>B</v>
      </c>
      <c r="E82" s="6" t="s">
        <v>24</v>
      </c>
      <c r="F82" s="6" t="s">
        <v>112</v>
      </c>
      <c r="G82" s="6" t="s">
        <v>49</v>
      </c>
      <c r="H82" s="4">
        <v>36816000</v>
      </c>
      <c r="I82" s="6">
        <f t="shared" ca="1" si="10"/>
        <v>21</v>
      </c>
      <c r="J82" s="13" t="str">
        <f t="shared" ca="1" si="5"/>
        <v>정상</v>
      </c>
      <c r="K82" s="11"/>
      <c r="L82" s="11"/>
      <c r="M82" s="10"/>
      <c r="N82" s="10" t="s">
        <v>20</v>
      </c>
      <c r="O82" s="6" t="s">
        <v>59</v>
      </c>
      <c r="P82" s="6" t="s">
        <v>159</v>
      </c>
      <c r="Q82" s="11">
        <v>46036</v>
      </c>
      <c r="R82" s="10" t="s">
        <v>60</v>
      </c>
      <c r="S82" s="10"/>
    </row>
    <row r="83" spans="2:19" s="6" customFormat="1" ht="16.5" customHeight="1" x14ac:dyDescent="0.3">
      <c r="B83" s="10">
        <f>IF(C83="","",COUNTA($C$2:C83))</f>
        <v>82</v>
      </c>
      <c r="C83" s="11">
        <v>46042</v>
      </c>
      <c r="D83" s="10" t="str">
        <f t="shared" si="9"/>
        <v>B</v>
      </c>
      <c r="E83" s="6" t="s">
        <v>24</v>
      </c>
      <c r="F83" s="6" t="s">
        <v>112</v>
      </c>
      <c r="G83" s="6" t="s">
        <v>49</v>
      </c>
      <c r="H83" s="4">
        <v>7390000</v>
      </c>
      <c r="I83" s="6">
        <f t="shared" ca="1" si="10"/>
        <v>21</v>
      </c>
      <c r="J83" s="13" t="str">
        <f t="shared" ca="1" si="5"/>
        <v>정상</v>
      </c>
      <c r="K83" s="11"/>
      <c r="L83" s="11"/>
      <c r="M83" s="10"/>
      <c r="N83" s="10" t="s">
        <v>20</v>
      </c>
      <c r="O83" s="6" t="s">
        <v>59</v>
      </c>
      <c r="P83" s="6" t="s">
        <v>159</v>
      </c>
      <c r="Q83" s="11">
        <v>46036</v>
      </c>
      <c r="R83" s="10" t="s">
        <v>60</v>
      </c>
      <c r="S83" s="10"/>
    </row>
    <row r="84" spans="2:19" s="6" customFormat="1" ht="16.5" customHeight="1" x14ac:dyDescent="0.3">
      <c r="B84" s="10">
        <f>IF(C84="","",COUNTA($C$2:C84))</f>
        <v>83</v>
      </c>
      <c r="C84" s="11">
        <v>46044</v>
      </c>
      <c r="D84" s="10" t="str">
        <f t="shared" si="9"/>
        <v>B</v>
      </c>
      <c r="E84" s="6" t="s">
        <v>24</v>
      </c>
      <c r="F84" s="6" t="s">
        <v>112</v>
      </c>
      <c r="G84" s="6" t="s">
        <v>49</v>
      </c>
      <c r="H84" s="4">
        <v>56770000</v>
      </c>
      <c r="I84" s="6">
        <f t="shared" ca="1" si="10"/>
        <v>19</v>
      </c>
      <c r="J84" s="13" t="str">
        <f t="shared" ca="1" si="5"/>
        <v>정상</v>
      </c>
      <c r="K84" s="11"/>
      <c r="L84" s="11"/>
      <c r="M84" s="10"/>
      <c r="N84" s="10" t="s">
        <v>20</v>
      </c>
      <c r="O84" s="6" t="s">
        <v>59</v>
      </c>
      <c r="P84" s="6" t="s">
        <v>159</v>
      </c>
      <c r="Q84" s="11">
        <v>46036</v>
      </c>
      <c r="R84" s="10" t="s">
        <v>60</v>
      </c>
      <c r="S84" s="10"/>
    </row>
    <row r="85" spans="2:19" s="6" customFormat="1" ht="16.5" customHeight="1" x14ac:dyDescent="0.3">
      <c r="B85" s="10">
        <f>IF(C85="","",COUNTA($C$2:C85))</f>
        <v>84</v>
      </c>
      <c r="C85" s="11">
        <v>46044</v>
      </c>
      <c r="D85" s="10" t="str">
        <f t="shared" si="9"/>
        <v>B</v>
      </c>
      <c r="E85" s="6" t="s">
        <v>126</v>
      </c>
      <c r="F85" s="6" t="s">
        <v>127</v>
      </c>
      <c r="G85" s="6" t="s">
        <v>49</v>
      </c>
      <c r="H85" s="4">
        <v>321000</v>
      </c>
      <c r="I85" s="6">
        <f t="shared" ca="1" si="10"/>
        <v>19</v>
      </c>
      <c r="J85" s="13" t="str">
        <f t="shared" ca="1" si="5"/>
        <v>정상</v>
      </c>
      <c r="K85" s="11"/>
      <c r="L85" s="11"/>
      <c r="M85" s="10"/>
      <c r="N85" s="10" t="s">
        <v>33</v>
      </c>
      <c r="Q85" s="11"/>
      <c r="R85" s="11"/>
      <c r="S85" s="10"/>
    </row>
    <row r="86" spans="2:19" s="6" customFormat="1" ht="16.5" customHeight="1" x14ac:dyDescent="0.3">
      <c r="B86" s="10">
        <f>IF(C86="","",COUNTA($C$2:C86))</f>
        <v>85</v>
      </c>
      <c r="C86" s="11">
        <v>46048</v>
      </c>
      <c r="D86" s="10" t="str">
        <f t="shared" si="9"/>
        <v>B</v>
      </c>
      <c r="E86" s="6" t="s">
        <v>24</v>
      </c>
      <c r="F86" s="6" t="s">
        <v>112</v>
      </c>
      <c r="G86" s="6" t="s">
        <v>49</v>
      </c>
      <c r="H86" s="4">
        <v>4784000</v>
      </c>
      <c r="I86" s="6">
        <f t="shared" ca="1" si="10"/>
        <v>15</v>
      </c>
      <c r="J86" s="13" t="str">
        <f t="shared" ca="1" si="5"/>
        <v>정상</v>
      </c>
      <c r="K86" s="11"/>
      <c r="L86" s="11"/>
      <c r="M86" s="10"/>
      <c r="N86" s="10" t="s">
        <v>20</v>
      </c>
      <c r="O86" s="6" t="s">
        <v>59</v>
      </c>
      <c r="P86" s="6" t="s">
        <v>159</v>
      </c>
      <c r="Q86" s="11">
        <v>46036</v>
      </c>
      <c r="R86" s="10" t="s">
        <v>60</v>
      </c>
      <c r="S86" s="10"/>
    </row>
    <row r="87" spans="2:19" s="6" customFormat="1" ht="16.5" customHeight="1" x14ac:dyDescent="0.3">
      <c r="B87" s="10">
        <f>IF(C87="","",COUNTA($C$2:C87))</f>
        <v>86</v>
      </c>
      <c r="C87" s="11">
        <v>46048</v>
      </c>
      <c r="D87" s="10" t="str">
        <f t="shared" si="9"/>
        <v>B</v>
      </c>
      <c r="E87" s="6" t="s">
        <v>128</v>
      </c>
      <c r="F87" s="6" t="s">
        <v>129</v>
      </c>
      <c r="G87" s="6" t="s">
        <v>49</v>
      </c>
      <c r="H87" s="4">
        <v>15356500</v>
      </c>
      <c r="I87" s="6">
        <f t="shared" ca="1" si="10"/>
        <v>15</v>
      </c>
      <c r="J87" s="13" t="str">
        <f t="shared" ca="1" si="5"/>
        <v>정상</v>
      </c>
      <c r="K87" s="11"/>
      <c r="L87" s="11"/>
      <c r="M87" s="10"/>
      <c r="N87" s="10" t="s">
        <v>33</v>
      </c>
      <c r="Q87" s="11"/>
      <c r="R87" s="11"/>
      <c r="S87" s="10"/>
    </row>
    <row r="88" spans="2:19" s="6" customFormat="1" ht="16.5" customHeight="1" x14ac:dyDescent="0.3">
      <c r="B88" s="10">
        <f>IF(C88="","",COUNTA($C$2:C88))</f>
        <v>87</v>
      </c>
      <c r="C88" s="11">
        <v>46051</v>
      </c>
      <c r="D88" s="10" t="str">
        <f t="shared" si="9"/>
        <v>B</v>
      </c>
      <c r="E88" s="6" t="s">
        <v>24</v>
      </c>
      <c r="F88" s="6" t="s">
        <v>112</v>
      </c>
      <c r="G88" s="6" t="s">
        <v>49</v>
      </c>
      <c r="H88" s="4">
        <v>17250000</v>
      </c>
      <c r="I88" s="6">
        <f t="shared" ca="1" si="10"/>
        <v>12</v>
      </c>
      <c r="J88" s="13" t="str">
        <f t="shared" ca="1" si="5"/>
        <v>정상</v>
      </c>
      <c r="K88" s="11"/>
      <c r="L88" s="11"/>
      <c r="M88" s="10"/>
      <c r="N88" s="10" t="s">
        <v>20</v>
      </c>
      <c r="O88" s="6" t="s">
        <v>59</v>
      </c>
      <c r="P88" s="6" t="s">
        <v>159</v>
      </c>
      <c r="Q88" s="11">
        <v>46036</v>
      </c>
      <c r="R88" s="10" t="s">
        <v>60</v>
      </c>
      <c r="S88" s="10"/>
    </row>
    <row r="89" spans="2:19" s="6" customFormat="1" ht="16.5" customHeight="1" x14ac:dyDescent="0.3">
      <c r="B89" s="10">
        <f>IF(C89="","",COUNTA($C$2:C89))</f>
        <v>88</v>
      </c>
      <c r="C89" s="11">
        <v>46051</v>
      </c>
      <c r="D89" s="10" t="str">
        <f t="shared" si="9"/>
        <v>B</v>
      </c>
      <c r="E89" s="6" t="s">
        <v>24</v>
      </c>
      <c r="F89" s="6" t="s">
        <v>112</v>
      </c>
      <c r="G89" s="6" t="s">
        <v>49</v>
      </c>
      <c r="H89" s="4">
        <v>5750000</v>
      </c>
      <c r="I89" s="6">
        <f t="shared" ca="1" si="10"/>
        <v>12</v>
      </c>
      <c r="J89" s="13" t="str">
        <f t="shared" ca="1" si="5"/>
        <v>정상</v>
      </c>
      <c r="K89" s="11"/>
      <c r="L89" s="11"/>
      <c r="M89" s="10"/>
      <c r="N89" s="10" t="s">
        <v>20</v>
      </c>
      <c r="O89" s="6" t="s">
        <v>59</v>
      </c>
      <c r="P89" s="6" t="s">
        <v>159</v>
      </c>
      <c r="Q89" s="11">
        <v>46036</v>
      </c>
      <c r="R89" s="10" t="s">
        <v>60</v>
      </c>
      <c r="S89" s="10"/>
    </row>
    <row r="90" spans="2:19" s="6" customFormat="1" ht="16.5" customHeight="1" x14ac:dyDescent="0.3">
      <c r="B90" s="10">
        <f>IF(C90="","",COUNTA($C$2:C90))</f>
        <v>89</v>
      </c>
      <c r="C90" s="11">
        <v>46055</v>
      </c>
      <c r="D90" s="10" t="str">
        <f t="shared" si="9"/>
        <v>B</v>
      </c>
      <c r="E90" s="6" t="s">
        <v>130</v>
      </c>
      <c r="F90" s="6" t="s">
        <v>131</v>
      </c>
      <c r="G90" s="6" t="s">
        <v>49</v>
      </c>
      <c r="H90" s="4">
        <v>231000</v>
      </c>
      <c r="I90" s="6">
        <f t="shared" ca="1" si="10"/>
        <v>0</v>
      </c>
      <c r="J90" s="13" t="str">
        <f t="shared" ca="1" si="5"/>
        <v>정상</v>
      </c>
      <c r="K90" s="11"/>
      <c r="L90" s="11">
        <v>46055</v>
      </c>
      <c r="M90" s="10"/>
      <c r="N90" s="10" t="s">
        <v>33</v>
      </c>
      <c r="Q90" s="11"/>
      <c r="R90" s="11"/>
      <c r="S90" s="10"/>
    </row>
    <row r="91" spans="2:19" s="6" customFormat="1" ht="16.5" customHeight="1" x14ac:dyDescent="0.3">
      <c r="B91" s="10">
        <f>IF(C91="","",COUNTA($C$2:C91))</f>
        <v>90</v>
      </c>
      <c r="C91" s="11">
        <v>46055</v>
      </c>
      <c r="D91" s="10" t="str">
        <f t="shared" si="9"/>
        <v>B</v>
      </c>
      <c r="E91" s="6" t="s">
        <v>132</v>
      </c>
      <c r="F91" s="6" t="s">
        <v>133</v>
      </c>
      <c r="G91" s="6" t="s">
        <v>49</v>
      </c>
      <c r="H91" s="4">
        <v>219000</v>
      </c>
      <c r="I91" s="6">
        <f t="shared" ca="1" si="10"/>
        <v>8</v>
      </c>
      <c r="J91" s="13" t="str">
        <f t="shared" ca="1" si="5"/>
        <v>정상</v>
      </c>
      <c r="K91" s="11"/>
      <c r="L91" s="11"/>
      <c r="M91" s="10"/>
      <c r="N91" s="10" t="s">
        <v>33</v>
      </c>
      <c r="Q91" s="11"/>
      <c r="R91" s="11"/>
      <c r="S91" s="10"/>
    </row>
    <row r="92" spans="2:19" s="6" customFormat="1" ht="16.5" customHeight="1" x14ac:dyDescent="0.3">
      <c r="B92" s="10">
        <f>IF(C92="","",COUNTA($C$2:C92))</f>
        <v>91</v>
      </c>
      <c r="C92" s="11">
        <v>46056</v>
      </c>
      <c r="D92" s="10" t="str">
        <f t="shared" si="9"/>
        <v>B</v>
      </c>
      <c r="E92" s="6" t="s">
        <v>134</v>
      </c>
      <c r="F92" s="6" t="s">
        <v>135</v>
      </c>
      <c r="G92" s="6" t="s">
        <v>49</v>
      </c>
      <c r="H92" s="4">
        <v>432000</v>
      </c>
      <c r="I92" s="6">
        <f t="shared" ca="1" si="10"/>
        <v>1</v>
      </c>
      <c r="J92" s="13" t="str">
        <f t="shared" ca="1" si="5"/>
        <v>정상</v>
      </c>
      <c r="K92" s="11"/>
      <c r="L92" s="11">
        <v>46057</v>
      </c>
      <c r="M92" s="10"/>
      <c r="N92" s="10" t="s">
        <v>33</v>
      </c>
      <c r="Q92" s="11"/>
      <c r="R92" s="11"/>
      <c r="S92" s="10"/>
    </row>
    <row r="93" spans="2:19" s="6" customFormat="1" ht="16.5" customHeight="1" x14ac:dyDescent="0.3">
      <c r="B93" s="10">
        <f>IF(C93="","",COUNTA($C$2:C93))</f>
        <v>92</v>
      </c>
      <c r="C93" s="11">
        <v>46052</v>
      </c>
      <c r="D93" s="10" t="str">
        <f t="shared" si="9"/>
        <v>C</v>
      </c>
      <c r="E93" s="6" t="s">
        <v>140</v>
      </c>
      <c r="F93" s="6" t="s">
        <v>141</v>
      </c>
      <c r="G93" s="6" t="s">
        <v>144</v>
      </c>
      <c r="H93" s="4">
        <v>478000</v>
      </c>
      <c r="I93" s="6">
        <f t="shared" ca="1" si="10"/>
        <v>7</v>
      </c>
      <c r="J93" s="13" t="str">
        <f t="shared" ca="1" si="5"/>
        <v>정상</v>
      </c>
      <c r="K93" s="11"/>
      <c r="L93" s="11">
        <v>46059</v>
      </c>
      <c r="M93" s="10"/>
      <c r="N93" s="10" t="s">
        <v>33</v>
      </c>
      <c r="Q93" s="11"/>
      <c r="R93" s="11"/>
      <c r="S93" s="10"/>
    </row>
    <row r="94" spans="2:19" s="6" customFormat="1" ht="16.5" customHeight="1" x14ac:dyDescent="0.3">
      <c r="B94" s="10">
        <f>IF(C94="","",COUNTA($C$2:C94))</f>
        <v>93</v>
      </c>
      <c r="C94" s="11">
        <v>46058</v>
      </c>
      <c r="D94" s="10" t="str">
        <f t="shared" si="9"/>
        <v>C</v>
      </c>
      <c r="E94" s="6" t="s">
        <v>142</v>
      </c>
      <c r="F94" s="6" t="s">
        <v>143</v>
      </c>
      <c r="G94" s="6" t="s">
        <v>144</v>
      </c>
      <c r="H94" s="4">
        <v>1206700</v>
      </c>
      <c r="I94" s="6">
        <f t="shared" ca="1" si="10"/>
        <v>5</v>
      </c>
      <c r="J94" s="13" t="str">
        <f t="shared" ca="1" si="5"/>
        <v>정상</v>
      </c>
      <c r="K94" s="11"/>
      <c r="L94" s="11"/>
      <c r="M94" s="10"/>
      <c r="N94" s="10" t="s">
        <v>33</v>
      </c>
      <c r="Q94" s="11"/>
      <c r="R94" s="11"/>
      <c r="S94" s="10"/>
    </row>
    <row r="95" spans="2:19" s="6" customFormat="1" ht="16.5" customHeight="1" x14ac:dyDescent="0.3">
      <c r="B95" s="10">
        <f>IF(C95="","",COUNTA($C$2:C95))</f>
        <v>94</v>
      </c>
      <c r="C95" s="11" t="s">
        <v>164</v>
      </c>
      <c r="D95" s="10" t="str">
        <f t="shared" si="9"/>
        <v>B</v>
      </c>
      <c r="E95" s="6" t="s">
        <v>114</v>
      </c>
      <c r="F95" s="6" t="s">
        <v>162</v>
      </c>
      <c r="G95" s="6" t="s">
        <v>49</v>
      </c>
      <c r="H95" s="4">
        <v>2627900</v>
      </c>
      <c r="I95" s="6">
        <f t="shared" ca="1" si="10"/>
        <v>1</v>
      </c>
      <c r="J95" s="13" t="str">
        <f t="shared" ca="1" si="5"/>
        <v>정상</v>
      </c>
      <c r="K95" s="11"/>
      <c r="L95" s="11"/>
      <c r="M95" s="10"/>
      <c r="N95" s="10" t="s">
        <v>33</v>
      </c>
      <c r="Q95" s="11"/>
      <c r="R95" s="11"/>
      <c r="S95" s="10"/>
    </row>
    <row r="96" spans="2:19" s="6" customFormat="1" ht="16.5" customHeight="1" x14ac:dyDescent="0.3">
      <c r="B96" s="10">
        <f>IF(C96="","",COUNTA($C$2:C96))</f>
        <v>95</v>
      </c>
      <c r="C96" s="11" t="s">
        <v>164</v>
      </c>
      <c r="D96" s="10" t="str">
        <f t="shared" si="9"/>
        <v>B</v>
      </c>
      <c r="E96" s="6" t="s">
        <v>118</v>
      </c>
      <c r="F96" s="6" t="s">
        <v>163</v>
      </c>
      <c r="G96" s="6" t="s">
        <v>49</v>
      </c>
      <c r="H96" s="4">
        <v>1210000</v>
      </c>
      <c r="I96" s="6">
        <f t="shared" ca="1" si="10"/>
        <v>0</v>
      </c>
      <c r="J96" s="13" t="str">
        <f t="shared" ca="1" si="5"/>
        <v>정상</v>
      </c>
      <c r="K96" s="11"/>
      <c r="L96" s="11">
        <v>46062</v>
      </c>
      <c r="M96" s="10"/>
      <c r="N96" s="10" t="s">
        <v>33</v>
      </c>
      <c r="Q96" s="11"/>
      <c r="R96" s="11"/>
      <c r="S96" s="10"/>
    </row>
    <row r="97" spans="2:19" s="6" customFormat="1" ht="16.5" customHeight="1" x14ac:dyDescent="0.3">
      <c r="B97" s="10" t="str">
        <f>IF(C97="","",COUNTA($C$2:C97))</f>
        <v/>
      </c>
      <c r="C97" s="11"/>
      <c r="D97" s="10" t="str">
        <f t="shared" si="9"/>
        <v/>
      </c>
      <c r="H97" s="4"/>
      <c r="I97" s="6" t="str">
        <f t="shared" ca="1" si="10"/>
        <v/>
      </c>
      <c r="J97" s="13" t="str">
        <f t="shared" ca="1" si="5"/>
        <v/>
      </c>
      <c r="K97" s="11"/>
      <c r="L97" s="11"/>
      <c r="M97" s="10"/>
      <c r="N97" s="10"/>
      <c r="Q97" s="11"/>
      <c r="R97" s="11"/>
      <c r="S97" s="10"/>
    </row>
    <row r="98" spans="2:19" s="6" customFormat="1" ht="16.5" customHeight="1" x14ac:dyDescent="0.3">
      <c r="B98" s="10" t="str">
        <f>IF(C98="","",COUNTA($C$2:C98))</f>
        <v/>
      </c>
      <c r="C98" s="11"/>
      <c r="D98" s="10" t="str">
        <f t="shared" si="9"/>
        <v/>
      </c>
      <c r="H98" s="4"/>
      <c r="I98" s="6" t="str">
        <f t="shared" ca="1" si="10"/>
        <v/>
      </c>
      <c r="J98" s="13" t="str">
        <f t="shared" ca="1" si="5"/>
        <v/>
      </c>
      <c r="K98" s="11"/>
      <c r="L98" s="11"/>
      <c r="M98" s="10"/>
      <c r="N98" s="10"/>
      <c r="Q98" s="11"/>
      <c r="R98" s="11"/>
      <c r="S98" s="10"/>
    </row>
    <row r="99" spans="2:19" s="6" customFormat="1" ht="16.5" customHeight="1" x14ac:dyDescent="0.3">
      <c r="B99" s="10" t="str">
        <f>IF(C99="","",COUNTA($C$2:C99))</f>
        <v/>
      </c>
      <c r="C99" s="11"/>
      <c r="D99" s="10" t="str">
        <f t="shared" si="9"/>
        <v/>
      </c>
      <c r="H99" s="4"/>
      <c r="I99" s="6" t="str">
        <f t="shared" ca="1" si="10"/>
        <v/>
      </c>
      <c r="J99" s="13" t="str">
        <f t="shared" ca="1" si="5"/>
        <v/>
      </c>
      <c r="K99" s="11"/>
      <c r="L99" s="11"/>
      <c r="M99" s="10"/>
      <c r="N99" s="10"/>
      <c r="Q99" s="11"/>
      <c r="R99" s="11"/>
      <c r="S99" s="10"/>
    </row>
    <row r="100" spans="2:19" s="6" customFormat="1" ht="16.5" customHeight="1" x14ac:dyDescent="0.3">
      <c r="B100" s="10" t="str">
        <f>IF(C100="","",COUNTA($C$2:C100))</f>
        <v/>
      </c>
      <c r="C100" s="11"/>
      <c r="D100" s="10" t="str">
        <f t="shared" si="9"/>
        <v/>
      </c>
      <c r="H100" s="4"/>
      <c r="I100" s="6" t="str">
        <f t="shared" ca="1" si="10"/>
        <v/>
      </c>
      <c r="J100" s="13" t="str">
        <f t="shared" ca="1" si="5"/>
        <v/>
      </c>
      <c r="K100" s="11"/>
      <c r="L100" s="11"/>
      <c r="M100" s="10"/>
      <c r="N100" s="10"/>
      <c r="Q100" s="11"/>
      <c r="R100" s="11"/>
      <c r="S100" s="10"/>
    </row>
    <row r="101" spans="2:19" s="6" customFormat="1" ht="16.5" customHeight="1" x14ac:dyDescent="0.3">
      <c r="B101" s="10" t="str">
        <f>IF(C101="","",COUNTA($C$2:C101))</f>
        <v/>
      </c>
      <c r="C101" s="11"/>
      <c r="D101" s="10" t="str">
        <f t="shared" si="9"/>
        <v/>
      </c>
      <c r="H101" s="4"/>
      <c r="I101" s="6" t="str">
        <f t="shared" ca="1" si="10"/>
        <v/>
      </c>
      <c r="J101" s="13" t="str">
        <f t="shared" ca="1" si="5"/>
        <v/>
      </c>
      <c r="K101" s="11"/>
      <c r="L101" s="11"/>
      <c r="M101" s="10"/>
      <c r="N101" s="10"/>
      <c r="Q101" s="11"/>
      <c r="R101" s="11"/>
      <c r="S101" s="10"/>
    </row>
    <row r="102" spans="2:19" s="6" customFormat="1" ht="16.5" customHeight="1" x14ac:dyDescent="0.3">
      <c r="B102" s="10" t="str">
        <f>IF(C102="","",COUNTA($C$2:C102))</f>
        <v/>
      </c>
      <c r="C102" s="11"/>
      <c r="D102" s="10" t="str">
        <f t="shared" si="9"/>
        <v/>
      </c>
      <c r="H102" s="4"/>
      <c r="I102" s="6" t="str">
        <f t="shared" ca="1" si="10"/>
        <v/>
      </c>
      <c r="J102" s="13" t="str">
        <f t="shared" ca="1" si="5"/>
        <v/>
      </c>
      <c r="K102" s="11"/>
      <c r="L102" s="11"/>
      <c r="M102" s="10"/>
      <c r="N102" s="10"/>
      <c r="Q102" s="11"/>
      <c r="R102" s="11"/>
      <c r="S102" s="10"/>
    </row>
    <row r="103" spans="2:19" s="6" customFormat="1" ht="16.5" customHeight="1" x14ac:dyDescent="0.3">
      <c r="B103" s="10" t="str">
        <f>IF(C103="","",COUNTA($C$2:C103))</f>
        <v/>
      </c>
      <c r="C103" s="11"/>
      <c r="D103" s="10" t="str">
        <f t="shared" si="9"/>
        <v/>
      </c>
      <c r="H103" s="4"/>
      <c r="I103" s="6" t="str">
        <f t="shared" ca="1" si="10"/>
        <v/>
      </c>
      <c r="J103" s="13" t="str">
        <f t="shared" ca="1" si="5"/>
        <v/>
      </c>
      <c r="K103" s="11"/>
      <c r="L103" s="11"/>
      <c r="M103" s="10"/>
      <c r="N103" s="10"/>
      <c r="Q103" s="11"/>
      <c r="R103" s="11"/>
      <c r="S103" s="10"/>
    </row>
    <row r="104" spans="2:19" s="6" customFormat="1" ht="16.5" customHeight="1" x14ac:dyDescent="0.3">
      <c r="B104" s="10" t="str">
        <f>IF(C104="","",COUNTA($C$2:C104))</f>
        <v/>
      </c>
      <c r="C104" s="11"/>
      <c r="D104" s="10" t="str">
        <f t="shared" si="9"/>
        <v/>
      </c>
      <c r="H104" s="4"/>
      <c r="I104" s="6" t="str">
        <f t="shared" ca="1" si="10"/>
        <v/>
      </c>
      <c r="J104" s="13" t="str">
        <f t="shared" ca="1" si="5"/>
        <v/>
      </c>
      <c r="K104" s="11"/>
      <c r="L104" s="11"/>
      <c r="M104" s="10"/>
      <c r="N104" s="10"/>
      <c r="Q104" s="11"/>
      <c r="R104" s="11"/>
      <c r="S104" s="10"/>
    </row>
    <row r="105" spans="2:19" s="6" customFormat="1" ht="16.5" customHeight="1" x14ac:dyDescent="0.3">
      <c r="B105" s="10" t="str">
        <f>IF(C105="","",COUNTA($C$2:C105))</f>
        <v/>
      </c>
      <c r="C105" s="11"/>
      <c r="D105" s="10" t="str">
        <f t="shared" si="9"/>
        <v/>
      </c>
      <c r="H105" s="4"/>
      <c r="I105" s="6" t="str">
        <f t="shared" ca="1" si="10"/>
        <v/>
      </c>
      <c r="J105" s="13" t="str">
        <f t="shared" ca="1" si="5"/>
        <v/>
      </c>
      <c r="K105" s="11"/>
      <c r="L105" s="11"/>
      <c r="M105" s="10"/>
      <c r="N105" s="10"/>
      <c r="Q105" s="11"/>
      <c r="R105" s="11"/>
      <c r="S105" s="10"/>
    </row>
    <row r="106" spans="2:19" s="6" customFormat="1" ht="16.5" customHeight="1" x14ac:dyDescent="0.3">
      <c r="B106" s="10" t="str">
        <f>IF(C106="","",COUNTA($C$2:C106))</f>
        <v/>
      </c>
      <c r="C106" s="11"/>
      <c r="D106" s="10" t="str">
        <f t="shared" si="9"/>
        <v/>
      </c>
      <c r="H106" s="4"/>
      <c r="I106" s="6" t="str">
        <f t="shared" ca="1" si="10"/>
        <v/>
      </c>
      <c r="J106" s="13" t="str">
        <f t="shared" ca="1" si="5"/>
        <v/>
      </c>
      <c r="K106" s="11"/>
      <c r="L106" s="11"/>
      <c r="M106" s="10"/>
      <c r="N106" s="10"/>
      <c r="Q106" s="11"/>
      <c r="R106" s="11"/>
      <c r="S106" s="10"/>
    </row>
    <row r="107" spans="2:19" s="6" customFormat="1" ht="16.5" customHeight="1" x14ac:dyDescent="0.3">
      <c r="B107" s="10" t="str">
        <f>IF(C107="","",COUNTA($C$2:C107))</f>
        <v/>
      </c>
      <c r="C107" s="11"/>
      <c r="D107" s="10" t="str">
        <f t="shared" si="9"/>
        <v/>
      </c>
      <c r="H107" s="4"/>
      <c r="I107" s="6" t="str">
        <f t="shared" ca="1" si="10"/>
        <v/>
      </c>
      <c r="J107" s="13" t="str">
        <f t="shared" ca="1" si="5"/>
        <v/>
      </c>
      <c r="K107" s="11"/>
      <c r="L107" s="11"/>
      <c r="M107" s="10"/>
      <c r="N107" s="10"/>
      <c r="Q107" s="11"/>
      <c r="R107" s="11"/>
      <c r="S107" s="10"/>
    </row>
    <row r="108" spans="2:19" s="6" customFormat="1" ht="16.5" customHeight="1" x14ac:dyDescent="0.3">
      <c r="B108" s="10" t="str">
        <f>IF(C108="","",COUNTA($C$2:C108))</f>
        <v/>
      </c>
      <c r="C108" s="11"/>
      <c r="D108" s="10" t="str">
        <f t="shared" si="9"/>
        <v/>
      </c>
      <c r="H108" s="4"/>
      <c r="I108" s="6" t="str">
        <f t="shared" ca="1" si="10"/>
        <v/>
      </c>
      <c r="J108" s="13" t="str">
        <f t="shared" ca="1" si="5"/>
        <v/>
      </c>
      <c r="K108" s="11"/>
      <c r="L108" s="11"/>
      <c r="M108" s="10"/>
      <c r="N108" s="10"/>
      <c r="Q108" s="11"/>
      <c r="R108" s="11"/>
      <c r="S108" s="10"/>
    </row>
    <row r="109" spans="2:19" s="6" customFormat="1" ht="16.5" customHeight="1" x14ac:dyDescent="0.3">
      <c r="B109" s="10" t="str">
        <f>IF(C109="","",COUNTA($C$2:C109))</f>
        <v/>
      </c>
      <c r="C109" s="11"/>
      <c r="D109" s="10" t="str">
        <f t="shared" si="9"/>
        <v/>
      </c>
      <c r="H109" s="4"/>
      <c r="I109" s="6" t="str">
        <f t="shared" ca="1" si="10"/>
        <v/>
      </c>
      <c r="J109" s="13" t="str">
        <f t="shared" ca="1" si="5"/>
        <v/>
      </c>
      <c r="K109" s="11"/>
      <c r="L109" s="11"/>
      <c r="M109" s="10"/>
      <c r="N109" s="10"/>
      <c r="Q109" s="11"/>
      <c r="R109" s="11"/>
      <c r="S109" s="10"/>
    </row>
    <row r="110" spans="2:19" s="6" customFormat="1" ht="16.5" customHeight="1" x14ac:dyDescent="0.3">
      <c r="B110" s="10" t="str">
        <f>IF(C110="","",COUNTA($C$2:C110))</f>
        <v/>
      </c>
      <c r="C110" s="11"/>
      <c r="D110" s="10" t="str">
        <f t="shared" si="9"/>
        <v/>
      </c>
      <c r="H110" s="4"/>
      <c r="I110" s="6" t="str">
        <f t="shared" ca="1" si="10"/>
        <v/>
      </c>
      <c r="J110" s="13" t="str">
        <f t="shared" ca="1" si="5"/>
        <v/>
      </c>
      <c r="K110" s="11"/>
      <c r="L110" s="11"/>
      <c r="M110" s="10"/>
      <c r="N110" s="10"/>
      <c r="Q110" s="11"/>
      <c r="R110" s="11"/>
      <c r="S110" s="10"/>
    </row>
    <row r="111" spans="2:19" s="6" customFormat="1" ht="16.5" customHeight="1" x14ac:dyDescent="0.3">
      <c r="B111" s="10" t="str">
        <f>IF(C111="","",COUNTA($C$2:C111))</f>
        <v/>
      </c>
      <c r="C111" s="11"/>
      <c r="D111" s="10" t="str">
        <f t="shared" si="9"/>
        <v/>
      </c>
      <c r="H111" s="4"/>
      <c r="I111" s="6" t="str">
        <f t="shared" ca="1" si="10"/>
        <v/>
      </c>
      <c r="J111" s="13" t="str">
        <f t="shared" ca="1" si="5"/>
        <v/>
      </c>
      <c r="K111" s="11"/>
      <c r="L111" s="11"/>
      <c r="M111" s="10"/>
      <c r="N111" s="10"/>
      <c r="Q111" s="11"/>
      <c r="R111" s="11"/>
      <c r="S111" s="10"/>
    </row>
    <row r="112" spans="2:19" s="6" customFormat="1" ht="16.5" customHeight="1" x14ac:dyDescent="0.3">
      <c r="B112" s="10" t="str">
        <f>IF(C112="","",COUNTA($C$2:C112))</f>
        <v/>
      </c>
      <c r="C112" s="11"/>
      <c r="D112" s="10" t="str">
        <f t="shared" si="9"/>
        <v/>
      </c>
      <c r="H112" s="4"/>
      <c r="I112" s="6" t="str">
        <f t="shared" ca="1" si="10"/>
        <v/>
      </c>
      <c r="J112" s="13" t="str">
        <f t="shared" ca="1" si="5"/>
        <v/>
      </c>
      <c r="K112" s="11"/>
      <c r="L112" s="11"/>
      <c r="M112" s="10"/>
      <c r="N112" s="10"/>
      <c r="Q112" s="11"/>
      <c r="R112" s="11"/>
      <c r="S112" s="10"/>
    </row>
    <row r="113" spans="2:19" s="6" customFormat="1" ht="16.5" customHeight="1" x14ac:dyDescent="0.3">
      <c r="B113" s="10" t="str">
        <f>IF(C113="","",COUNTA($C$2:C113))</f>
        <v/>
      </c>
      <c r="C113" s="11"/>
      <c r="D113" s="10" t="str">
        <f t="shared" si="9"/>
        <v/>
      </c>
      <c r="H113" s="4"/>
      <c r="I113" s="6" t="str">
        <f t="shared" ca="1" si="10"/>
        <v/>
      </c>
      <c r="J113" s="13" t="str">
        <f t="shared" ca="1" si="5"/>
        <v/>
      </c>
      <c r="K113" s="11"/>
      <c r="L113" s="11"/>
      <c r="M113" s="10"/>
      <c r="N113" s="10"/>
      <c r="Q113" s="11"/>
      <c r="R113" s="11"/>
      <c r="S113" s="10"/>
    </row>
    <row r="114" spans="2:19" s="6" customFormat="1" ht="16.5" customHeight="1" x14ac:dyDescent="0.3">
      <c r="B114" s="10" t="str">
        <f>IF(C114="","",COUNTA($C$2:C114))</f>
        <v/>
      </c>
      <c r="C114" s="11"/>
      <c r="D114" s="10" t="str">
        <f t="shared" si="9"/>
        <v/>
      </c>
      <c r="H114" s="4"/>
      <c r="I114" s="6" t="str">
        <f t="shared" ca="1" si="10"/>
        <v/>
      </c>
      <c r="J114" s="13" t="str">
        <f t="shared" ref="J114:J130" ca="1" si="11">IF(I114="","",
 IF(G114="선급금",
   IF(I114&lt;=20,"정상",IF(I114&lt;=90,"관리","장기미수")),
 IF(G114="자재",
   IF(I114&lt;=40,"정상",IF(I114&lt;=90,"관리","장기미수")),
   IF(I114&lt;=30,"정상",IF(I114&lt;=90,"관리","장기미수"))
  )
 )
)</f>
        <v/>
      </c>
      <c r="K114" s="11"/>
      <c r="L114" s="11"/>
      <c r="M114" s="10"/>
      <c r="N114" s="10"/>
      <c r="Q114" s="11"/>
      <c r="R114" s="11"/>
      <c r="S114" s="10"/>
    </row>
    <row r="115" spans="2:19" s="6" customFormat="1" ht="16.5" customHeight="1" x14ac:dyDescent="0.3">
      <c r="B115" s="10" t="str">
        <f>IF(C115="","",COUNTA($C$2:C115))</f>
        <v/>
      </c>
      <c r="C115" s="11"/>
      <c r="D115" s="10" t="str">
        <f t="shared" si="9"/>
        <v/>
      </c>
      <c r="H115" s="4"/>
      <c r="I115" s="6" t="str">
        <f t="shared" ca="1" si="10"/>
        <v/>
      </c>
      <c r="J115" s="13" t="str">
        <f t="shared" ca="1" si="11"/>
        <v/>
      </c>
      <c r="K115" s="11"/>
      <c r="L115" s="11"/>
      <c r="M115" s="10"/>
      <c r="N115" s="10"/>
      <c r="Q115" s="11"/>
      <c r="R115" s="11"/>
      <c r="S115" s="10"/>
    </row>
    <row r="116" spans="2:19" s="6" customFormat="1" ht="16.5" customHeight="1" x14ac:dyDescent="0.3">
      <c r="B116" s="10" t="str">
        <f>IF(C116="","",COUNTA($C$2:C116))</f>
        <v/>
      </c>
      <c r="C116" s="11"/>
      <c r="D116" s="10" t="str">
        <f t="shared" si="9"/>
        <v/>
      </c>
      <c r="H116" s="4"/>
      <c r="I116" s="6" t="str">
        <f t="shared" ca="1" si="10"/>
        <v/>
      </c>
      <c r="J116" s="13" t="str">
        <f t="shared" ca="1" si="11"/>
        <v/>
      </c>
      <c r="K116" s="11"/>
      <c r="L116" s="11"/>
      <c r="M116" s="10"/>
      <c r="N116" s="10"/>
      <c r="Q116" s="11"/>
      <c r="R116" s="11"/>
      <c r="S116" s="10"/>
    </row>
    <row r="117" spans="2:19" s="6" customFormat="1" ht="16.5" customHeight="1" x14ac:dyDescent="0.3">
      <c r="B117" s="10" t="str">
        <f>IF(C117="","",COUNTA($C$2:C117))</f>
        <v/>
      </c>
      <c r="C117" s="11"/>
      <c r="D117" s="10" t="str">
        <f t="shared" si="9"/>
        <v/>
      </c>
      <c r="H117" s="4"/>
      <c r="I117" s="6" t="str">
        <f t="shared" ca="1" si="10"/>
        <v/>
      </c>
      <c r="J117" s="13" t="str">
        <f t="shared" ca="1" si="11"/>
        <v/>
      </c>
      <c r="K117" s="11"/>
      <c r="L117" s="11"/>
      <c r="M117" s="10"/>
      <c r="N117" s="10"/>
      <c r="Q117" s="11"/>
      <c r="R117" s="11"/>
      <c r="S117" s="10"/>
    </row>
    <row r="118" spans="2:19" s="6" customFormat="1" ht="16.5" customHeight="1" x14ac:dyDescent="0.3">
      <c r="B118" s="10" t="str">
        <f>IF(C118="","",COUNTA($C$2:C118))</f>
        <v/>
      </c>
      <c r="C118" s="11"/>
      <c r="D118" s="10" t="str">
        <f t="shared" si="9"/>
        <v/>
      </c>
      <c r="H118" s="4"/>
      <c r="I118" s="6" t="str">
        <f t="shared" ca="1" si="10"/>
        <v/>
      </c>
      <c r="J118" s="13" t="str">
        <f t="shared" ca="1" si="11"/>
        <v/>
      </c>
      <c r="K118" s="11"/>
      <c r="L118" s="11"/>
      <c r="M118" s="10"/>
      <c r="N118" s="10"/>
      <c r="Q118" s="11"/>
      <c r="R118" s="11"/>
      <c r="S118" s="10"/>
    </row>
    <row r="119" spans="2:19" s="6" customFormat="1" ht="16.5" customHeight="1" x14ac:dyDescent="0.3">
      <c r="B119" s="10" t="str">
        <f>IF(C119="","",COUNTA($C$2:C119))</f>
        <v/>
      </c>
      <c r="C119" s="11"/>
      <c r="D119" s="10" t="str">
        <f t="shared" si="9"/>
        <v/>
      </c>
      <c r="H119" s="4"/>
      <c r="I119" s="6" t="str">
        <f t="shared" ca="1" si="10"/>
        <v/>
      </c>
      <c r="J119" s="13" t="str">
        <f t="shared" ca="1" si="11"/>
        <v/>
      </c>
      <c r="K119" s="11"/>
      <c r="L119" s="11"/>
      <c r="M119" s="10"/>
      <c r="N119" s="10"/>
      <c r="Q119" s="11"/>
      <c r="R119" s="11"/>
      <c r="S119" s="10"/>
    </row>
    <row r="120" spans="2:19" s="6" customFormat="1" ht="16.5" customHeight="1" x14ac:dyDescent="0.3">
      <c r="B120" s="10" t="str">
        <f>IF(C120="","",COUNTA($C$2:C120))</f>
        <v/>
      </c>
      <c r="C120" s="11"/>
      <c r="D120" s="10" t="str">
        <f t="shared" si="9"/>
        <v/>
      </c>
      <c r="H120" s="4"/>
      <c r="I120" s="6" t="str">
        <f t="shared" ca="1" si="10"/>
        <v/>
      </c>
      <c r="J120" s="13" t="str">
        <f t="shared" ca="1" si="11"/>
        <v/>
      </c>
      <c r="K120" s="11"/>
      <c r="L120" s="11"/>
      <c r="M120" s="10"/>
      <c r="N120" s="10"/>
      <c r="Q120" s="11"/>
      <c r="R120" s="11"/>
      <c r="S120" s="10"/>
    </row>
    <row r="121" spans="2:19" s="6" customFormat="1" ht="16.5" customHeight="1" x14ac:dyDescent="0.3">
      <c r="B121" s="10" t="str">
        <f>IF(C121="","",COUNTA($C$2:C121))</f>
        <v/>
      </c>
      <c r="C121" s="11"/>
      <c r="D121" s="10" t="str">
        <f t="shared" si="9"/>
        <v/>
      </c>
      <c r="H121" s="4"/>
      <c r="I121" s="6" t="str">
        <f t="shared" ca="1" si="10"/>
        <v/>
      </c>
      <c r="J121" s="13" t="str">
        <f t="shared" ca="1" si="11"/>
        <v/>
      </c>
      <c r="K121" s="11"/>
      <c r="L121" s="11"/>
      <c r="M121" s="10"/>
      <c r="N121" s="10"/>
      <c r="Q121" s="11"/>
      <c r="R121" s="11"/>
      <c r="S121" s="10"/>
    </row>
    <row r="122" spans="2:19" s="6" customFormat="1" ht="16.5" customHeight="1" x14ac:dyDescent="0.3">
      <c r="B122" s="10" t="str">
        <f>IF(C122="","",COUNTA($C$2:C122))</f>
        <v/>
      </c>
      <c r="C122" s="11"/>
      <c r="D122" s="10" t="str">
        <f t="shared" si="9"/>
        <v/>
      </c>
      <c r="H122" s="4"/>
      <c r="I122" s="6" t="str">
        <f t="shared" ca="1" si="10"/>
        <v/>
      </c>
      <c r="J122" s="13" t="str">
        <f t="shared" ca="1" si="11"/>
        <v/>
      </c>
      <c r="K122" s="11"/>
      <c r="L122" s="11"/>
      <c r="M122" s="10"/>
      <c r="N122" s="10"/>
      <c r="Q122" s="11"/>
      <c r="R122" s="11"/>
      <c r="S122" s="10"/>
    </row>
    <row r="123" spans="2:19" s="6" customFormat="1" ht="16.5" customHeight="1" x14ac:dyDescent="0.3">
      <c r="B123" s="10" t="str">
        <f>IF(C123="","",COUNTA($C$2:C123))</f>
        <v/>
      </c>
      <c r="C123" s="11"/>
      <c r="D123" s="10" t="str">
        <f t="shared" si="9"/>
        <v/>
      </c>
      <c r="H123" s="4"/>
      <c r="I123" s="6" t="str">
        <f t="shared" ca="1" si="10"/>
        <v/>
      </c>
      <c r="J123" s="13" t="str">
        <f t="shared" ca="1" si="11"/>
        <v/>
      </c>
      <c r="K123" s="11"/>
      <c r="L123" s="11"/>
      <c r="M123" s="10"/>
      <c r="N123" s="10"/>
      <c r="Q123" s="11"/>
      <c r="R123" s="11"/>
      <c r="S123" s="10"/>
    </row>
    <row r="124" spans="2:19" s="6" customFormat="1" ht="16.5" customHeight="1" x14ac:dyDescent="0.3">
      <c r="B124" s="10" t="str">
        <f>IF(C124="","",COUNTA($C$2:C124))</f>
        <v/>
      </c>
      <c r="C124" s="11"/>
      <c r="D124" s="10" t="str">
        <f t="shared" si="9"/>
        <v/>
      </c>
      <c r="H124" s="4"/>
      <c r="I124" s="6" t="str">
        <f t="shared" ca="1" si="10"/>
        <v/>
      </c>
      <c r="J124" s="13" t="str">
        <f t="shared" ca="1" si="11"/>
        <v/>
      </c>
      <c r="K124" s="11"/>
      <c r="L124" s="11"/>
      <c r="M124" s="10"/>
      <c r="N124" s="10"/>
      <c r="Q124" s="11"/>
      <c r="R124" s="11"/>
      <c r="S124" s="10"/>
    </row>
    <row r="125" spans="2:19" s="6" customFormat="1" ht="16.5" customHeight="1" x14ac:dyDescent="0.3">
      <c r="B125" s="10" t="str">
        <f>IF(C125="","",COUNTA($C$2:C125))</f>
        <v/>
      </c>
      <c r="C125" s="11"/>
      <c r="D125" s="10" t="str">
        <f t="shared" si="9"/>
        <v/>
      </c>
      <c r="H125" s="4"/>
      <c r="I125" s="6" t="str">
        <f t="shared" ca="1" si="10"/>
        <v/>
      </c>
      <c r="J125" s="13" t="str">
        <f t="shared" ca="1" si="11"/>
        <v/>
      </c>
      <c r="K125" s="11"/>
      <c r="L125" s="11"/>
      <c r="M125" s="10"/>
      <c r="N125" s="10"/>
      <c r="Q125" s="11"/>
      <c r="R125" s="11"/>
      <c r="S125" s="10"/>
    </row>
    <row r="126" spans="2:19" s="6" customFormat="1" ht="16.5" customHeight="1" x14ac:dyDescent="0.3">
      <c r="B126" s="10" t="str">
        <f>IF(C126="","",COUNTA($C$2:C126))</f>
        <v/>
      </c>
      <c r="C126" s="11"/>
      <c r="D126" s="10" t="str">
        <f t="shared" si="9"/>
        <v/>
      </c>
      <c r="H126" s="4"/>
      <c r="I126" s="6" t="str">
        <f t="shared" ca="1" si="10"/>
        <v/>
      </c>
      <c r="J126" s="13" t="str">
        <f t="shared" ca="1" si="11"/>
        <v/>
      </c>
      <c r="K126" s="11"/>
      <c r="L126" s="11"/>
      <c r="M126" s="10"/>
      <c r="N126" s="10"/>
      <c r="Q126" s="11"/>
      <c r="R126" s="11"/>
      <c r="S126" s="10"/>
    </row>
    <row r="127" spans="2:19" s="6" customFormat="1" ht="16.5" customHeight="1" x14ac:dyDescent="0.3">
      <c r="B127" s="10" t="str">
        <f>IF(C127="","",COUNTA($C$2:C127))</f>
        <v/>
      </c>
      <c r="C127" s="11"/>
      <c r="D127" s="10" t="str">
        <f t="shared" si="9"/>
        <v/>
      </c>
      <c r="H127" s="4"/>
      <c r="I127" s="6" t="str">
        <f t="shared" ca="1" si="10"/>
        <v/>
      </c>
      <c r="J127" s="13" t="str">
        <f t="shared" ca="1" si="11"/>
        <v/>
      </c>
      <c r="K127" s="11"/>
      <c r="L127" s="11"/>
      <c r="M127" s="10"/>
      <c r="N127" s="10"/>
      <c r="Q127" s="11"/>
      <c r="R127" s="11"/>
      <c r="S127" s="10"/>
    </row>
    <row r="128" spans="2:19" s="6" customFormat="1" ht="16.5" customHeight="1" x14ac:dyDescent="0.3">
      <c r="B128" s="10" t="str">
        <f>IF(C128="","",COUNTA($C$2:C128))</f>
        <v/>
      </c>
      <c r="C128" s="11"/>
      <c r="D128" s="10" t="str">
        <f t="shared" si="9"/>
        <v/>
      </c>
      <c r="H128" s="4"/>
      <c r="I128" s="6" t="str">
        <f t="shared" ca="1" si="10"/>
        <v/>
      </c>
      <c r="J128" s="13" t="str">
        <f t="shared" ca="1" si="11"/>
        <v/>
      </c>
      <c r="K128" s="11"/>
      <c r="L128" s="11"/>
      <c r="M128" s="10"/>
      <c r="N128" s="10"/>
      <c r="Q128" s="11"/>
      <c r="R128" s="11"/>
      <c r="S128" s="10"/>
    </row>
    <row r="129" spans="2:19" s="6" customFormat="1" ht="16.5" customHeight="1" x14ac:dyDescent="0.3">
      <c r="B129" s="10" t="str">
        <f>IF(C129="","",COUNTA($C$2:C129))</f>
        <v/>
      </c>
      <c r="C129" s="11"/>
      <c r="D129" s="10" t="str">
        <f t="shared" si="9"/>
        <v/>
      </c>
      <c r="H129" s="4"/>
      <c r="I129" s="6" t="str">
        <f t="shared" ca="1" si="10"/>
        <v/>
      </c>
      <c r="J129" s="13" t="str">
        <f t="shared" ca="1" si="11"/>
        <v/>
      </c>
      <c r="K129" s="11"/>
      <c r="L129" s="11"/>
      <c r="M129" s="10"/>
      <c r="N129" s="10"/>
      <c r="Q129" s="11"/>
      <c r="R129" s="11"/>
      <c r="S129" s="10"/>
    </row>
    <row r="130" spans="2:19" s="6" customFormat="1" ht="16.5" customHeight="1" x14ac:dyDescent="0.3">
      <c r="B130" s="10" t="str">
        <f>IF(C130="","",COUNTA($C$2:C130))</f>
        <v/>
      </c>
      <c r="C130" s="11"/>
      <c r="D130" s="10" t="str">
        <f t="shared" si="9"/>
        <v/>
      </c>
      <c r="H130" s="4"/>
      <c r="I130" s="6" t="str">
        <f t="shared" ca="1" si="10"/>
        <v/>
      </c>
      <c r="J130" s="13" t="str">
        <f t="shared" ca="1" si="11"/>
        <v/>
      </c>
      <c r="K130" s="11"/>
      <c r="L130" s="11"/>
      <c r="M130" s="10"/>
      <c r="N130" s="10"/>
      <c r="Q130" s="11"/>
      <c r="R130" s="11"/>
      <c r="S130" s="10"/>
    </row>
    <row r="131" spans="2:19" s="6" customFormat="1" ht="16.5" customHeight="1" x14ac:dyDescent="0.3">
      <c r="B131" s="10" t="str">
        <f>IF(C131="","",COUNTA($C$2:C131))</f>
        <v/>
      </c>
      <c r="C131" s="11"/>
      <c r="D131" s="10" t="str">
        <f t="shared" si="9"/>
        <v/>
      </c>
      <c r="H131" s="4"/>
      <c r="I131" s="6" t="str">
        <f t="shared" ca="1" si="10"/>
        <v/>
      </c>
      <c r="J131" s="13"/>
      <c r="K131" s="11"/>
      <c r="L131" s="11"/>
      <c r="M131" s="10"/>
      <c r="N131" s="10"/>
      <c r="Q131" s="11"/>
      <c r="R131" s="11"/>
      <c r="S131" s="10"/>
    </row>
    <row r="132" spans="2:19" s="6" customFormat="1" ht="16.5" customHeight="1" x14ac:dyDescent="0.3">
      <c r="B132" s="10" t="str">
        <f>IF(C132="","",COUNTA($C$2:C132))</f>
        <v/>
      </c>
      <c r="C132" s="11"/>
      <c r="D132" s="10" t="str">
        <f t="shared" si="9"/>
        <v/>
      </c>
      <c r="H132" s="4"/>
      <c r="I132" s="6" t="str">
        <f t="shared" ca="1" si="10"/>
        <v/>
      </c>
      <c r="J132" s="13"/>
      <c r="K132" s="11"/>
      <c r="L132" s="11"/>
      <c r="M132" s="10"/>
      <c r="N132" s="10"/>
      <c r="Q132" s="11"/>
      <c r="R132" s="11"/>
      <c r="S132" s="10"/>
    </row>
    <row r="133" spans="2:19" s="6" customFormat="1" ht="16.5" customHeight="1" x14ac:dyDescent="0.3">
      <c r="B133" s="10" t="str">
        <f>IF(C133="","",COUNTA($C$2:C133))</f>
        <v/>
      </c>
      <c r="C133" s="11"/>
      <c r="D133" s="10" t="str">
        <f t="shared" si="9"/>
        <v/>
      </c>
      <c r="H133" s="4"/>
      <c r="I133" s="6" t="str">
        <f t="shared" ca="1" si="10"/>
        <v/>
      </c>
      <c r="J133" s="13"/>
      <c r="K133" s="11"/>
      <c r="L133" s="11"/>
      <c r="M133" s="10"/>
      <c r="N133" s="10"/>
      <c r="Q133" s="11"/>
      <c r="R133" s="11"/>
      <c r="S133" s="10"/>
    </row>
    <row r="134" spans="2:19" s="6" customFormat="1" ht="16.5" customHeight="1" x14ac:dyDescent="0.3">
      <c r="B134" s="10" t="str">
        <f>IF(C134="","",COUNTA($C$2:C134))</f>
        <v/>
      </c>
      <c r="C134" s="11"/>
      <c r="D134" s="10" t="str">
        <f t="shared" si="9"/>
        <v/>
      </c>
      <c r="H134" s="4"/>
      <c r="I134" s="6" t="str">
        <f t="shared" ca="1" si="10"/>
        <v/>
      </c>
      <c r="J134" s="13"/>
      <c r="K134" s="11"/>
      <c r="L134" s="11"/>
      <c r="M134" s="10"/>
      <c r="N134" s="10"/>
      <c r="Q134" s="11"/>
      <c r="R134" s="11"/>
      <c r="S134" s="10"/>
    </row>
    <row r="135" spans="2:19" s="6" customFormat="1" ht="16.5" customHeight="1" x14ac:dyDescent="0.3">
      <c r="B135" s="10" t="str">
        <f>IF(C135="","",COUNTA($C$2:C135))</f>
        <v/>
      </c>
      <c r="C135" s="11"/>
      <c r="D135" s="10" t="str">
        <f t="shared" si="9"/>
        <v/>
      </c>
      <c r="H135" s="4"/>
      <c r="I135" s="6" t="str">
        <f t="shared" ca="1" si="10"/>
        <v/>
      </c>
      <c r="J135" s="13"/>
      <c r="K135" s="11"/>
      <c r="L135" s="11"/>
      <c r="M135" s="10"/>
      <c r="N135" s="10"/>
      <c r="Q135" s="11"/>
      <c r="R135" s="11"/>
      <c r="S135" s="10"/>
    </row>
    <row r="136" spans="2:19" s="6" customFormat="1" ht="16.5" customHeight="1" x14ac:dyDescent="0.3">
      <c r="B136" s="10" t="str">
        <f>IF(C136="","",COUNTA($C$2:C136))</f>
        <v/>
      </c>
      <c r="C136" s="11"/>
      <c r="D136" s="10" t="str">
        <f t="shared" si="9"/>
        <v/>
      </c>
      <c r="H136" s="4"/>
      <c r="I136" s="6" t="str">
        <f t="shared" ca="1" si="10"/>
        <v/>
      </c>
      <c r="J136" s="13"/>
      <c r="K136" s="11"/>
      <c r="L136" s="11"/>
      <c r="M136" s="10"/>
      <c r="N136" s="10"/>
      <c r="Q136" s="11"/>
      <c r="R136" s="11"/>
      <c r="S136" s="10"/>
    </row>
    <row r="137" spans="2:19" s="6" customFormat="1" ht="16.5" customHeight="1" x14ac:dyDescent="0.3">
      <c r="B137" s="10" t="str">
        <f>IF(C137="","",COUNTA($C$2:C137))</f>
        <v/>
      </c>
      <c r="C137" s="11"/>
      <c r="D137" s="10" t="str">
        <f t="shared" si="9"/>
        <v/>
      </c>
      <c r="H137" s="4"/>
      <c r="I137" s="6" t="str">
        <f t="shared" ca="1" si="10"/>
        <v/>
      </c>
      <c r="J137" s="13"/>
      <c r="K137" s="11"/>
      <c r="L137" s="11"/>
      <c r="M137" s="10"/>
      <c r="N137" s="10"/>
      <c r="Q137" s="11"/>
      <c r="R137" s="11"/>
      <c r="S137" s="10"/>
    </row>
    <row r="138" spans="2:19" s="6" customFormat="1" ht="16.5" customHeight="1" x14ac:dyDescent="0.3">
      <c r="B138" s="10" t="str">
        <f>IF(C138="","",COUNTA($C$2:C138))</f>
        <v/>
      </c>
      <c r="C138" s="11"/>
      <c r="D138" s="10" t="str">
        <f t="shared" si="9"/>
        <v/>
      </c>
      <c r="H138" s="4"/>
      <c r="I138" s="6" t="str">
        <f t="shared" ca="1" si="10"/>
        <v/>
      </c>
      <c r="J138" s="13"/>
      <c r="K138" s="11"/>
      <c r="L138" s="11"/>
      <c r="M138" s="10"/>
      <c r="N138" s="10"/>
      <c r="Q138" s="11"/>
      <c r="R138" s="11"/>
      <c r="S138" s="10"/>
    </row>
    <row r="139" spans="2:19" s="6" customFormat="1" ht="16.5" customHeight="1" x14ac:dyDescent="0.3">
      <c r="B139" s="10" t="str">
        <f>IF(C139="","",COUNTA($C$2:C139))</f>
        <v/>
      </c>
      <c r="C139" s="11"/>
      <c r="D139" s="10" t="str">
        <f t="shared" si="9"/>
        <v/>
      </c>
      <c r="H139" s="4"/>
      <c r="I139" s="6" t="str">
        <f t="shared" ca="1" si="10"/>
        <v/>
      </c>
      <c r="J139" s="13"/>
      <c r="K139" s="11"/>
      <c r="L139" s="11"/>
      <c r="M139" s="10"/>
      <c r="N139" s="10"/>
      <c r="Q139" s="11"/>
      <c r="R139" s="11"/>
      <c r="S139" s="10"/>
    </row>
    <row r="140" spans="2:19" s="6" customFormat="1" ht="16.5" customHeight="1" x14ac:dyDescent="0.3">
      <c r="B140" s="10" t="str">
        <f>IF(C140="","",COUNTA($C$2:C140))</f>
        <v/>
      </c>
      <c r="C140" s="11"/>
      <c r="D140" s="10" t="str">
        <f t="shared" ref="D140:D203" si="12">IF(G140="","",IF(OR(G140="선급금",G140="중도금",G140="잔금"),"A",IF(G140="자재","B",IF(G140="특허료","C",""))))</f>
        <v/>
      </c>
      <c r="H140" s="4"/>
      <c r="I140" s="6" t="str">
        <f t="shared" ref="I140:I203" ca="1" si="13">IF(C140="","",IF(L140="",TODAY()-C140,L140-C140))</f>
        <v/>
      </c>
      <c r="J140" s="13"/>
      <c r="K140" s="11"/>
      <c r="L140" s="11"/>
      <c r="M140" s="10"/>
      <c r="N140" s="10"/>
      <c r="Q140" s="11"/>
      <c r="R140" s="11"/>
      <c r="S140" s="10"/>
    </row>
    <row r="141" spans="2:19" s="6" customFormat="1" ht="16.5" customHeight="1" x14ac:dyDescent="0.3">
      <c r="B141" s="10" t="str">
        <f>IF(C141="","",COUNTA($C$2:C141))</f>
        <v/>
      </c>
      <c r="C141" s="11"/>
      <c r="D141" s="10" t="str">
        <f t="shared" si="12"/>
        <v/>
      </c>
      <c r="H141" s="4"/>
      <c r="I141" s="6" t="str">
        <f t="shared" ca="1" si="13"/>
        <v/>
      </c>
      <c r="J141" s="13"/>
      <c r="K141" s="11"/>
      <c r="L141" s="11"/>
      <c r="M141" s="10"/>
      <c r="N141" s="10"/>
      <c r="Q141" s="11"/>
      <c r="R141" s="11"/>
      <c r="S141" s="10"/>
    </row>
    <row r="142" spans="2:19" s="6" customFormat="1" ht="16.5" customHeight="1" x14ac:dyDescent="0.3">
      <c r="B142" s="10" t="str">
        <f>IF(C142="","",COUNTA($C$2:C142))</f>
        <v/>
      </c>
      <c r="C142" s="11"/>
      <c r="D142" s="10" t="str">
        <f t="shared" si="12"/>
        <v/>
      </c>
      <c r="H142" s="4"/>
      <c r="I142" s="6" t="str">
        <f t="shared" ca="1" si="13"/>
        <v/>
      </c>
      <c r="J142" s="13"/>
      <c r="K142" s="11"/>
      <c r="L142" s="11"/>
      <c r="M142" s="10"/>
      <c r="N142" s="10"/>
      <c r="Q142" s="11"/>
      <c r="R142" s="11"/>
      <c r="S142" s="10"/>
    </row>
    <row r="143" spans="2:19" s="6" customFormat="1" ht="16.5" customHeight="1" x14ac:dyDescent="0.3">
      <c r="B143" s="10" t="str">
        <f>IF(C143="","",COUNTA($C$2:C143))</f>
        <v/>
      </c>
      <c r="C143" s="11"/>
      <c r="D143" s="10" t="str">
        <f t="shared" si="12"/>
        <v/>
      </c>
      <c r="H143" s="4"/>
      <c r="I143" s="6" t="str">
        <f t="shared" ca="1" si="13"/>
        <v/>
      </c>
      <c r="J143" s="13"/>
      <c r="K143" s="11"/>
      <c r="L143" s="11"/>
      <c r="M143" s="10"/>
      <c r="N143" s="10"/>
      <c r="Q143" s="11"/>
      <c r="R143" s="11"/>
      <c r="S143" s="10"/>
    </row>
    <row r="144" spans="2:19" s="6" customFormat="1" ht="16.5" customHeight="1" x14ac:dyDescent="0.3">
      <c r="B144" s="10" t="str">
        <f>IF(C144="","",COUNTA($C$2:C144))</f>
        <v/>
      </c>
      <c r="C144" s="11"/>
      <c r="D144" s="10" t="str">
        <f t="shared" si="12"/>
        <v/>
      </c>
      <c r="H144" s="4"/>
      <c r="I144" s="6" t="str">
        <f t="shared" ca="1" si="13"/>
        <v/>
      </c>
      <c r="J144" s="13"/>
      <c r="K144" s="11"/>
      <c r="L144" s="11"/>
      <c r="M144" s="10"/>
      <c r="N144" s="10"/>
      <c r="Q144" s="11"/>
      <c r="R144" s="11"/>
      <c r="S144" s="10"/>
    </row>
    <row r="145" spans="2:19" s="6" customFormat="1" ht="16.5" customHeight="1" x14ac:dyDescent="0.3">
      <c r="B145" s="10" t="str">
        <f>IF(C145="","",COUNTA($C$2:C145))</f>
        <v/>
      </c>
      <c r="C145" s="11"/>
      <c r="D145" s="10" t="str">
        <f t="shared" si="12"/>
        <v/>
      </c>
      <c r="H145" s="4"/>
      <c r="I145" s="6" t="str">
        <f t="shared" ca="1" si="13"/>
        <v/>
      </c>
      <c r="J145" s="13"/>
      <c r="K145" s="11"/>
      <c r="L145" s="11"/>
      <c r="M145" s="10"/>
      <c r="N145" s="10"/>
      <c r="Q145" s="11"/>
      <c r="R145" s="11"/>
      <c r="S145" s="10"/>
    </row>
    <row r="146" spans="2:19" s="6" customFormat="1" ht="16.5" customHeight="1" x14ac:dyDescent="0.3">
      <c r="B146" s="10" t="str">
        <f>IF(C146="","",COUNTA($C$2:C146))</f>
        <v/>
      </c>
      <c r="C146" s="11"/>
      <c r="D146" s="10" t="str">
        <f t="shared" si="12"/>
        <v/>
      </c>
      <c r="H146" s="4"/>
      <c r="I146" s="6" t="str">
        <f t="shared" ca="1" si="13"/>
        <v/>
      </c>
      <c r="J146" s="13"/>
      <c r="K146" s="11"/>
      <c r="L146" s="11"/>
      <c r="M146" s="10"/>
      <c r="N146" s="10"/>
      <c r="Q146" s="11"/>
      <c r="R146" s="11"/>
      <c r="S146" s="10"/>
    </row>
    <row r="147" spans="2:19" s="6" customFormat="1" ht="16.5" customHeight="1" x14ac:dyDescent="0.3">
      <c r="B147" s="10" t="str">
        <f>IF(C147="","",COUNTA($C$2:C147))</f>
        <v/>
      </c>
      <c r="C147" s="11"/>
      <c r="D147" s="10" t="str">
        <f t="shared" si="12"/>
        <v/>
      </c>
      <c r="H147" s="4"/>
      <c r="I147" s="6" t="str">
        <f t="shared" ca="1" si="13"/>
        <v/>
      </c>
      <c r="J147" s="13"/>
      <c r="K147" s="11"/>
      <c r="L147" s="11"/>
      <c r="M147" s="10"/>
      <c r="N147" s="10"/>
      <c r="Q147" s="11"/>
      <c r="R147" s="11"/>
      <c r="S147" s="10"/>
    </row>
    <row r="148" spans="2:19" s="6" customFormat="1" ht="16.5" customHeight="1" x14ac:dyDescent="0.3">
      <c r="B148" s="10" t="str">
        <f>IF(C148="","",COUNTA($C$2:C148))</f>
        <v/>
      </c>
      <c r="C148" s="11"/>
      <c r="D148" s="10" t="str">
        <f t="shared" si="12"/>
        <v/>
      </c>
      <c r="H148" s="4"/>
      <c r="I148" s="6" t="str">
        <f t="shared" ca="1" si="13"/>
        <v/>
      </c>
      <c r="J148" s="13"/>
      <c r="K148" s="11"/>
      <c r="L148" s="11"/>
      <c r="M148" s="10"/>
      <c r="N148" s="10"/>
      <c r="Q148" s="11"/>
      <c r="R148" s="11"/>
      <c r="S148" s="10"/>
    </row>
    <row r="149" spans="2:19" s="6" customFormat="1" ht="16.5" customHeight="1" x14ac:dyDescent="0.3">
      <c r="B149" s="10" t="str">
        <f>IF(C149="","",COUNTA($C$2:C149))</f>
        <v/>
      </c>
      <c r="C149" s="11"/>
      <c r="D149" s="10" t="str">
        <f t="shared" si="12"/>
        <v/>
      </c>
      <c r="H149" s="4"/>
      <c r="I149" s="6" t="str">
        <f t="shared" ca="1" si="13"/>
        <v/>
      </c>
      <c r="J149" s="13"/>
      <c r="K149" s="11"/>
      <c r="L149" s="11"/>
      <c r="M149" s="10"/>
      <c r="N149" s="10"/>
      <c r="Q149" s="11"/>
      <c r="R149" s="11"/>
      <c r="S149" s="10"/>
    </row>
    <row r="150" spans="2:19" s="6" customFormat="1" ht="16.5" customHeight="1" x14ac:dyDescent="0.3">
      <c r="B150" s="10" t="str">
        <f>IF(C150="","",COUNTA($C$2:C150))</f>
        <v/>
      </c>
      <c r="C150" s="11"/>
      <c r="D150" s="10" t="str">
        <f t="shared" si="12"/>
        <v/>
      </c>
      <c r="H150" s="4"/>
      <c r="I150" s="6" t="str">
        <f t="shared" ca="1" si="13"/>
        <v/>
      </c>
      <c r="J150" s="13"/>
      <c r="K150" s="11"/>
      <c r="L150" s="11"/>
      <c r="M150" s="10"/>
      <c r="N150" s="10"/>
      <c r="Q150" s="11"/>
      <c r="R150" s="11"/>
      <c r="S150" s="10"/>
    </row>
    <row r="151" spans="2:19" s="6" customFormat="1" ht="16.5" customHeight="1" x14ac:dyDescent="0.3">
      <c r="B151" s="10" t="str">
        <f>IF(C151="","",COUNTA($C$2:C151))</f>
        <v/>
      </c>
      <c r="C151" s="11"/>
      <c r="D151" s="10" t="str">
        <f t="shared" si="12"/>
        <v/>
      </c>
      <c r="H151" s="4"/>
      <c r="I151" s="6" t="str">
        <f t="shared" ca="1" si="13"/>
        <v/>
      </c>
      <c r="J151" s="13"/>
      <c r="K151" s="11"/>
      <c r="L151" s="11"/>
      <c r="M151" s="10"/>
      <c r="N151" s="10"/>
      <c r="Q151" s="11"/>
      <c r="R151" s="11"/>
      <c r="S151" s="10"/>
    </row>
    <row r="152" spans="2:19" s="6" customFormat="1" ht="16.5" customHeight="1" x14ac:dyDescent="0.3">
      <c r="B152" s="10" t="str">
        <f>IF(C152="","",COUNTA($C$2:C152))</f>
        <v/>
      </c>
      <c r="C152" s="11"/>
      <c r="D152" s="10" t="str">
        <f t="shared" si="12"/>
        <v/>
      </c>
      <c r="H152" s="4"/>
      <c r="I152" s="6" t="str">
        <f t="shared" ca="1" si="13"/>
        <v/>
      </c>
      <c r="J152" s="13"/>
      <c r="K152" s="11"/>
      <c r="L152" s="11"/>
      <c r="M152" s="10"/>
      <c r="N152" s="10"/>
      <c r="Q152" s="11"/>
      <c r="R152" s="11"/>
      <c r="S152" s="10"/>
    </row>
    <row r="153" spans="2:19" s="6" customFormat="1" ht="16.5" customHeight="1" x14ac:dyDescent="0.3">
      <c r="B153" s="10" t="str">
        <f>IF(C153="","",COUNTA($C$2:C153))</f>
        <v/>
      </c>
      <c r="C153" s="11"/>
      <c r="D153" s="10" t="str">
        <f t="shared" si="12"/>
        <v/>
      </c>
      <c r="H153" s="4"/>
      <c r="I153" s="6" t="str">
        <f t="shared" ca="1" si="13"/>
        <v/>
      </c>
      <c r="J153" s="13"/>
      <c r="K153" s="11"/>
      <c r="L153" s="11"/>
      <c r="M153" s="10"/>
      <c r="N153" s="10"/>
      <c r="Q153" s="11"/>
      <c r="R153" s="11"/>
      <c r="S153" s="10"/>
    </row>
    <row r="154" spans="2:19" s="6" customFormat="1" ht="16.5" customHeight="1" x14ac:dyDescent="0.3">
      <c r="B154" s="10" t="str">
        <f>IF(C154="","",COUNTA($C$2:C154))</f>
        <v/>
      </c>
      <c r="C154" s="11"/>
      <c r="D154" s="10" t="str">
        <f t="shared" si="12"/>
        <v/>
      </c>
      <c r="H154" s="4"/>
      <c r="I154" s="6" t="str">
        <f t="shared" ca="1" si="13"/>
        <v/>
      </c>
      <c r="J154" s="13"/>
      <c r="K154" s="11"/>
      <c r="L154" s="11"/>
      <c r="M154" s="10"/>
      <c r="N154" s="10"/>
      <c r="Q154" s="11"/>
      <c r="R154" s="11"/>
      <c r="S154" s="10"/>
    </row>
    <row r="155" spans="2:19" s="6" customFormat="1" ht="16.5" customHeight="1" x14ac:dyDescent="0.3">
      <c r="B155" s="10" t="str">
        <f>IF(C155="","",COUNTA($C$2:C155))</f>
        <v/>
      </c>
      <c r="C155" s="11"/>
      <c r="D155" s="10" t="str">
        <f t="shared" si="12"/>
        <v/>
      </c>
      <c r="H155" s="4"/>
      <c r="I155" s="6" t="str">
        <f t="shared" ca="1" si="13"/>
        <v/>
      </c>
      <c r="J155" s="13"/>
      <c r="K155" s="11"/>
      <c r="L155" s="11"/>
      <c r="M155" s="10"/>
      <c r="N155" s="10"/>
      <c r="Q155" s="11"/>
      <c r="R155" s="11"/>
      <c r="S155" s="10"/>
    </row>
    <row r="156" spans="2:19" s="6" customFormat="1" ht="16.5" customHeight="1" x14ac:dyDescent="0.3">
      <c r="B156" s="10" t="str">
        <f>IF(C156="","",COUNTA($C$2:C156))</f>
        <v/>
      </c>
      <c r="C156" s="11"/>
      <c r="D156" s="10" t="str">
        <f t="shared" si="12"/>
        <v/>
      </c>
      <c r="H156" s="4"/>
      <c r="I156" s="6" t="str">
        <f t="shared" ca="1" si="13"/>
        <v/>
      </c>
      <c r="J156" s="13"/>
      <c r="K156" s="11"/>
      <c r="L156" s="11"/>
      <c r="M156" s="10"/>
      <c r="N156" s="10"/>
      <c r="Q156" s="11"/>
      <c r="R156" s="11"/>
      <c r="S156" s="10"/>
    </row>
    <row r="157" spans="2:19" s="6" customFormat="1" ht="16.5" customHeight="1" x14ac:dyDescent="0.3">
      <c r="B157" s="10" t="str">
        <f>IF(C157="","",COUNTA($C$2:C157))</f>
        <v/>
      </c>
      <c r="C157" s="11"/>
      <c r="D157" s="10" t="str">
        <f t="shared" si="12"/>
        <v/>
      </c>
      <c r="H157" s="4"/>
      <c r="I157" s="6" t="str">
        <f t="shared" ca="1" si="13"/>
        <v/>
      </c>
      <c r="J157" s="13"/>
      <c r="K157" s="11"/>
      <c r="L157" s="11"/>
      <c r="M157" s="10"/>
      <c r="N157" s="10"/>
      <c r="Q157" s="11"/>
      <c r="R157" s="11"/>
      <c r="S157" s="10"/>
    </row>
    <row r="158" spans="2:19" s="6" customFormat="1" ht="16.5" customHeight="1" x14ac:dyDescent="0.3">
      <c r="B158" s="10" t="str">
        <f>IF(C158="","",COUNTA($C$2:C158))</f>
        <v/>
      </c>
      <c r="C158" s="11"/>
      <c r="D158" s="10" t="str">
        <f t="shared" si="12"/>
        <v/>
      </c>
      <c r="H158" s="4"/>
      <c r="I158" s="6" t="str">
        <f t="shared" ca="1" si="13"/>
        <v/>
      </c>
      <c r="J158" s="13"/>
      <c r="K158" s="11"/>
      <c r="L158" s="11"/>
      <c r="M158" s="10"/>
      <c r="N158" s="10"/>
      <c r="Q158" s="11"/>
      <c r="R158" s="11"/>
      <c r="S158" s="10"/>
    </row>
    <row r="159" spans="2:19" s="6" customFormat="1" ht="16.5" customHeight="1" x14ac:dyDescent="0.3">
      <c r="B159" s="10" t="str">
        <f>IF(C159="","",COUNTA($C$2:C159))</f>
        <v/>
      </c>
      <c r="C159" s="11"/>
      <c r="D159" s="10" t="str">
        <f t="shared" si="12"/>
        <v/>
      </c>
      <c r="H159" s="4"/>
      <c r="I159" s="6" t="str">
        <f t="shared" ca="1" si="13"/>
        <v/>
      </c>
      <c r="J159" s="13"/>
      <c r="K159" s="11"/>
      <c r="L159" s="11"/>
      <c r="M159" s="10"/>
      <c r="N159" s="10"/>
      <c r="Q159" s="11"/>
      <c r="R159" s="11"/>
      <c r="S159" s="10"/>
    </row>
    <row r="160" spans="2:19" s="6" customFormat="1" ht="16.5" customHeight="1" x14ac:dyDescent="0.3">
      <c r="B160" s="10" t="str">
        <f>IF(C160="","",COUNTA($C$2:C160))</f>
        <v/>
      </c>
      <c r="C160" s="11"/>
      <c r="D160" s="10" t="str">
        <f t="shared" si="12"/>
        <v/>
      </c>
      <c r="H160" s="4"/>
      <c r="I160" s="6" t="str">
        <f t="shared" ca="1" si="13"/>
        <v/>
      </c>
      <c r="J160" s="13"/>
      <c r="K160" s="11"/>
      <c r="L160" s="11"/>
      <c r="M160" s="10"/>
      <c r="N160" s="10"/>
      <c r="Q160" s="11"/>
      <c r="R160" s="11"/>
      <c r="S160" s="10"/>
    </row>
    <row r="161" spans="2:19" s="6" customFormat="1" ht="16.5" customHeight="1" x14ac:dyDescent="0.3">
      <c r="B161" s="10" t="str">
        <f>IF(C161="","",COUNTA($C$2:C161))</f>
        <v/>
      </c>
      <c r="C161" s="11"/>
      <c r="D161" s="10" t="str">
        <f t="shared" si="12"/>
        <v/>
      </c>
      <c r="H161" s="4"/>
      <c r="I161" s="6" t="str">
        <f t="shared" ca="1" si="13"/>
        <v/>
      </c>
      <c r="J161" s="13"/>
      <c r="K161" s="11"/>
      <c r="L161" s="11"/>
      <c r="M161" s="10"/>
      <c r="N161" s="10"/>
      <c r="Q161" s="11"/>
      <c r="R161" s="11"/>
      <c r="S161" s="10"/>
    </row>
    <row r="162" spans="2:19" s="6" customFormat="1" ht="16.5" customHeight="1" x14ac:dyDescent="0.3">
      <c r="B162" s="10" t="str">
        <f>IF(C162="","",COUNTA($C$2:C162))</f>
        <v/>
      </c>
      <c r="C162" s="11"/>
      <c r="D162" s="10" t="str">
        <f t="shared" si="12"/>
        <v/>
      </c>
      <c r="H162" s="4"/>
      <c r="I162" s="6" t="str">
        <f t="shared" ca="1" si="13"/>
        <v/>
      </c>
      <c r="J162" s="13"/>
      <c r="K162" s="11"/>
      <c r="L162" s="11"/>
      <c r="M162" s="10"/>
      <c r="N162" s="10"/>
      <c r="Q162" s="11"/>
      <c r="R162" s="11"/>
      <c r="S162" s="10"/>
    </row>
    <row r="163" spans="2:19" s="6" customFormat="1" ht="16.5" customHeight="1" x14ac:dyDescent="0.3">
      <c r="B163" s="10" t="str">
        <f>IF(C163="","",COUNTA($C$2:C163))</f>
        <v/>
      </c>
      <c r="C163" s="11"/>
      <c r="D163" s="10" t="str">
        <f t="shared" si="12"/>
        <v/>
      </c>
      <c r="H163" s="4"/>
      <c r="I163" s="6" t="str">
        <f t="shared" ca="1" si="13"/>
        <v/>
      </c>
      <c r="J163" s="13"/>
      <c r="K163" s="11"/>
      <c r="L163" s="11"/>
      <c r="M163" s="10"/>
      <c r="N163" s="10"/>
      <c r="Q163" s="11"/>
      <c r="R163" s="11"/>
      <c r="S163" s="10"/>
    </row>
    <row r="164" spans="2:19" s="6" customFormat="1" ht="16.5" customHeight="1" x14ac:dyDescent="0.3">
      <c r="B164" s="10" t="str">
        <f>IF(C164="","",COUNTA($C$2:C164))</f>
        <v/>
      </c>
      <c r="C164" s="11"/>
      <c r="D164" s="10" t="str">
        <f t="shared" si="12"/>
        <v/>
      </c>
      <c r="H164" s="4"/>
      <c r="I164" s="6" t="str">
        <f t="shared" ca="1" si="13"/>
        <v/>
      </c>
      <c r="J164" s="13"/>
      <c r="K164" s="11"/>
      <c r="L164" s="11"/>
      <c r="M164" s="10"/>
      <c r="N164" s="10"/>
      <c r="Q164" s="11"/>
      <c r="R164" s="11"/>
      <c r="S164" s="10"/>
    </row>
    <row r="165" spans="2:19" s="6" customFormat="1" ht="16.5" customHeight="1" x14ac:dyDescent="0.3">
      <c r="B165" s="10" t="str">
        <f>IF(C165="","",COUNTA($C$2:C165))</f>
        <v/>
      </c>
      <c r="C165" s="11"/>
      <c r="D165" s="10" t="str">
        <f t="shared" si="12"/>
        <v/>
      </c>
      <c r="H165" s="4"/>
      <c r="I165" s="6" t="str">
        <f t="shared" ca="1" si="13"/>
        <v/>
      </c>
      <c r="J165" s="13"/>
      <c r="K165" s="11"/>
      <c r="L165" s="11"/>
      <c r="M165" s="10"/>
      <c r="N165" s="10"/>
      <c r="Q165" s="11"/>
      <c r="R165" s="11"/>
      <c r="S165" s="10"/>
    </row>
    <row r="166" spans="2:19" s="6" customFormat="1" ht="16.5" customHeight="1" x14ac:dyDescent="0.3">
      <c r="B166" s="10" t="str">
        <f>IF(C166="","",COUNTA($C$2:C166))</f>
        <v/>
      </c>
      <c r="C166" s="11"/>
      <c r="D166" s="10" t="str">
        <f t="shared" si="12"/>
        <v/>
      </c>
      <c r="H166" s="4"/>
      <c r="I166" s="6" t="str">
        <f t="shared" ca="1" si="13"/>
        <v/>
      </c>
      <c r="J166" s="13"/>
      <c r="K166" s="11"/>
      <c r="L166" s="11"/>
      <c r="M166" s="10"/>
      <c r="N166" s="10"/>
      <c r="Q166" s="11"/>
      <c r="R166" s="11"/>
      <c r="S166" s="10"/>
    </row>
    <row r="167" spans="2:19" s="6" customFormat="1" ht="16.5" customHeight="1" x14ac:dyDescent="0.3">
      <c r="B167" s="10" t="str">
        <f>IF(C167="","",COUNTA($C$2:C167))</f>
        <v/>
      </c>
      <c r="C167" s="11"/>
      <c r="D167" s="10" t="str">
        <f t="shared" si="12"/>
        <v/>
      </c>
      <c r="H167" s="4"/>
      <c r="I167" s="6" t="str">
        <f t="shared" ca="1" si="13"/>
        <v/>
      </c>
      <c r="J167" s="13"/>
      <c r="K167" s="11"/>
      <c r="L167" s="11"/>
      <c r="M167" s="10"/>
      <c r="N167" s="10"/>
      <c r="Q167" s="11"/>
      <c r="R167" s="11"/>
      <c r="S167" s="10"/>
    </row>
    <row r="168" spans="2:19" s="6" customFormat="1" ht="16.5" customHeight="1" x14ac:dyDescent="0.3">
      <c r="B168" s="10" t="str">
        <f>IF(C168="","",COUNTA($C$2:C168))</f>
        <v/>
      </c>
      <c r="C168" s="11"/>
      <c r="D168" s="10" t="str">
        <f t="shared" si="12"/>
        <v/>
      </c>
      <c r="H168" s="4"/>
      <c r="I168" s="6" t="str">
        <f t="shared" ca="1" si="13"/>
        <v/>
      </c>
      <c r="J168" s="13"/>
      <c r="K168" s="11"/>
      <c r="L168" s="11"/>
      <c r="M168" s="10"/>
      <c r="N168" s="10"/>
      <c r="Q168" s="11"/>
      <c r="R168" s="11"/>
      <c r="S168" s="10"/>
    </row>
    <row r="169" spans="2:19" s="6" customFormat="1" ht="16.5" customHeight="1" x14ac:dyDescent="0.3">
      <c r="B169" s="10" t="str">
        <f>IF(C169="","",COUNTA($C$2:C169))</f>
        <v/>
      </c>
      <c r="C169" s="11"/>
      <c r="D169" s="10" t="str">
        <f t="shared" si="12"/>
        <v/>
      </c>
      <c r="H169" s="4"/>
      <c r="I169" s="6" t="str">
        <f t="shared" ca="1" si="13"/>
        <v/>
      </c>
      <c r="J169" s="13"/>
      <c r="K169" s="11"/>
      <c r="L169" s="11"/>
      <c r="M169" s="10"/>
      <c r="N169" s="10"/>
      <c r="Q169" s="11"/>
      <c r="R169" s="11"/>
      <c r="S169" s="10"/>
    </row>
    <row r="170" spans="2:19" s="6" customFormat="1" ht="16.5" customHeight="1" x14ac:dyDescent="0.3">
      <c r="B170" s="10" t="str">
        <f>IF(C170="","",COUNTA($C$2:C170))</f>
        <v/>
      </c>
      <c r="C170" s="11"/>
      <c r="D170" s="10" t="str">
        <f t="shared" si="12"/>
        <v/>
      </c>
      <c r="H170" s="4"/>
      <c r="I170" s="6" t="str">
        <f t="shared" ca="1" si="13"/>
        <v/>
      </c>
      <c r="J170" s="13"/>
      <c r="K170" s="11"/>
      <c r="L170" s="11"/>
      <c r="M170" s="10"/>
      <c r="N170" s="10"/>
      <c r="Q170" s="11"/>
      <c r="R170" s="11"/>
      <c r="S170" s="10"/>
    </row>
    <row r="171" spans="2:19" s="6" customFormat="1" ht="16.5" customHeight="1" x14ac:dyDescent="0.3">
      <c r="B171" s="10" t="str">
        <f>IF(C171="","",COUNTA($C$2:C171))</f>
        <v/>
      </c>
      <c r="C171" s="11"/>
      <c r="D171" s="10" t="str">
        <f t="shared" si="12"/>
        <v/>
      </c>
      <c r="H171" s="4"/>
      <c r="I171" s="6" t="str">
        <f t="shared" ca="1" si="13"/>
        <v/>
      </c>
      <c r="J171" s="13"/>
      <c r="K171" s="11"/>
      <c r="L171" s="11"/>
      <c r="M171" s="10"/>
      <c r="N171" s="10"/>
      <c r="Q171" s="11"/>
      <c r="R171" s="11"/>
      <c r="S171" s="10"/>
    </row>
    <row r="172" spans="2:19" s="6" customFormat="1" ht="16.5" customHeight="1" x14ac:dyDescent="0.3">
      <c r="B172" s="10" t="str">
        <f>IF(C172="","",COUNTA($C$2:C172))</f>
        <v/>
      </c>
      <c r="C172" s="11"/>
      <c r="D172" s="10" t="str">
        <f t="shared" si="12"/>
        <v/>
      </c>
      <c r="H172" s="4"/>
      <c r="I172" s="6" t="str">
        <f t="shared" ca="1" si="13"/>
        <v/>
      </c>
      <c r="J172" s="13"/>
      <c r="K172" s="11"/>
      <c r="L172" s="11"/>
      <c r="M172" s="10"/>
      <c r="N172" s="10"/>
      <c r="Q172" s="11"/>
      <c r="R172" s="11"/>
      <c r="S172" s="10"/>
    </row>
    <row r="173" spans="2:19" s="6" customFormat="1" ht="16.5" customHeight="1" x14ac:dyDescent="0.3">
      <c r="B173" s="10" t="str">
        <f>IF(C173="","",COUNTA($C$2:C173))</f>
        <v/>
      </c>
      <c r="C173" s="11"/>
      <c r="D173" s="10" t="str">
        <f t="shared" si="12"/>
        <v/>
      </c>
      <c r="H173" s="4"/>
      <c r="I173" s="6" t="str">
        <f t="shared" ca="1" si="13"/>
        <v/>
      </c>
      <c r="J173" s="13"/>
      <c r="K173" s="11"/>
      <c r="L173" s="11"/>
      <c r="M173" s="10"/>
      <c r="N173" s="10"/>
      <c r="Q173" s="11"/>
      <c r="R173" s="11"/>
      <c r="S173" s="10"/>
    </row>
    <row r="174" spans="2:19" s="6" customFormat="1" ht="16.5" customHeight="1" x14ac:dyDescent="0.3">
      <c r="B174" s="10" t="str">
        <f>IF(C174="","",COUNTA($C$2:C174))</f>
        <v/>
      </c>
      <c r="C174" s="11"/>
      <c r="D174" s="10" t="str">
        <f t="shared" si="12"/>
        <v/>
      </c>
      <c r="H174" s="4"/>
      <c r="I174" s="6" t="str">
        <f t="shared" ca="1" si="13"/>
        <v/>
      </c>
      <c r="J174" s="13"/>
      <c r="K174" s="11"/>
      <c r="L174" s="11"/>
      <c r="M174" s="10"/>
      <c r="N174" s="10"/>
      <c r="Q174" s="11"/>
      <c r="R174" s="11"/>
      <c r="S174" s="10"/>
    </row>
    <row r="175" spans="2:19" s="6" customFormat="1" ht="16.5" customHeight="1" x14ac:dyDescent="0.3">
      <c r="B175" s="10" t="str">
        <f>IF(C175="","",COUNTA($C$2:C175))</f>
        <v/>
      </c>
      <c r="C175" s="11"/>
      <c r="D175" s="10" t="str">
        <f t="shared" si="12"/>
        <v/>
      </c>
      <c r="H175" s="4"/>
      <c r="I175" s="6" t="str">
        <f t="shared" ca="1" si="13"/>
        <v/>
      </c>
      <c r="J175" s="13"/>
      <c r="K175" s="11"/>
      <c r="L175" s="11"/>
      <c r="M175" s="10"/>
      <c r="N175" s="10"/>
      <c r="Q175" s="11"/>
      <c r="R175" s="11"/>
      <c r="S175" s="10"/>
    </row>
    <row r="176" spans="2:19" s="6" customFormat="1" ht="16.5" customHeight="1" x14ac:dyDescent="0.3">
      <c r="B176" s="10" t="str">
        <f>IF(C176="","",COUNTA($C$2:C176))</f>
        <v/>
      </c>
      <c r="C176" s="11"/>
      <c r="D176" s="10" t="str">
        <f t="shared" si="12"/>
        <v/>
      </c>
      <c r="H176" s="4"/>
      <c r="I176" s="6" t="str">
        <f t="shared" ca="1" si="13"/>
        <v/>
      </c>
      <c r="J176" s="13"/>
      <c r="K176" s="11"/>
      <c r="L176" s="11"/>
      <c r="M176" s="10"/>
      <c r="N176" s="10"/>
      <c r="Q176" s="11"/>
      <c r="R176" s="11"/>
      <c r="S176" s="10"/>
    </row>
    <row r="177" spans="2:19" s="6" customFormat="1" ht="16.5" customHeight="1" x14ac:dyDescent="0.3">
      <c r="B177" s="10" t="str">
        <f>IF(C177="","",COUNTA($C$2:C177))</f>
        <v/>
      </c>
      <c r="C177" s="11"/>
      <c r="D177" s="10" t="str">
        <f t="shared" si="12"/>
        <v/>
      </c>
      <c r="H177" s="4"/>
      <c r="I177" s="6" t="str">
        <f t="shared" ca="1" si="13"/>
        <v/>
      </c>
      <c r="J177" s="13"/>
      <c r="K177" s="11"/>
      <c r="L177" s="11"/>
      <c r="M177" s="10"/>
      <c r="N177" s="10"/>
      <c r="Q177" s="11"/>
      <c r="R177" s="11"/>
      <c r="S177" s="10"/>
    </row>
    <row r="178" spans="2:19" s="6" customFormat="1" ht="16.5" customHeight="1" x14ac:dyDescent="0.3">
      <c r="B178" s="10" t="str">
        <f>IF(C178="","",COUNTA($C$2:C178))</f>
        <v/>
      </c>
      <c r="C178" s="11"/>
      <c r="D178" s="10" t="str">
        <f t="shared" si="12"/>
        <v/>
      </c>
      <c r="H178" s="4"/>
      <c r="I178" s="6" t="str">
        <f t="shared" ca="1" si="13"/>
        <v/>
      </c>
      <c r="J178" s="13"/>
      <c r="K178" s="11"/>
      <c r="L178" s="11"/>
      <c r="M178" s="10"/>
      <c r="N178" s="10"/>
      <c r="Q178" s="11"/>
      <c r="R178" s="11"/>
      <c r="S178" s="10"/>
    </row>
    <row r="179" spans="2:19" s="6" customFormat="1" ht="16.5" customHeight="1" x14ac:dyDescent="0.3">
      <c r="B179" s="10" t="str">
        <f>IF(C179="","",COUNTA($C$2:C179))</f>
        <v/>
      </c>
      <c r="C179" s="11"/>
      <c r="D179" s="10" t="str">
        <f t="shared" si="12"/>
        <v/>
      </c>
      <c r="H179" s="4"/>
      <c r="I179" s="6" t="str">
        <f t="shared" ca="1" si="13"/>
        <v/>
      </c>
      <c r="J179" s="13"/>
      <c r="K179" s="11"/>
      <c r="L179" s="11"/>
      <c r="M179" s="10"/>
      <c r="N179" s="10"/>
      <c r="Q179" s="11"/>
      <c r="R179" s="11"/>
      <c r="S179" s="10"/>
    </row>
    <row r="180" spans="2:19" s="6" customFormat="1" ht="16.5" customHeight="1" x14ac:dyDescent="0.3">
      <c r="B180" s="10" t="str">
        <f>IF(C180="","",COUNTA($C$2:C180))</f>
        <v/>
      </c>
      <c r="C180" s="11"/>
      <c r="D180" s="10" t="str">
        <f t="shared" si="12"/>
        <v/>
      </c>
      <c r="H180" s="4"/>
      <c r="I180" s="6" t="str">
        <f t="shared" ca="1" si="13"/>
        <v/>
      </c>
      <c r="J180" s="13"/>
      <c r="K180" s="11"/>
      <c r="L180" s="11"/>
      <c r="M180" s="10"/>
      <c r="N180" s="10"/>
      <c r="Q180" s="11"/>
      <c r="R180" s="11"/>
      <c r="S180" s="10"/>
    </row>
    <row r="181" spans="2:19" s="6" customFormat="1" ht="16.5" customHeight="1" x14ac:dyDescent="0.3">
      <c r="B181" s="10" t="str">
        <f>IF(C181="","",COUNTA($C$2:C181))</f>
        <v/>
      </c>
      <c r="C181" s="11"/>
      <c r="D181" s="10" t="str">
        <f t="shared" si="12"/>
        <v/>
      </c>
      <c r="H181" s="4"/>
      <c r="I181" s="6" t="str">
        <f t="shared" ca="1" si="13"/>
        <v/>
      </c>
      <c r="J181" s="13"/>
      <c r="K181" s="11"/>
      <c r="L181" s="11"/>
      <c r="M181" s="10"/>
      <c r="N181" s="10"/>
      <c r="Q181" s="11"/>
      <c r="R181" s="11"/>
      <c r="S181" s="10"/>
    </row>
    <row r="182" spans="2:19" s="6" customFormat="1" ht="16.5" customHeight="1" x14ac:dyDescent="0.3">
      <c r="B182" s="10" t="str">
        <f>IF(C182="","",COUNTA($C$2:C182))</f>
        <v/>
      </c>
      <c r="C182" s="11"/>
      <c r="D182" s="10" t="str">
        <f t="shared" si="12"/>
        <v/>
      </c>
      <c r="H182" s="4"/>
      <c r="I182" s="6" t="str">
        <f t="shared" ca="1" si="13"/>
        <v/>
      </c>
      <c r="J182" s="13"/>
      <c r="K182" s="11"/>
      <c r="L182" s="11"/>
      <c r="M182" s="10"/>
      <c r="N182" s="10"/>
      <c r="Q182" s="11"/>
      <c r="R182" s="11"/>
      <c r="S182" s="10"/>
    </row>
    <row r="183" spans="2:19" s="6" customFormat="1" ht="16.5" customHeight="1" x14ac:dyDescent="0.3">
      <c r="B183" s="10" t="str">
        <f>IF(C183="","",COUNTA($C$2:C183))</f>
        <v/>
      </c>
      <c r="C183" s="11"/>
      <c r="D183" s="10" t="str">
        <f t="shared" si="12"/>
        <v/>
      </c>
      <c r="H183" s="4"/>
      <c r="I183" s="6" t="str">
        <f t="shared" ca="1" si="13"/>
        <v/>
      </c>
      <c r="J183" s="13"/>
      <c r="K183" s="11"/>
      <c r="L183" s="11"/>
      <c r="M183" s="10"/>
      <c r="N183" s="10"/>
      <c r="Q183" s="11"/>
      <c r="R183" s="11"/>
      <c r="S183" s="10"/>
    </row>
    <row r="184" spans="2:19" s="6" customFormat="1" ht="16.5" customHeight="1" x14ac:dyDescent="0.3">
      <c r="B184" s="10" t="str">
        <f>IF(C184="","",COUNTA($C$2:C184))</f>
        <v/>
      </c>
      <c r="C184" s="11"/>
      <c r="D184" s="10" t="str">
        <f t="shared" si="12"/>
        <v/>
      </c>
      <c r="H184" s="4"/>
      <c r="I184" s="6" t="str">
        <f t="shared" ca="1" si="13"/>
        <v/>
      </c>
      <c r="J184" s="13"/>
      <c r="K184" s="11"/>
      <c r="L184" s="11"/>
      <c r="M184" s="10"/>
      <c r="N184" s="10"/>
      <c r="Q184" s="11"/>
      <c r="R184" s="11"/>
      <c r="S184" s="10"/>
    </row>
    <row r="185" spans="2:19" s="6" customFormat="1" ht="16.5" customHeight="1" x14ac:dyDescent="0.3">
      <c r="B185" s="10" t="str">
        <f>IF(C185="","",COUNTA($C$2:C185))</f>
        <v/>
      </c>
      <c r="C185" s="11"/>
      <c r="D185" s="10" t="str">
        <f t="shared" si="12"/>
        <v/>
      </c>
      <c r="H185" s="4"/>
      <c r="I185" s="6" t="str">
        <f t="shared" ca="1" si="13"/>
        <v/>
      </c>
      <c r="J185" s="13"/>
      <c r="K185" s="11"/>
      <c r="L185" s="11"/>
      <c r="M185" s="10"/>
      <c r="N185" s="10"/>
      <c r="Q185" s="11"/>
      <c r="R185" s="11"/>
      <c r="S185" s="10"/>
    </row>
    <row r="186" spans="2:19" s="6" customFormat="1" ht="16.5" customHeight="1" x14ac:dyDescent="0.3">
      <c r="B186" s="10" t="str">
        <f>IF(C186="","",COUNTA($C$2:C186))</f>
        <v/>
      </c>
      <c r="C186" s="11"/>
      <c r="D186" s="10" t="str">
        <f t="shared" si="12"/>
        <v/>
      </c>
      <c r="H186" s="4"/>
      <c r="I186" s="6" t="str">
        <f t="shared" ca="1" si="13"/>
        <v/>
      </c>
      <c r="J186" s="13"/>
      <c r="K186" s="11"/>
      <c r="L186" s="11"/>
      <c r="M186" s="10"/>
      <c r="N186" s="10"/>
      <c r="Q186" s="11"/>
      <c r="R186" s="11"/>
      <c r="S186" s="10"/>
    </row>
    <row r="187" spans="2:19" s="6" customFormat="1" ht="16.5" customHeight="1" x14ac:dyDescent="0.3">
      <c r="B187" s="10" t="str">
        <f>IF(C187="","",COUNTA($C$2:C187))</f>
        <v/>
      </c>
      <c r="C187" s="11"/>
      <c r="D187" s="10" t="str">
        <f t="shared" si="12"/>
        <v/>
      </c>
      <c r="H187" s="4"/>
      <c r="I187" s="6" t="str">
        <f t="shared" ca="1" si="13"/>
        <v/>
      </c>
      <c r="J187" s="13"/>
      <c r="K187" s="11"/>
      <c r="L187" s="11"/>
      <c r="M187" s="10"/>
      <c r="N187" s="10"/>
      <c r="Q187" s="11"/>
      <c r="R187" s="11"/>
      <c r="S187" s="10"/>
    </row>
    <row r="188" spans="2:19" s="6" customFormat="1" ht="16.5" customHeight="1" x14ac:dyDescent="0.3">
      <c r="B188" s="10" t="str">
        <f>IF(C188="","",COUNTA($C$2:C188))</f>
        <v/>
      </c>
      <c r="C188" s="11"/>
      <c r="D188" s="10" t="str">
        <f t="shared" si="12"/>
        <v/>
      </c>
      <c r="H188" s="4"/>
      <c r="I188" s="6" t="str">
        <f t="shared" ca="1" si="13"/>
        <v/>
      </c>
      <c r="J188" s="13"/>
      <c r="K188" s="11"/>
      <c r="L188" s="11"/>
      <c r="M188" s="10"/>
      <c r="N188" s="10"/>
      <c r="Q188" s="11"/>
      <c r="R188" s="11"/>
      <c r="S188" s="10"/>
    </row>
    <row r="189" spans="2:19" s="6" customFormat="1" ht="16.5" customHeight="1" x14ac:dyDescent="0.3">
      <c r="B189" s="10" t="str">
        <f>IF(C189="","",COUNTA($C$2:C189))</f>
        <v/>
      </c>
      <c r="C189" s="11"/>
      <c r="D189" s="10" t="str">
        <f t="shared" si="12"/>
        <v/>
      </c>
      <c r="H189" s="4"/>
      <c r="I189" s="6" t="str">
        <f t="shared" ca="1" si="13"/>
        <v/>
      </c>
      <c r="J189" s="13"/>
      <c r="K189" s="11"/>
      <c r="L189" s="11"/>
      <c r="M189" s="10"/>
      <c r="N189" s="10"/>
      <c r="Q189" s="11"/>
      <c r="R189" s="11"/>
      <c r="S189" s="10"/>
    </row>
    <row r="190" spans="2:19" s="6" customFormat="1" ht="16.5" customHeight="1" x14ac:dyDescent="0.3">
      <c r="B190" s="10" t="str">
        <f>IF(C190="","",COUNTA($C$2:C190))</f>
        <v/>
      </c>
      <c r="C190" s="11"/>
      <c r="D190" s="10" t="str">
        <f t="shared" si="12"/>
        <v/>
      </c>
      <c r="H190" s="4"/>
      <c r="I190" s="6" t="str">
        <f t="shared" ca="1" si="13"/>
        <v/>
      </c>
      <c r="J190" s="13"/>
      <c r="K190" s="11"/>
      <c r="L190" s="11"/>
      <c r="M190" s="10"/>
      <c r="N190" s="10"/>
      <c r="Q190" s="11"/>
      <c r="R190" s="11"/>
      <c r="S190" s="10"/>
    </row>
    <row r="191" spans="2:19" s="6" customFormat="1" ht="16.5" customHeight="1" x14ac:dyDescent="0.3">
      <c r="B191" s="10" t="str">
        <f>IF(C191="","",COUNTA($C$2:C191))</f>
        <v/>
      </c>
      <c r="C191" s="11"/>
      <c r="D191" s="10" t="str">
        <f t="shared" si="12"/>
        <v/>
      </c>
      <c r="H191" s="4"/>
      <c r="I191" s="6" t="str">
        <f t="shared" ca="1" si="13"/>
        <v/>
      </c>
      <c r="J191" s="13"/>
      <c r="K191" s="11"/>
      <c r="L191" s="11"/>
      <c r="M191" s="10"/>
      <c r="N191" s="10"/>
      <c r="Q191" s="11"/>
      <c r="R191" s="11"/>
      <c r="S191" s="10"/>
    </row>
    <row r="192" spans="2:19" s="6" customFormat="1" ht="16.5" customHeight="1" x14ac:dyDescent="0.3">
      <c r="B192" s="10" t="str">
        <f>IF(C192="","",COUNTA($C$2:C192))</f>
        <v/>
      </c>
      <c r="C192" s="11"/>
      <c r="D192" s="10" t="str">
        <f t="shared" si="12"/>
        <v/>
      </c>
      <c r="H192" s="4"/>
      <c r="I192" s="6" t="str">
        <f t="shared" ca="1" si="13"/>
        <v/>
      </c>
      <c r="J192" s="13"/>
      <c r="K192" s="11"/>
      <c r="L192" s="11"/>
      <c r="M192" s="10"/>
      <c r="N192" s="10"/>
      <c r="Q192" s="11"/>
      <c r="R192" s="11"/>
      <c r="S192" s="10"/>
    </row>
    <row r="193" spans="2:19" s="6" customFormat="1" ht="16.5" customHeight="1" x14ac:dyDescent="0.3">
      <c r="B193" s="10" t="str">
        <f>IF(C193="","",COUNTA($C$2:C193))</f>
        <v/>
      </c>
      <c r="C193" s="11"/>
      <c r="D193" s="10" t="str">
        <f t="shared" si="12"/>
        <v/>
      </c>
      <c r="H193" s="4"/>
      <c r="I193" s="6" t="str">
        <f t="shared" ca="1" si="13"/>
        <v/>
      </c>
      <c r="J193" s="13"/>
      <c r="K193" s="11"/>
      <c r="L193" s="11"/>
      <c r="M193" s="10"/>
      <c r="N193" s="10"/>
      <c r="Q193" s="11"/>
      <c r="R193" s="11"/>
      <c r="S193" s="10"/>
    </row>
    <row r="194" spans="2:19" s="6" customFormat="1" ht="16.5" customHeight="1" x14ac:dyDescent="0.3">
      <c r="B194" s="10" t="str">
        <f>IF(C194="","",COUNTA($C$2:C194))</f>
        <v/>
      </c>
      <c r="C194" s="11"/>
      <c r="D194" s="10" t="str">
        <f t="shared" si="12"/>
        <v/>
      </c>
      <c r="H194" s="4"/>
      <c r="I194" s="6" t="str">
        <f t="shared" ca="1" si="13"/>
        <v/>
      </c>
      <c r="J194" s="13"/>
      <c r="K194" s="11"/>
      <c r="L194" s="11"/>
      <c r="M194" s="10"/>
      <c r="N194" s="10"/>
      <c r="Q194" s="11"/>
      <c r="R194" s="11"/>
      <c r="S194" s="10"/>
    </row>
    <row r="195" spans="2:19" s="6" customFormat="1" ht="16.5" customHeight="1" x14ac:dyDescent="0.3">
      <c r="B195" s="10" t="str">
        <f>IF(C195="","",COUNTA($C$2:C195))</f>
        <v/>
      </c>
      <c r="C195" s="11"/>
      <c r="D195" s="10" t="str">
        <f t="shared" si="12"/>
        <v/>
      </c>
      <c r="H195" s="4"/>
      <c r="I195" s="6" t="str">
        <f t="shared" ca="1" si="13"/>
        <v/>
      </c>
      <c r="J195" s="13"/>
      <c r="K195" s="11"/>
      <c r="L195" s="11"/>
      <c r="M195" s="10"/>
      <c r="N195" s="10"/>
      <c r="Q195" s="11"/>
      <c r="R195" s="11"/>
      <c r="S195" s="10"/>
    </row>
    <row r="196" spans="2:19" s="6" customFormat="1" ht="16.5" customHeight="1" x14ac:dyDescent="0.3">
      <c r="B196" s="10" t="str">
        <f>IF(C196="","",COUNTA($C$2:C196))</f>
        <v/>
      </c>
      <c r="C196" s="11"/>
      <c r="D196" s="10" t="str">
        <f t="shared" si="12"/>
        <v/>
      </c>
      <c r="H196" s="4"/>
      <c r="I196" s="6" t="str">
        <f t="shared" ca="1" si="13"/>
        <v/>
      </c>
      <c r="J196" s="13"/>
      <c r="K196" s="11"/>
      <c r="L196" s="11"/>
      <c r="M196" s="10"/>
      <c r="N196" s="10"/>
      <c r="Q196" s="11"/>
      <c r="R196" s="11"/>
      <c r="S196" s="10"/>
    </row>
    <row r="197" spans="2:19" s="6" customFormat="1" ht="16.5" customHeight="1" x14ac:dyDescent="0.3">
      <c r="B197" s="10" t="str">
        <f>IF(C197="","",COUNTA($C$2:C197))</f>
        <v/>
      </c>
      <c r="C197" s="11"/>
      <c r="D197" s="10" t="str">
        <f t="shared" si="12"/>
        <v/>
      </c>
      <c r="H197" s="4"/>
      <c r="I197" s="6" t="str">
        <f t="shared" ca="1" si="13"/>
        <v/>
      </c>
      <c r="J197" s="13"/>
      <c r="K197" s="11"/>
      <c r="L197" s="11"/>
      <c r="M197" s="10"/>
      <c r="N197" s="10"/>
      <c r="Q197" s="11"/>
      <c r="R197" s="11"/>
      <c r="S197" s="10"/>
    </row>
    <row r="198" spans="2:19" s="6" customFormat="1" ht="16.5" customHeight="1" x14ac:dyDescent="0.3">
      <c r="B198" s="10" t="str">
        <f>IF(C198="","",COUNTA($C$2:C198))</f>
        <v/>
      </c>
      <c r="C198" s="11"/>
      <c r="D198" s="10" t="str">
        <f t="shared" si="12"/>
        <v/>
      </c>
      <c r="H198" s="4"/>
      <c r="I198" s="6" t="str">
        <f t="shared" ca="1" si="13"/>
        <v/>
      </c>
      <c r="J198" s="13"/>
      <c r="K198" s="11"/>
      <c r="L198" s="11"/>
      <c r="M198" s="10"/>
      <c r="N198" s="10"/>
      <c r="Q198" s="11"/>
      <c r="R198" s="11"/>
      <c r="S198" s="10"/>
    </row>
    <row r="199" spans="2:19" s="6" customFormat="1" ht="16.5" customHeight="1" x14ac:dyDescent="0.3">
      <c r="B199" s="10" t="str">
        <f>IF(C199="","",COUNTA($C$2:C199))</f>
        <v/>
      </c>
      <c r="C199" s="11"/>
      <c r="D199" s="10" t="str">
        <f t="shared" si="12"/>
        <v/>
      </c>
      <c r="H199" s="4"/>
      <c r="I199" s="6" t="str">
        <f t="shared" ca="1" si="13"/>
        <v/>
      </c>
      <c r="J199" s="13"/>
      <c r="K199" s="11"/>
      <c r="L199" s="11"/>
      <c r="M199" s="10"/>
      <c r="N199" s="10"/>
      <c r="Q199" s="11"/>
      <c r="R199" s="11"/>
      <c r="S199" s="10"/>
    </row>
    <row r="200" spans="2:19" s="6" customFormat="1" ht="16.5" customHeight="1" x14ac:dyDescent="0.3">
      <c r="B200" s="10" t="str">
        <f>IF(C200="","",COUNTA($C$2:C200))</f>
        <v/>
      </c>
      <c r="C200" s="11"/>
      <c r="D200" s="10" t="str">
        <f t="shared" si="12"/>
        <v/>
      </c>
      <c r="H200" s="4"/>
      <c r="I200" s="6" t="str">
        <f t="shared" ca="1" si="13"/>
        <v/>
      </c>
      <c r="J200" s="13"/>
      <c r="K200" s="11"/>
      <c r="L200" s="11"/>
      <c r="M200" s="10"/>
      <c r="N200" s="10"/>
      <c r="Q200" s="11"/>
      <c r="R200" s="11"/>
      <c r="S200" s="10"/>
    </row>
    <row r="201" spans="2:19" s="6" customFormat="1" ht="16.5" customHeight="1" x14ac:dyDescent="0.3">
      <c r="B201" s="10" t="str">
        <f>IF(C201="","",COUNTA($C$2:C201))</f>
        <v/>
      </c>
      <c r="C201" s="11"/>
      <c r="D201" s="10" t="str">
        <f t="shared" si="12"/>
        <v/>
      </c>
      <c r="H201" s="4"/>
      <c r="I201" s="6" t="str">
        <f t="shared" ca="1" si="13"/>
        <v/>
      </c>
      <c r="J201" s="13"/>
      <c r="K201" s="11"/>
      <c r="L201" s="11"/>
      <c r="M201" s="10"/>
      <c r="N201" s="10"/>
      <c r="Q201" s="11"/>
      <c r="R201" s="11"/>
      <c r="S201" s="10"/>
    </row>
    <row r="202" spans="2:19" s="6" customFormat="1" ht="16.5" customHeight="1" x14ac:dyDescent="0.3">
      <c r="B202" s="10" t="str">
        <f>IF(C202="","",COUNTA($C$2:C202))</f>
        <v/>
      </c>
      <c r="C202" s="11"/>
      <c r="D202" s="10" t="str">
        <f t="shared" si="12"/>
        <v/>
      </c>
      <c r="H202" s="4"/>
      <c r="I202" s="6" t="str">
        <f t="shared" ca="1" si="13"/>
        <v/>
      </c>
      <c r="J202" s="13"/>
      <c r="K202" s="11"/>
      <c r="L202" s="11"/>
      <c r="M202" s="10"/>
      <c r="N202" s="10"/>
      <c r="Q202" s="11"/>
      <c r="R202" s="11"/>
      <c r="S202" s="10"/>
    </row>
    <row r="203" spans="2:19" s="6" customFormat="1" ht="16.5" customHeight="1" x14ac:dyDescent="0.3">
      <c r="B203" s="10" t="str">
        <f>IF(C203="","",COUNTA($C$2:C203))</f>
        <v/>
      </c>
      <c r="C203" s="11"/>
      <c r="D203" s="10" t="str">
        <f t="shared" si="12"/>
        <v/>
      </c>
      <c r="H203" s="4"/>
      <c r="I203" s="6" t="str">
        <f t="shared" ca="1" si="13"/>
        <v/>
      </c>
      <c r="J203" s="13"/>
      <c r="K203" s="11"/>
      <c r="L203" s="11"/>
      <c r="M203" s="10"/>
      <c r="N203" s="10"/>
      <c r="Q203" s="11"/>
      <c r="R203" s="11"/>
      <c r="S203" s="10"/>
    </row>
    <row r="204" spans="2:19" s="6" customFormat="1" ht="16.5" customHeight="1" x14ac:dyDescent="0.3">
      <c r="B204" s="10" t="str">
        <f>IF(C204="","",COUNTA($C$2:C204))</f>
        <v/>
      </c>
      <c r="C204" s="11"/>
      <c r="D204" s="10" t="str">
        <f t="shared" ref="D204:D267" si="14">IF(G204="","",IF(OR(G204="선급금",G204="중도금",G204="잔금"),"A",IF(G204="자재","B",IF(G204="특허료","C",""))))</f>
        <v/>
      </c>
      <c r="H204" s="4"/>
      <c r="I204" s="6" t="str">
        <f t="shared" ref="I204:I267" ca="1" si="15">IF(C204="","",IF(L204="",TODAY()-C204,L204-C204))</f>
        <v/>
      </c>
      <c r="J204" s="13"/>
      <c r="K204" s="11"/>
      <c r="L204" s="11"/>
      <c r="M204" s="10"/>
      <c r="N204" s="10"/>
      <c r="Q204" s="11"/>
      <c r="R204" s="11"/>
      <c r="S204" s="10"/>
    </row>
    <row r="205" spans="2:19" s="6" customFormat="1" ht="16.5" customHeight="1" x14ac:dyDescent="0.3">
      <c r="B205" s="10" t="str">
        <f>IF(C205="","",COUNTA($C$2:C205))</f>
        <v/>
      </c>
      <c r="C205" s="11"/>
      <c r="D205" s="10" t="str">
        <f t="shared" si="14"/>
        <v/>
      </c>
      <c r="H205" s="4"/>
      <c r="I205" s="6" t="str">
        <f t="shared" ca="1" si="15"/>
        <v/>
      </c>
      <c r="J205" s="13"/>
      <c r="K205" s="11"/>
      <c r="L205" s="11"/>
      <c r="M205" s="10"/>
      <c r="N205" s="10"/>
      <c r="Q205" s="11"/>
      <c r="R205" s="11"/>
      <c r="S205" s="10"/>
    </row>
    <row r="206" spans="2:19" s="6" customFormat="1" ht="16.5" customHeight="1" x14ac:dyDescent="0.3">
      <c r="B206" s="10" t="str">
        <f>IF(C206="","",COUNTA($C$2:C206))</f>
        <v/>
      </c>
      <c r="C206" s="11"/>
      <c r="D206" s="10" t="str">
        <f t="shared" si="14"/>
        <v/>
      </c>
      <c r="H206" s="4"/>
      <c r="I206" s="6" t="str">
        <f t="shared" ca="1" si="15"/>
        <v/>
      </c>
      <c r="J206" s="13"/>
      <c r="K206" s="11"/>
      <c r="L206" s="11"/>
      <c r="M206" s="10"/>
      <c r="N206" s="10"/>
      <c r="Q206" s="11"/>
      <c r="R206" s="11"/>
      <c r="S206" s="10"/>
    </row>
    <row r="207" spans="2:19" s="6" customFormat="1" ht="16.5" customHeight="1" x14ac:dyDescent="0.3">
      <c r="B207" s="10" t="str">
        <f>IF(C207="","",COUNTA($C$2:C207))</f>
        <v/>
      </c>
      <c r="C207" s="11"/>
      <c r="D207" s="10" t="str">
        <f t="shared" si="14"/>
        <v/>
      </c>
      <c r="H207" s="4"/>
      <c r="I207" s="6" t="str">
        <f t="shared" ca="1" si="15"/>
        <v/>
      </c>
      <c r="J207" s="13"/>
      <c r="K207" s="11"/>
      <c r="L207" s="11"/>
      <c r="M207" s="10"/>
      <c r="N207" s="10"/>
      <c r="Q207" s="11"/>
      <c r="R207" s="11"/>
      <c r="S207" s="10"/>
    </row>
    <row r="208" spans="2:19" s="6" customFormat="1" ht="16.5" customHeight="1" x14ac:dyDescent="0.3">
      <c r="B208" s="10" t="str">
        <f>IF(C208="","",COUNTA($C$2:C208))</f>
        <v/>
      </c>
      <c r="C208" s="11"/>
      <c r="D208" s="10" t="str">
        <f t="shared" si="14"/>
        <v/>
      </c>
      <c r="H208" s="4"/>
      <c r="I208" s="6" t="str">
        <f t="shared" ca="1" si="15"/>
        <v/>
      </c>
      <c r="J208" s="13"/>
      <c r="K208" s="11"/>
      <c r="L208" s="11"/>
      <c r="M208" s="10"/>
      <c r="N208" s="10"/>
      <c r="Q208" s="11"/>
      <c r="R208" s="11"/>
      <c r="S208" s="10"/>
    </row>
    <row r="209" spans="2:19" s="6" customFormat="1" ht="16.5" customHeight="1" x14ac:dyDescent="0.3">
      <c r="B209" s="10" t="str">
        <f>IF(C209="","",COUNTA($C$2:C209))</f>
        <v/>
      </c>
      <c r="C209" s="11"/>
      <c r="D209" s="10" t="str">
        <f t="shared" si="14"/>
        <v/>
      </c>
      <c r="H209" s="4"/>
      <c r="I209" s="6" t="str">
        <f t="shared" ca="1" si="15"/>
        <v/>
      </c>
      <c r="J209" s="13"/>
      <c r="K209" s="11"/>
      <c r="L209" s="11"/>
      <c r="M209" s="10"/>
      <c r="N209" s="10"/>
      <c r="Q209" s="11"/>
      <c r="R209" s="11"/>
      <c r="S209" s="10"/>
    </row>
    <row r="210" spans="2:19" s="6" customFormat="1" ht="16.5" customHeight="1" x14ac:dyDescent="0.3">
      <c r="B210" s="10" t="str">
        <f>IF(C210="","",COUNTA($C$2:C210))</f>
        <v/>
      </c>
      <c r="C210" s="11"/>
      <c r="D210" s="10" t="str">
        <f t="shared" si="14"/>
        <v/>
      </c>
      <c r="H210" s="4"/>
      <c r="I210" s="6" t="str">
        <f t="shared" ca="1" si="15"/>
        <v/>
      </c>
      <c r="J210" s="13"/>
      <c r="K210" s="11"/>
      <c r="L210" s="11"/>
      <c r="M210" s="10"/>
      <c r="N210" s="10"/>
      <c r="Q210" s="11"/>
      <c r="R210" s="11"/>
      <c r="S210" s="10"/>
    </row>
    <row r="211" spans="2:19" s="6" customFormat="1" ht="16.5" customHeight="1" x14ac:dyDescent="0.3">
      <c r="B211" s="10" t="str">
        <f>IF(C211="","",COUNTA($C$2:C211))</f>
        <v/>
      </c>
      <c r="C211" s="11"/>
      <c r="D211" s="10" t="str">
        <f t="shared" si="14"/>
        <v/>
      </c>
      <c r="H211" s="4"/>
      <c r="I211" s="6" t="str">
        <f t="shared" ca="1" si="15"/>
        <v/>
      </c>
      <c r="J211" s="13"/>
      <c r="K211" s="11"/>
      <c r="L211" s="11"/>
      <c r="M211" s="10"/>
      <c r="N211" s="10"/>
      <c r="Q211" s="11"/>
      <c r="R211" s="11"/>
      <c r="S211" s="10"/>
    </row>
    <row r="212" spans="2:19" s="6" customFormat="1" ht="16.5" customHeight="1" x14ac:dyDescent="0.3">
      <c r="B212" s="10"/>
      <c r="C212" s="11"/>
      <c r="D212" s="10" t="str">
        <f t="shared" si="14"/>
        <v/>
      </c>
      <c r="H212" s="4"/>
      <c r="I212" s="6" t="str">
        <f t="shared" ca="1" si="15"/>
        <v/>
      </c>
      <c r="J212" s="13"/>
      <c r="K212" s="11"/>
      <c r="L212" s="11"/>
      <c r="M212" s="10"/>
      <c r="N212" s="10"/>
      <c r="Q212" s="11"/>
      <c r="R212" s="11"/>
      <c r="S212" s="10"/>
    </row>
    <row r="213" spans="2:19" s="6" customFormat="1" ht="16.5" customHeight="1" x14ac:dyDescent="0.3">
      <c r="B213" s="10"/>
      <c r="C213" s="11"/>
      <c r="D213" s="10" t="str">
        <f t="shared" si="14"/>
        <v/>
      </c>
      <c r="H213" s="4"/>
      <c r="I213" s="6" t="str">
        <f t="shared" ca="1" si="15"/>
        <v/>
      </c>
      <c r="J213" s="13"/>
      <c r="K213" s="11"/>
      <c r="L213" s="11"/>
      <c r="M213" s="10"/>
      <c r="N213" s="10"/>
      <c r="Q213" s="11"/>
      <c r="R213" s="11"/>
      <c r="S213" s="10"/>
    </row>
    <row r="214" spans="2:19" s="6" customFormat="1" ht="16.5" customHeight="1" x14ac:dyDescent="0.3">
      <c r="B214" s="10"/>
      <c r="C214" s="11"/>
      <c r="D214" s="10" t="str">
        <f t="shared" si="14"/>
        <v/>
      </c>
      <c r="H214" s="4"/>
      <c r="I214" s="6" t="str">
        <f t="shared" ca="1" si="15"/>
        <v/>
      </c>
      <c r="J214" s="13"/>
      <c r="K214" s="11"/>
      <c r="L214" s="11"/>
      <c r="M214" s="10"/>
      <c r="N214" s="10"/>
      <c r="Q214" s="11"/>
      <c r="R214" s="11"/>
      <c r="S214" s="10"/>
    </row>
    <row r="215" spans="2:19" s="6" customFormat="1" ht="16.5" customHeight="1" x14ac:dyDescent="0.3">
      <c r="B215" s="10"/>
      <c r="C215" s="11"/>
      <c r="D215" s="10" t="str">
        <f t="shared" si="14"/>
        <v/>
      </c>
      <c r="H215" s="4"/>
      <c r="I215" s="6" t="str">
        <f t="shared" ca="1" si="15"/>
        <v/>
      </c>
      <c r="J215" s="13"/>
      <c r="K215" s="11"/>
      <c r="L215" s="11"/>
      <c r="M215" s="10"/>
      <c r="N215" s="10"/>
      <c r="Q215" s="11"/>
      <c r="R215" s="11"/>
      <c r="S215" s="10"/>
    </row>
    <row r="216" spans="2:19" s="6" customFormat="1" ht="16.5" customHeight="1" x14ac:dyDescent="0.3">
      <c r="B216" s="10"/>
      <c r="C216" s="11"/>
      <c r="D216" s="10" t="str">
        <f t="shared" si="14"/>
        <v/>
      </c>
      <c r="H216" s="4"/>
      <c r="I216" s="6" t="str">
        <f t="shared" ca="1" si="15"/>
        <v/>
      </c>
      <c r="J216" s="13"/>
      <c r="K216" s="11"/>
      <c r="L216" s="11"/>
      <c r="M216" s="10"/>
      <c r="N216" s="10"/>
      <c r="Q216" s="11"/>
      <c r="R216" s="11"/>
      <c r="S216" s="10"/>
    </row>
    <row r="217" spans="2:19" s="6" customFormat="1" ht="16.5" customHeight="1" x14ac:dyDescent="0.3">
      <c r="B217" s="10"/>
      <c r="C217" s="11"/>
      <c r="D217" s="10" t="str">
        <f t="shared" si="14"/>
        <v/>
      </c>
      <c r="H217" s="4"/>
      <c r="I217" s="6" t="str">
        <f t="shared" ca="1" si="15"/>
        <v/>
      </c>
      <c r="J217" s="13"/>
      <c r="K217" s="11"/>
      <c r="L217" s="11"/>
      <c r="M217" s="10"/>
      <c r="N217" s="10"/>
      <c r="Q217" s="11"/>
      <c r="R217" s="11"/>
      <c r="S217" s="10"/>
    </row>
    <row r="218" spans="2:19" s="6" customFormat="1" ht="16.5" customHeight="1" x14ac:dyDescent="0.3">
      <c r="B218" s="10"/>
      <c r="C218" s="11"/>
      <c r="D218" s="10" t="str">
        <f t="shared" si="14"/>
        <v/>
      </c>
      <c r="H218" s="4"/>
      <c r="I218" s="6" t="str">
        <f t="shared" ca="1" si="15"/>
        <v/>
      </c>
      <c r="J218" s="13"/>
      <c r="K218" s="11"/>
      <c r="L218" s="11"/>
      <c r="M218" s="10"/>
      <c r="N218" s="10"/>
      <c r="Q218" s="11"/>
      <c r="R218" s="11"/>
      <c r="S218" s="10"/>
    </row>
    <row r="219" spans="2:19" s="6" customFormat="1" ht="16.5" customHeight="1" x14ac:dyDescent="0.3">
      <c r="B219" s="10"/>
      <c r="C219" s="11"/>
      <c r="D219" s="10" t="str">
        <f t="shared" si="14"/>
        <v/>
      </c>
      <c r="H219" s="4"/>
      <c r="I219" s="6" t="str">
        <f t="shared" ca="1" si="15"/>
        <v/>
      </c>
      <c r="J219" s="13"/>
      <c r="K219" s="11"/>
      <c r="L219" s="11"/>
      <c r="M219" s="10"/>
      <c r="N219" s="10"/>
      <c r="Q219" s="11"/>
      <c r="R219" s="11"/>
      <c r="S219" s="10"/>
    </row>
    <row r="220" spans="2:19" s="6" customFormat="1" ht="16.5" customHeight="1" x14ac:dyDescent="0.3">
      <c r="B220" s="10"/>
      <c r="C220" s="11"/>
      <c r="D220" s="10" t="str">
        <f t="shared" si="14"/>
        <v/>
      </c>
      <c r="H220" s="4"/>
      <c r="I220" s="6" t="str">
        <f t="shared" ca="1" si="15"/>
        <v/>
      </c>
      <c r="J220" s="13"/>
      <c r="K220" s="11"/>
      <c r="L220" s="11"/>
      <c r="M220" s="10"/>
      <c r="N220" s="10"/>
      <c r="Q220" s="11"/>
      <c r="R220" s="11"/>
      <c r="S220" s="10"/>
    </row>
    <row r="221" spans="2:19" s="6" customFormat="1" ht="16.5" customHeight="1" x14ac:dyDescent="0.3">
      <c r="B221" s="10"/>
      <c r="C221" s="11"/>
      <c r="D221" s="10" t="str">
        <f t="shared" si="14"/>
        <v/>
      </c>
      <c r="H221" s="4"/>
      <c r="I221" s="6" t="str">
        <f t="shared" ca="1" si="15"/>
        <v/>
      </c>
      <c r="J221" s="13"/>
      <c r="K221" s="11"/>
      <c r="L221" s="11"/>
      <c r="M221" s="10"/>
      <c r="N221" s="10"/>
      <c r="Q221" s="11"/>
      <c r="R221" s="11"/>
      <c r="S221" s="10"/>
    </row>
    <row r="222" spans="2:19" s="6" customFormat="1" ht="16.5" customHeight="1" x14ac:dyDescent="0.3">
      <c r="B222" s="10"/>
      <c r="C222" s="11"/>
      <c r="D222" s="10" t="str">
        <f t="shared" si="14"/>
        <v/>
      </c>
      <c r="H222" s="4"/>
      <c r="I222" s="6" t="str">
        <f t="shared" ca="1" si="15"/>
        <v/>
      </c>
      <c r="J222" s="13"/>
      <c r="K222" s="11"/>
      <c r="L222" s="11"/>
      <c r="M222" s="10"/>
      <c r="N222" s="10"/>
      <c r="Q222" s="11"/>
      <c r="R222" s="11"/>
      <c r="S222" s="10"/>
    </row>
    <row r="223" spans="2:19" s="6" customFormat="1" ht="16.5" customHeight="1" x14ac:dyDescent="0.3">
      <c r="B223" s="10"/>
      <c r="C223" s="11"/>
      <c r="D223" s="10" t="str">
        <f t="shared" si="14"/>
        <v/>
      </c>
      <c r="H223" s="4"/>
      <c r="I223" s="6" t="str">
        <f t="shared" ca="1" si="15"/>
        <v/>
      </c>
      <c r="J223" s="13"/>
      <c r="K223" s="11"/>
      <c r="L223" s="11"/>
      <c r="M223" s="10"/>
      <c r="N223" s="10"/>
      <c r="Q223" s="11"/>
      <c r="R223" s="11"/>
      <c r="S223" s="10"/>
    </row>
    <row r="224" spans="2:19" s="6" customFormat="1" ht="16.5" customHeight="1" x14ac:dyDescent="0.3">
      <c r="B224" s="10"/>
      <c r="C224" s="11"/>
      <c r="D224" s="10" t="str">
        <f t="shared" si="14"/>
        <v/>
      </c>
      <c r="H224" s="4"/>
      <c r="I224" s="6" t="str">
        <f t="shared" ca="1" si="15"/>
        <v/>
      </c>
      <c r="J224" s="13"/>
      <c r="K224" s="11"/>
      <c r="L224" s="11"/>
      <c r="M224" s="10"/>
      <c r="N224" s="10"/>
      <c r="Q224" s="11"/>
      <c r="R224" s="11"/>
      <c r="S224" s="10"/>
    </row>
    <row r="225" spans="2:19" s="6" customFormat="1" ht="16.5" customHeight="1" x14ac:dyDescent="0.3">
      <c r="B225" s="10"/>
      <c r="C225" s="11"/>
      <c r="D225" s="10" t="str">
        <f t="shared" si="14"/>
        <v/>
      </c>
      <c r="H225" s="4"/>
      <c r="I225" s="6" t="str">
        <f t="shared" ca="1" si="15"/>
        <v/>
      </c>
      <c r="J225" s="13"/>
      <c r="K225" s="11"/>
      <c r="L225" s="11"/>
      <c r="M225" s="10"/>
      <c r="N225" s="10"/>
      <c r="Q225" s="11"/>
      <c r="R225" s="11"/>
      <c r="S225" s="10"/>
    </row>
    <row r="226" spans="2:19" s="6" customFormat="1" ht="16.5" customHeight="1" x14ac:dyDescent="0.3">
      <c r="B226" s="10"/>
      <c r="C226" s="11"/>
      <c r="D226" s="10" t="str">
        <f t="shared" si="14"/>
        <v/>
      </c>
      <c r="H226" s="4"/>
      <c r="I226" s="6" t="str">
        <f t="shared" ca="1" si="15"/>
        <v/>
      </c>
      <c r="J226" s="13"/>
      <c r="K226" s="11"/>
      <c r="L226" s="11"/>
      <c r="M226" s="10"/>
      <c r="N226" s="10"/>
      <c r="Q226" s="11"/>
      <c r="R226" s="11"/>
      <c r="S226" s="10"/>
    </row>
    <row r="227" spans="2:19" s="6" customFormat="1" ht="16.5" customHeight="1" x14ac:dyDescent="0.3">
      <c r="B227" s="10"/>
      <c r="C227" s="11"/>
      <c r="D227" s="10" t="str">
        <f t="shared" si="14"/>
        <v/>
      </c>
      <c r="H227" s="4"/>
      <c r="I227" s="6" t="str">
        <f t="shared" ca="1" si="15"/>
        <v/>
      </c>
      <c r="J227" s="13"/>
      <c r="K227" s="11"/>
      <c r="L227" s="11"/>
      <c r="M227" s="10"/>
      <c r="N227" s="10"/>
      <c r="Q227" s="11"/>
      <c r="R227" s="11"/>
      <c r="S227" s="10"/>
    </row>
    <row r="228" spans="2:19" s="6" customFormat="1" ht="16.5" customHeight="1" x14ac:dyDescent="0.3">
      <c r="B228" s="10"/>
      <c r="C228" s="11"/>
      <c r="D228" s="10" t="str">
        <f t="shared" si="14"/>
        <v/>
      </c>
      <c r="H228" s="4"/>
      <c r="I228" s="6" t="str">
        <f t="shared" ca="1" si="15"/>
        <v/>
      </c>
      <c r="J228" s="13"/>
      <c r="K228" s="11"/>
      <c r="L228" s="11"/>
      <c r="M228" s="10"/>
      <c r="N228" s="10"/>
      <c r="Q228" s="11"/>
      <c r="R228" s="11"/>
      <c r="S228" s="10"/>
    </row>
    <row r="229" spans="2:19" s="6" customFormat="1" ht="16.5" customHeight="1" x14ac:dyDescent="0.3">
      <c r="B229" s="10"/>
      <c r="C229" s="11"/>
      <c r="D229" s="10" t="str">
        <f t="shared" si="14"/>
        <v/>
      </c>
      <c r="H229" s="4"/>
      <c r="I229" s="6" t="str">
        <f t="shared" ca="1" si="15"/>
        <v/>
      </c>
      <c r="J229" s="13"/>
      <c r="K229" s="11"/>
      <c r="L229" s="11"/>
      <c r="M229" s="10"/>
      <c r="N229" s="10"/>
      <c r="Q229" s="11"/>
      <c r="R229" s="11"/>
      <c r="S229" s="10"/>
    </row>
    <row r="230" spans="2:19" s="6" customFormat="1" ht="16.5" customHeight="1" x14ac:dyDescent="0.3">
      <c r="B230" s="10"/>
      <c r="C230" s="11"/>
      <c r="D230" s="10" t="str">
        <f t="shared" si="14"/>
        <v/>
      </c>
      <c r="H230" s="4"/>
      <c r="I230" s="6" t="str">
        <f t="shared" ca="1" si="15"/>
        <v/>
      </c>
      <c r="J230" s="13"/>
      <c r="K230" s="11"/>
      <c r="L230" s="11"/>
      <c r="M230" s="10"/>
      <c r="N230" s="10"/>
      <c r="Q230" s="11"/>
      <c r="R230" s="11"/>
      <c r="S230" s="10"/>
    </row>
    <row r="231" spans="2:19" s="6" customFormat="1" ht="16.5" customHeight="1" x14ac:dyDescent="0.3">
      <c r="B231" s="10"/>
      <c r="C231" s="11"/>
      <c r="D231" s="10" t="str">
        <f t="shared" si="14"/>
        <v/>
      </c>
      <c r="H231" s="4"/>
      <c r="I231" s="6" t="str">
        <f t="shared" ca="1" si="15"/>
        <v/>
      </c>
      <c r="J231" s="13"/>
      <c r="K231" s="11"/>
      <c r="L231" s="11"/>
      <c r="M231" s="10"/>
      <c r="N231" s="10"/>
      <c r="Q231" s="11"/>
      <c r="R231" s="11"/>
      <c r="S231" s="10"/>
    </row>
    <row r="232" spans="2:19" s="6" customFormat="1" ht="16.5" customHeight="1" x14ac:dyDescent="0.3">
      <c r="B232" s="10"/>
      <c r="C232" s="11"/>
      <c r="D232" s="10" t="str">
        <f t="shared" si="14"/>
        <v/>
      </c>
      <c r="H232" s="4"/>
      <c r="I232" s="6" t="str">
        <f t="shared" ca="1" si="15"/>
        <v/>
      </c>
      <c r="J232" s="13"/>
      <c r="K232" s="11"/>
      <c r="L232" s="11"/>
      <c r="M232" s="10"/>
      <c r="N232" s="10"/>
      <c r="Q232" s="11"/>
      <c r="R232" s="11"/>
      <c r="S232" s="10"/>
    </row>
    <row r="233" spans="2:19" s="6" customFormat="1" ht="16.5" customHeight="1" x14ac:dyDescent="0.3">
      <c r="B233" s="10"/>
      <c r="C233" s="11"/>
      <c r="D233" s="10" t="str">
        <f t="shared" si="14"/>
        <v/>
      </c>
      <c r="H233" s="4"/>
      <c r="I233" s="6" t="str">
        <f t="shared" ca="1" si="15"/>
        <v/>
      </c>
      <c r="J233" s="13"/>
      <c r="K233" s="11"/>
      <c r="L233" s="11"/>
      <c r="M233" s="10"/>
      <c r="N233" s="10"/>
      <c r="Q233" s="11"/>
      <c r="R233" s="11"/>
      <c r="S233" s="10"/>
    </row>
    <row r="234" spans="2:19" s="6" customFormat="1" ht="16.5" customHeight="1" x14ac:dyDescent="0.3">
      <c r="B234" s="10"/>
      <c r="C234" s="11"/>
      <c r="D234" s="10" t="str">
        <f t="shared" si="14"/>
        <v/>
      </c>
      <c r="H234" s="4"/>
      <c r="I234" s="6" t="str">
        <f t="shared" ca="1" si="15"/>
        <v/>
      </c>
      <c r="J234" s="13"/>
      <c r="K234" s="11"/>
      <c r="L234" s="11"/>
      <c r="M234" s="10"/>
      <c r="N234" s="10"/>
      <c r="Q234" s="11"/>
      <c r="R234" s="11"/>
      <c r="S234" s="10"/>
    </row>
    <row r="235" spans="2:19" s="6" customFormat="1" ht="16.5" customHeight="1" x14ac:dyDescent="0.3">
      <c r="B235" s="10"/>
      <c r="C235" s="11"/>
      <c r="D235" s="10" t="str">
        <f t="shared" si="14"/>
        <v/>
      </c>
      <c r="H235" s="4"/>
      <c r="I235" s="6" t="str">
        <f t="shared" ca="1" si="15"/>
        <v/>
      </c>
      <c r="J235" s="13"/>
      <c r="K235" s="11"/>
      <c r="L235" s="11"/>
      <c r="M235" s="10"/>
      <c r="N235" s="10"/>
      <c r="Q235" s="11"/>
      <c r="R235" s="11"/>
      <c r="S235" s="10"/>
    </row>
    <row r="236" spans="2:19" s="6" customFormat="1" ht="16.5" customHeight="1" x14ac:dyDescent="0.3">
      <c r="B236" s="10"/>
      <c r="C236" s="11"/>
      <c r="D236" s="10" t="str">
        <f t="shared" si="14"/>
        <v/>
      </c>
      <c r="H236" s="4"/>
      <c r="I236" s="6" t="str">
        <f t="shared" ca="1" si="15"/>
        <v/>
      </c>
      <c r="J236" s="13"/>
      <c r="K236" s="11"/>
      <c r="L236" s="11"/>
      <c r="M236" s="10"/>
      <c r="N236" s="10"/>
      <c r="Q236" s="11"/>
      <c r="R236" s="11"/>
      <c r="S236" s="10"/>
    </row>
    <row r="237" spans="2:19" s="6" customFormat="1" ht="16.5" customHeight="1" x14ac:dyDescent="0.3">
      <c r="B237" s="10"/>
      <c r="C237" s="11"/>
      <c r="D237" s="10" t="str">
        <f t="shared" si="14"/>
        <v/>
      </c>
      <c r="H237" s="4"/>
      <c r="I237" s="6" t="str">
        <f t="shared" ca="1" si="15"/>
        <v/>
      </c>
      <c r="J237" s="13"/>
      <c r="K237" s="11"/>
      <c r="L237" s="11"/>
      <c r="M237" s="10"/>
      <c r="N237" s="10"/>
      <c r="Q237" s="11"/>
      <c r="R237" s="11"/>
      <c r="S237" s="10"/>
    </row>
    <row r="238" spans="2:19" s="6" customFormat="1" ht="16.5" customHeight="1" x14ac:dyDescent="0.3">
      <c r="B238" s="10"/>
      <c r="C238" s="11"/>
      <c r="D238" s="10" t="str">
        <f t="shared" si="14"/>
        <v/>
      </c>
      <c r="H238" s="4"/>
      <c r="I238" s="6" t="str">
        <f t="shared" ca="1" si="15"/>
        <v/>
      </c>
      <c r="J238" s="13"/>
      <c r="K238" s="11"/>
      <c r="L238" s="11"/>
      <c r="M238" s="10"/>
      <c r="N238" s="10"/>
      <c r="Q238" s="11"/>
      <c r="R238" s="11"/>
      <c r="S238" s="10"/>
    </row>
    <row r="239" spans="2:19" s="6" customFormat="1" ht="16.5" customHeight="1" x14ac:dyDescent="0.3">
      <c r="B239" s="10"/>
      <c r="C239" s="11"/>
      <c r="D239" s="10" t="str">
        <f t="shared" si="14"/>
        <v/>
      </c>
      <c r="H239" s="4"/>
      <c r="I239" s="6" t="str">
        <f t="shared" ca="1" si="15"/>
        <v/>
      </c>
      <c r="J239" s="13"/>
      <c r="K239" s="11"/>
      <c r="L239" s="11"/>
      <c r="M239" s="10"/>
      <c r="N239" s="10"/>
      <c r="Q239" s="11"/>
      <c r="R239" s="11"/>
      <c r="S239" s="10"/>
    </row>
    <row r="240" spans="2:19" s="6" customFormat="1" ht="16.5" customHeight="1" x14ac:dyDescent="0.3">
      <c r="B240" s="10"/>
      <c r="C240" s="11"/>
      <c r="D240" s="10" t="str">
        <f t="shared" si="14"/>
        <v/>
      </c>
      <c r="H240" s="4"/>
      <c r="I240" s="6" t="str">
        <f t="shared" ca="1" si="15"/>
        <v/>
      </c>
      <c r="J240" s="13"/>
      <c r="K240" s="11"/>
      <c r="L240" s="11"/>
      <c r="M240" s="10"/>
      <c r="N240" s="10"/>
      <c r="Q240" s="11"/>
      <c r="R240" s="11"/>
      <c r="S240" s="10"/>
    </row>
    <row r="241" spans="2:19" s="6" customFormat="1" ht="16.5" customHeight="1" x14ac:dyDescent="0.3">
      <c r="B241" s="10"/>
      <c r="C241" s="11"/>
      <c r="D241" s="10" t="str">
        <f t="shared" si="14"/>
        <v/>
      </c>
      <c r="H241" s="4"/>
      <c r="I241" s="6" t="str">
        <f t="shared" ca="1" si="15"/>
        <v/>
      </c>
      <c r="J241" s="13"/>
      <c r="K241" s="11"/>
      <c r="L241" s="11"/>
      <c r="M241" s="10"/>
      <c r="N241" s="10"/>
      <c r="Q241" s="11"/>
      <c r="R241" s="11"/>
      <c r="S241" s="10"/>
    </row>
    <row r="242" spans="2:19" s="6" customFormat="1" ht="16.5" customHeight="1" x14ac:dyDescent="0.3">
      <c r="B242" s="10"/>
      <c r="C242" s="11"/>
      <c r="D242" s="10" t="str">
        <f t="shared" si="14"/>
        <v/>
      </c>
      <c r="H242" s="4"/>
      <c r="I242" s="6" t="str">
        <f t="shared" ca="1" si="15"/>
        <v/>
      </c>
      <c r="J242" s="13"/>
      <c r="K242" s="11"/>
      <c r="L242" s="11"/>
      <c r="M242" s="10"/>
      <c r="N242" s="10"/>
      <c r="Q242" s="11"/>
      <c r="R242" s="11"/>
      <c r="S242" s="10"/>
    </row>
    <row r="243" spans="2:19" s="6" customFormat="1" ht="16.5" customHeight="1" x14ac:dyDescent="0.3">
      <c r="B243" s="10"/>
      <c r="C243" s="11"/>
      <c r="D243" s="10" t="str">
        <f t="shared" si="14"/>
        <v/>
      </c>
      <c r="H243" s="4"/>
      <c r="I243" s="6" t="str">
        <f t="shared" ca="1" si="15"/>
        <v/>
      </c>
      <c r="J243" s="13"/>
      <c r="K243" s="11"/>
      <c r="L243" s="11"/>
      <c r="M243" s="10"/>
      <c r="N243" s="10"/>
      <c r="Q243" s="11"/>
      <c r="R243" s="11"/>
      <c r="S243" s="10"/>
    </row>
    <row r="244" spans="2:19" s="6" customFormat="1" ht="16.5" customHeight="1" x14ac:dyDescent="0.3">
      <c r="B244" s="10"/>
      <c r="C244" s="11"/>
      <c r="D244" s="10" t="str">
        <f t="shared" si="14"/>
        <v/>
      </c>
      <c r="H244" s="4"/>
      <c r="I244" s="6" t="str">
        <f t="shared" ca="1" si="15"/>
        <v/>
      </c>
      <c r="J244" s="13"/>
      <c r="K244" s="11"/>
      <c r="L244" s="11"/>
      <c r="M244" s="10"/>
      <c r="N244" s="10"/>
      <c r="Q244" s="11"/>
      <c r="R244" s="11"/>
      <c r="S244" s="10"/>
    </row>
    <row r="245" spans="2:19" s="6" customFormat="1" ht="16.5" customHeight="1" x14ac:dyDescent="0.3">
      <c r="B245" s="10"/>
      <c r="C245" s="11"/>
      <c r="D245" s="10" t="str">
        <f t="shared" si="14"/>
        <v/>
      </c>
      <c r="H245" s="4"/>
      <c r="I245" s="6" t="str">
        <f t="shared" ca="1" si="15"/>
        <v/>
      </c>
      <c r="J245" s="13"/>
      <c r="K245" s="11"/>
      <c r="L245" s="11"/>
      <c r="M245" s="10"/>
      <c r="N245" s="10"/>
      <c r="Q245" s="11"/>
      <c r="R245" s="11"/>
      <c r="S245" s="10"/>
    </row>
    <row r="246" spans="2:19" s="6" customFormat="1" ht="16.5" customHeight="1" x14ac:dyDescent="0.3">
      <c r="B246" s="10"/>
      <c r="C246" s="11"/>
      <c r="D246" s="10" t="str">
        <f t="shared" si="14"/>
        <v/>
      </c>
      <c r="H246" s="4"/>
      <c r="I246" s="6" t="str">
        <f t="shared" ca="1" si="15"/>
        <v/>
      </c>
      <c r="J246" s="13"/>
      <c r="K246" s="11"/>
      <c r="L246" s="11"/>
      <c r="M246" s="10"/>
      <c r="N246" s="10"/>
      <c r="Q246" s="11"/>
      <c r="R246" s="11"/>
      <c r="S246" s="10"/>
    </row>
    <row r="247" spans="2:19" s="6" customFormat="1" ht="16.5" customHeight="1" x14ac:dyDescent="0.3">
      <c r="B247" s="10"/>
      <c r="C247" s="11"/>
      <c r="D247" s="10" t="str">
        <f t="shared" si="14"/>
        <v/>
      </c>
      <c r="H247" s="4"/>
      <c r="I247" s="6" t="str">
        <f t="shared" ca="1" si="15"/>
        <v/>
      </c>
      <c r="J247" s="13"/>
      <c r="K247" s="11"/>
      <c r="L247" s="11"/>
      <c r="M247" s="10"/>
      <c r="N247" s="10"/>
      <c r="Q247" s="11"/>
      <c r="R247" s="11"/>
      <c r="S247" s="10"/>
    </row>
    <row r="248" spans="2:19" s="6" customFormat="1" ht="16.5" customHeight="1" x14ac:dyDescent="0.3">
      <c r="B248" s="10"/>
      <c r="C248" s="11"/>
      <c r="D248" s="10" t="str">
        <f t="shared" si="14"/>
        <v/>
      </c>
      <c r="H248" s="4"/>
      <c r="I248" s="6" t="str">
        <f t="shared" ca="1" si="15"/>
        <v/>
      </c>
      <c r="J248" s="13"/>
      <c r="K248" s="11"/>
      <c r="L248" s="11"/>
      <c r="M248" s="10"/>
      <c r="N248" s="10"/>
      <c r="Q248" s="11"/>
      <c r="R248" s="11"/>
      <c r="S248" s="10"/>
    </row>
    <row r="249" spans="2:19" s="6" customFormat="1" ht="16.5" customHeight="1" x14ac:dyDescent="0.3">
      <c r="B249" s="10"/>
      <c r="C249" s="11"/>
      <c r="D249" s="10" t="str">
        <f t="shared" si="14"/>
        <v/>
      </c>
      <c r="H249" s="4"/>
      <c r="I249" s="6" t="str">
        <f t="shared" ca="1" si="15"/>
        <v/>
      </c>
      <c r="J249" s="13"/>
      <c r="K249" s="11"/>
      <c r="L249" s="11"/>
      <c r="M249" s="10"/>
      <c r="N249" s="10"/>
      <c r="Q249" s="11"/>
      <c r="R249" s="11"/>
      <c r="S249" s="10"/>
    </row>
    <row r="250" spans="2:19" s="6" customFormat="1" ht="16.5" customHeight="1" x14ac:dyDescent="0.3">
      <c r="B250" s="10"/>
      <c r="C250" s="11"/>
      <c r="D250" s="10" t="str">
        <f t="shared" si="14"/>
        <v/>
      </c>
      <c r="H250" s="4"/>
      <c r="I250" s="6" t="str">
        <f t="shared" ca="1" si="15"/>
        <v/>
      </c>
      <c r="J250" s="13"/>
      <c r="K250" s="11"/>
      <c r="L250" s="11"/>
      <c r="M250" s="10"/>
      <c r="N250" s="10"/>
      <c r="Q250" s="11"/>
      <c r="R250" s="11"/>
      <c r="S250" s="10"/>
    </row>
    <row r="251" spans="2:19" s="6" customFormat="1" ht="16.5" customHeight="1" x14ac:dyDescent="0.3">
      <c r="B251" s="10"/>
      <c r="C251" s="11"/>
      <c r="D251" s="10" t="str">
        <f t="shared" si="14"/>
        <v/>
      </c>
      <c r="H251" s="4"/>
      <c r="I251" s="6" t="str">
        <f t="shared" ca="1" si="15"/>
        <v/>
      </c>
      <c r="J251" s="13"/>
      <c r="K251" s="11"/>
      <c r="L251" s="11"/>
      <c r="M251" s="10"/>
      <c r="N251" s="10"/>
      <c r="Q251" s="11"/>
      <c r="R251" s="11"/>
      <c r="S251" s="10"/>
    </row>
    <row r="252" spans="2:19" s="6" customFormat="1" ht="16.5" customHeight="1" x14ac:dyDescent="0.3">
      <c r="B252" s="10"/>
      <c r="C252" s="11"/>
      <c r="D252" s="10" t="str">
        <f t="shared" si="14"/>
        <v/>
      </c>
      <c r="H252" s="4"/>
      <c r="I252" s="6" t="str">
        <f t="shared" ca="1" si="15"/>
        <v/>
      </c>
      <c r="J252" s="13"/>
      <c r="K252" s="11"/>
      <c r="L252" s="11"/>
      <c r="M252" s="10"/>
      <c r="N252" s="10"/>
      <c r="Q252" s="11"/>
      <c r="R252" s="11"/>
      <c r="S252" s="10"/>
    </row>
    <row r="253" spans="2:19" s="6" customFormat="1" ht="16.5" customHeight="1" x14ac:dyDescent="0.3">
      <c r="B253" s="10"/>
      <c r="C253" s="11"/>
      <c r="D253" s="10" t="str">
        <f t="shared" si="14"/>
        <v/>
      </c>
      <c r="H253" s="4"/>
      <c r="I253" s="6" t="str">
        <f t="shared" ca="1" si="15"/>
        <v/>
      </c>
      <c r="J253" s="13"/>
      <c r="K253" s="11"/>
      <c r="L253" s="11"/>
      <c r="M253" s="10"/>
      <c r="N253" s="10"/>
      <c r="Q253" s="11"/>
      <c r="R253" s="11"/>
      <c r="S253" s="10"/>
    </row>
    <row r="254" spans="2:19" s="6" customFormat="1" ht="16.5" customHeight="1" x14ac:dyDescent="0.3">
      <c r="B254" s="10"/>
      <c r="C254" s="11"/>
      <c r="D254" s="10" t="str">
        <f t="shared" si="14"/>
        <v/>
      </c>
      <c r="H254" s="4"/>
      <c r="I254" s="6" t="str">
        <f t="shared" ca="1" si="15"/>
        <v/>
      </c>
      <c r="J254" s="13"/>
      <c r="K254" s="11"/>
      <c r="L254" s="11"/>
      <c r="M254" s="10"/>
      <c r="N254" s="10"/>
      <c r="Q254" s="11"/>
      <c r="R254" s="11"/>
      <c r="S254" s="10"/>
    </row>
    <row r="255" spans="2:19" s="6" customFormat="1" ht="16.5" customHeight="1" x14ac:dyDescent="0.3">
      <c r="B255" s="10"/>
      <c r="C255" s="11"/>
      <c r="D255" s="10" t="str">
        <f t="shared" si="14"/>
        <v/>
      </c>
      <c r="H255" s="4"/>
      <c r="I255" s="6" t="str">
        <f t="shared" ca="1" si="15"/>
        <v/>
      </c>
      <c r="J255" s="13"/>
      <c r="K255" s="11"/>
      <c r="L255" s="11"/>
      <c r="M255" s="10"/>
      <c r="N255" s="10"/>
      <c r="Q255" s="11"/>
      <c r="R255" s="11"/>
      <c r="S255" s="10"/>
    </row>
    <row r="256" spans="2:19" s="6" customFormat="1" ht="16.5" customHeight="1" x14ac:dyDescent="0.3">
      <c r="B256" s="10"/>
      <c r="C256" s="11"/>
      <c r="D256" s="10" t="str">
        <f t="shared" si="14"/>
        <v/>
      </c>
      <c r="H256" s="4"/>
      <c r="I256" s="6" t="str">
        <f t="shared" ca="1" si="15"/>
        <v/>
      </c>
      <c r="J256" s="13"/>
      <c r="K256" s="11"/>
      <c r="L256" s="11"/>
      <c r="M256" s="10"/>
      <c r="N256" s="10"/>
      <c r="Q256" s="11"/>
      <c r="R256" s="11"/>
      <c r="S256" s="10"/>
    </row>
    <row r="257" spans="2:19" s="6" customFormat="1" ht="16.5" customHeight="1" x14ac:dyDescent="0.3">
      <c r="B257" s="10"/>
      <c r="C257" s="11"/>
      <c r="D257" s="10" t="str">
        <f t="shared" si="14"/>
        <v/>
      </c>
      <c r="H257" s="4"/>
      <c r="I257" s="6" t="str">
        <f t="shared" ca="1" si="15"/>
        <v/>
      </c>
      <c r="J257" s="13"/>
      <c r="K257" s="11"/>
      <c r="L257" s="11"/>
      <c r="M257" s="10"/>
      <c r="N257" s="10"/>
      <c r="Q257" s="11"/>
      <c r="R257" s="11"/>
      <c r="S257" s="10"/>
    </row>
    <row r="258" spans="2:19" s="6" customFormat="1" ht="16.5" customHeight="1" x14ac:dyDescent="0.3">
      <c r="B258" s="10"/>
      <c r="C258" s="11"/>
      <c r="D258" s="10" t="str">
        <f t="shared" si="14"/>
        <v/>
      </c>
      <c r="H258" s="4"/>
      <c r="I258" s="6" t="str">
        <f t="shared" ca="1" si="15"/>
        <v/>
      </c>
      <c r="J258" s="13"/>
      <c r="K258" s="11"/>
      <c r="L258" s="11"/>
      <c r="M258" s="10"/>
      <c r="N258" s="10"/>
      <c r="Q258" s="11"/>
      <c r="R258" s="11"/>
      <c r="S258" s="10"/>
    </row>
    <row r="259" spans="2:19" s="6" customFormat="1" ht="16.5" customHeight="1" x14ac:dyDescent="0.3">
      <c r="B259" s="10"/>
      <c r="C259" s="11"/>
      <c r="D259" s="10" t="str">
        <f t="shared" si="14"/>
        <v/>
      </c>
      <c r="H259" s="4"/>
      <c r="I259" s="6" t="str">
        <f t="shared" ca="1" si="15"/>
        <v/>
      </c>
      <c r="J259" s="13"/>
      <c r="K259" s="11"/>
      <c r="L259" s="11"/>
      <c r="M259" s="10"/>
      <c r="N259" s="10"/>
      <c r="Q259" s="11"/>
      <c r="R259" s="11"/>
      <c r="S259" s="10"/>
    </row>
    <row r="260" spans="2:19" s="6" customFormat="1" ht="16.5" customHeight="1" x14ac:dyDescent="0.3">
      <c r="B260" s="10"/>
      <c r="C260" s="11"/>
      <c r="D260" s="10" t="str">
        <f t="shared" si="14"/>
        <v/>
      </c>
      <c r="H260" s="4"/>
      <c r="I260" s="6" t="str">
        <f t="shared" ca="1" si="15"/>
        <v/>
      </c>
      <c r="J260" s="13"/>
      <c r="K260" s="11"/>
      <c r="L260" s="11"/>
      <c r="M260" s="10"/>
      <c r="N260" s="10"/>
      <c r="Q260" s="11"/>
      <c r="R260" s="11"/>
      <c r="S260" s="10"/>
    </row>
    <row r="261" spans="2:19" s="6" customFormat="1" ht="16.5" customHeight="1" x14ac:dyDescent="0.3">
      <c r="B261" s="10"/>
      <c r="C261" s="11"/>
      <c r="D261" s="10" t="str">
        <f t="shared" si="14"/>
        <v/>
      </c>
      <c r="H261" s="4"/>
      <c r="I261" s="6" t="str">
        <f t="shared" ca="1" si="15"/>
        <v/>
      </c>
      <c r="J261" s="13"/>
      <c r="K261" s="11"/>
      <c r="L261" s="11"/>
      <c r="M261" s="10"/>
      <c r="N261" s="10"/>
      <c r="Q261" s="11"/>
      <c r="R261" s="11"/>
      <c r="S261" s="10"/>
    </row>
    <row r="262" spans="2:19" s="6" customFormat="1" ht="16.5" customHeight="1" x14ac:dyDescent="0.3">
      <c r="B262" s="10"/>
      <c r="C262" s="11"/>
      <c r="D262" s="10" t="str">
        <f t="shared" si="14"/>
        <v/>
      </c>
      <c r="H262" s="4"/>
      <c r="I262" s="6" t="str">
        <f t="shared" ca="1" si="15"/>
        <v/>
      </c>
      <c r="J262" s="13"/>
      <c r="K262" s="11"/>
      <c r="L262" s="11"/>
      <c r="M262" s="10"/>
      <c r="N262" s="10"/>
      <c r="Q262" s="11"/>
      <c r="R262" s="11"/>
      <c r="S262" s="10"/>
    </row>
    <row r="263" spans="2:19" s="6" customFormat="1" ht="16.5" customHeight="1" x14ac:dyDescent="0.3">
      <c r="B263" s="10"/>
      <c r="C263" s="11"/>
      <c r="D263" s="10" t="str">
        <f t="shared" si="14"/>
        <v/>
      </c>
      <c r="H263" s="4"/>
      <c r="I263" s="6" t="str">
        <f t="shared" ca="1" si="15"/>
        <v/>
      </c>
      <c r="J263" s="13"/>
      <c r="K263" s="11"/>
      <c r="L263" s="11"/>
      <c r="M263" s="10"/>
      <c r="N263" s="10"/>
      <c r="Q263" s="11"/>
      <c r="R263" s="11"/>
      <c r="S263" s="10"/>
    </row>
    <row r="264" spans="2:19" s="6" customFormat="1" ht="16.5" customHeight="1" x14ac:dyDescent="0.3">
      <c r="B264" s="10"/>
      <c r="C264" s="11"/>
      <c r="D264" s="10" t="str">
        <f t="shared" si="14"/>
        <v/>
      </c>
      <c r="H264" s="4"/>
      <c r="I264" s="6" t="str">
        <f t="shared" ca="1" si="15"/>
        <v/>
      </c>
      <c r="J264" s="13"/>
      <c r="K264" s="11"/>
      <c r="L264" s="11"/>
      <c r="M264" s="10"/>
      <c r="N264" s="10"/>
      <c r="Q264" s="11"/>
      <c r="R264" s="11"/>
      <c r="S264" s="10"/>
    </row>
    <row r="265" spans="2:19" s="6" customFormat="1" ht="16.5" customHeight="1" x14ac:dyDescent="0.3">
      <c r="B265" s="10"/>
      <c r="C265" s="11"/>
      <c r="D265" s="10" t="str">
        <f t="shared" si="14"/>
        <v/>
      </c>
      <c r="H265" s="4"/>
      <c r="I265" s="6" t="str">
        <f t="shared" ca="1" si="15"/>
        <v/>
      </c>
      <c r="J265" s="13"/>
      <c r="K265" s="11"/>
      <c r="L265" s="11"/>
      <c r="M265" s="10"/>
      <c r="N265" s="10"/>
      <c r="Q265" s="11"/>
      <c r="R265" s="11"/>
      <c r="S265" s="10"/>
    </row>
    <row r="266" spans="2:19" s="6" customFormat="1" ht="16.5" customHeight="1" x14ac:dyDescent="0.3">
      <c r="B266" s="10"/>
      <c r="C266" s="11"/>
      <c r="D266" s="10" t="str">
        <f t="shared" si="14"/>
        <v/>
      </c>
      <c r="H266" s="4"/>
      <c r="I266" s="6" t="str">
        <f t="shared" ca="1" si="15"/>
        <v/>
      </c>
      <c r="J266" s="13"/>
      <c r="K266" s="11"/>
      <c r="L266" s="11"/>
      <c r="M266" s="10"/>
      <c r="N266" s="10"/>
      <c r="Q266" s="11"/>
      <c r="R266" s="11"/>
      <c r="S266" s="10"/>
    </row>
    <row r="267" spans="2:19" s="6" customFormat="1" ht="16.5" customHeight="1" x14ac:dyDescent="0.3">
      <c r="B267" s="10"/>
      <c r="C267" s="11"/>
      <c r="D267" s="10" t="str">
        <f t="shared" si="14"/>
        <v/>
      </c>
      <c r="H267" s="4"/>
      <c r="I267" s="6" t="str">
        <f t="shared" ca="1" si="15"/>
        <v/>
      </c>
      <c r="J267" s="13"/>
      <c r="K267" s="11"/>
      <c r="L267" s="11"/>
      <c r="M267" s="10"/>
      <c r="N267" s="10"/>
      <c r="Q267" s="11"/>
      <c r="R267" s="11"/>
      <c r="S267" s="10"/>
    </row>
    <row r="268" spans="2:19" s="6" customFormat="1" ht="16.5" customHeight="1" x14ac:dyDescent="0.3">
      <c r="B268" s="10"/>
      <c r="C268" s="11"/>
      <c r="D268" s="10" t="str">
        <f t="shared" ref="D268:D331" si="16">IF(G268="","",IF(OR(G268="선급금",G268="중도금",G268="잔금"),"A",IF(G268="자재","B",IF(G268="특허료","C",""))))</f>
        <v/>
      </c>
      <c r="H268" s="4"/>
      <c r="I268" s="6" t="str">
        <f t="shared" ref="I268:I331" ca="1" si="17">IF(C268="","",IF(L268="",TODAY()-C268,L268-C268))</f>
        <v/>
      </c>
      <c r="J268" s="13"/>
      <c r="K268" s="11"/>
      <c r="L268" s="11"/>
      <c r="M268" s="10"/>
      <c r="N268" s="10"/>
      <c r="Q268" s="11"/>
      <c r="R268" s="11"/>
      <c r="S268" s="10"/>
    </row>
    <row r="269" spans="2:19" s="6" customFormat="1" ht="16.5" customHeight="1" x14ac:dyDescent="0.3">
      <c r="B269" s="10"/>
      <c r="C269" s="11"/>
      <c r="D269" s="10" t="str">
        <f t="shared" si="16"/>
        <v/>
      </c>
      <c r="H269" s="4"/>
      <c r="I269" s="6" t="str">
        <f t="shared" ca="1" si="17"/>
        <v/>
      </c>
      <c r="J269" s="13"/>
      <c r="K269" s="11"/>
      <c r="L269" s="11"/>
      <c r="M269" s="10"/>
      <c r="N269" s="10"/>
      <c r="Q269" s="11"/>
      <c r="R269" s="11"/>
      <c r="S269" s="10"/>
    </row>
    <row r="270" spans="2:19" s="6" customFormat="1" ht="16.5" customHeight="1" x14ac:dyDescent="0.3">
      <c r="B270" s="10"/>
      <c r="C270" s="11"/>
      <c r="D270" s="10" t="str">
        <f t="shared" si="16"/>
        <v/>
      </c>
      <c r="H270" s="4"/>
      <c r="I270" s="6" t="str">
        <f t="shared" ca="1" si="17"/>
        <v/>
      </c>
      <c r="J270" s="13"/>
      <c r="K270" s="11"/>
      <c r="L270" s="11"/>
      <c r="M270" s="10"/>
      <c r="N270" s="10"/>
      <c r="Q270" s="11"/>
      <c r="R270" s="11"/>
      <c r="S270" s="10"/>
    </row>
    <row r="271" spans="2:19" s="6" customFormat="1" ht="16.5" customHeight="1" x14ac:dyDescent="0.3">
      <c r="B271" s="10"/>
      <c r="C271" s="11"/>
      <c r="D271" s="10" t="str">
        <f t="shared" si="16"/>
        <v/>
      </c>
      <c r="H271" s="4"/>
      <c r="I271" s="6" t="str">
        <f t="shared" ca="1" si="17"/>
        <v/>
      </c>
      <c r="J271" s="13"/>
      <c r="K271" s="11"/>
      <c r="L271" s="11"/>
      <c r="M271" s="10"/>
      <c r="N271" s="10"/>
      <c r="Q271" s="11"/>
      <c r="R271" s="11"/>
      <c r="S271" s="10"/>
    </row>
    <row r="272" spans="2:19" s="6" customFormat="1" ht="16.5" customHeight="1" x14ac:dyDescent="0.3">
      <c r="B272" s="10"/>
      <c r="C272" s="11"/>
      <c r="D272" s="10" t="str">
        <f t="shared" si="16"/>
        <v/>
      </c>
      <c r="H272" s="4"/>
      <c r="I272" s="6" t="str">
        <f t="shared" ca="1" si="17"/>
        <v/>
      </c>
      <c r="J272" s="13"/>
      <c r="K272" s="11"/>
      <c r="L272" s="11"/>
      <c r="M272" s="10"/>
      <c r="N272" s="10"/>
      <c r="Q272" s="11"/>
      <c r="R272" s="11"/>
      <c r="S272" s="10"/>
    </row>
    <row r="273" spans="2:19" s="6" customFormat="1" ht="16.5" customHeight="1" x14ac:dyDescent="0.3">
      <c r="B273" s="10"/>
      <c r="C273" s="11"/>
      <c r="D273" s="10" t="str">
        <f t="shared" si="16"/>
        <v/>
      </c>
      <c r="H273" s="4"/>
      <c r="I273" s="6" t="str">
        <f t="shared" ca="1" si="17"/>
        <v/>
      </c>
      <c r="J273" s="13"/>
      <c r="K273" s="11"/>
      <c r="L273" s="11"/>
      <c r="M273" s="10"/>
      <c r="N273" s="10"/>
      <c r="Q273" s="11"/>
      <c r="R273" s="11"/>
      <c r="S273" s="10"/>
    </row>
    <row r="274" spans="2:19" s="6" customFormat="1" ht="16.5" customHeight="1" x14ac:dyDescent="0.3">
      <c r="B274" s="10"/>
      <c r="C274" s="11"/>
      <c r="D274" s="10" t="str">
        <f t="shared" si="16"/>
        <v/>
      </c>
      <c r="H274" s="4"/>
      <c r="I274" s="6" t="str">
        <f t="shared" ca="1" si="17"/>
        <v/>
      </c>
      <c r="J274" s="13"/>
      <c r="K274" s="11"/>
      <c r="L274" s="11"/>
      <c r="M274" s="10"/>
      <c r="N274" s="10"/>
      <c r="Q274" s="11"/>
      <c r="R274" s="11"/>
      <c r="S274" s="10"/>
    </row>
    <row r="275" spans="2:19" s="6" customFormat="1" ht="16.5" customHeight="1" x14ac:dyDescent="0.3">
      <c r="B275" s="10"/>
      <c r="C275" s="11"/>
      <c r="D275" s="10" t="str">
        <f t="shared" si="16"/>
        <v/>
      </c>
      <c r="H275" s="4"/>
      <c r="I275" s="6" t="str">
        <f t="shared" ca="1" si="17"/>
        <v/>
      </c>
      <c r="J275" s="13"/>
      <c r="K275" s="11"/>
      <c r="L275" s="11"/>
      <c r="M275" s="10"/>
      <c r="N275" s="10"/>
      <c r="Q275" s="11"/>
      <c r="R275" s="11"/>
      <c r="S275" s="10"/>
    </row>
    <row r="276" spans="2:19" s="6" customFormat="1" ht="16.5" customHeight="1" x14ac:dyDescent="0.3">
      <c r="B276" s="10"/>
      <c r="C276" s="11"/>
      <c r="D276" s="10" t="str">
        <f t="shared" si="16"/>
        <v/>
      </c>
      <c r="H276" s="4"/>
      <c r="I276" s="6" t="str">
        <f t="shared" ca="1" si="17"/>
        <v/>
      </c>
      <c r="J276" s="13"/>
      <c r="K276" s="11"/>
      <c r="L276" s="11"/>
      <c r="M276" s="10"/>
      <c r="N276" s="10"/>
      <c r="Q276" s="11"/>
      <c r="R276" s="11"/>
      <c r="S276" s="10"/>
    </row>
    <row r="277" spans="2:19" s="6" customFormat="1" ht="16.5" customHeight="1" x14ac:dyDescent="0.3">
      <c r="B277" s="10"/>
      <c r="C277" s="11"/>
      <c r="D277" s="10" t="str">
        <f t="shared" si="16"/>
        <v/>
      </c>
      <c r="H277" s="4"/>
      <c r="I277" s="6" t="str">
        <f t="shared" ca="1" si="17"/>
        <v/>
      </c>
      <c r="J277" s="13"/>
      <c r="K277" s="11"/>
      <c r="L277" s="11"/>
      <c r="M277" s="10"/>
      <c r="N277" s="10"/>
      <c r="Q277" s="11"/>
      <c r="R277" s="11"/>
      <c r="S277" s="10"/>
    </row>
    <row r="278" spans="2:19" s="6" customFormat="1" ht="16.5" customHeight="1" x14ac:dyDescent="0.3">
      <c r="B278" s="10"/>
      <c r="C278" s="11"/>
      <c r="D278" s="10" t="str">
        <f t="shared" si="16"/>
        <v/>
      </c>
      <c r="H278" s="4"/>
      <c r="I278" s="6" t="str">
        <f t="shared" ca="1" si="17"/>
        <v/>
      </c>
      <c r="J278" s="13"/>
      <c r="K278" s="11"/>
      <c r="L278" s="11"/>
      <c r="M278" s="10"/>
      <c r="N278" s="10"/>
      <c r="Q278" s="11"/>
      <c r="R278" s="11"/>
      <c r="S278" s="10"/>
    </row>
    <row r="279" spans="2:19" s="6" customFormat="1" ht="16.5" customHeight="1" x14ac:dyDescent="0.3">
      <c r="B279" s="10"/>
      <c r="C279" s="11"/>
      <c r="D279" s="10" t="str">
        <f t="shared" si="16"/>
        <v/>
      </c>
      <c r="H279" s="4"/>
      <c r="I279" s="6" t="str">
        <f t="shared" ca="1" si="17"/>
        <v/>
      </c>
      <c r="J279" s="13"/>
      <c r="K279" s="11"/>
      <c r="L279" s="11"/>
      <c r="M279" s="10"/>
      <c r="N279" s="10"/>
      <c r="Q279" s="11"/>
      <c r="R279" s="11"/>
      <c r="S279" s="10"/>
    </row>
    <row r="280" spans="2:19" s="6" customFormat="1" ht="16.5" customHeight="1" x14ac:dyDescent="0.3">
      <c r="B280" s="10"/>
      <c r="C280" s="11"/>
      <c r="D280" s="10" t="str">
        <f t="shared" si="16"/>
        <v/>
      </c>
      <c r="H280" s="4"/>
      <c r="I280" s="6" t="str">
        <f t="shared" ca="1" si="17"/>
        <v/>
      </c>
      <c r="J280" s="13"/>
      <c r="K280" s="11"/>
      <c r="L280" s="11"/>
      <c r="M280" s="10"/>
      <c r="N280" s="10"/>
      <c r="Q280" s="11"/>
      <c r="R280" s="11"/>
      <c r="S280" s="10"/>
    </row>
    <row r="281" spans="2:19" s="6" customFormat="1" ht="16.5" customHeight="1" x14ac:dyDescent="0.3">
      <c r="B281" s="10"/>
      <c r="C281" s="11"/>
      <c r="D281" s="10" t="str">
        <f t="shared" si="16"/>
        <v/>
      </c>
      <c r="H281" s="4"/>
      <c r="I281" s="6" t="str">
        <f t="shared" ca="1" si="17"/>
        <v/>
      </c>
      <c r="J281" s="13"/>
      <c r="K281" s="11"/>
      <c r="L281" s="11"/>
      <c r="M281" s="10"/>
      <c r="N281" s="10"/>
      <c r="Q281" s="11"/>
      <c r="R281" s="11"/>
      <c r="S281" s="10"/>
    </row>
    <row r="282" spans="2:19" s="6" customFormat="1" ht="16.5" customHeight="1" x14ac:dyDescent="0.3">
      <c r="B282" s="10"/>
      <c r="C282" s="11"/>
      <c r="D282" s="10" t="str">
        <f t="shared" si="16"/>
        <v/>
      </c>
      <c r="H282" s="4"/>
      <c r="I282" s="6" t="str">
        <f t="shared" ca="1" si="17"/>
        <v/>
      </c>
      <c r="J282" s="13"/>
      <c r="K282" s="11"/>
      <c r="L282" s="11"/>
      <c r="M282" s="10"/>
      <c r="N282" s="10"/>
      <c r="Q282" s="11"/>
      <c r="R282" s="11"/>
      <c r="S282" s="10"/>
    </row>
    <row r="283" spans="2:19" s="6" customFormat="1" ht="16.5" customHeight="1" x14ac:dyDescent="0.3">
      <c r="B283" s="10"/>
      <c r="C283" s="11"/>
      <c r="D283" s="10" t="str">
        <f t="shared" si="16"/>
        <v/>
      </c>
      <c r="H283" s="4"/>
      <c r="I283" s="6" t="str">
        <f t="shared" ca="1" si="17"/>
        <v/>
      </c>
      <c r="J283" s="13"/>
      <c r="K283" s="11"/>
      <c r="L283" s="11"/>
      <c r="M283" s="10"/>
      <c r="N283" s="10"/>
      <c r="Q283" s="11"/>
      <c r="R283" s="11"/>
      <c r="S283" s="10"/>
    </row>
    <row r="284" spans="2:19" s="6" customFormat="1" ht="16.5" customHeight="1" x14ac:dyDescent="0.3">
      <c r="B284" s="10"/>
      <c r="C284" s="11"/>
      <c r="D284" s="10" t="str">
        <f t="shared" si="16"/>
        <v/>
      </c>
      <c r="H284" s="4"/>
      <c r="I284" s="6" t="str">
        <f t="shared" ca="1" si="17"/>
        <v/>
      </c>
      <c r="J284" s="13"/>
      <c r="K284" s="11"/>
      <c r="L284" s="11"/>
      <c r="M284" s="10"/>
      <c r="N284" s="10"/>
      <c r="Q284" s="11"/>
      <c r="R284" s="11"/>
      <c r="S284" s="10"/>
    </row>
    <row r="285" spans="2:19" s="6" customFormat="1" ht="16.5" customHeight="1" x14ac:dyDescent="0.3">
      <c r="B285" s="10"/>
      <c r="C285" s="11"/>
      <c r="D285" s="10" t="str">
        <f t="shared" si="16"/>
        <v/>
      </c>
      <c r="H285" s="4"/>
      <c r="I285" s="6" t="str">
        <f t="shared" ca="1" si="17"/>
        <v/>
      </c>
      <c r="J285" s="13"/>
      <c r="K285" s="11"/>
      <c r="L285" s="11"/>
      <c r="M285" s="10"/>
      <c r="N285" s="10"/>
      <c r="Q285" s="11"/>
      <c r="R285" s="11"/>
      <c r="S285" s="10"/>
    </row>
    <row r="286" spans="2:19" s="6" customFormat="1" ht="16.5" customHeight="1" x14ac:dyDescent="0.3">
      <c r="B286" s="10"/>
      <c r="C286" s="11"/>
      <c r="D286" s="10" t="str">
        <f t="shared" si="16"/>
        <v/>
      </c>
      <c r="H286" s="4"/>
      <c r="I286" s="6" t="str">
        <f t="shared" ca="1" si="17"/>
        <v/>
      </c>
      <c r="J286" s="13"/>
      <c r="K286" s="11"/>
      <c r="L286" s="11"/>
      <c r="M286" s="10"/>
      <c r="N286" s="10"/>
      <c r="Q286" s="11"/>
      <c r="R286" s="11"/>
      <c r="S286" s="10"/>
    </row>
    <row r="287" spans="2:19" s="6" customFormat="1" ht="16.5" customHeight="1" x14ac:dyDescent="0.3">
      <c r="B287" s="10"/>
      <c r="C287" s="11"/>
      <c r="D287" s="10" t="str">
        <f t="shared" si="16"/>
        <v/>
      </c>
      <c r="H287" s="4"/>
      <c r="I287" s="6" t="str">
        <f t="shared" ca="1" si="17"/>
        <v/>
      </c>
      <c r="J287" s="13"/>
      <c r="K287" s="11"/>
      <c r="L287" s="11"/>
      <c r="M287" s="10"/>
      <c r="N287" s="10"/>
      <c r="Q287" s="11"/>
      <c r="R287" s="11"/>
      <c r="S287" s="10"/>
    </row>
    <row r="288" spans="2:19" s="6" customFormat="1" ht="16.5" customHeight="1" x14ac:dyDescent="0.3">
      <c r="B288" s="10"/>
      <c r="C288" s="11"/>
      <c r="D288" s="10" t="str">
        <f t="shared" si="16"/>
        <v/>
      </c>
      <c r="H288" s="4"/>
      <c r="I288" s="6" t="str">
        <f t="shared" ca="1" si="17"/>
        <v/>
      </c>
      <c r="J288" s="13"/>
      <c r="K288" s="11"/>
      <c r="L288" s="11"/>
      <c r="M288" s="10"/>
      <c r="N288" s="10"/>
      <c r="Q288" s="11"/>
      <c r="R288" s="11"/>
      <c r="S288" s="10"/>
    </row>
    <row r="289" spans="2:19" s="6" customFormat="1" ht="16.5" customHeight="1" x14ac:dyDescent="0.3">
      <c r="B289" s="10"/>
      <c r="C289" s="11"/>
      <c r="D289" s="10" t="str">
        <f t="shared" si="16"/>
        <v/>
      </c>
      <c r="H289" s="4"/>
      <c r="I289" s="6" t="str">
        <f t="shared" ca="1" si="17"/>
        <v/>
      </c>
      <c r="J289" s="13"/>
      <c r="K289" s="11"/>
      <c r="L289" s="11"/>
      <c r="M289" s="10"/>
      <c r="N289" s="10"/>
      <c r="Q289" s="11"/>
      <c r="R289" s="11"/>
      <c r="S289" s="10"/>
    </row>
    <row r="290" spans="2:19" s="6" customFormat="1" ht="16.5" customHeight="1" x14ac:dyDescent="0.3">
      <c r="B290" s="10"/>
      <c r="C290" s="11"/>
      <c r="D290" s="10" t="str">
        <f t="shared" si="16"/>
        <v/>
      </c>
      <c r="H290" s="4"/>
      <c r="I290" s="6" t="str">
        <f t="shared" ca="1" si="17"/>
        <v/>
      </c>
      <c r="J290" s="13"/>
      <c r="K290" s="11"/>
      <c r="L290" s="11"/>
      <c r="M290" s="10"/>
      <c r="N290" s="10"/>
      <c r="Q290" s="11"/>
      <c r="R290" s="11"/>
      <c r="S290" s="10"/>
    </row>
    <row r="291" spans="2:19" s="6" customFormat="1" ht="16.5" customHeight="1" x14ac:dyDescent="0.3">
      <c r="B291" s="10"/>
      <c r="C291" s="11"/>
      <c r="D291" s="10" t="str">
        <f t="shared" si="16"/>
        <v/>
      </c>
      <c r="H291" s="4"/>
      <c r="I291" s="6" t="str">
        <f t="shared" ca="1" si="17"/>
        <v/>
      </c>
      <c r="J291" s="13"/>
      <c r="K291" s="11"/>
      <c r="L291" s="11"/>
      <c r="M291" s="10"/>
      <c r="N291" s="10"/>
      <c r="Q291" s="11"/>
      <c r="R291" s="11"/>
      <c r="S291" s="10"/>
    </row>
    <row r="292" spans="2:19" s="6" customFormat="1" ht="16.5" customHeight="1" x14ac:dyDescent="0.3">
      <c r="B292" s="10"/>
      <c r="C292" s="11"/>
      <c r="D292" s="10" t="str">
        <f t="shared" si="16"/>
        <v/>
      </c>
      <c r="H292" s="4"/>
      <c r="I292" s="6" t="str">
        <f t="shared" ca="1" si="17"/>
        <v/>
      </c>
      <c r="J292" s="13"/>
      <c r="K292" s="11"/>
      <c r="L292" s="11"/>
      <c r="M292" s="10"/>
      <c r="N292" s="10"/>
      <c r="Q292" s="11"/>
      <c r="R292" s="11"/>
      <c r="S292" s="10"/>
    </row>
    <row r="293" spans="2:19" s="6" customFormat="1" ht="16.5" customHeight="1" x14ac:dyDescent="0.3">
      <c r="B293" s="10"/>
      <c r="C293" s="11"/>
      <c r="D293" s="10" t="str">
        <f t="shared" si="16"/>
        <v/>
      </c>
      <c r="H293" s="4"/>
      <c r="I293" s="6" t="str">
        <f t="shared" ca="1" si="17"/>
        <v/>
      </c>
      <c r="J293" s="13"/>
      <c r="K293" s="11"/>
      <c r="L293" s="11"/>
      <c r="M293" s="10"/>
      <c r="N293" s="10"/>
      <c r="Q293" s="11"/>
      <c r="R293" s="11"/>
      <c r="S293" s="10"/>
    </row>
    <row r="294" spans="2:19" s="6" customFormat="1" ht="16.5" customHeight="1" x14ac:dyDescent="0.3">
      <c r="B294" s="10"/>
      <c r="C294" s="11"/>
      <c r="D294" s="10" t="str">
        <f t="shared" si="16"/>
        <v/>
      </c>
      <c r="H294" s="4"/>
      <c r="I294" s="6" t="str">
        <f t="shared" ca="1" si="17"/>
        <v/>
      </c>
      <c r="J294" s="13"/>
      <c r="K294" s="11"/>
      <c r="L294" s="11"/>
      <c r="M294" s="10"/>
      <c r="N294" s="10"/>
      <c r="Q294" s="11"/>
      <c r="R294" s="11"/>
      <c r="S294" s="10"/>
    </row>
    <row r="295" spans="2:19" s="6" customFormat="1" ht="16.5" customHeight="1" x14ac:dyDescent="0.3">
      <c r="B295" s="10"/>
      <c r="C295" s="11"/>
      <c r="D295" s="10" t="str">
        <f t="shared" si="16"/>
        <v/>
      </c>
      <c r="H295" s="4"/>
      <c r="I295" s="6" t="str">
        <f t="shared" ca="1" si="17"/>
        <v/>
      </c>
      <c r="J295" s="13"/>
      <c r="K295" s="11"/>
      <c r="L295" s="11"/>
      <c r="M295" s="10"/>
      <c r="N295" s="10"/>
      <c r="Q295" s="11"/>
      <c r="R295" s="11"/>
      <c r="S295" s="10"/>
    </row>
    <row r="296" spans="2:19" s="6" customFormat="1" ht="16.5" customHeight="1" x14ac:dyDescent="0.3">
      <c r="B296" s="10"/>
      <c r="C296" s="11"/>
      <c r="D296" s="10" t="str">
        <f t="shared" si="16"/>
        <v/>
      </c>
      <c r="H296" s="4"/>
      <c r="I296" s="6" t="str">
        <f t="shared" ca="1" si="17"/>
        <v/>
      </c>
      <c r="J296" s="13"/>
      <c r="K296" s="11"/>
      <c r="L296" s="11"/>
      <c r="M296" s="10"/>
      <c r="N296" s="10"/>
      <c r="Q296" s="11"/>
      <c r="R296" s="11"/>
      <c r="S296" s="10"/>
    </row>
    <row r="297" spans="2:19" s="6" customFormat="1" ht="16.5" customHeight="1" x14ac:dyDescent="0.3">
      <c r="B297" s="10"/>
      <c r="C297" s="11"/>
      <c r="D297" s="10" t="str">
        <f t="shared" si="16"/>
        <v/>
      </c>
      <c r="H297" s="4"/>
      <c r="I297" s="6" t="str">
        <f t="shared" ca="1" si="17"/>
        <v/>
      </c>
      <c r="J297" s="13"/>
      <c r="K297" s="11"/>
      <c r="L297" s="11"/>
      <c r="M297" s="10"/>
      <c r="N297" s="10"/>
      <c r="Q297" s="11"/>
      <c r="R297" s="11"/>
      <c r="S297" s="10"/>
    </row>
    <row r="298" spans="2:19" s="6" customFormat="1" ht="16.5" customHeight="1" x14ac:dyDescent="0.3">
      <c r="B298" s="10"/>
      <c r="C298" s="11"/>
      <c r="D298" s="10" t="str">
        <f t="shared" si="16"/>
        <v/>
      </c>
      <c r="H298" s="4"/>
      <c r="I298" s="6" t="str">
        <f t="shared" ca="1" si="17"/>
        <v/>
      </c>
      <c r="J298" s="13"/>
      <c r="K298" s="11"/>
      <c r="L298" s="11"/>
      <c r="M298" s="10"/>
      <c r="N298" s="10"/>
      <c r="Q298" s="11"/>
      <c r="R298" s="11"/>
      <c r="S298" s="10"/>
    </row>
    <row r="299" spans="2:19" s="6" customFormat="1" ht="16.5" customHeight="1" x14ac:dyDescent="0.3">
      <c r="B299" s="10"/>
      <c r="C299" s="11"/>
      <c r="D299" s="10" t="str">
        <f t="shared" si="16"/>
        <v/>
      </c>
      <c r="H299" s="4"/>
      <c r="I299" s="6" t="str">
        <f t="shared" ca="1" si="17"/>
        <v/>
      </c>
      <c r="J299" s="13"/>
      <c r="K299" s="11"/>
      <c r="L299" s="11"/>
      <c r="M299" s="10"/>
      <c r="N299" s="10"/>
      <c r="Q299" s="11"/>
      <c r="R299" s="11"/>
      <c r="S299" s="10"/>
    </row>
    <row r="300" spans="2:19" s="6" customFormat="1" ht="16.5" customHeight="1" x14ac:dyDescent="0.3">
      <c r="B300" s="10"/>
      <c r="C300" s="11"/>
      <c r="D300" s="10" t="str">
        <f t="shared" si="16"/>
        <v/>
      </c>
      <c r="H300" s="4"/>
      <c r="I300" s="6" t="str">
        <f t="shared" ca="1" si="17"/>
        <v/>
      </c>
      <c r="J300" s="13"/>
      <c r="K300" s="11"/>
      <c r="L300" s="11"/>
      <c r="M300" s="10"/>
      <c r="N300" s="10"/>
      <c r="Q300" s="11"/>
      <c r="R300" s="11"/>
      <c r="S300" s="10"/>
    </row>
    <row r="301" spans="2:19" s="6" customFormat="1" ht="16.5" customHeight="1" x14ac:dyDescent="0.3">
      <c r="B301" s="10"/>
      <c r="C301" s="11"/>
      <c r="D301" s="10" t="str">
        <f t="shared" si="16"/>
        <v/>
      </c>
      <c r="H301" s="4"/>
      <c r="I301" s="6" t="str">
        <f t="shared" ca="1" si="17"/>
        <v/>
      </c>
      <c r="J301" s="13"/>
      <c r="K301" s="11"/>
      <c r="L301" s="11"/>
      <c r="M301" s="10"/>
      <c r="N301" s="10"/>
      <c r="Q301" s="11"/>
      <c r="R301" s="11"/>
      <c r="S301" s="10"/>
    </row>
    <row r="302" spans="2:19" s="6" customFormat="1" ht="16.5" customHeight="1" x14ac:dyDescent="0.3">
      <c r="B302" s="10"/>
      <c r="C302" s="11"/>
      <c r="D302" s="10" t="str">
        <f t="shared" si="16"/>
        <v/>
      </c>
      <c r="H302" s="4"/>
      <c r="I302" s="6" t="str">
        <f t="shared" ca="1" si="17"/>
        <v/>
      </c>
      <c r="J302" s="13"/>
      <c r="K302" s="11"/>
      <c r="L302" s="11"/>
      <c r="M302" s="10"/>
      <c r="N302" s="10"/>
      <c r="Q302" s="11"/>
      <c r="R302" s="11"/>
      <c r="S302" s="10"/>
    </row>
    <row r="303" spans="2:19" s="6" customFormat="1" ht="16.5" customHeight="1" x14ac:dyDescent="0.3">
      <c r="B303" s="10"/>
      <c r="C303" s="11"/>
      <c r="D303" s="10" t="str">
        <f t="shared" si="16"/>
        <v/>
      </c>
      <c r="H303" s="4"/>
      <c r="I303" s="6" t="str">
        <f t="shared" ca="1" si="17"/>
        <v/>
      </c>
      <c r="J303" s="13"/>
      <c r="K303" s="11"/>
      <c r="L303" s="11"/>
      <c r="M303" s="10"/>
      <c r="N303" s="10"/>
      <c r="Q303" s="11"/>
      <c r="R303" s="11"/>
      <c r="S303" s="10"/>
    </row>
    <row r="304" spans="2:19" s="6" customFormat="1" ht="16.5" customHeight="1" x14ac:dyDescent="0.3">
      <c r="B304" s="10"/>
      <c r="C304" s="11"/>
      <c r="D304" s="10" t="str">
        <f t="shared" si="16"/>
        <v/>
      </c>
      <c r="H304" s="4"/>
      <c r="I304" s="6" t="str">
        <f t="shared" ca="1" si="17"/>
        <v/>
      </c>
      <c r="J304" s="13"/>
      <c r="K304" s="11"/>
      <c r="L304" s="11"/>
      <c r="M304" s="10"/>
      <c r="N304" s="10"/>
      <c r="Q304" s="11"/>
      <c r="R304" s="11"/>
      <c r="S304" s="10"/>
    </row>
    <row r="305" spans="2:19" s="6" customFormat="1" ht="16.5" customHeight="1" x14ac:dyDescent="0.3">
      <c r="B305" s="10"/>
      <c r="C305" s="11"/>
      <c r="D305" s="10" t="str">
        <f t="shared" si="16"/>
        <v/>
      </c>
      <c r="H305" s="4"/>
      <c r="I305" s="6" t="str">
        <f t="shared" ca="1" si="17"/>
        <v/>
      </c>
      <c r="J305" s="13"/>
      <c r="K305" s="11"/>
      <c r="L305" s="11"/>
      <c r="M305" s="10"/>
      <c r="N305" s="10"/>
      <c r="Q305" s="11"/>
      <c r="R305" s="11"/>
      <c r="S305" s="10"/>
    </row>
    <row r="306" spans="2:19" s="6" customFormat="1" ht="16.5" customHeight="1" x14ac:dyDescent="0.3">
      <c r="B306" s="10"/>
      <c r="C306" s="11"/>
      <c r="D306" s="10" t="str">
        <f t="shared" si="16"/>
        <v/>
      </c>
      <c r="H306" s="4"/>
      <c r="I306" s="6" t="str">
        <f t="shared" ca="1" si="17"/>
        <v/>
      </c>
      <c r="J306" s="13"/>
      <c r="K306" s="11"/>
      <c r="L306" s="11"/>
      <c r="M306" s="10"/>
      <c r="N306" s="10"/>
      <c r="Q306" s="11"/>
      <c r="R306" s="11"/>
      <c r="S306" s="10"/>
    </row>
    <row r="307" spans="2:19" s="6" customFormat="1" ht="16.5" customHeight="1" x14ac:dyDescent="0.3">
      <c r="B307" s="10"/>
      <c r="C307" s="11"/>
      <c r="D307" s="10" t="str">
        <f t="shared" si="16"/>
        <v/>
      </c>
      <c r="H307" s="4"/>
      <c r="I307" s="6" t="str">
        <f t="shared" ca="1" si="17"/>
        <v/>
      </c>
      <c r="J307" s="13"/>
      <c r="K307" s="11"/>
      <c r="L307" s="11"/>
      <c r="M307" s="10"/>
      <c r="N307" s="10"/>
      <c r="Q307" s="11"/>
      <c r="R307" s="11"/>
      <c r="S307" s="10"/>
    </row>
    <row r="308" spans="2:19" s="6" customFormat="1" ht="16.5" customHeight="1" x14ac:dyDescent="0.3">
      <c r="B308" s="10"/>
      <c r="C308" s="11"/>
      <c r="D308" s="10" t="str">
        <f t="shared" si="16"/>
        <v/>
      </c>
      <c r="H308" s="4"/>
      <c r="I308" s="6" t="str">
        <f t="shared" ca="1" si="17"/>
        <v/>
      </c>
      <c r="J308" s="13"/>
      <c r="K308" s="11"/>
      <c r="L308" s="11"/>
      <c r="M308" s="10"/>
      <c r="N308" s="10"/>
      <c r="Q308" s="11"/>
      <c r="R308" s="11"/>
      <c r="S308" s="10"/>
    </row>
    <row r="309" spans="2:19" s="6" customFormat="1" ht="16.5" customHeight="1" x14ac:dyDescent="0.3">
      <c r="B309" s="10"/>
      <c r="C309" s="11"/>
      <c r="D309" s="10" t="str">
        <f t="shared" si="16"/>
        <v/>
      </c>
      <c r="H309" s="4"/>
      <c r="I309" s="6" t="str">
        <f t="shared" ca="1" si="17"/>
        <v/>
      </c>
      <c r="J309" s="13"/>
      <c r="K309" s="11"/>
      <c r="L309" s="11"/>
      <c r="M309" s="10"/>
      <c r="N309" s="10"/>
      <c r="Q309" s="11"/>
      <c r="R309" s="11"/>
      <c r="S309" s="10"/>
    </row>
    <row r="310" spans="2:19" s="6" customFormat="1" ht="16.5" customHeight="1" x14ac:dyDescent="0.3">
      <c r="B310" s="10"/>
      <c r="C310" s="11"/>
      <c r="D310" s="10" t="str">
        <f t="shared" si="16"/>
        <v/>
      </c>
      <c r="H310" s="4"/>
      <c r="I310" s="6" t="str">
        <f t="shared" ca="1" si="17"/>
        <v/>
      </c>
      <c r="J310" s="13"/>
      <c r="K310" s="11"/>
      <c r="L310" s="11"/>
      <c r="M310" s="10"/>
      <c r="N310" s="10"/>
      <c r="Q310" s="11"/>
      <c r="R310" s="11"/>
      <c r="S310" s="10"/>
    </row>
    <row r="311" spans="2:19" s="6" customFormat="1" ht="16.5" customHeight="1" x14ac:dyDescent="0.3">
      <c r="B311" s="10"/>
      <c r="C311" s="11"/>
      <c r="D311" s="10" t="str">
        <f t="shared" si="16"/>
        <v/>
      </c>
      <c r="H311" s="4"/>
      <c r="I311" s="6" t="str">
        <f t="shared" ca="1" si="17"/>
        <v/>
      </c>
      <c r="J311" s="13"/>
      <c r="K311" s="11"/>
      <c r="L311" s="11"/>
      <c r="M311" s="10"/>
      <c r="N311" s="10"/>
      <c r="Q311" s="11"/>
      <c r="R311" s="11"/>
      <c r="S311" s="10"/>
    </row>
    <row r="312" spans="2:19" s="6" customFormat="1" ht="16.5" customHeight="1" x14ac:dyDescent="0.3">
      <c r="B312" s="10"/>
      <c r="C312" s="11"/>
      <c r="D312" s="10" t="str">
        <f t="shared" si="16"/>
        <v/>
      </c>
      <c r="H312" s="4"/>
      <c r="I312" s="6" t="str">
        <f t="shared" ca="1" si="17"/>
        <v/>
      </c>
      <c r="J312" s="13"/>
      <c r="K312" s="11"/>
      <c r="L312" s="11"/>
      <c r="M312" s="10"/>
      <c r="N312" s="10"/>
      <c r="Q312" s="11"/>
      <c r="R312" s="11"/>
      <c r="S312" s="10"/>
    </row>
    <row r="313" spans="2:19" s="6" customFormat="1" ht="16.5" customHeight="1" x14ac:dyDescent="0.3">
      <c r="B313" s="10"/>
      <c r="C313" s="11"/>
      <c r="D313" s="10" t="str">
        <f t="shared" si="16"/>
        <v/>
      </c>
      <c r="H313" s="4"/>
      <c r="I313" s="6" t="str">
        <f t="shared" ca="1" si="17"/>
        <v/>
      </c>
      <c r="J313" s="13"/>
      <c r="K313" s="11"/>
      <c r="L313" s="11"/>
      <c r="M313" s="10"/>
      <c r="N313" s="10"/>
      <c r="Q313" s="11"/>
      <c r="R313" s="11"/>
      <c r="S313" s="10"/>
    </row>
    <row r="314" spans="2:19" s="6" customFormat="1" ht="16.5" customHeight="1" x14ac:dyDescent="0.3">
      <c r="B314" s="10"/>
      <c r="C314" s="11"/>
      <c r="D314" s="10" t="str">
        <f t="shared" si="16"/>
        <v/>
      </c>
      <c r="H314" s="4"/>
      <c r="I314" s="6" t="str">
        <f t="shared" ca="1" si="17"/>
        <v/>
      </c>
      <c r="J314" s="13"/>
      <c r="K314" s="11"/>
      <c r="L314" s="11"/>
      <c r="M314" s="10"/>
      <c r="N314" s="10"/>
      <c r="Q314" s="11"/>
      <c r="R314" s="11"/>
      <c r="S314" s="10"/>
    </row>
    <row r="315" spans="2:19" s="6" customFormat="1" ht="16.5" customHeight="1" x14ac:dyDescent="0.3">
      <c r="B315" s="10"/>
      <c r="C315" s="11"/>
      <c r="D315" s="10" t="str">
        <f t="shared" si="16"/>
        <v/>
      </c>
      <c r="H315" s="4"/>
      <c r="I315" s="6" t="str">
        <f t="shared" ca="1" si="17"/>
        <v/>
      </c>
      <c r="J315" s="13"/>
      <c r="K315" s="11"/>
      <c r="L315" s="11"/>
      <c r="M315" s="10"/>
      <c r="N315" s="10"/>
      <c r="Q315" s="11"/>
      <c r="R315" s="11"/>
      <c r="S315" s="10"/>
    </row>
    <row r="316" spans="2:19" s="6" customFormat="1" ht="16.5" customHeight="1" x14ac:dyDescent="0.3">
      <c r="B316" s="10"/>
      <c r="C316" s="11"/>
      <c r="D316" s="10" t="str">
        <f t="shared" si="16"/>
        <v/>
      </c>
      <c r="H316" s="4"/>
      <c r="I316" s="6" t="str">
        <f t="shared" ca="1" si="17"/>
        <v/>
      </c>
      <c r="J316" s="13"/>
      <c r="K316" s="11"/>
      <c r="L316" s="11"/>
      <c r="M316" s="10"/>
      <c r="N316" s="10"/>
      <c r="Q316" s="11"/>
      <c r="R316" s="11"/>
      <c r="S316" s="10"/>
    </row>
    <row r="317" spans="2:19" s="6" customFormat="1" ht="16.5" customHeight="1" x14ac:dyDescent="0.3">
      <c r="B317" s="10"/>
      <c r="C317" s="11"/>
      <c r="D317" s="10" t="str">
        <f t="shared" si="16"/>
        <v/>
      </c>
      <c r="H317" s="4"/>
      <c r="I317" s="6" t="str">
        <f t="shared" ca="1" si="17"/>
        <v/>
      </c>
      <c r="J317" s="13"/>
      <c r="K317" s="11"/>
      <c r="L317" s="11"/>
      <c r="M317" s="10"/>
      <c r="N317" s="10"/>
      <c r="Q317" s="11"/>
      <c r="R317" s="11"/>
      <c r="S317" s="10"/>
    </row>
    <row r="318" spans="2:19" s="6" customFormat="1" ht="16.5" customHeight="1" x14ac:dyDescent="0.3">
      <c r="B318" s="10"/>
      <c r="C318" s="11"/>
      <c r="D318" s="10" t="str">
        <f t="shared" si="16"/>
        <v/>
      </c>
      <c r="H318" s="4"/>
      <c r="I318" s="6" t="str">
        <f t="shared" ca="1" si="17"/>
        <v/>
      </c>
      <c r="J318" s="13"/>
      <c r="K318" s="11"/>
      <c r="L318" s="11"/>
      <c r="M318" s="10"/>
      <c r="N318" s="10"/>
      <c r="Q318" s="11"/>
      <c r="R318" s="11"/>
      <c r="S318" s="10"/>
    </row>
    <row r="319" spans="2:19" s="6" customFormat="1" ht="16.5" customHeight="1" x14ac:dyDescent="0.3">
      <c r="B319" s="10"/>
      <c r="C319" s="11"/>
      <c r="D319" s="10" t="str">
        <f t="shared" si="16"/>
        <v/>
      </c>
      <c r="H319" s="4"/>
      <c r="I319" s="6" t="str">
        <f t="shared" ca="1" si="17"/>
        <v/>
      </c>
      <c r="J319" s="13"/>
      <c r="K319" s="11"/>
      <c r="L319" s="11"/>
      <c r="M319" s="10"/>
      <c r="N319" s="10"/>
      <c r="Q319" s="11"/>
      <c r="R319" s="11"/>
      <c r="S319" s="10"/>
    </row>
    <row r="320" spans="2:19" s="6" customFormat="1" ht="16.5" customHeight="1" x14ac:dyDescent="0.3">
      <c r="B320" s="10"/>
      <c r="C320" s="11"/>
      <c r="D320" s="10" t="str">
        <f t="shared" si="16"/>
        <v/>
      </c>
      <c r="H320" s="4"/>
      <c r="I320" s="6" t="str">
        <f t="shared" ca="1" si="17"/>
        <v/>
      </c>
      <c r="J320" s="13"/>
      <c r="K320" s="11"/>
      <c r="L320" s="11"/>
      <c r="M320" s="10"/>
      <c r="N320" s="10"/>
      <c r="Q320" s="11"/>
      <c r="R320" s="11"/>
      <c r="S320" s="10"/>
    </row>
    <row r="321" spans="2:19" s="6" customFormat="1" ht="16.5" customHeight="1" x14ac:dyDescent="0.3">
      <c r="B321" s="10"/>
      <c r="C321" s="11"/>
      <c r="D321" s="10" t="str">
        <f t="shared" si="16"/>
        <v/>
      </c>
      <c r="H321" s="4"/>
      <c r="I321" s="6" t="str">
        <f t="shared" ca="1" si="17"/>
        <v/>
      </c>
      <c r="J321" s="13"/>
      <c r="K321" s="11"/>
      <c r="L321" s="11"/>
      <c r="M321" s="10"/>
      <c r="N321" s="10"/>
      <c r="Q321" s="11"/>
      <c r="R321" s="11"/>
      <c r="S321" s="10"/>
    </row>
    <row r="322" spans="2:19" s="6" customFormat="1" ht="16.5" customHeight="1" x14ac:dyDescent="0.3">
      <c r="B322" s="10"/>
      <c r="C322" s="11"/>
      <c r="D322" s="10" t="str">
        <f t="shared" si="16"/>
        <v/>
      </c>
      <c r="H322" s="4"/>
      <c r="I322" s="6" t="str">
        <f t="shared" ca="1" si="17"/>
        <v/>
      </c>
      <c r="J322" s="13"/>
      <c r="K322" s="11"/>
      <c r="L322" s="11"/>
      <c r="M322" s="10"/>
      <c r="N322" s="10"/>
      <c r="Q322" s="11"/>
      <c r="R322" s="11"/>
      <c r="S322" s="10"/>
    </row>
    <row r="323" spans="2:19" s="6" customFormat="1" ht="16.5" customHeight="1" x14ac:dyDescent="0.3">
      <c r="B323" s="10"/>
      <c r="C323" s="11"/>
      <c r="D323" s="10" t="str">
        <f t="shared" si="16"/>
        <v/>
      </c>
      <c r="H323" s="4"/>
      <c r="I323" s="6" t="str">
        <f t="shared" ca="1" si="17"/>
        <v/>
      </c>
      <c r="J323" s="13"/>
      <c r="K323" s="11"/>
      <c r="L323" s="11"/>
      <c r="M323" s="10"/>
      <c r="N323" s="10"/>
      <c r="Q323" s="11"/>
      <c r="R323" s="11"/>
      <c r="S323" s="10"/>
    </row>
    <row r="324" spans="2:19" s="6" customFormat="1" ht="16.5" customHeight="1" x14ac:dyDescent="0.3">
      <c r="B324" s="10"/>
      <c r="C324" s="11"/>
      <c r="D324" s="10" t="str">
        <f t="shared" si="16"/>
        <v/>
      </c>
      <c r="H324" s="4"/>
      <c r="I324" s="6" t="str">
        <f t="shared" ca="1" si="17"/>
        <v/>
      </c>
      <c r="J324" s="13"/>
      <c r="K324" s="11"/>
      <c r="L324" s="11"/>
      <c r="M324" s="10"/>
      <c r="N324" s="10"/>
      <c r="Q324" s="11"/>
      <c r="R324" s="11"/>
      <c r="S324" s="10"/>
    </row>
    <row r="325" spans="2:19" s="6" customFormat="1" ht="16.5" customHeight="1" x14ac:dyDescent="0.3">
      <c r="B325" s="10"/>
      <c r="C325" s="11"/>
      <c r="D325" s="10" t="str">
        <f t="shared" si="16"/>
        <v/>
      </c>
      <c r="H325" s="4"/>
      <c r="I325" s="6" t="str">
        <f t="shared" ca="1" si="17"/>
        <v/>
      </c>
      <c r="J325" s="13"/>
      <c r="K325" s="11"/>
      <c r="L325" s="11"/>
      <c r="M325" s="10"/>
      <c r="N325" s="10"/>
      <c r="Q325" s="11"/>
      <c r="R325" s="11"/>
      <c r="S325" s="10"/>
    </row>
    <row r="326" spans="2:19" s="6" customFormat="1" ht="16.5" customHeight="1" x14ac:dyDescent="0.3">
      <c r="B326" s="10"/>
      <c r="C326" s="11"/>
      <c r="D326" s="10" t="str">
        <f t="shared" si="16"/>
        <v/>
      </c>
      <c r="H326" s="4"/>
      <c r="I326" s="6" t="str">
        <f t="shared" ca="1" si="17"/>
        <v/>
      </c>
      <c r="J326" s="13"/>
      <c r="K326" s="11"/>
      <c r="L326" s="11"/>
      <c r="M326" s="10"/>
      <c r="N326" s="10"/>
      <c r="Q326" s="11"/>
      <c r="R326" s="11"/>
      <c r="S326" s="10"/>
    </row>
    <row r="327" spans="2:19" s="6" customFormat="1" ht="16.5" customHeight="1" x14ac:dyDescent="0.3">
      <c r="B327" s="10"/>
      <c r="C327" s="11"/>
      <c r="D327" s="10" t="str">
        <f t="shared" si="16"/>
        <v/>
      </c>
      <c r="H327" s="4"/>
      <c r="I327" s="6" t="str">
        <f t="shared" ca="1" si="17"/>
        <v/>
      </c>
      <c r="J327" s="13"/>
      <c r="K327" s="11"/>
      <c r="L327" s="11"/>
      <c r="M327" s="10"/>
      <c r="N327" s="10"/>
      <c r="Q327" s="11"/>
      <c r="R327" s="11"/>
      <c r="S327" s="10"/>
    </row>
    <row r="328" spans="2:19" s="6" customFormat="1" ht="16.5" customHeight="1" x14ac:dyDescent="0.3">
      <c r="B328" s="10"/>
      <c r="C328" s="11"/>
      <c r="D328" s="10" t="str">
        <f t="shared" si="16"/>
        <v/>
      </c>
      <c r="H328" s="4"/>
      <c r="I328" s="6" t="str">
        <f t="shared" ca="1" si="17"/>
        <v/>
      </c>
      <c r="J328" s="13"/>
      <c r="K328" s="11"/>
      <c r="L328" s="11"/>
      <c r="M328" s="10"/>
      <c r="N328" s="10"/>
      <c r="Q328" s="11"/>
      <c r="R328" s="11"/>
      <c r="S328" s="10"/>
    </row>
    <row r="329" spans="2:19" s="6" customFormat="1" ht="16.5" customHeight="1" x14ac:dyDescent="0.3">
      <c r="B329" s="10"/>
      <c r="C329" s="11"/>
      <c r="D329" s="10" t="str">
        <f t="shared" si="16"/>
        <v/>
      </c>
      <c r="H329" s="4"/>
      <c r="I329" s="6" t="str">
        <f t="shared" ca="1" si="17"/>
        <v/>
      </c>
      <c r="J329" s="13"/>
      <c r="K329" s="11"/>
      <c r="L329" s="11"/>
      <c r="M329" s="10"/>
      <c r="N329" s="10"/>
      <c r="Q329" s="11"/>
      <c r="R329" s="11"/>
      <c r="S329" s="10"/>
    </row>
    <row r="330" spans="2:19" s="6" customFormat="1" ht="16.5" customHeight="1" x14ac:dyDescent="0.3">
      <c r="B330" s="10"/>
      <c r="C330" s="11"/>
      <c r="D330" s="10" t="str">
        <f t="shared" si="16"/>
        <v/>
      </c>
      <c r="H330" s="4"/>
      <c r="I330" s="6" t="str">
        <f t="shared" ca="1" si="17"/>
        <v/>
      </c>
      <c r="J330" s="13"/>
      <c r="K330" s="11"/>
      <c r="L330" s="11"/>
      <c r="M330" s="10"/>
      <c r="N330" s="10"/>
      <c r="Q330" s="11"/>
      <c r="R330" s="11"/>
      <c r="S330" s="10"/>
    </row>
    <row r="331" spans="2:19" s="6" customFormat="1" ht="16.5" customHeight="1" x14ac:dyDescent="0.3">
      <c r="B331" s="10"/>
      <c r="C331" s="11"/>
      <c r="D331" s="10" t="str">
        <f t="shared" si="16"/>
        <v/>
      </c>
      <c r="H331" s="4"/>
      <c r="I331" s="6" t="str">
        <f t="shared" ca="1" si="17"/>
        <v/>
      </c>
      <c r="J331" s="13"/>
      <c r="K331" s="11"/>
      <c r="L331" s="11"/>
      <c r="M331" s="10"/>
      <c r="N331" s="10"/>
      <c r="Q331" s="11"/>
      <c r="R331" s="11"/>
      <c r="S331" s="10"/>
    </row>
    <row r="332" spans="2:19" s="6" customFormat="1" ht="16.5" customHeight="1" x14ac:dyDescent="0.3">
      <c r="B332" s="10"/>
      <c r="C332" s="11"/>
      <c r="D332" s="10" t="str">
        <f t="shared" ref="D332:D395" si="18">IF(G332="","",IF(OR(G332="선급금",G332="중도금",G332="잔금"),"A",IF(G332="자재","B",IF(G332="특허료","C",""))))</f>
        <v/>
      </c>
      <c r="H332" s="4"/>
      <c r="I332" s="6" t="str">
        <f t="shared" ref="I332:I395" ca="1" si="19">IF(C332="","",IF(L332="",TODAY()-C332,L332-C332))</f>
        <v/>
      </c>
      <c r="J332" s="13"/>
      <c r="K332" s="11"/>
      <c r="L332" s="11"/>
      <c r="M332" s="10"/>
      <c r="N332" s="10"/>
      <c r="Q332" s="11"/>
      <c r="R332" s="11"/>
      <c r="S332" s="10"/>
    </row>
    <row r="333" spans="2:19" s="6" customFormat="1" ht="16.5" customHeight="1" x14ac:dyDescent="0.3">
      <c r="B333" s="10"/>
      <c r="C333" s="11"/>
      <c r="D333" s="10" t="str">
        <f t="shared" si="18"/>
        <v/>
      </c>
      <c r="H333" s="4"/>
      <c r="I333" s="6" t="str">
        <f t="shared" ca="1" si="19"/>
        <v/>
      </c>
      <c r="J333" s="13"/>
      <c r="K333" s="11"/>
      <c r="L333" s="11"/>
      <c r="M333" s="10"/>
      <c r="N333" s="10"/>
      <c r="Q333" s="11"/>
      <c r="R333" s="11"/>
      <c r="S333" s="10"/>
    </row>
    <row r="334" spans="2:19" s="6" customFormat="1" ht="16.5" customHeight="1" x14ac:dyDescent="0.3">
      <c r="B334" s="10"/>
      <c r="C334" s="11"/>
      <c r="D334" s="10" t="str">
        <f t="shared" si="18"/>
        <v/>
      </c>
      <c r="H334" s="4"/>
      <c r="I334" s="6" t="str">
        <f t="shared" ca="1" si="19"/>
        <v/>
      </c>
      <c r="J334" s="13"/>
      <c r="K334" s="11"/>
      <c r="L334" s="11"/>
      <c r="M334" s="10"/>
      <c r="N334" s="10"/>
      <c r="Q334" s="11"/>
      <c r="R334" s="11"/>
      <c r="S334" s="10"/>
    </row>
    <row r="335" spans="2:19" s="6" customFormat="1" ht="16.5" customHeight="1" x14ac:dyDescent="0.3">
      <c r="B335" s="10"/>
      <c r="C335" s="11"/>
      <c r="D335" s="10" t="str">
        <f t="shared" si="18"/>
        <v/>
      </c>
      <c r="H335" s="4"/>
      <c r="I335" s="6" t="str">
        <f t="shared" ca="1" si="19"/>
        <v/>
      </c>
      <c r="J335" s="13"/>
      <c r="K335" s="11"/>
      <c r="L335" s="11"/>
      <c r="M335" s="10"/>
      <c r="N335" s="10"/>
      <c r="Q335" s="11"/>
      <c r="R335" s="11"/>
      <c r="S335" s="10"/>
    </row>
    <row r="336" spans="2:19" s="6" customFormat="1" ht="16.5" customHeight="1" x14ac:dyDescent="0.3">
      <c r="B336" s="10"/>
      <c r="C336" s="11"/>
      <c r="D336" s="10" t="str">
        <f t="shared" si="18"/>
        <v/>
      </c>
      <c r="H336" s="4"/>
      <c r="I336" s="6" t="str">
        <f t="shared" ca="1" si="19"/>
        <v/>
      </c>
      <c r="J336" s="13"/>
      <c r="K336" s="11"/>
      <c r="L336" s="11"/>
      <c r="M336" s="10"/>
      <c r="N336" s="10"/>
      <c r="Q336" s="11"/>
      <c r="R336" s="11"/>
      <c r="S336" s="10"/>
    </row>
    <row r="337" spans="2:19" s="6" customFormat="1" ht="16.5" customHeight="1" x14ac:dyDescent="0.3">
      <c r="B337" s="10"/>
      <c r="C337" s="11"/>
      <c r="D337" s="10" t="str">
        <f t="shared" si="18"/>
        <v/>
      </c>
      <c r="H337" s="4"/>
      <c r="I337" s="6" t="str">
        <f t="shared" ca="1" si="19"/>
        <v/>
      </c>
      <c r="J337" s="13"/>
      <c r="K337" s="11"/>
      <c r="L337" s="11"/>
      <c r="M337" s="10"/>
      <c r="N337" s="10"/>
      <c r="Q337" s="11"/>
      <c r="R337" s="11"/>
      <c r="S337" s="10"/>
    </row>
    <row r="338" spans="2:19" s="6" customFormat="1" ht="16.5" customHeight="1" x14ac:dyDescent="0.3">
      <c r="B338" s="10"/>
      <c r="C338" s="11"/>
      <c r="D338" s="10" t="str">
        <f t="shared" si="18"/>
        <v/>
      </c>
      <c r="H338" s="4"/>
      <c r="I338" s="6" t="str">
        <f t="shared" ca="1" si="19"/>
        <v/>
      </c>
      <c r="J338" s="13"/>
      <c r="K338" s="11"/>
      <c r="L338" s="11"/>
      <c r="M338" s="10"/>
      <c r="N338" s="10"/>
      <c r="Q338" s="11"/>
      <c r="R338" s="11"/>
      <c r="S338" s="10"/>
    </row>
    <row r="339" spans="2:19" s="6" customFormat="1" ht="16.5" customHeight="1" x14ac:dyDescent="0.3">
      <c r="B339" s="10"/>
      <c r="C339" s="11"/>
      <c r="D339" s="10" t="str">
        <f t="shared" si="18"/>
        <v/>
      </c>
      <c r="H339" s="4"/>
      <c r="I339" s="6" t="str">
        <f t="shared" ca="1" si="19"/>
        <v/>
      </c>
      <c r="J339" s="13"/>
      <c r="K339" s="11"/>
      <c r="L339" s="11"/>
      <c r="M339" s="10"/>
      <c r="N339" s="10"/>
      <c r="Q339" s="11"/>
      <c r="R339" s="11"/>
      <c r="S339" s="10"/>
    </row>
    <row r="340" spans="2:19" s="6" customFormat="1" ht="16.5" customHeight="1" x14ac:dyDescent="0.3">
      <c r="B340" s="10"/>
      <c r="C340" s="11"/>
      <c r="D340" s="10" t="str">
        <f t="shared" si="18"/>
        <v/>
      </c>
      <c r="H340" s="4"/>
      <c r="I340" s="6" t="str">
        <f t="shared" ca="1" si="19"/>
        <v/>
      </c>
      <c r="J340" s="13"/>
      <c r="K340" s="11"/>
      <c r="L340" s="11"/>
      <c r="M340" s="10"/>
      <c r="N340" s="10"/>
      <c r="Q340" s="11"/>
      <c r="R340" s="11"/>
      <c r="S340" s="10"/>
    </row>
    <row r="341" spans="2:19" s="6" customFormat="1" ht="16.5" customHeight="1" x14ac:dyDescent="0.3">
      <c r="B341" s="10"/>
      <c r="C341" s="11"/>
      <c r="D341" s="10" t="str">
        <f t="shared" si="18"/>
        <v/>
      </c>
      <c r="H341" s="4"/>
      <c r="I341" s="6" t="str">
        <f t="shared" ca="1" si="19"/>
        <v/>
      </c>
      <c r="J341" s="13"/>
      <c r="K341" s="11"/>
      <c r="L341" s="11"/>
      <c r="M341" s="10"/>
      <c r="N341" s="10"/>
      <c r="Q341" s="11"/>
      <c r="R341" s="11"/>
      <c r="S341" s="10"/>
    </row>
    <row r="342" spans="2:19" s="6" customFormat="1" ht="16.5" customHeight="1" x14ac:dyDescent="0.3">
      <c r="B342" s="10"/>
      <c r="C342" s="11"/>
      <c r="D342" s="10" t="str">
        <f t="shared" si="18"/>
        <v/>
      </c>
      <c r="H342" s="4"/>
      <c r="I342" s="6" t="str">
        <f t="shared" ca="1" si="19"/>
        <v/>
      </c>
      <c r="J342" s="13"/>
      <c r="K342" s="11"/>
      <c r="L342" s="11"/>
      <c r="M342" s="10"/>
      <c r="N342" s="10"/>
      <c r="Q342" s="11"/>
      <c r="R342" s="11"/>
      <c r="S342" s="10"/>
    </row>
    <row r="343" spans="2:19" s="6" customFormat="1" ht="16.5" customHeight="1" x14ac:dyDescent="0.3">
      <c r="B343" s="10"/>
      <c r="C343" s="11"/>
      <c r="D343" s="10" t="str">
        <f t="shared" si="18"/>
        <v/>
      </c>
      <c r="H343" s="4"/>
      <c r="I343" s="6" t="str">
        <f t="shared" ca="1" si="19"/>
        <v/>
      </c>
      <c r="J343" s="13"/>
      <c r="K343" s="11"/>
      <c r="L343" s="11"/>
      <c r="M343" s="10"/>
      <c r="N343" s="10"/>
      <c r="Q343" s="11"/>
      <c r="R343" s="11"/>
      <c r="S343" s="10"/>
    </row>
    <row r="344" spans="2:19" s="6" customFormat="1" ht="16.5" customHeight="1" x14ac:dyDescent="0.3">
      <c r="B344" s="10"/>
      <c r="C344" s="11"/>
      <c r="D344" s="10" t="str">
        <f t="shared" si="18"/>
        <v/>
      </c>
      <c r="H344" s="4"/>
      <c r="I344" s="6" t="str">
        <f t="shared" ca="1" si="19"/>
        <v/>
      </c>
      <c r="J344" s="13"/>
      <c r="K344" s="11"/>
      <c r="L344" s="11"/>
      <c r="M344" s="10"/>
      <c r="N344" s="10"/>
      <c r="Q344" s="11"/>
      <c r="R344" s="11"/>
      <c r="S344" s="10"/>
    </row>
    <row r="345" spans="2:19" s="6" customFormat="1" ht="16.5" customHeight="1" x14ac:dyDescent="0.3">
      <c r="B345" s="10"/>
      <c r="C345" s="11"/>
      <c r="D345" s="10" t="str">
        <f t="shared" si="18"/>
        <v/>
      </c>
      <c r="H345" s="4"/>
      <c r="I345" s="6" t="str">
        <f t="shared" ca="1" si="19"/>
        <v/>
      </c>
      <c r="J345" s="13"/>
      <c r="K345" s="11"/>
      <c r="L345" s="11"/>
      <c r="M345" s="10"/>
      <c r="N345" s="10"/>
      <c r="Q345" s="11"/>
      <c r="R345" s="11"/>
      <c r="S345" s="10"/>
    </row>
    <row r="346" spans="2:19" s="6" customFormat="1" ht="16.5" customHeight="1" x14ac:dyDescent="0.3">
      <c r="B346" s="10"/>
      <c r="C346" s="11"/>
      <c r="D346" s="10" t="str">
        <f t="shared" si="18"/>
        <v/>
      </c>
      <c r="H346" s="4"/>
      <c r="I346" s="6" t="str">
        <f t="shared" ca="1" si="19"/>
        <v/>
      </c>
      <c r="J346" s="13"/>
      <c r="K346" s="11"/>
      <c r="L346" s="11"/>
      <c r="M346" s="10"/>
      <c r="N346" s="10"/>
      <c r="Q346" s="11"/>
      <c r="R346" s="11"/>
      <c r="S346" s="10"/>
    </row>
    <row r="347" spans="2:19" s="6" customFormat="1" ht="16.5" customHeight="1" x14ac:dyDescent="0.3">
      <c r="B347" s="10"/>
      <c r="C347" s="11"/>
      <c r="D347" s="10" t="str">
        <f t="shared" si="18"/>
        <v/>
      </c>
      <c r="H347" s="4"/>
      <c r="I347" s="6" t="str">
        <f t="shared" ca="1" si="19"/>
        <v/>
      </c>
      <c r="J347" s="13"/>
      <c r="K347" s="11"/>
      <c r="L347" s="11"/>
      <c r="M347" s="10"/>
      <c r="N347" s="10"/>
      <c r="Q347" s="11"/>
      <c r="R347" s="11"/>
      <c r="S347" s="10"/>
    </row>
    <row r="348" spans="2:19" s="6" customFormat="1" ht="16.5" customHeight="1" x14ac:dyDescent="0.3">
      <c r="B348" s="10"/>
      <c r="C348" s="11"/>
      <c r="D348" s="10" t="str">
        <f t="shared" si="18"/>
        <v/>
      </c>
      <c r="H348" s="4"/>
      <c r="I348" s="6" t="str">
        <f t="shared" ca="1" si="19"/>
        <v/>
      </c>
      <c r="J348" s="13"/>
      <c r="K348" s="11"/>
      <c r="L348" s="11"/>
      <c r="M348" s="10"/>
      <c r="N348" s="10"/>
      <c r="Q348" s="11"/>
      <c r="R348" s="11"/>
      <c r="S348" s="10"/>
    </row>
    <row r="349" spans="2:19" s="6" customFormat="1" ht="16.5" customHeight="1" x14ac:dyDescent="0.3">
      <c r="B349" s="10"/>
      <c r="C349" s="11"/>
      <c r="D349" s="10" t="str">
        <f t="shared" si="18"/>
        <v/>
      </c>
      <c r="H349" s="4"/>
      <c r="I349" s="6" t="str">
        <f t="shared" ca="1" si="19"/>
        <v/>
      </c>
      <c r="J349" s="13"/>
      <c r="K349" s="11"/>
      <c r="L349" s="11"/>
      <c r="M349" s="10"/>
      <c r="N349" s="10"/>
      <c r="Q349" s="11"/>
      <c r="R349" s="11"/>
      <c r="S349" s="10"/>
    </row>
    <row r="350" spans="2:19" s="6" customFormat="1" ht="16.5" customHeight="1" x14ac:dyDescent="0.3">
      <c r="B350" s="10"/>
      <c r="C350" s="11"/>
      <c r="D350" s="10" t="str">
        <f t="shared" si="18"/>
        <v/>
      </c>
      <c r="H350" s="4"/>
      <c r="I350" s="6" t="str">
        <f t="shared" ca="1" si="19"/>
        <v/>
      </c>
      <c r="J350" s="13"/>
      <c r="K350" s="11"/>
      <c r="L350" s="11"/>
      <c r="M350" s="10"/>
      <c r="N350" s="10"/>
      <c r="Q350" s="11"/>
      <c r="R350" s="11"/>
      <c r="S350" s="10"/>
    </row>
    <row r="351" spans="2:19" s="6" customFormat="1" ht="16.5" customHeight="1" x14ac:dyDescent="0.3">
      <c r="B351" s="10"/>
      <c r="C351" s="11"/>
      <c r="D351" s="10" t="str">
        <f t="shared" si="18"/>
        <v/>
      </c>
      <c r="H351" s="4"/>
      <c r="I351" s="6" t="str">
        <f t="shared" ca="1" si="19"/>
        <v/>
      </c>
      <c r="J351" s="13"/>
      <c r="K351" s="11"/>
      <c r="L351" s="11"/>
      <c r="M351" s="10"/>
      <c r="N351" s="10"/>
      <c r="Q351" s="11"/>
      <c r="R351" s="11"/>
      <c r="S351" s="10"/>
    </row>
    <row r="352" spans="2:19" s="6" customFormat="1" ht="16.5" customHeight="1" x14ac:dyDescent="0.3">
      <c r="B352" s="10"/>
      <c r="C352" s="11"/>
      <c r="D352" s="10" t="str">
        <f t="shared" si="18"/>
        <v/>
      </c>
      <c r="H352" s="4"/>
      <c r="I352" s="6" t="str">
        <f t="shared" ca="1" si="19"/>
        <v/>
      </c>
      <c r="J352" s="13"/>
      <c r="K352" s="11"/>
      <c r="L352" s="11"/>
      <c r="M352" s="10"/>
      <c r="N352" s="10"/>
      <c r="Q352" s="11"/>
      <c r="R352" s="11"/>
      <c r="S352" s="10"/>
    </row>
    <row r="353" spans="2:19" s="6" customFormat="1" ht="16.5" customHeight="1" x14ac:dyDescent="0.3">
      <c r="B353" s="10"/>
      <c r="C353" s="11"/>
      <c r="D353" s="10" t="str">
        <f t="shared" si="18"/>
        <v/>
      </c>
      <c r="H353" s="4"/>
      <c r="I353" s="6" t="str">
        <f t="shared" ca="1" si="19"/>
        <v/>
      </c>
      <c r="J353" s="13"/>
      <c r="K353" s="11"/>
      <c r="L353" s="11"/>
      <c r="M353" s="10"/>
      <c r="N353" s="10"/>
      <c r="Q353" s="11"/>
      <c r="R353" s="11"/>
      <c r="S353" s="10"/>
    </row>
    <row r="354" spans="2:19" s="6" customFormat="1" ht="16.5" customHeight="1" x14ac:dyDescent="0.3">
      <c r="B354" s="10"/>
      <c r="C354" s="11"/>
      <c r="D354" s="10" t="str">
        <f t="shared" si="18"/>
        <v/>
      </c>
      <c r="H354" s="4"/>
      <c r="I354" s="6" t="str">
        <f t="shared" ca="1" si="19"/>
        <v/>
      </c>
      <c r="J354" s="13"/>
      <c r="K354" s="11"/>
      <c r="L354" s="11"/>
      <c r="M354" s="10"/>
      <c r="N354" s="10"/>
      <c r="Q354" s="11"/>
      <c r="R354" s="11"/>
      <c r="S354" s="10"/>
    </row>
    <row r="355" spans="2:19" s="6" customFormat="1" ht="16.5" customHeight="1" x14ac:dyDescent="0.3">
      <c r="B355" s="10"/>
      <c r="C355" s="11"/>
      <c r="D355" s="10" t="str">
        <f t="shared" si="18"/>
        <v/>
      </c>
      <c r="H355" s="4"/>
      <c r="I355" s="6" t="str">
        <f t="shared" ca="1" si="19"/>
        <v/>
      </c>
      <c r="J355" s="13"/>
      <c r="K355" s="11"/>
      <c r="L355" s="11"/>
      <c r="M355" s="10"/>
      <c r="N355" s="10"/>
      <c r="Q355" s="11"/>
      <c r="R355" s="11"/>
      <c r="S355" s="10"/>
    </row>
    <row r="356" spans="2:19" s="6" customFormat="1" ht="16.5" customHeight="1" x14ac:dyDescent="0.3">
      <c r="B356" s="10"/>
      <c r="C356" s="11"/>
      <c r="D356" s="10" t="str">
        <f t="shared" si="18"/>
        <v/>
      </c>
      <c r="H356" s="4"/>
      <c r="I356" s="6" t="str">
        <f t="shared" ca="1" si="19"/>
        <v/>
      </c>
      <c r="J356" s="13"/>
      <c r="K356" s="11"/>
      <c r="L356" s="11"/>
      <c r="M356" s="10"/>
      <c r="N356" s="10"/>
      <c r="Q356" s="11"/>
      <c r="R356" s="11"/>
      <c r="S356" s="10"/>
    </row>
    <row r="357" spans="2:19" s="6" customFormat="1" ht="16.5" customHeight="1" x14ac:dyDescent="0.3">
      <c r="B357" s="10"/>
      <c r="C357" s="11"/>
      <c r="D357" s="10" t="str">
        <f t="shared" si="18"/>
        <v/>
      </c>
      <c r="H357" s="4"/>
      <c r="I357" s="6" t="str">
        <f t="shared" ca="1" si="19"/>
        <v/>
      </c>
      <c r="J357" s="13"/>
      <c r="K357" s="11"/>
      <c r="L357" s="11"/>
      <c r="M357" s="10"/>
      <c r="N357" s="10"/>
      <c r="Q357" s="11"/>
      <c r="R357" s="11"/>
      <c r="S357" s="10"/>
    </row>
    <row r="358" spans="2:19" s="6" customFormat="1" ht="16.5" customHeight="1" x14ac:dyDescent="0.3">
      <c r="B358" s="10"/>
      <c r="C358" s="11"/>
      <c r="D358" s="10" t="str">
        <f t="shared" si="18"/>
        <v/>
      </c>
      <c r="H358" s="4"/>
      <c r="I358" s="6" t="str">
        <f t="shared" ca="1" si="19"/>
        <v/>
      </c>
      <c r="J358" s="13"/>
      <c r="K358" s="11"/>
      <c r="L358" s="11"/>
      <c r="M358" s="10"/>
      <c r="N358" s="10"/>
      <c r="Q358" s="11"/>
      <c r="R358" s="11"/>
      <c r="S358" s="10"/>
    </row>
    <row r="359" spans="2:19" s="6" customFormat="1" ht="16.5" customHeight="1" x14ac:dyDescent="0.3">
      <c r="B359" s="10"/>
      <c r="C359" s="11"/>
      <c r="D359" s="10" t="str">
        <f t="shared" si="18"/>
        <v/>
      </c>
      <c r="H359" s="4"/>
      <c r="I359" s="6" t="str">
        <f t="shared" ca="1" si="19"/>
        <v/>
      </c>
      <c r="J359" s="13"/>
      <c r="K359" s="11"/>
      <c r="L359" s="11"/>
      <c r="M359" s="10"/>
      <c r="N359" s="10"/>
      <c r="Q359" s="11"/>
      <c r="R359" s="11"/>
      <c r="S359" s="10"/>
    </row>
    <row r="360" spans="2:19" s="6" customFormat="1" ht="16.5" customHeight="1" x14ac:dyDescent="0.3">
      <c r="B360" s="10"/>
      <c r="C360" s="11"/>
      <c r="D360" s="10" t="str">
        <f t="shared" si="18"/>
        <v/>
      </c>
      <c r="H360" s="4"/>
      <c r="I360" s="6" t="str">
        <f t="shared" ca="1" si="19"/>
        <v/>
      </c>
      <c r="J360" s="13"/>
      <c r="K360" s="11"/>
      <c r="L360" s="11"/>
      <c r="M360" s="10"/>
      <c r="N360" s="10"/>
      <c r="Q360" s="11"/>
      <c r="R360" s="11"/>
      <c r="S360" s="10"/>
    </row>
    <row r="361" spans="2:19" s="6" customFormat="1" ht="16.5" customHeight="1" x14ac:dyDescent="0.3">
      <c r="B361" s="10"/>
      <c r="C361" s="11"/>
      <c r="D361" s="10" t="str">
        <f t="shared" si="18"/>
        <v/>
      </c>
      <c r="H361" s="4"/>
      <c r="I361" s="6" t="str">
        <f t="shared" ca="1" si="19"/>
        <v/>
      </c>
      <c r="J361" s="13"/>
      <c r="K361" s="11"/>
      <c r="L361" s="11"/>
      <c r="M361" s="10"/>
      <c r="N361" s="10"/>
      <c r="Q361" s="11"/>
      <c r="R361" s="11"/>
      <c r="S361" s="10"/>
    </row>
    <row r="362" spans="2:19" s="6" customFormat="1" ht="16.5" customHeight="1" x14ac:dyDescent="0.3">
      <c r="B362" s="10"/>
      <c r="C362" s="11"/>
      <c r="D362" s="10" t="str">
        <f t="shared" si="18"/>
        <v/>
      </c>
      <c r="H362" s="4"/>
      <c r="I362" s="6" t="str">
        <f t="shared" ca="1" si="19"/>
        <v/>
      </c>
      <c r="J362" s="13"/>
      <c r="K362" s="11"/>
      <c r="L362" s="11"/>
      <c r="M362" s="10"/>
      <c r="N362" s="10"/>
      <c r="Q362" s="11"/>
      <c r="R362" s="11"/>
      <c r="S362" s="10"/>
    </row>
    <row r="363" spans="2:19" s="6" customFormat="1" ht="16.5" customHeight="1" x14ac:dyDescent="0.3">
      <c r="B363" s="10"/>
      <c r="C363" s="11"/>
      <c r="D363" s="10" t="str">
        <f t="shared" si="18"/>
        <v/>
      </c>
      <c r="H363" s="4"/>
      <c r="I363" s="6" t="str">
        <f t="shared" ca="1" si="19"/>
        <v/>
      </c>
      <c r="J363" s="13"/>
      <c r="K363" s="11"/>
      <c r="L363" s="11"/>
      <c r="M363" s="10"/>
      <c r="N363" s="10"/>
      <c r="Q363" s="11"/>
      <c r="R363" s="11"/>
      <c r="S363" s="10"/>
    </row>
    <row r="364" spans="2:19" s="6" customFormat="1" ht="16.5" customHeight="1" x14ac:dyDescent="0.3">
      <c r="B364" s="10"/>
      <c r="C364" s="11"/>
      <c r="D364" s="10" t="str">
        <f t="shared" si="18"/>
        <v/>
      </c>
      <c r="H364" s="4"/>
      <c r="I364" s="6" t="str">
        <f t="shared" ca="1" si="19"/>
        <v/>
      </c>
      <c r="J364" s="13"/>
      <c r="K364" s="11"/>
      <c r="L364" s="11"/>
      <c r="M364" s="10"/>
      <c r="N364" s="10"/>
      <c r="Q364" s="11"/>
      <c r="R364" s="11"/>
      <c r="S364" s="10"/>
    </row>
    <row r="365" spans="2:19" s="6" customFormat="1" ht="16.5" customHeight="1" x14ac:dyDescent="0.3">
      <c r="B365" s="10"/>
      <c r="C365" s="11"/>
      <c r="D365" s="10" t="str">
        <f t="shared" si="18"/>
        <v/>
      </c>
      <c r="H365" s="4"/>
      <c r="I365" s="6" t="str">
        <f t="shared" ca="1" si="19"/>
        <v/>
      </c>
      <c r="J365" s="13"/>
      <c r="K365" s="11"/>
      <c r="L365" s="11"/>
      <c r="M365" s="10"/>
      <c r="N365" s="10"/>
      <c r="Q365" s="11"/>
      <c r="R365" s="11"/>
      <c r="S365" s="10"/>
    </row>
    <row r="366" spans="2:19" s="6" customFormat="1" ht="16.5" customHeight="1" x14ac:dyDescent="0.3">
      <c r="B366" s="10"/>
      <c r="C366" s="11"/>
      <c r="D366" s="10" t="str">
        <f t="shared" si="18"/>
        <v/>
      </c>
      <c r="H366" s="4"/>
      <c r="I366" s="6" t="str">
        <f t="shared" ca="1" si="19"/>
        <v/>
      </c>
      <c r="J366" s="13"/>
      <c r="K366" s="11"/>
      <c r="L366" s="11"/>
      <c r="M366" s="10"/>
      <c r="N366" s="10"/>
      <c r="Q366" s="11"/>
      <c r="R366" s="11"/>
      <c r="S366" s="10"/>
    </row>
    <row r="367" spans="2:19" s="6" customFormat="1" ht="16.5" customHeight="1" x14ac:dyDescent="0.3">
      <c r="B367" s="10"/>
      <c r="C367" s="11"/>
      <c r="D367" s="10" t="str">
        <f t="shared" si="18"/>
        <v/>
      </c>
      <c r="H367" s="4"/>
      <c r="I367" s="6" t="str">
        <f t="shared" ca="1" si="19"/>
        <v/>
      </c>
      <c r="J367" s="13"/>
      <c r="K367" s="11"/>
      <c r="L367" s="11"/>
      <c r="M367" s="10"/>
      <c r="N367" s="10"/>
      <c r="Q367" s="11"/>
      <c r="R367" s="11"/>
      <c r="S367" s="10"/>
    </row>
    <row r="368" spans="2:19" s="6" customFormat="1" ht="16.5" customHeight="1" x14ac:dyDescent="0.3">
      <c r="B368" s="10"/>
      <c r="C368" s="11"/>
      <c r="D368" s="10" t="str">
        <f t="shared" si="18"/>
        <v/>
      </c>
      <c r="H368" s="4"/>
      <c r="I368" s="6" t="str">
        <f t="shared" ca="1" si="19"/>
        <v/>
      </c>
      <c r="J368" s="13"/>
      <c r="K368" s="11"/>
      <c r="L368" s="11"/>
      <c r="M368" s="10"/>
      <c r="N368" s="10"/>
      <c r="Q368" s="11"/>
      <c r="R368" s="11"/>
      <c r="S368" s="10"/>
    </row>
    <row r="369" spans="2:19" s="6" customFormat="1" ht="16.5" customHeight="1" x14ac:dyDescent="0.3">
      <c r="B369" s="10"/>
      <c r="C369" s="11"/>
      <c r="D369" s="10" t="str">
        <f t="shared" si="18"/>
        <v/>
      </c>
      <c r="H369" s="4"/>
      <c r="I369" s="6" t="str">
        <f t="shared" ca="1" si="19"/>
        <v/>
      </c>
      <c r="J369" s="13"/>
      <c r="K369" s="11"/>
      <c r="L369" s="11"/>
      <c r="M369" s="10"/>
      <c r="N369" s="10"/>
      <c r="Q369" s="11"/>
      <c r="R369" s="11"/>
      <c r="S369" s="10"/>
    </row>
    <row r="370" spans="2:19" s="6" customFormat="1" ht="16.5" customHeight="1" x14ac:dyDescent="0.3">
      <c r="B370" s="10"/>
      <c r="C370" s="11"/>
      <c r="D370" s="10" t="str">
        <f t="shared" si="18"/>
        <v/>
      </c>
      <c r="H370" s="4"/>
      <c r="I370" s="6" t="str">
        <f t="shared" ca="1" si="19"/>
        <v/>
      </c>
      <c r="J370" s="13"/>
      <c r="K370" s="11"/>
      <c r="L370" s="11"/>
      <c r="M370" s="10"/>
      <c r="N370" s="10"/>
      <c r="Q370" s="11"/>
      <c r="R370" s="11"/>
      <c r="S370" s="10"/>
    </row>
    <row r="371" spans="2:19" s="6" customFormat="1" ht="16.5" customHeight="1" x14ac:dyDescent="0.3">
      <c r="B371" s="10"/>
      <c r="C371" s="11"/>
      <c r="D371" s="10" t="str">
        <f t="shared" si="18"/>
        <v/>
      </c>
      <c r="H371" s="4"/>
      <c r="I371" s="6" t="str">
        <f t="shared" ca="1" si="19"/>
        <v/>
      </c>
      <c r="J371" s="13"/>
      <c r="K371" s="11"/>
      <c r="L371" s="11"/>
      <c r="M371" s="10"/>
      <c r="N371" s="10"/>
      <c r="Q371" s="11"/>
      <c r="R371" s="11"/>
      <c r="S371" s="10"/>
    </row>
    <row r="372" spans="2:19" s="6" customFormat="1" ht="16.5" customHeight="1" x14ac:dyDescent="0.3">
      <c r="B372" s="10"/>
      <c r="C372" s="11"/>
      <c r="D372" s="10" t="str">
        <f t="shared" si="18"/>
        <v/>
      </c>
      <c r="H372" s="4"/>
      <c r="I372" s="6" t="str">
        <f t="shared" ca="1" si="19"/>
        <v/>
      </c>
      <c r="J372" s="13"/>
      <c r="K372" s="11"/>
      <c r="L372" s="11"/>
      <c r="M372" s="10"/>
      <c r="N372" s="10"/>
      <c r="Q372" s="11"/>
      <c r="R372" s="11"/>
      <c r="S372" s="10"/>
    </row>
    <row r="373" spans="2:19" s="6" customFormat="1" ht="16.5" customHeight="1" x14ac:dyDescent="0.3">
      <c r="B373" s="10"/>
      <c r="C373" s="11"/>
      <c r="D373" s="10" t="str">
        <f t="shared" si="18"/>
        <v/>
      </c>
      <c r="H373" s="4"/>
      <c r="I373" s="6" t="str">
        <f t="shared" ca="1" si="19"/>
        <v/>
      </c>
      <c r="J373" s="13"/>
      <c r="K373" s="11"/>
      <c r="L373" s="11"/>
      <c r="M373" s="10"/>
      <c r="N373" s="10"/>
      <c r="Q373" s="11"/>
      <c r="R373" s="11"/>
      <c r="S373" s="10"/>
    </row>
    <row r="374" spans="2:19" s="6" customFormat="1" ht="16.5" customHeight="1" x14ac:dyDescent="0.3">
      <c r="B374" s="10"/>
      <c r="C374" s="11"/>
      <c r="D374" s="10" t="str">
        <f t="shared" si="18"/>
        <v/>
      </c>
      <c r="H374" s="4"/>
      <c r="I374" s="6" t="str">
        <f t="shared" ca="1" si="19"/>
        <v/>
      </c>
      <c r="J374" s="13"/>
      <c r="K374" s="11"/>
      <c r="L374" s="11"/>
      <c r="M374" s="10"/>
      <c r="N374" s="10"/>
      <c r="Q374" s="11"/>
      <c r="R374" s="11"/>
      <c r="S374" s="10"/>
    </row>
    <row r="375" spans="2:19" s="6" customFormat="1" ht="16.5" customHeight="1" x14ac:dyDescent="0.3">
      <c r="B375" s="10"/>
      <c r="C375" s="11"/>
      <c r="D375" s="10" t="str">
        <f t="shared" si="18"/>
        <v/>
      </c>
      <c r="H375" s="4"/>
      <c r="I375" s="6" t="str">
        <f t="shared" ca="1" si="19"/>
        <v/>
      </c>
      <c r="J375" s="13"/>
      <c r="K375" s="11"/>
      <c r="L375" s="11"/>
      <c r="M375" s="10"/>
      <c r="N375" s="10"/>
      <c r="Q375" s="11"/>
      <c r="R375" s="11"/>
      <c r="S375" s="10"/>
    </row>
    <row r="376" spans="2:19" s="6" customFormat="1" ht="16.5" customHeight="1" x14ac:dyDescent="0.3">
      <c r="B376" s="10"/>
      <c r="C376" s="11"/>
      <c r="D376" s="10" t="str">
        <f t="shared" si="18"/>
        <v/>
      </c>
      <c r="H376" s="4"/>
      <c r="I376" s="6" t="str">
        <f t="shared" ca="1" si="19"/>
        <v/>
      </c>
      <c r="J376" s="13"/>
      <c r="K376" s="11"/>
      <c r="L376" s="11"/>
      <c r="M376" s="10"/>
      <c r="N376" s="10"/>
      <c r="Q376" s="11"/>
      <c r="R376" s="11"/>
      <c r="S376" s="10"/>
    </row>
    <row r="377" spans="2:19" s="6" customFormat="1" ht="16.5" customHeight="1" x14ac:dyDescent="0.3">
      <c r="B377" s="10"/>
      <c r="C377" s="11"/>
      <c r="D377" s="10" t="str">
        <f t="shared" si="18"/>
        <v/>
      </c>
      <c r="H377" s="4"/>
      <c r="I377" s="6" t="str">
        <f t="shared" ca="1" si="19"/>
        <v/>
      </c>
      <c r="J377" s="13"/>
      <c r="K377" s="11"/>
      <c r="L377" s="11"/>
      <c r="M377" s="10"/>
      <c r="N377" s="10"/>
      <c r="Q377" s="11"/>
      <c r="R377" s="11"/>
      <c r="S377" s="10"/>
    </row>
    <row r="378" spans="2:19" s="6" customFormat="1" ht="16.5" customHeight="1" x14ac:dyDescent="0.3">
      <c r="B378" s="10"/>
      <c r="C378" s="11"/>
      <c r="D378" s="10" t="str">
        <f t="shared" si="18"/>
        <v/>
      </c>
      <c r="H378" s="4"/>
      <c r="I378" s="6" t="str">
        <f t="shared" ca="1" si="19"/>
        <v/>
      </c>
      <c r="J378" s="13"/>
      <c r="K378" s="11"/>
      <c r="L378" s="11"/>
      <c r="M378" s="10"/>
      <c r="N378" s="10"/>
      <c r="Q378" s="11"/>
      <c r="R378" s="11"/>
      <c r="S378" s="10"/>
    </row>
    <row r="379" spans="2:19" s="6" customFormat="1" ht="16.5" customHeight="1" x14ac:dyDescent="0.3">
      <c r="B379" s="10"/>
      <c r="C379" s="11"/>
      <c r="D379" s="10" t="str">
        <f t="shared" si="18"/>
        <v/>
      </c>
      <c r="H379" s="4"/>
      <c r="I379" s="6" t="str">
        <f t="shared" ca="1" si="19"/>
        <v/>
      </c>
      <c r="J379" s="13"/>
      <c r="K379" s="11"/>
      <c r="L379" s="11"/>
      <c r="M379" s="10"/>
      <c r="N379" s="10"/>
      <c r="Q379" s="11"/>
      <c r="R379" s="11"/>
      <c r="S379" s="10"/>
    </row>
    <row r="380" spans="2:19" s="6" customFormat="1" ht="16.5" customHeight="1" x14ac:dyDescent="0.3">
      <c r="B380" s="10"/>
      <c r="C380" s="11"/>
      <c r="D380" s="10" t="str">
        <f t="shared" si="18"/>
        <v/>
      </c>
      <c r="H380" s="4"/>
      <c r="I380" s="6" t="str">
        <f t="shared" ca="1" si="19"/>
        <v/>
      </c>
      <c r="J380" s="13"/>
      <c r="K380" s="11"/>
      <c r="L380" s="11"/>
      <c r="M380" s="10"/>
      <c r="N380" s="10"/>
      <c r="Q380" s="11"/>
      <c r="R380" s="11"/>
      <c r="S380" s="10"/>
    </row>
    <row r="381" spans="2:19" s="6" customFormat="1" ht="16.5" customHeight="1" x14ac:dyDescent="0.3">
      <c r="B381" s="10"/>
      <c r="C381" s="11"/>
      <c r="D381" s="10" t="str">
        <f t="shared" si="18"/>
        <v/>
      </c>
      <c r="H381" s="4"/>
      <c r="I381" s="6" t="str">
        <f t="shared" ca="1" si="19"/>
        <v/>
      </c>
      <c r="J381" s="13"/>
      <c r="K381" s="11"/>
      <c r="L381" s="11"/>
      <c r="M381" s="10"/>
      <c r="N381" s="10"/>
      <c r="Q381" s="11"/>
      <c r="R381" s="11"/>
      <c r="S381" s="10"/>
    </row>
    <row r="382" spans="2:19" s="6" customFormat="1" ht="16.5" customHeight="1" x14ac:dyDescent="0.3">
      <c r="B382" s="10"/>
      <c r="C382" s="11"/>
      <c r="D382" s="10" t="str">
        <f t="shared" si="18"/>
        <v/>
      </c>
      <c r="H382" s="4"/>
      <c r="I382" s="6" t="str">
        <f t="shared" ca="1" si="19"/>
        <v/>
      </c>
      <c r="J382" s="13"/>
      <c r="K382" s="11"/>
      <c r="L382" s="11"/>
      <c r="M382" s="10"/>
      <c r="N382" s="10"/>
      <c r="Q382" s="11"/>
      <c r="R382" s="11"/>
      <c r="S382" s="10"/>
    </row>
    <row r="383" spans="2:19" s="6" customFormat="1" ht="16.5" customHeight="1" x14ac:dyDescent="0.3">
      <c r="B383" s="10"/>
      <c r="C383" s="11"/>
      <c r="D383" s="10" t="str">
        <f t="shared" si="18"/>
        <v/>
      </c>
      <c r="H383" s="4"/>
      <c r="I383" s="6" t="str">
        <f t="shared" ca="1" si="19"/>
        <v/>
      </c>
      <c r="J383" s="13"/>
      <c r="K383" s="11"/>
      <c r="L383" s="11"/>
      <c r="M383" s="10"/>
      <c r="N383" s="10"/>
      <c r="Q383" s="11"/>
      <c r="R383" s="11"/>
      <c r="S383" s="10"/>
    </row>
    <row r="384" spans="2:19" s="6" customFormat="1" ht="16.5" customHeight="1" x14ac:dyDescent="0.3">
      <c r="B384" s="10"/>
      <c r="C384" s="11"/>
      <c r="D384" s="10" t="str">
        <f t="shared" si="18"/>
        <v/>
      </c>
      <c r="H384" s="4"/>
      <c r="I384" s="6" t="str">
        <f t="shared" ca="1" si="19"/>
        <v/>
      </c>
      <c r="J384" s="13"/>
      <c r="K384" s="11"/>
      <c r="L384" s="11"/>
      <c r="M384" s="10"/>
      <c r="N384" s="10"/>
      <c r="Q384" s="11"/>
      <c r="R384" s="11"/>
      <c r="S384" s="10"/>
    </row>
    <row r="385" spans="2:19" s="6" customFormat="1" ht="16.5" customHeight="1" x14ac:dyDescent="0.3">
      <c r="B385" s="10"/>
      <c r="C385" s="11"/>
      <c r="D385" s="10" t="str">
        <f t="shared" si="18"/>
        <v/>
      </c>
      <c r="H385" s="4"/>
      <c r="I385" s="6" t="str">
        <f t="shared" ca="1" si="19"/>
        <v/>
      </c>
      <c r="J385" s="13"/>
      <c r="K385" s="11"/>
      <c r="L385" s="11"/>
      <c r="M385" s="10"/>
      <c r="N385" s="10"/>
      <c r="Q385" s="11"/>
      <c r="R385" s="11"/>
      <c r="S385" s="10"/>
    </row>
    <row r="386" spans="2:19" s="6" customFormat="1" ht="16.5" customHeight="1" x14ac:dyDescent="0.3">
      <c r="B386" s="10"/>
      <c r="C386" s="11"/>
      <c r="D386" s="10" t="str">
        <f t="shared" si="18"/>
        <v/>
      </c>
      <c r="H386" s="4"/>
      <c r="I386" s="6" t="str">
        <f t="shared" ca="1" si="19"/>
        <v/>
      </c>
      <c r="J386" s="13"/>
      <c r="K386" s="11"/>
      <c r="L386" s="11"/>
      <c r="M386" s="10"/>
      <c r="N386" s="10"/>
      <c r="Q386" s="11"/>
      <c r="R386" s="11"/>
      <c r="S386" s="10"/>
    </row>
    <row r="387" spans="2:19" s="6" customFormat="1" ht="16.5" customHeight="1" x14ac:dyDescent="0.3">
      <c r="B387" s="10"/>
      <c r="C387" s="11"/>
      <c r="D387" s="10" t="str">
        <f t="shared" si="18"/>
        <v/>
      </c>
      <c r="H387" s="4"/>
      <c r="I387" s="6" t="str">
        <f t="shared" ca="1" si="19"/>
        <v/>
      </c>
      <c r="J387" s="13"/>
      <c r="K387" s="11"/>
      <c r="L387" s="11"/>
      <c r="M387" s="10"/>
      <c r="N387" s="10"/>
      <c r="Q387" s="11"/>
      <c r="R387" s="11"/>
      <c r="S387" s="10"/>
    </row>
    <row r="388" spans="2:19" s="6" customFormat="1" ht="16.5" customHeight="1" x14ac:dyDescent="0.3">
      <c r="B388" s="10"/>
      <c r="C388" s="11"/>
      <c r="D388" s="10" t="str">
        <f t="shared" si="18"/>
        <v/>
      </c>
      <c r="H388" s="4"/>
      <c r="I388" s="6" t="str">
        <f t="shared" ca="1" si="19"/>
        <v/>
      </c>
      <c r="J388" s="13"/>
      <c r="K388" s="11"/>
      <c r="L388" s="11"/>
      <c r="M388" s="10"/>
      <c r="N388" s="10"/>
      <c r="Q388" s="11"/>
      <c r="R388" s="11"/>
      <c r="S388" s="10"/>
    </row>
    <row r="389" spans="2:19" s="6" customFormat="1" ht="16.5" customHeight="1" x14ac:dyDescent="0.3">
      <c r="B389" s="10"/>
      <c r="C389" s="11"/>
      <c r="D389" s="10" t="str">
        <f t="shared" si="18"/>
        <v/>
      </c>
      <c r="H389" s="4"/>
      <c r="I389" s="6" t="str">
        <f t="shared" ca="1" si="19"/>
        <v/>
      </c>
      <c r="J389" s="13"/>
      <c r="K389" s="11"/>
      <c r="L389" s="11"/>
      <c r="M389" s="10"/>
      <c r="N389" s="10"/>
      <c r="Q389" s="11"/>
      <c r="R389" s="11"/>
      <c r="S389" s="10"/>
    </row>
    <row r="390" spans="2:19" s="6" customFormat="1" ht="16.5" customHeight="1" x14ac:dyDescent="0.3">
      <c r="B390" s="10"/>
      <c r="C390" s="11"/>
      <c r="D390" s="10" t="str">
        <f t="shared" si="18"/>
        <v/>
      </c>
      <c r="H390" s="4"/>
      <c r="I390" s="6" t="str">
        <f t="shared" ca="1" si="19"/>
        <v/>
      </c>
      <c r="J390" s="13"/>
      <c r="K390" s="11"/>
      <c r="L390" s="11"/>
      <c r="M390" s="10"/>
      <c r="N390" s="10"/>
      <c r="Q390" s="11"/>
      <c r="R390" s="11"/>
      <c r="S390" s="10"/>
    </row>
    <row r="391" spans="2:19" s="6" customFormat="1" ht="16.5" customHeight="1" x14ac:dyDescent="0.3">
      <c r="B391" s="10"/>
      <c r="C391" s="11"/>
      <c r="D391" s="10" t="str">
        <f t="shared" si="18"/>
        <v/>
      </c>
      <c r="H391" s="4"/>
      <c r="I391" s="6" t="str">
        <f t="shared" ca="1" si="19"/>
        <v/>
      </c>
      <c r="J391" s="13"/>
      <c r="K391" s="11"/>
      <c r="L391" s="11"/>
      <c r="M391" s="10"/>
      <c r="N391" s="10"/>
      <c r="Q391" s="11"/>
      <c r="R391" s="11"/>
      <c r="S391" s="10"/>
    </row>
    <row r="392" spans="2:19" s="6" customFormat="1" ht="16.5" customHeight="1" x14ac:dyDescent="0.3">
      <c r="B392" s="10"/>
      <c r="C392" s="11"/>
      <c r="D392" s="10" t="str">
        <f t="shared" si="18"/>
        <v/>
      </c>
      <c r="H392" s="4"/>
      <c r="I392" s="6" t="str">
        <f t="shared" ca="1" si="19"/>
        <v/>
      </c>
      <c r="J392" s="13"/>
      <c r="K392" s="11"/>
      <c r="L392" s="11"/>
      <c r="M392" s="10"/>
      <c r="N392" s="10"/>
      <c r="Q392" s="11"/>
      <c r="R392" s="11"/>
      <c r="S392" s="10"/>
    </row>
    <row r="393" spans="2:19" s="6" customFormat="1" ht="16.5" customHeight="1" x14ac:dyDescent="0.3">
      <c r="B393" s="10"/>
      <c r="C393" s="11"/>
      <c r="D393" s="10" t="str">
        <f t="shared" si="18"/>
        <v/>
      </c>
      <c r="H393" s="4"/>
      <c r="I393" s="6" t="str">
        <f t="shared" ca="1" si="19"/>
        <v/>
      </c>
      <c r="J393" s="13"/>
      <c r="K393" s="11"/>
      <c r="L393" s="11"/>
      <c r="M393" s="10"/>
      <c r="N393" s="10"/>
      <c r="Q393" s="11"/>
      <c r="R393" s="11"/>
      <c r="S393" s="10"/>
    </row>
    <row r="394" spans="2:19" s="6" customFormat="1" ht="16.5" customHeight="1" x14ac:dyDescent="0.3">
      <c r="B394" s="10"/>
      <c r="C394" s="11"/>
      <c r="D394" s="10" t="str">
        <f t="shared" si="18"/>
        <v/>
      </c>
      <c r="H394" s="4"/>
      <c r="I394" s="6" t="str">
        <f t="shared" ca="1" si="19"/>
        <v/>
      </c>
      <c r="J394" s="13"/>
      <c r="K394" s="11"/>
      <c r="L394" s="11"/>
      <c r="M394" s="10"/>
      <c r="N394" s="10"/>
      <c r="Q394" s="11"/>
      <c r="R394" s="11"/>
      <c r="S394" s="10"/>
    </row>
    <row r="395" spans="2:19" s="6" customFormat="1" ht="16.5" customHeight="1" x14ac:dyDescent="0.3">
      <c r="B395" s="10"/>
      <c r="C395" s="11"/>
      <c r="D395" s="10" t="str">
        <f t="shared" si="18"/>
        <v/>
      </c>
      <c r="H395" s="4"/>
      <c r="I395" s="6" t="str">
        <f t="shared" ca="1" si="19"/>
        <v/>
      </c>
      <c r="J395" s="13"/>
      <c r="K395" s="11"/>
      <c r="L395" s="11"/>
      <c r="M395" s="10"/>
      <c r="N395" s="10"/>
      <c r="Q395" s="11"/>
      <c r="R395" s="11"/>
      <c r="S395" s="10"/>
    </row>
    <row r="396" spans="2:19" s="6" customFormat="1" ht="16.5" customHeight="1" x14ac:dyDescent="0.3">
      <c r="B396" s="10"/>
      <c r="C396" s="11"/>
      <c r="D396" s="10" t="str">
        <f t="shared" ref="D396:D408" si="20">IF(G396="","",IF(OR(G396="선급금",G396="중도금",G396="잔금"),"A",IF(G396="자재","B",IF(G396="특허료","C",""))))</f>
        <v/>
      </c>
      <c r="H396" s="4"/>
      <c r="I396" s="6" t="str">
        <f t="shared" ref="I396:I406" ca="1" si="21">IF(C396="","",IF(L396="",TODAY()-C396,L396-C396))</f>
        <v/>
      </c>
      <c r="J396" s="13"/>
      <c r="K396" s="11"/>
      <c r="L396" s="11"/>
      <c r="M396" s="10"/>
      <c r="N396" s="10"/>
      <c r="Q396" s="11"/>
      <c r="R396" s="11"/>
      <c r="S396" s="10"/>
    </row>
    <row r="397" spans="2:19" s="6" customFormat="1" ht="16.5" customHeight="1" x14ac:dyDescent="0.3">
      <c r="B397" s="10"/>
      <c r="C397" s="11"/>
      <c r="D397" s="10" t="str">
        <f t="shared" si="20"/>
        <v/>
      </c>
      <c r="H397" s="4"/>
      <c r="I397" s="6" t="str">
        <f t="shared" ca="1" si="21"/>
        <v/>
      </c>
      <c r="J397" s="13"/>
      <c r="K397" s="11"/>
      <c r="L397" s="11"/>
      <c r="M397" s="10"/>
      <c r="N397" s="10"/>
      <c r="Q397" s="11"/>
      <c r="R397" s="11"/>
      <c r="S397" s="10"/>
    </row>
    <row r="398" spans="2:19" s="6" customFormat="1" ht="16.5" customHeight="1" x14ac:dyDescent="0.3">
      <c r="B398" s="10"/>
      <c r="C398" s="11"/>
      <c r="D398" s="10" t="str">
        <f t="shared" si="20"/>
        <v/>
      </c>
      <c r="H398" s="4"/>
      <c r="I398" s="6" t="str">
        <f t="shared" ca="1" si="21"/>
        <v/>
      </c>
      <c r="J398" s="13"/>
      <c r="K398" s="11"/>
      <c r="L398" s="11"/>
      <c r="M398" s="10"/>
      <c r="N398" s="10"/>
      <c r="Q398" s="11"/>
      <c r="R398" s="11"/>
      <c r="S398" s="10"/>
    </row>
    <row r="399" spans="2:19" s="6" customFormat="1" ht="16.5" customHeight="1" x14ac:dyDescent="0.3">
      <c r="B399" s="10"/>
      <c r="C399" s="11"/>
      <c r="D399" s="10" t="str">
        <f t="shared" si="20"/>
        <v/>
      </c>
      <c r="H399" s="4"/>
      <c r="I399" s="6" t="str">
        <f t="shared" ca="1" si="21"/>
        <v/>
      </c>
      <c r="J399" s="13"/>
      <c r="K399" s="11"/>
      <c r="L399" s="11"/>
      <c r="M399" s="10"/>
      <c r="N399" s="10"/>
      <c r="Q399" s="11"/>
      <c r="R399" s="11"/>
      <c r="S399" s="10"/>
    </row>
    <row r="400" spans="2:19" s="6" customFormat="1" ht="16.5" customHeight="1" x14ac:dyDescent="0.3">
      <c r="B400" s="10"/>
      <c r="C400" s="11"/>
      <c r="D400" s="10" t="str">
        <f t="shared" si="20"/>
        <v/>
      </c>
      <c r="H400" s="4"/>
      <c r="I400" s="6" t="str">
        <f t="shared" ca="1" si="21"/>
        <v/>
      </c>
      <c r="J400" s="13"/>
      <c r="K400" s="11"/>
      <c r="L400" s="11"/>
      <c r="M400" s="10"/>
      <c r="N400" s="10"/>
      <c r="Q400" s="11"/>
      <c r="R400" s="11"/>
      <c r="S400" s="10"/>
    </row>
    <row r="401" spans="2:19" s="6" customFormat="1" ht="16.5" customHeight="1" x14ac:dyDescent="0.3">
      <c r="B401" s="10"/>
      <c r="C401" s="11"/>
      <c r="D401" s="10" t="str">
        <f t="shared" si="20"/>
        <v/>
      </c>
      <c r="H401" s="4"/>
      <c r="I401" s="6" t="str">
        <f t="shared" ca="1" si="21"/>
        <v/>
      </c>
      <c r="J401" s="13"/>
      <c r="K401" s="11"/>
      <c r="L401" s="11"/>
      <c r="M401" s="10"/>
      <c r="N401" s="10"/>
      <c r="Q401" s="11"/>
      <c r="R401" s="11"/>
      <c r="S401" s="10"/>
    </row>
    <row r="402" spans="2:19" s="6" customFormat="1" ht="16.5" customHeight="1" x14ac:dyDescent="0.3">
      <c r="B402" s="10"/>
      <c r="C402" s="11"/>
      <c r="D402" s="10" t="str">
        <f t="shared" si="20"/>
        <v/>
      </c>
      <c r="H402" s="4"/>
      <c r="I402" s="6" t="str">
        <f t="shared" ca="1" si="21"/>
        <v/>
      </c>
      <c r="J402" s="13"/>
      <c r="K402" s="11"/>
      <c r="L402" s="11"/>
      <c r="M402" s="10"/>
      <c r="N402" s="10"/>
      <c r="Q402" s="11"/>
      <c r="R402" s="11"/>
      <c r="S402" s="10"/>
    </row>
    <row r="403" spans="2:19" x14ac:dyDescent="0.3">
      <c r="B403" s="10"/>
      <c r="C403" s="11"/>
      <c r="D403" s="1" t="str">
        <f t="shared" si="20"/>
        <v/>
      </c>
      <c r="I403" s="1" t="str">
        <f t="shared" ca="1" si="21"/>
        <v/>
      </c>
      <c r="K403" s="11"/>
      <c r="L403" s="11"/>
      <c r="Q403" s="11"/>
      <c r="R403" s="11"/>
    </row>
    <row r="404" spans="2:19" x14ac:dyDescent="0.3">
      <c r="B404" s="10"/>
      <c r="C404" s="11"/>
      <c r="D404" s="1" t="str">
        <f t="shared" si="20"/>
        <v/>
      </c>
      <c r="I404" s="1" t="str">
        <f t="shared" ca="1" si="21"/>
        <v/>
      </c>
      <c r="K404" s="11"/>
      <c r="L404" s="11"/>
      <c r="Q404" s="11"/>
      <c r="R404" s="11"/>
    </row>
    <row r="405" spans="2:19" x14ac:dyDescent="0.3">
      <c r="B405" s="10"/>
      <c r="C405" s="11"/>
      <c r="D405" s="1" t="str">
        <f t="shared" si="20"/>
        <v/>
      </c>
      <c r="I405" s="1" t="str">
        <f t="shared" ca="1" si="21"/>
        <v/>
      </c>
      <c r="Q405" s="11"/>
      <c r="R405" s="11"/>
    </row>
    <row r="406" spans="2:19" x14ac:dyDescent="0.3">
      <c r="B406" s="10"/>
      <c r="C406" s="11"/>
      <c r="D406" s="1" t="str">
        <f t="shared" si="20"/>
        <v/>
      </c>
      <c r="I406" s="1" t="str">
        <f t="shared" ca="1" si="21"/>
        <v/>
      </c>
      <c r="Q406" s="11"/>
      <c r="R406" s="11"/>
    </row>
    <row r="407" spans="2:19" x14ac:dyDescent="0.3">
      <c r="B407" s="10"/>
      <c r="C407" s="11"/>
      <c r="D407" s="1" t="str">
        <f t="shared" si="20"/>
        <v/>
      </c>
      <c r="Q407" s="11"/>
      <c r="R407" s="11"/>
    </row>
    <row r="408" spans="2:19" x14ac:dyDescent="0.3">
      <c r="B408" s="10"/>
      <c r="C408" s="11"/>
      <c r="D408" s="1" t="str">
        <f t="shared" si="20"/>
        <v/>
      </c>
      <c r="Q408" s="11"/>
      <c r="R408" s="11"/>
    </row>
  </sheetData>
  <autoFilter ref="A1:S408"/>
  <phoneticPr fontId="5" type="noConversion"/>
  <conditionalFormatting sqref="E3 F56:F59">
    <cfRule type="expression" dxfId="4" priority="18">
      <formula>$J3="잔금"</formula>
    </cfRule>
  </conditionalFormatting>
  <conditionalFormatting sqref="E8">
    <cfRule type="expression" dxfId="3" priority="17">
      <formula>$J8="잔금"</formula>
    </cfRule>
  </conditionalFormatting>
  <conditionalFormatting sqref="E4">
    <cfRule type="expression" dxfId="2" priority="16">
      <formula>$J4="잔금"</formula>
    </cfRule>
  </conditionalFormatting>
  <conditionalFormatting sqref="E9">
    <cfRule type="expression" dxfId="1" priority="15">
      <formula>$J9="잔금"</formula>
    </cfRule>
  </conditionalFormatting>
  <conditionalFormatting sqref="E41 E37">
    <cfRule type="expression" dxfId="0" priority="10">
      <formula>$J37="잔금"</formula>
    </cfRule>
  </conditionalFormatting>
  <dataValidations count="3">
    <dataValidation type="list" allowBlank="1" sqref="D2:D408">
      <formula1>"A,B,C"</formula1>
    </dataValidation>
    <dataValidation type="list" allowBlank="1" sqref="G2:G70">
      <formula1>"선급금,중도금,잔금,자재,특허료"</formula1>
    </dataValidation>
    <dataValidation type="list" allowBlank="1" sqref="N2:N96">
      <formula1>"Y,N"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zoomScaleNormal="100" workbookViewId="0">
      <selection activeCell="C19" sqref="C19"/>
    </sheetView>
  </sheetViews>
  <sheetFormatPr defaultRowHeight="16.5" customHeight="1" x14ac:dyDescent="0.25"/>
  <cols>
    <col min="1" max="1" width="4.375" style="18" customWidth="1"/>
    <col min="2" max="2" width="26.75" style="18" bestFit="1" customWidth="1"/>
    <col min="3" max="3" width="76.5" style="18" bestFit="1" customWidth="1"/>
    <col min="4" max="16384" width="9" style="18"/>
  </cols>
  <sheetData>
    <row r="2" spans="2:3" ht="16.5" customHeight="1" x14ac:dyDescent="0.25">
      <c r="B2" s="18" t="s">
        <v>139</v>
      </c>
    </row>
    <row r="3" spans="2:3" ht="16.5" customHeight="1" x14ac:dyDescent="0.25">
      <c r="B3" s="22" t="s">
        <v>136</v>
      </c>
      <c r="C3" s="17" t="s">
        <v>137</v>
      </c>
    </row>
    <row r="4" spans="2:3" ht="16.5" customHeight="1" x14ac:dyDescent="0.25">
      <c r="B4" s="16" t="s">
        <v>145</v>
      </c>
      <c r="C4" s="16" t="s">
        <v>149</v>
      </c>
    </row>
    <row r="5" spans="2:3" ht="16.5" customHeight="1" x14ac:dyDescent="0.25">
      <c r="B5" s="16" t="s">
        <v>152</v>
      </c>
      <c r="C5" s="16" t="s">
        <v>154</v>
      </c>
    </row>
    <row r="6" spans="2:3" ht="16.5" customHeight="1" x14ac:dyDescent="0.25">
      <c r="B6" s="16" t="s">
        <v>153</v>
      </c>
      <c r="C6" s="16" t="s">
        <v>155</v>
      </c>
    </row>
    <row r="7" spans="2:3" ht="13.5" x14ac:dyDescent="0.25">
      <c r="B7" s="20" t="s">
        <v>146</v>
      </c>
      <c r="C7" s="21" t="s">
        <v>156</v>
      </c>
    </row>
    <row r="8" spans="2:3" ht="16.5" customHeight="1" x14ac:dyDescent="0.25">
      <c r="B8" s="16" t="s">
        <v>147</v>
      </c>
      <c r="C8" s="16" t="s">
        <v>150</v>
      </c>
    </row>
    <row r="9" spans="2:3" ht="16.5" customHeight="1" x14ac:dyDescent="0.25">
      <c r="B9" s="16" t="s">
        <v>148</v>
      </c>
      <c r="C9" s="16" t="s">
        <v>151</v>
      </c>
    </row>
    <row r="12" spans="2:3" ht="16.5" customHeight="1" x14ac:dyDescent="0.3">
      <c r="B12" s="19"/>
    </row>
    <row r="13" spans="2:3" ht="16.5" customHeight="1" x14ac:dyDescent="0.3">
      <c r="B13"/>
    </row>
    <row r="14" spans="2:3" ht="16.5" customHeight="1" x14ac:dyDescent="0.3">
      <c r="B14" s="19"/>
    </row>
    <row r="15" spans="2:3" ht="16.5" customHeight="1" x14ac:dyDescent="0.3">
      <c r="B15"/>
    </row>
    <row r="16" spans="2:3" ht="16.5" customHeight="1" x14ac:dyDescent="0.3">
      <c r="B16" s="19"/>
    </row>
    <row r="17" spans="2:2" ht="16.5" customHeight="1" x14ac:dyDescent="0.3">
      <c r="B17"/>
    </row>
    <row r="18" spans="2:2" ht="16.5" customHeight="1" x14ac:dyDescent="0.3">
      <c r="B18" s="19"/>
    </row>
    <row r="19" spans="2:2" ht="16.5" customHeight="1" x14ac:dyDescent="0.3">
      <c r="B19"/>
    </row>
    <row r="20" spans="2:2" ht="16.5" customHeight="1" x14ac:dyDescent="0.3">
      <c r="B20" s="19"/>
    </row>
    <row r="21" spans="2:2" ht="16.5" customHeight="1" x14ac:dyDescent="0.3">
      <c r="B21"/>
    </row>
    <row r="22" spans="2:2" ht="16.5" customHeight="1" x14ac:dyDescent="0.3">
      <c r="B22" s="19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전체</vt:lpstr>
      <vt:lpstr>프로세스현황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2026-02-05T08:22:38Z</cp:lastPrinted>
  <dcterms:created xsi:type="dcterms:W3CDTF">2026-01-15T00:01:30Z</dcterms:created>
  <dcterms:modified xsi:type="dcterms:W3CDTF">2026-02-10T06:06:11Z</dcterms:modified>
</cp:coreProperties>
</file>