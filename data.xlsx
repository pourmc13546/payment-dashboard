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B100" i="1"/>
  <c r="I99" i="1"/>
  <c r="J99" i="1" s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<sst xmlns="http://schemas.openxmlformats.org/spreadsheetml/2006/main" count="661" uniqueCount="198">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</sst>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  <numFmt numFmtId="181" formatCode="_-* #,##0_-;\-* #,##0_-;_-* &quot;-&quot;_-;_-@_-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2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81" fontId="8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</cellXfs>
  <cellStyles count="12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표준" xfId="0" builtinId="0"/>
    <cellStyle name="표준 118 2 7 16" xfId="5"/>
    <cellStyle name="표준 125" xfId="6"/>
    <cellStyle name="표준 2" xfId="7"/>
    <cellStyle name="표준 3" xfId="1"/>
  </cellStyles>
  <dxfs count="1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93" activePane="bottomRight" state="frozen"/>
      <selection pane="topRight"/>
      <selection pane="bottomLeft"/>
      <selection pane="bottomRight" activeCell="I118" sqref="I11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280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130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67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644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484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713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334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329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327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259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229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207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278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119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113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110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109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84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78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71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70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69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64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372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237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237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188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60</v>
      </c>
      <c r="J60" s="13" t="str">
        <f t="shared" ca="1" si="5"/>
        <v>관리</v>
      </c>
      <c r="K60" s="11">
        <v>46066</v>
      </c>
      <c r="L60" s="11">
        <v>46066</v>
      </c>
      <c r="M60" s="10"/>
      <c r="N60" s="10" t="s">
        <v>33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71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71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46066</v>
      </c>
      <c r="L64" s="11">
        <v>46064</v>
      </c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68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50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49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49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45</v>
      </c>
      <c r="J69" s="13" t="str">
        <f t="shared" ca="1" si="5"/>
        <v>관리</v>
      </c>
      <c r="K69" s="11"/>
      <c r="L69" s="11">
        <v>46073</v>
      </c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50</v>
      </c>
      <c r="J71" s="13" t="str">
        <f t="shared" ca="1" si="5"/>
        <v>관리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50</v>
      </c>
      <c r="J72" s="13" t="str">
        <f t="shared" ca="1" si="5"/>
        <v>관리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47</v>
      </c>
      <c r="J75" s="13" t="str">
        <f t="shared" ca="1" si="5"/>
        <v>관리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39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35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35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33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33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29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26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26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22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19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15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14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14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46027</v>
      </c>
      <c r="D99" s="10" t="s">
        <v>172</v>
      </c>
      <c r="E99" s="24" t="s">
        <v>26</v>
      </c>
      <c r="F99" s="24" t="s">
        <v>169</v>
      </c>
      <c r="G99" s="6" t="s">
        <v>173</v>
      </c>
      <c r="H99" s="4">
        <v>16130000</v>
      </c>
      <c r="I99" s="6">
        <f t="shared" ca="1" si="10"/>
        <v>50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46023</v>
      </c>
      <c r="D100" s="10" t="s">
        <v>172</v>
      </c>
      <c r="E100" s="24" t="s">
        <v>170</v>
      </c>
      <c r="F100" s="24" t="s">
        <v>171</v>
      </c>
      <c r="G100" s="6" t="s">
        <v>173</v>
      </c>
      <c r="H100" s="4">
        <v>-883400</v>
      </c>
      <c r="I100" s="6">
        <f t="shared" ca="1" si="10"/>
        <v>29</v>
      </c>
      <c r="J100" s="13" t="str">
        <f t="shared" ca="1" si="5"/>
        <v>정상</v>
      </c>
      <c r="K100" s="11"/>
      <c r="L100" s="11">
        <v>46052</v>
      </c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46052</v>
      </c>
      <c r="D101" s="10" t="str">
        <f t="shared" si="9"/>
        <v>B</v>
      </c>
      <c r="E101" s="6" t="s">
        <v>174</v>
      </c>
      <c r="F101" s="6" t="s">
        <v>175</v>
      </c>
      <c r="G101" s="6" t="s">
        <v>176</v>
      </c>
      <c r="H101" s="4">
        <v>-3943480</v>
      </c>
      <c r="I101" s="6">
        <f t="shared" ca="1" si="10"/>
        <v>12</v>
      </c>
      <c r="J101" s="13" t="str">
        <f t="shared" ca="1" si="5"/>
        <v>정상</v>
      </c>
      <c r="K101" s="11"/>
      <c r="L101" s="11">
        <v>46064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26">
        <f>IF(C102="","",COUNTA($C$2:C102))</f>
        <v>101</v>
      </c>
      <c r="C102" s="27">
        <v>46038</v>
      </c>
      <c r="D102" s="26" t="str">
        <f t="shared" si="9"/>
        <v>A</v>
      </c>
      <c r="E102" s="28" t="s">
        <v>177</v>
      </c>
      <c r="F102" s="28" t="s">
        <v>178</v>
      </c>
      <c r="G102" s="28" t="s">
        <v>179</v>
      </c>
      <c r="H102" s="29">
        <v>59635000</v>
      </c>
      <c r="I102" s="28">
        <f t="shared" ca="1" si="10"/>
        <v>28</v>
      </c>
      <c r="J102" s="30" t="str">
        <f t="shared" ca="1" si="5"/>
        <v>정상</v>
      </c>
      <c r="K102" s="27"/>
      <c r="L102" s="27">
        <v>46066</v>
      </c>
      <c r="M102" s="26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46064</v>
      </c>
      <c r="D103" s="10" t="str">
        <f t="shared" si="9"/>
        <v>B</v>
      </c>
      <c r="E103" s="6" t="s">
        <v>110</v>
      </c>
      <c r="F103" s="23" t="s">
        <v>158</v>
      </c>
      <c r="G103" s="6" t="s">
        <v>181</v>
      </c>
      <c r="H103" s="25">
        <v>1138000</v>
      </c>
      <c r="I103" s="6">
        <f t="shared" ca="1" si="10"/>
        <v>13</v>
      </c>
      <c r="J103" s="13" t="str">
        <f t="shared" ca="1" si="5"/>
        <v>정상</v>
      </c>
      <c r="K103" s="11"/>
      <c r="L103" s="11"/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180</v>
      </c>
      <c r="G104" s="6" t="s">
        <v>181</v>
      </c>
      <c r="H104" s="25">
        <v>11632500</v>
      </c>
      <c r="I104" s="6">
        <f t="shared" ca="1" si="10"/>
        <v>13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46065</v>
      </c>
      <c r="D105" s="10" t="s">
        <v>182</v>
      </c>
      <c r="E105" s="23" t="s">
        <v>24</v>
      </c>
      <c r="F105" s="23" t="s">
        <v>108</v>
      </c>
      <c r="G105" s="6" t="s">
        <v>181</v>
      </c>
      <c r="H105" s="25">
        <v>7390000</v>
      </c>
      <c r="I105" s="6">
        <f t="shared" ca="1" si="10"/>
        <v>12</v>
      </c>
      <c r="J105" s="13" t="str">
        <f t="shared" ca="1" si="5"/>
        <v>정상</v>
      </c>
      <c r="K105" s="11"/>
      <c r="L105" s="11"/>
      <c r="M105" s="10"/>
      <c r="N105" s="10" t="s">
        <v>20</v>
      </c>
      <c r="P105" s="6" t="s">
        <v>155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183</v>
      </c>
      <c r="F106" s="23" t="s">
        <v>184</v>
      </c>
      <c r="G106" s="6" t="s">
        <v>181</v>
      </c>
      <c r="H106" s="25">
        <v>651400</v>
      </c>
      <c r="I106" s="6">
        <f t="shared" ca="1" si="10"/>
        <v>12</v>
      </c>
      <c r="J106" s="13" t="str">
        <f t="shared" ca="1" si="5"/>
        <v>정상</v>
      </c>
      <c r="K106" s="11"/>
      <c r="L106" s="11"/>
      <c r="M106" s="10"/>
      <c r="N106" s="10" t="s">
        <v>33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110</v>
      </c>
      <c r="F107" s="23" t="s">
        <v>158</v>
      </c>
      <c r="G107" s="6" t="s">
        <v>181</v>
      </c>
      <c r="H107" s="25">
        <v>1997773</v>
      </c>
      <c r="I107" s="6">
        <f t="shared" ca="1" si="10"/>
        <v>12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46066</v>
      </c>
      <c r="D108" s="10" t="s">
        <v>185</v>
      </c>
      <c r="E108" s="32" t="s">
        <v>187</v>
      </c>
      <c r="F108" s="31" t="s">
        <v>186</v>
      </c>
      <c r="G108" s="6" t="s">
        <v>188</v>
      </c>
      <c r="H108" s="33">
        <v>11000000</v>
      </c>
      <c r="I108" s="6">
        <f t="shared" ca="1" si="10"/>
        <v>11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46067</v>
      </c>
      <c r="D109" s="10" t="s">
        <v>182</v>
      </c>
      <c r="E109" s="23" t="s">
        <v>24</v>
      </c>
      <c r="F109" s="23" t="s">
        <v>108</v>
      </c>
      <c r="G109" s="6" t="s">
        <v>189</v>
      </c>
      <c r="H109" s="34">
        <v>35304000</v>
      </c>
      <c r="I109" s="6">
        <f t="shared" ca="1" si="10"/>
        <v>10</v>
      </c>
      <c r="J109" s="13" t="str">
        <f t="shared" ca="1" si="5"/>
        <v>정상</v>
      </c>
      <c r="K109" s="11"/>
      <c r="L109" s="11"/>
      <c r="M109" s="10"/>
      <c r="N109" s="10" t="s">
        <v>20</v>
      </c>
      <c r="P109" s="6" t="s">
        <v>155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35" t="s">
        <v>195</v>
      </c>
      <c r="D110" s="10" t="str">
        <f t="shared" si="9"/>
        <v>B</v>
      </c>
      <c r="E110" s="36" t="s">
        <v>190</v>
      </c>
      <c r="F110" s="23" t="s">
        <v>192</v>
      </c>
      <c r="G110" s="6" t="s">
        <v>176</v>
      </c>
      <c r="H110" s="25">
        <v>5436700</v>
      </c>
      <c r="I110" s="6">
        <f t="shared" ca="1" si="10"/>
        <v>0</v>
      </c>
      <c r="J110" s="13" t="str">
        <f t="shared" ca="1" si="5"/>
        <v>정상</v>
      </c>
      <c r="K110" s="11"/>
      <c r="L110" s="11">
        <v>46073</v>
      </c>
      <c r="M110" s="10"/>
      <c r="N110" s="10" t="s">
        <v>33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23" t="s">
        <v>24</v>
      </c>
      <c r="F111" s="23" t="s">
        <v>193</v>
      </c>
      <c r="G111" s="6" t="s">
        <v>176</v>
      </c>
      <c r="H111" s="25">
        <v>37600000</v>
      </c>
      <c r="I111" s="6">
        <f t="shared" ca="1" si="10"/>
        <v>4</v>
      </c>
      <c r="J111" s="13" t="str">
        <f t="shared" ca="1" si="5"/>
        <v>정상</v>
      </c>
      <c r="K111" s="11"/>
      <c r="L111" s="11"/>
      <c r="M111" s="10"/>
      <c r="N111" s="10" t="s">
        <v>20</v>
      </c>
      <c r="P111" s="6" t="s">
        <v>155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196</v>
      </c>
      <c r="D112" s="10" t="str">
        <f t="shared" si="9"/>
        <v>B</v>
      </c>
      <c r="E112" s="23" t="s">
        <v>191</v>
      </c>
      <c r="F112" s="23" t="s">
        <v>194</v>
      </c>
      <c r="G112" s="6" t="s">
        <v>176</v>
      </c>
      <c r="H112" s="25">
        <v>2706000</v>
      </c>
      <c r="I112" s="6">
        <f t="shared" ca="1" si="10"/>
        <v>0</v>
      </c>
      <c r="J112" s="13" t="str">
        <f t="shared" ca="1" si="5"/>
        <v>정상</v>
      </c>
      <c r="K112" s="11"/>
      <c r="L112" s="11">
        <v>46076</v>
      </c>
      <c r="M112" s="10"/>
      <c r="N112" s="10" t="s">
        <v>33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9" t="s">
        <v>196</v>
      </c>
      <c r="D113" s="10" t="str">
        <f t="shared" si="9"/>
        <v>B</v>
      </c>
      <c r="E113" s="37" t="s">
        <v>24</v>
      </c>
      <c r="F113" s="38" t="s">
        <v>108</v>
      </c>
      <c r="G113" s="6" t="s">
        <v>176</v>
      </c>
      <c r="H113" s="40">
        <v>11500000</v>
      </c>
      <c r="I113" s="6">
        <f t="shared" ca="1" si="10"/>
        <v>1</v>
      </c>
      <c r="J113" s="13" t="str">
        <f t="shared" ca="1" si="5"/>
        <v>정상</v>
      </c>
      <c r="K113" s="11"/>
      <c r="L113" s="11"/>
      <c r="M113" s="10"/>
      <c r="N113" s="10" t="s">
        <v>20</v>
      </c>
      <c r="P113" s="6" t="s">
        <v>155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3438000</v>
      </c>
      <c r="I114" s="6">
        <f t="shared" ca="1" si="10"/>
        <v>1</v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197</v>
      </c>
      <c r="D115" s="10" t="str">
        <f t="shared" si="9"/>
        <v>B</v>
      </c>
      <c r="E115" s="37" t="s">
        <v>166</v>
      </c>
      <c r="F115" s="38" t="s">
        <v>167</v>
      </c>
      <c r="G115" s="6" t="s">
        <v>176</v>
      </c>
      <c r="H115" s="40">
        <v>502300</v>
      </c>
      <c r="I115" s="6">
        <f t="shared" ca="1" si="10"/>
        <v>0</v>
      </c>
      <c r="J115" s="13" t="str">
        <f t="shared" ca="1" si="11"/>
        <v>정상</v>
      </c>
      <c r="K115" s="11"/>
      <c r="L115" s="11"/>
      <c r="M115" s="10"/>
      <c r="N115" s="10" t="s">
        <v>33</v>
      </c>
      <c r="Q115" s="11"/>
      <c r="R115" s="11"/>
      <c r="S115" s="10"/>
    </row>
    <row r="116" spans="2:19" s="6" customFormat="1" ht="16.5" customHeight="1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18" priority="33">
      <formula>$J3="잔금"</formula>
    </cfRule>
  </conditionalFormatting>
  <conditionalFormatting sqref="E8">
    <cfRule type="expression" dxfId="17" priority="32">
      <formula>$J8="잔금"</formula>
    </cfRule>
  </conditionalFormatting>
  <conditionalFormatting sqref="E4">
    <cfRule type="expression" dxfId="16" priority="31">
      <formula>$J4="잔금"</formula>
    </cfRule>
  </conditionalFormatting>
  <conditionalFormatting sqref="E9">
    <cfRule type="expression" dxfId="15" priority="30">
      <formula>$J9="잔금"</formula>
    </cfRule>
  </conditionalFormatting>
  <conditionalFormatting sqref="E41 E37">
    <cfRule type="expression" dxfId="14" priority="25">
      <formula>$J37="잔금"</formula>
    </cfRule>
  </conditionalFormatting>
  <conditionalFormatting sqref="E97:E98">
    <cfRule type="expression" dxfId="13" priority="15">
      <formula>$J97="잔금"</formula>
    </cfRule>
  </conditionalFormatting>
  <conditionalFormatting sqref="F97:F98">
    <cfRule type="expression" dxfId="12" priority="14">
      <formula>$J97="잔금"</formula>
    </cfRule>
  </conditionalFormatting>
  <conditionalFormatting sqref="F103:F104">
    <cfRule type="expression" dxfId="11" priority="12">
      <formula>$J103="잔금"</formula>
    </cfRule>
  </conditionalFormatting>
  <conditionalFormatting sqref="H103:H104">
    <cfRule type="expression" dxfId="10" priority="11">
      <formula>$J103="잔금"</formula>
    </cfRule>
  </conditionalFormatting>
  <conditionalFormatting sqref="E105:E107">
    <cfRule type="expression" dxfId="9" priority="10">
      <formula>$J105="잔금"</formula>
    </cfRule>
  </conditionalFormatting>
  <conditionalFormatting sqref="F105:F107">
    <cfRule type="expression" dxfId="8" priority="9">
      <formula>$J105="잔금"</formula>
    </cfRule>
  </conditionalFormatting>
  <conditionalFormatting sqref="H105:H107">
    <cfRule type="expression" dxfId="7" priority="8">
      <formula>$J105="잔금"</formula>
    </cfRule>
  </conditionalFormatting>
  <conditionalFormatting sqref="E109">
    <cfRule type="expression" dxfId="6" priority="7">
      <formula>$J109="잔금"</formula>
    </cfRule>
  </conditionalFormatting>
  <conditionalFormatting sqref="F109">
    <cfRule type="expression" dxfId="5" priority="6">
      <formula>$J109="잔금"</formula>
    </cfRule>
  </conditionalFormatting>
  <conditionalFormatting sqref="E110:E112">
    <cfRule type="expression" dxfId="4" priority="5">
      <formula>$J110="잔금"</formula>
    </cfRule>
  </conditionalFormatting>
  <conditionalFormatting sqref="F110 F112">
    <cfRule type="expression" dxfId="3" priority="4">
      <formula>$J110="잔금"</formula>
    </cfRule>
  </conditionalFormatting>
  <conditionalFormatting sqref="F111">
    <cfRule type="expression" dxfId="2" priority="3">
      <formula>$J111="잔금"</formula>
    </cfRule>
  </conditionalFormatting>
  <conditionalFormatting sqref="H110:H112">
    <cfRule type="expression" dxfId="1" priority="2">
      <formula>$J110="잔금"</formula>
    </cfRule>
  </conditionalFormatting>
  <conditionalFormatting sqref="C110:C112">
    <cfRule type="expression" dxfId="0" priority="1">
      <formula>$J110="잔금"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115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2026-02-24T00:24:17Z</dcterms:modified>
</cp:coreProperties>
</file>