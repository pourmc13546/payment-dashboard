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data!$A$1:$S$403</definedName>
    <definedName name="_xlnm._FilterDatabase">data!$A$1:$S$403</definedName>
  </definedNames>
  <calcPr calcId="162913"/>
</workbook>
</file>

<file path=xl/calcChain.xml><?xml version="1.0" encoding="utf-8"?>
<calcChain xmlns="http://schemas.openxmlformats.org/spreadsheetml/2006/main">
  <c r="I402" i="1" l="1"/>
  <c r="J402" i="1" s="1"/>
  <c r="B402" i="1"/>
  <c r="B401" i="1"/>
  <c r="B400" i="1"/>
  <c r="B399" i="1"/>
  <c r="D398" i="1"/>
  <c r="B397" i="1"/>
  <c r="B398" i="1"/>
  <c r="B385" i="1" l="1"/>
  <c r="B386" i="1"/>
  <c r="B387" i="1"/>
  <c r="B388" i="1"/>
  <c r="B389" i="1"/>
  <c r="B390" i="1"/>
  <c r="B391" i="1"/>
  <c r="B392" i="1"/>
  <c r="B393" i="1"/>
  <c r="B394" i="1"/>
  <c r="B395" i="1"/>
  <c r="B396" i="1"/>
  <c r="B384" i="1" l="1"/>
  <c r="B383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3" i="1" l="1"/>
  <c r="I401" i="1"/>
  <c r="J401" i="1" s="1"/>
  <c r="I400" i="1"/>
  <c r="J400" i="1" s="1"/>
  <c r="I399" i="1"/>
  <c r="J399" i="1" s="1"/>
  <c r="I398" i="1"/>
  <c r="J398" i="1" s="1"/>
  <c r="I397" i="1"/>
  <c r="J397" i="1" s="1"/>
  <c r="D397" i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<sst xmlns="http://schemas.openxmlformats.org/spreadsheetml/2006/main" count="2056" uniqueCount="576">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</sst>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4"/>
  <sheetViews>
    <sheetView tabSelected="1" zoomScaleNormal="100" workbookViewId="0">
      <pane xSplit="5" ySplit="1" topLeftCell="F380" activePane="bottomRight" state="frozen"/>
      <selection pane="topRight"/>
      <selection pane="bottomLeft"/>
      <selection pane="bottomRight" activeCell="E407" sqref="E407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328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158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308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210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160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115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110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293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153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468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888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692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532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670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669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761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403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398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388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382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378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378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377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375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354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340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319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307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277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255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326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250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228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223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180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178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167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420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285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285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236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87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81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63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62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62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98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61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61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60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60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59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58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47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45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45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45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41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41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41</v>
      </c>
      <c r="J135" s="13" t="str">
        <f t="shared" ca="1" si="13"/>
        <v>관리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41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39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39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39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39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39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39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39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38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38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35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35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35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33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34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34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34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34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34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34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34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34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33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33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33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33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33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32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32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32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32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32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32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31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31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31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31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31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27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27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27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27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27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27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27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27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27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27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27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27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27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26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26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26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26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26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26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26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25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25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25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25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25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25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25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25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25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25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25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24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24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24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21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21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20</v>
      </c>
      <c r="J257" s="13" t="str">
        <f t="shared" ca="1" si="21"/>
        <v>정상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21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21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21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21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21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21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21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20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20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20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20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20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20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20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20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18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19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19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19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19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19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19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19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19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19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18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18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18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18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18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18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18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18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18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18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18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18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18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17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17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17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17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17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14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14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10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10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10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10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10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10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10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10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10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10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10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10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10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10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10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10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10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10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7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7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7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7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7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7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7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7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7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7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7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7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7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7</v>
      </c>
      <c r="J350" s="13" t="str">
        <f t="shared" ref="J350:J40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7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7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7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10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7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12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7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10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10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10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12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11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7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12</v>
      </c>
      <c r="J364" s="13" t="str">
        <f t="shared" ca="1" si="25"/>
        <v>정상</v>
      </c>
      <c r="K364" s="11">
        <v>46122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12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6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6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5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5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5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5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5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5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5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5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5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5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5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485</v>
      </c>
      <c r="G382" s="6" t="s">
        <v>544</v>
      </c>
      <c r="H382" s="12">
        <v>3180000</v>
      </c>
      <c r="I382" s="6">
        <f t="shared" ref="I382:I402" ca="1" si="27">IF(C382="","",IF(L382="",TODAY()-C382,L382-C382))</f>
        <v>5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270</v>
      </c>
      <c r="F383" s="6" t="s">
        <v>545</v>
      </c>
      <c r="G383" s="6" t="s">
        <v>546</v>
      </c>
      <c r="H383" s="12">
        <v>20237900</v>
      </c>
      <c r="I383" s="6">
        <f t="shared" ca="1" si="27"/>
        <v>5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548</v>
      </c>
      <c r="F384" s="6" t="s">
        <v>547</v>
      </c>
      <c r="G384" s="6" t="s">
        <v>549</v>
      </c>
      <c r="H384" s="12">
        <v>6013200</v>
      </c>
      <c r="I384" s="6">
        <f t="shared" ca="1" si="27"/>
        <v>1</v>
      </c>
      <c r="J384" s="13" t="str">
        <f t="shared" ca="1" si="25"/>
        <v>정상</v>
      </c>
      <c r="K384" s="11"/>
      <c r="L384" s="11">
        <v>46121</v>
      </c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24</v>
      </c>
      <c r="F385" s="6" t="s">
        <v>550</v>
      </c>
      <c r="G385" s="6" t="s">
        <v>565</v>
      </c>
      <c r="H385" s="12">
        <v>4492000</v>
      </c>
      <c r="I385" s="6">
        <f t="shared" ca="1" si="27"/>
        <v>4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551</v>
      </c>
      <c r="G386" s="6" t="s">
        <v>565</v>
      </c>
      <c r="H386" s="12">
        <v>31045500</v>
      </c>
      <c r="I386" s="6">
        <f t="shared" ca="1" si="27"/>
        <v>4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552</v>
      </c>
      <c r="G387" s="6" t="s">
        <v>565</v>
      </c>
      <c r="H387" s="12">
        <v>574800</v>
      </c>
      <c r="I387" s="6">
        <f t="shared" ca="1" si="27"/>
        <v>4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128</v>
      </c>
      <c r="F388" s="6" t="s">
        <v>553</v>
      </c>
      <c r="G388" s="6" t="s">
        <v>565</v>
      </c>
      <c r="H388" s="12">
        <v>3687500</v>
      </c>
      <c r="I388" s="6">
        <f t="shared" ca="1" si="27"/>
        <v>4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208</v>
      </c>
      <c r="F389" s="6" t="s">
        <v>554</v>
      </c>
      <c r="G389" s="6" t="s">
        <v>565</v>
      </c>
      <c r="H389" s="12">
        <v>21780000</v>
      </c>
      <c r="I389" s="6">
        <f t="shared" ca="1" si="27"/>
        <v>4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561</v>
      </c>
      <c r="F390" s="6" t="s">
        <v>555</v>
      </c>
      <c r="G390" s="6" t="s">
        <v>565</v>
      </c>
      <c r="H390" s="12">
        <v>1630000</v>
      </c>
      <c r="I390" s="6">
        <f t="shared" ca="1" si="27"/>
        <v>4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395</v>
      </c>
      <c r="F391" s="6" t="s">
        <v>556</v>
      </c>
      <c r="G391" s="6" t="s">
        <v>565</v>
      </c>
      <c r="H391" s="12">
        <v>20219600</v>
      </c>
      <c r="I391" s="6">
        <f t="shared" ca="1" si="27"/>
        <v>4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126</v>
      </c>
      <c r="F392" s="6" t="s">
        <v>557</v>
      </c>
      <c r="G392" s="6" t="s">
        <v>565</v>
      </c>
      <c r="H392" s="12">
        <v>963200</v>
      </c>
      <c r="I392" s="6">
        <f t="shared" ca="1" si="27"/>
        <v>4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562</v>
      </c>
      <c r="F393" s="6" t="s">
        <v>558</v>
      </c>
      <c r="G393" s="6" t="s">
        <v>565</v>
      </c>
      <c r="H393" s="12">
        <v>1380000</v>
      </c>
      <c r="I393" s="6">
        <f t="shared" ca="1" si="27"/>
        <v>4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62</v>
      </c>
      <c r="F394" s="6" t="s">
        <v>559</v>
      </c>
      <c r="G394" s="6" t="s">
        <v>565</v>
      </c>
      <c r="H394" s="12">
        <v>410000</v>
      </c>
      <c r="I394" s="6">
        <f t="shared" ca="1" si="27"/>
        <v>3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126</v>
      </c>
      <c r="F395" s="6" t="s">
        <v>485</v>
      </c>
      <c r="G395" s="6" t="s">
        <v>565</v>
      </c>
      <c r="H395" s="12">
        <v>464000</v>
      </c>
      <c r="I395" s="6">
        <f t="shared" ca="1" si="27"/>
        <v>3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207</v>
      </c>
      <c r="F396" s="6" t="s">
        <v>560</v>
      </c>
      <c r="G396" s="6" t="s">
        <v>565</v>
      </c>
      <c r="H396" s="12">
        <v>1261000</v>
      </c>
      <c r="I396" s="6">
        <f t="shared" ca="1" si="27"/>
        <v>3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564</v>
      </c>
      <c r="D397" s="10" t="str">
        <f t="shared" ref="D397:D403" si="28">IF(G397="","",IF(OR(G397="선급금",G397="중도금",G397="잔금"),"A",IF(G397="자재","B",IF(G397="특허료","C",""))))</f>
        <v>B</v>
      </c>
      <c r="E397" s="6" t="s">
        <v>124</v>
      </c>
      <c r="F397" s="6" t="s">
        <v>568</v>
      </c>
      <c r="G397" s="6" t="s">
        <v>172</v>
      </c>
      <c r="H397" s="12">
        <v>866400</v>
      </c>
      <c r="I397" s="6">
        <f t="shared" ca="1" si="27"/>
        <v>0</v>
      </c>
      <c r="J397" s="13" t="str">
        <f t="shared" ca="1" si="25"/>
        <v>정상</v>
      </c>
      <c r="K397" s="11"/>
      <c r="L397" s="11">
        <v>46122</v>
      </c>
      <c r="M397" s="10"/>
      <c r="N397" s="10" t="s">
        <v>33</v>
      </c>
      <c r="Q397" s="11"/>
      <c r="R397" s="11"/>
      <c r="S397" s="10"/>
    </row>
    <row r="398" spans="2:19" s="18" customFormat="1" ht="13.5">
      <c r="B398" s="10">
        <f>IF(C398="","",COUNTA($C$2:C398))</f>
        <v>397</v>
      </c>
      <c r="C398" s="11" t="s">
        <v>564</v>
      </c>
      <c r="D398" s="10" t="str">
        <f t="shared" si="28"/>
        <v>B</v>
      </c>
      <c r="E398" s="18" t="s">
        <v>126</v>
      </c>
      <c r="F398" s="18" t="s">
        <v>569</v>
      </c>
      <c r="G398" s="6" t="s">
        <v>172</v>
      </c>
      <c r="H398" s="12">
        <v>-785400</v>
      </c>
      <c r="I398" s="18">
        <f t="shared" ca="1" si="27"/>
        <v>3</v>
      </c>
      <c r="J398" s="13" t="str">
        <f t="shared" ca="1" si="25"/>
        <v>정상</v>
      </c>
      <c r="K398" s="11"/>
      <c r="L398" s="11"/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 t="s">
        <v>564</v>
      </c>
      <c r="D399" s="10" t="s">
        <v>181</v>
      </c>
      <c r="E399" s="18" t="s">
        <v>421</v>
      </c>
      <c r="F399" s="18" t="s">
        <v>570</v>
      </c>
      <c r="G399" s="6" t="s">
        <v>571</v>
      </c>
      <c r="H399" s="12">
        <v>2421500</v>
      </c>
      <c r="I399" s="18">
        <f t="shared" ca="1" si="27"/>
        <v>3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>
      <c r="B400" s="10">
        <f>IF(C400="","",COUNTA($C$2:C400))</f>
        <v>399</v>
      </c>
      <c r="C400" s="11">
        <v>46122</v>
      </c>
      <c r="D400" s="42" t="s">
        <v>243</v>
      </c>
      <c r="E400" s="43" t="s">
        <v>573</v>
      </c>
      <c r="F400" s="43" t="s">
        <v>572</v>
      </c>
      <c r="G400" s="6" t="s">
        <v>230</v>
      </c>
      <c r="H400" s="4">
        <v>72676000</v>
      </c>
      <c r="I400" s="18">
        <f t="shared" ca="1" si="27"/>
        <v>3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126</v>
      </c>
      <c r="F401" s="18" t="s">
        <v>420</v>
      </c>
      <c r="G401" s="18" t="s">
        <v>574</v>
      </c>
      <c r="H401" s="12">
        <v>14760000</v>
      </c>
      <c r="I401" s="18">
        <f t="shared" ca="1" si="27"/>
        <v>3</v>
      </c>
      <c r="J401" s="13" t="str">
        <f t="shared" ca="1" si="25"/>
        <v>정상</v>
      </c>
      <c r="K401" s="44"/>
      <c r="L401" s="44"/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423</v>
      </c>
      <c r="F402" s="18" t="s">
        <v>575</v>
      </c>
      <c r="G402" s="18" t="s">
        <v>574</v>
      </c>
      <c r="H402" s="12">
        <v>2480000</v>
      </c>
      <c r="I402" s="18">
        <f t="shared" ca="1" si="27"/>
        <v>3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>
      <c r="B403" s="10"/>
      <c r="C403" s="11"/>
      <c r="D403" s="1" t="str">
        <f t="shared" si="28"/>
        <v/>
      </c>
      <c r="Q403" s="11"/>
      <c r="R403" s="11"/>
    </row>
    <row r="404" spans="2:18" ht="16.5" customHeight="1">
      <c r="C404" s="35"/>
      <c r="F404" s="38"/>
    </row>
  </sheetData>
  <autoFilter ref="A1:S403"/>
  <phoneticPr fontId="5" type="noConversion"/>
  <conditionalFormatting sqref="E3 F57:F60 E37">
    <cfRule type="expression" dxfId="91" priority="120">
      <formula>$J3="잔금"</formula>
    </cfRule>
  </conditionalFormatting>
  <conditionalFormatting sqref="E8">
    <cfRule type="expression" dxfId="90" priority="119">
      <formula>$J8="잔금"</formula>
    </cfRule>
  </conditionalFormatting>
  <conditionalFormatting sqref="E4">
    <cfRule type="expression" dxfId="89" priority="118">
      <formula>$J4="잔금"</formula>
    </cfRule>
  </conditionalFormatting>
  <conditionalFormatting sqref="E9">
    <cfRule type="expression" dxfId="88" priority="117">
      <formula>$J9="잔금"</formula>
    </cfRule>
  </conditionalFormatting>
  <conditionalFormatting sqref="E41">
    <cfRule type="expression" dxfId="87" priority="112">
      <formula>$J41="잔금"</formula>
    </cfRule>
  </conditionalFormatting>
  <conditionalFormatting sqref="E98:E99 E187:F193 H187:H193 F113 C187:C193">
    <cfRule type="expression" dxfId="86" priority="102">
      <formula>$J98="잔금"</formula>
    </cfRule>
  </conditionalFormatting>
  <conditionalFormatting sqref="F98:F99">
    <cfRule type="expression" dxfId="85" priority="101">
      <formula>$J98="잔금"</formula>
    </cfRule>
  </conditionalFormatting>
  <conditionalFormatting sqref="F104:F105">
    <cfRule type="expression" dxfId="84" priority="99">
      <formula>$J104="잔금"</formula>
    </cfRule>
  </conditionalFormatting>
  <conditionalFormatting sqref="H104:H105">
    <cfRule type="expression" dxfId="83" priority="98">
      <formula>$J104="잔금"</formula>
    </cfRule>
  </conditionalFormatting>
  <conditionalFormatting sqref="E106:E108">
    <cfRule type="expression" dxfId="82" priority="97">
      <formula>$J106="잔금"</formula>
    </cfRule>
  </conditionalFormatting>
  <conditionalFormatting sqref="F106:F108">
    <cfRule type="expression" dxfId="81" priority="96">
      <formula>$J106="잔금"</formula>
    </cfRule>
  </conditionalFormatting>
  <conditionalFormatting sqref="H106:H108">
    <cfRule type="expression" dxfId="80" priority="95">
      <formula>$J106="잔금"</formula>
    </cfRule>
  </conditionalFormatting>
  <conditionalFormatting sqref="E110">
    <cfRule type="expression" dxfId="79" priority="94">
      <formula>$J110="잔금"</formula>
    </cfRule>
  </conditionalFormatting>
  <conditionalFormatting sqref="F110">
    <cfRule type="expression" dxfId="78" priority="93">
      <formula>$J110="잔금"</formula>
    </cfRule>
  </conditionalFormatting>
  <conditionalFormatting sqref="E111:E113">
    <cfRule type="expression" dxfId="77" priority="92">
      <formula>$J111="잔금"</formula>
    </cfRule>
  </conditionalFormatting>
  <conditionalFormatting sqref="F111">
    <cfRule type="expression" dxfId="76" priority="91">
      <formula>$J111="잔금"</formula>
    </cfRule>
  </conditionalFormatting>
  <conditionalFormatting sqref="F112">
    <cfRule type="expression" dxfId="75" priority="90">
      <formula>$J112="잔금"</formula>
    </cfRule>
  </conditionalFormatting>
  <conditionalFormatting sqref="H111:H113">
    <cfRule type="expression" dxfId="74" priority="89">
      <formula>$J111="잔금"</formula>
    </cfRule>
  </conditionalFormatting>
  <conditionalFormatting sqref="C111:C113">
    <cfRule type="expression" dxfId="73" priority="88">
      <formula>$J111="잔금"</formula>
    </cfRule>
  </conditionalFormatting>
  <conditionalFormatting sqref="E117">
    <cfRule type="expression" dxfId="72" priority="87">
      <formula>$J117="잔금"</formula>
    </cfRule>
  </conditionalFormatting>
  <conditionalFormatting sqref="F117">
    <cfRule type="expression" dxfId="71" priority="86">
      <formula>$J117="잔금"</formula>
    </cfRule>
  </conditionalFormatting>
  <conditionalFormatting sqref="F143:F150">
    <cfRule type="expression" dxfId="70" priority="85">
      <formula>$J143="잔금"</formula>
    </cfRule>
  </conditionalFormatting>
  <conditionalFormatting sqref="E143:E150">
    <cfRule type="expression" dxfId="69" priority="84">
      <formula>$J143="잔금"</formula>
    </cfRule>
  </conditionalFormatting>
  <conditionalFormatting sqref="H143:H150">
    <cfRule type="expression" dxfId="68" priority="83">
      <formula>$J143="잔금"</formula>
    </cfRule>
  </conditionalFormatting>
  <conditionalFormatting sqref="E152:E158">
    <cfRule type="expression" dxfId="67" priority="81">
      <formula>$J152="잔금"</formula>
    </cfRule>
  </conditionalFormatting>
  <conditionalFormatting sqref="F152:F158">
    <cfRule type="expression" dxfId="66" priority="80">
      <formula>$J152="잔금"</formula>
    </cfRule>
  </conditionalFormatting>
  <conditionalFormatting sqref="C152:C158">
    <cfRule type="expression" dxfId="65" priority="79">
      <formula>$J152="잔금"</formula>
    </cfRule>
  </conditionalFormatting>
  <conditionalFormatting sqref="H152:H158">
    <cfRule type="expression" dxfId="64" priority="78">
      <formula>$J152="잔금"</formula>
    </cfRule>
  </conditionalFormatting>
  <conditionalFormatting sqref="C159">
    <cfRule type="expression" dxfId="63" priority="77">
      <formula>$I159="잔금"</formula>
    </cfRule>
  </conditionalFormatting>
  <conditionalFormatting sqref="F160:F163">
    <cfRule type="expression" dxfId="62" priority="76">
      <formula>$J160="잔금"</formula>
    </cfRule>
  </conditionalFormatting>
  <conditionalFormatting sqref="E160:E163">
    <cfRule type="expression" dxfId="61" priority="75">
      <formula>$J160="잔금"</formula>
    </cfRule>
  </conditionalFormatting>
  <conditionalFormatting sqref="C160:C166">
    <cfRule type="expression" dxfId="60" priority="74">
      <formula>$J160="잔금"</formula>
    </cfRule>
  </conditionalFormatting>
  <conditionalFormatting sqref="H160:H163">
    <cfRule type="expression" dxfId="59" priority="73">
      <formula>$J160="잔금"</formula>
    </cfRule>
  </conditionalFormatting>
  <conditionalFormatting sqref="F167:F179">
    <cfRule type="expression" dxfId="58" priority="72">
      <formula>$J167="잔금"</formula>
    </cfRule>
  </conditionalFormatting>
  <conditionalFormatting sqref="F180:F186">
    <cfRule type="expression" dxfId="57" priority="71">
      <formula>$J180="잔금"</formula>
    </cfRule>
  </conditionalFormatting>
  <conditionalFormatting sqref="E167:E179">
    <cfRule type="expression" dxfId="56" priority="70">
      <formula>$J167="잔금"</formula>
    </cfRule>
  </conditionalFormatting>
  <conditionalFormatting sqref="E180:E186">
    <cfRule type="expression" dxfId="55" priority="69">
      <formula>$J180="잔금"</formula>
    </cfRule>
  </conditionalFormatting>
  <conditionalFormatting sqref="C180:C186">
    <cfRule type="expression" dxfId="54" priority="67">
      <formula>$J180="잔금"</formula>
    </cfRule>
  </conditionalFormatting>
  <conditionalFormatting sqref="H167:H179">
    <cfRule type="expression" dxfId="53" priority="66">
      <formula>$J167="잔금"</formula>
    </cfRule>
  </conditionalFormatting>
  <conditionalFormatting sqref="H180:H186">
    <cfRule type="expression" dxfId="52" priority="65">
      <formula>$J180="잔금"</formula>
    </cfRule>
  </conditionalFormatting>
  <conditionalFormatting sqref="F195:F201">
    <cfRule type="expression" dxfId="51" priority="60">
      <formula>$J195="잔금"</formula>
    </cfRule>
  </conditionalFormatting>
  <conditionalFormatting sqref="E195:E201">
    <cfRule type="expression" dxfId="50" priority="59">
      <formula>$J195="잔금"</formula>
    </cfRule>
  </conditionalFormatting>
  <conditionalFormatting sqref="C195:C202">
    <cfRule type="expression" dxfId="49" priority="58">
      <formula>$J195="잔금"</formula>
    </cfRule>
  </conditionalFormatting>
  <conditionalFormatting sqref="H195:H201">
    <cfRule type="expression" dxfId="48" priority="57">
      <formula>$J195="잔금"</formula>
    </cfRule>
  </conditionalFormatting>
  <conditionalFormatting sqref="C203:C216">
    <cfRule type="expression" dxfId="47" priority="56">
      <formula>$J203="잔금"</formula>
    </cfRule>
  </conditionalFormatting>
  <conditionalFormatting sqref="F203:F216">
    <cfRule type="expression" dxfId="46" priority="55">
      <formula>$J203="잔금"</formula>
    </cfRule>
  </conditionalFormatting>
  <conditionalFormatting sqref="H203:H216">
    <cfRule type="expression" dxfId="45" priority="54">
      <formula>$J203="잔금"</formula>
    </cfRule>
  </conditionalFormatting>
  <conditionalFormatting sqref="E203:E217">
    <cfRule type="expression" dxfId="44" priority="53">
      <formula>$J203="잔금"</formula>
    </cfRule>
  </conditionalFormatting>
  <conditionalFormatting sqref="C217">
    <cfRule type="expression" dxfId="43" priority="52">
      <formula>$I217="잔금"</formula>
    </cfRule>
  </conditionalFormatting>
  <conditionalFormatting sqref="H217">
    <cfRule type="expression" dxfId="42" priority="47">
      <formula>$I217="잔금"</formula>
    </cfRule>
  </conditionalFormatting>
  <conditionalFormatting sqref="C218">
    <cfRule type="expression" dxfId="41" priority="46">
      <formula>$I218="잔금"</formula>
    </cfRule>
  </conditionalFormatting>
  <conditionalFormatting sqref="C219">
    <cfRule type="expression" dxfId="40" priority="45">
      <formula>$I219="잔금"</formula>
    </cfRule>
  </conditionalFormatting>
  <conditionalFormatting sqref="C220">
    <cfRule type="expression" dxfId="39" priority="44">
      <formula>$I220="잔금"</formula>
    </cfRule>
  </conditionalFormatting>
  <conditionalFormatting sqref="F221:F230">
    <cfRule type="expression" dxfId="38" priority="43">
      <formula>$J221="잔금"</formula>
    </cfRule>
  </conditionalFormatting>
  <conditionalFormatting sqref="F231:F244">
    <cfRule type="expression" dxfId="37" priority="42">
      <formula>$J231="잔금"</formula>
    </cfRule>
  </conditionalFormatting>
  <conditionalFormatting sqref="E221:E230">
    <cfRule type="expression" dxfId="36" priority="41">
      <formula>$J221="잔금"</formula>
    </cfRule>
  </conditionalFormatting>
  <conditionalFormatting sqref="E231:E244">
    <cfRule type="expression" dxfId="35" priority="40">
      <formula>$J231="잔금"</formula>
    </cfRule>
  </conditionalFormatting>
  <conditionalFormatting sqref="H221:H230">
    <cfRule type="expression" dxfId="34" priority="39">
      <formula>$J221="잔금"</formula>
    </cfRule>
  </conditionalFormatting>
  <conditionalFormatting sqref="H231:H244">
    <cfRule type="expression" dxfId="33" priority="38">
      <formula>$J231="잔금"</formula>
    </cfRule>
  </conditionalFormatting>
  <conditionalFormatting sqref="C246">
    <cfRule type="expression" dxfId="32" priority="37">
      <formula>$I246="잔금"</formula>
    </cfRule>
  </conditionalFormatting>
  <conditionalFormatting sqref="C247">
    <cfRule type="expression" dxfId="31" priority="36">
      <formula>$I247="잔금"</formula>
    </cfRule>
  </conditionalFormatting>
  <conditionalFormatting sqref="C248">
    <cfRule type="expression" dxfId="30" priority="35">
      <formula>$I248="잔금"</formula>
    </cfRule>
  </conditionalFormatting>
  <conditionalFormatting sqref="F249:F253">
    <cfRule type="expression" dxfId="29" priority="34">
      <formula>$J249="잔금"</formula>
    </cfRule>
  </conditionalFormatting>
  <conditionalFormatting sqref="E249:E253">
    <cfRule type="expression" dxfId="28" priority="33">
      <formula>$J249="잔금"</formula>
    </cfRule>
  </conditionalFormatting>
  <conditionalFormatting sqref="C249:C253">
    <cfRule type="expression" dxfId="27" priority="32">
      <formula>$J249="잔금"</formula>
    </cfRule>
  </conditionalFormatting>
  <conditionalFormatting sqref="H249:H253">
    <cfRule type="expression" dxfId="26" priority="31">
      <formula>$J249="잔금"</formula>
    </cfRule>
  </conditionalFormatting>
  <conditionalFormatting sqref="C254:C257">
    <cfRule type="expression" dxfId="25" priority="30">
      <formula>$I254="잔금"</formula>
    </cfRule>
  </conditionalFormatting>
  <conditionalFormatting sqref="F258:F267">
    <cfRule type="expression" dxfId="24" priority="29">
      <formula>$J258="잔금"</formula>
    </cfRule>
  </conditionalFormatting>
  <conditionalFormatting sqref="F268:F276">
    <cfRule type="expression" dxfId="23" priority="28">
      <formula>$J268="잔금"</formula>
    </cfRule>
  </conditionalFormatting>
  <conditionalFormatting sqref="C115">
    <cfRule type="expression" dxfId="22" priority="22">
      <formula>$J115="잔금"</formula>
    </cfRule>
  </conditionalFormatting>
  <conditionalFormatting sqref="C114">
    <cfRule type="expression" dxfId="21" priority="23">
      <formula>$J114="잔금"</formula>
    </cfRule>
  </conditionalFormatting>
  <conditionalFormatting sqref="C167">
    <cfRule type="expression" dxfId="20" priority="21">
      <formula>$J167="잔금"</formula>
    </cfRule>
  </conditionalFormatting>
  <conditionalFormatting sqref="C168">
    <cfRule type="expression" dxfId="19" priority="20">
      <formula>$J168="잔금"</formula>
    </cfRule>
  </conditionalFormatting>
  <conditionalFormatting sqref="C169">
    <cfRule type="expression" dxfId="18" priority="19">
      <formula>$J169="잔금"</formula>
    </cfRule>
  </conditionalFormatting>
  <conditionalFormatting sqref="C170">
    <cfRule type="expression" dxfId="17" priority="18">
      <formula>$J170="잔금"</formula>
    </cfRule>
  </conditionalFormatting>
  <conditionalFormatting sqref="C171">
    <cfRule type="expression" dxfId="16" priority="17">
      <formula>$J171="잔금"</formula>
    </cfRule>
  </conditionalFormatting>
  <conditionalFormatting sqref="C172">
    <cfRule type="expression" dxfId="15" priority="16">
      <formula>$J172="잔금"</formula>
    </cfRule>
  </conditionalFormatting>
  <conditionalFormatting sqref="C173">
    <cfRule type="expression" dxfId="14" priority="15">
      <formula>$J173="잔금"</formula>
    </cfRule>
  </conditionalFormatting>
  <conditionalFormatting sqref="C174">
    <cfRule type="expression" dxfId="13" priority="14">
      <formula>$J174="잔금"</formula>
    </cfRule>
  </conditionalFormatting>
  <conditionalFormatting sqref="C175">
    <cfRule type="expression" dxfId="12" priority="12">
      <formula>$J175="잔금"</formula>
    </cfRule>
  </conditionalFormatting>
  <conditionalFormatting sqref="C176">
    <cfRule type="expression" dxfId="11" priority="11">
      <formula>$J176="잔금"</formula>
    </cfRule>
  </conditionalFormatting>
  <conditionalFormatting sqref="C177">
    <cfRule type="expression" dxfId="10" priority="10">
      <formula>$J177="잔금"</formula>
    </cfRule>
  </conditionalFormatting>
  <conditionalFormatting sqref="C178">
    <cfRule type="expression" dxfId="9" priority="9">
      <formula>$J178="잔금"</formula>
    </cfRule>
  </conditionalFormatting>
  <conditionalFormatting sqref="C179">
    <cfRule type="expression" dxfId="8" priority="8">
      <formula>$J179="잔금"</formula>
    </cfRule>
  </conditionalFormatting>
  <conditionalFormatting sqref="H309:H310">
    <cfRule type="expression" dxfId="7" priority="2">
      <formula>$J309="잔금"</formula>
    </cfRule>
  </conditionalFormatting>
  <conditionalFormatting sqref="F290:F303">
    <cfRule type="expression" dxfId="6" priority="7">
      <formula>$J290="잔금"</formula>
    </cfRule>
  </conditionalFormatting>
  <conditionalFormatting sqref="F304:F308">
    <cfRule type="expression" dxfId="5" priority="6">
      <formula>$J304="잔금"</formula>
    </cfRule>
  </conditionalFormatting>
  <conditionalFormatting sqref="F309:F310">
    <cfRule type="expression" dxfId="4" priority="5">
      <formula>$J309="잔금"</formula>
    </cfRule>
  </conditionalFormatting>
  <conditionalFormatting sqref="H290:H303">
    <cfRule type="expression" dxfId="3" priority="4">
      <formula>$J290="잔금"</formula>
    </cfRule>
  </conditionalFormatting>
  <conditionalFormatting sqref="H304:H308">
    <cfRule type="expression" dxfId="2" priority="3">
      <formula>$J304="잔금"</formula>
    </cfRule>
  </conditionalFormatting>
  <conditionalFormatting sqref="H312:H353">
    <cfRule type="expression" dxfId="1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02">
      <formula1>"Y,N"</formula1>
    </dataValidation>
    <dataValidation type="list" allowBlank="1" sqref="D2:D40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2026-04-13T00:54:25Z</dcterms:modified>
</cp:coreProperties>
</file>