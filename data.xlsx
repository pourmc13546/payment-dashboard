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<sst xmlns="http://schemas.openxmlformats.org/spreadsheetml/2006/main" count="1297" uniqueCount="388">
  <si>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</si>
  <si>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</si>
  <si>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</si>
  <si>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</si>
  <si>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</si>
  <si>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</si>
  <si>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</si>
  <si>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</si>
  <si>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</si>
  <si>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</si>
  <si>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</si>
  <si>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</si>
  <si>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</si>
  <si>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</si>
  <si>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</si>
  <si>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</si>
  <si>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</si>
  <si>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</si>
  <si>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</si>
  <si>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</si>
  <si>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</si>
  <si>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</si>
  <si>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</si>
  <si>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</si>
  <si>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</si>
  <si>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</si>
  <si>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</si>
  <si>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</si>
  <si>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</si>
  <si>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</si>
  <si>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</si>
  <si>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</si>
  <si>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</si>
  <si>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</si>
  <si>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</si>
  <si>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</si>
  <si>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</si>
  <si>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</si>
  <si>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</si>
  <si>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</si>
  <si>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</si>
  <si>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</si>
  <si>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</si>
  <si>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</si>
  <si>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</si>
  <si>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</si>
  <si>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</si>
  <si>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</si>
  <si>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</si>
  <si>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</si>
  <si>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</si>
  <si>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</si>
  <si>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</si>
  <si>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</si>
  <si>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</si>
  <si>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</si>
  <si>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</si>
  <si>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</si>
  <si>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</si>
  <si>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</si>
  <si>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</si>
  <si>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</si>
  <si>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</si>
  <si>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</si>
  <si>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</si>
  <si>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</si>
  <si>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</si>
  <si>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</si>
  <si>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</si>
  <si>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</si>
  <si>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</si>
  <si>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</si>
  <si>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</si>
  <si>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</si>
  <si>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</si>
  <si>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</si>
  <si>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</si>
  <si>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</si>
  <si>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</si>
  <si>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</si>
  <si>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</si>
  <si>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</si>
  <si>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</si>
  <si>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</si>
  <si>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</si>
  <si>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</si>
  <si>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</si>
  <si>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</si>
  <si>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</si>
  <si>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</si>
  <si>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</si>
  <si>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</si>
  <si>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</si>
  <si>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</si>
  <si>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</si>
  <si>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</si>
  <si>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</si>
  <si>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</si>
  <si>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</si>
  <si>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</si>
  <si>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</si>
  <si>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</si>
  <si>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</si>
  <si>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</si>
  <si>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</si>
  <si>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</si>
  <si>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</si>
  <si>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</si>
  <si>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</si>
  <si>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</si>
  <si>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</si>
  <si>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</si>
  <si>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</si>
  <si>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</si>
  <si>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</si>
  <si>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</si>
  <si>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</si>
  <si>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</si>
  <si>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</si>
  <si>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</si>
  <si>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</si>
  <si>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</si>
  <si>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</si>
  <si>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</si>
  <si>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</si>
  <si>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</si>
  <si>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</si>
  <si>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</si>
  <si>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</si>
  <si>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</si>
  <si>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</si>
  <si>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</si>
  <si>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</si>
  <si>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</si>
  <si>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</si>
  <si>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</si>
  <si>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</si>
  <si>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</si>
  <si>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</si>
  <si>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</si>
  <si>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</si>
  <si>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</si>
  <si>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</si>
  <si>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</si>
  <si>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</si>
  <si>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</si>
  <si>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</si>
  <si>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</si>
  <si>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</si>
  <si>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</si>
  <si>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</si>
  <si>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</si>
  <si>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</si>
  <si>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</si>
  <si>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</si>
  <si>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</si>
  <si>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</si>
  <si>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</si>
  <si>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</si>
  <si>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</si>
  <si>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</si>
  <si>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</si>
  <si>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</si>
  <si>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</si>
  <si>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</si>
  <si>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</si>
  <si>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</si>
  <si>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</si>
  <si>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</si>
  <si>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</si>
  <si>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</si>
  <si>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</si>
  <si>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</si>
  <si>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</si>
  <si>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</si>
  <si>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</si>
  <si>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</si>
  <si>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</si>
  <si>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</si>
  <si>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</si>
  <si>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</si>
  <si>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</si>
  <si>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</si>
  <si>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</si>
  <si>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</si>
  <si>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</si>
  <si>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</si>
  <si>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</si>
  <si>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</si>
  <si>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</si>
  <si>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</si>
  <si>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</si>
  <si>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</si>
  <si>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</si>
  <si>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</si>
  <si>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</si>
  <si>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</si>
  <si>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</si>
  <si>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</si>
  <si>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</si>
  <si>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</si>
  <si>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</si>
  <si>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</si>
  <si>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</si>
  <si>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</si>
  <si>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</si>
  <si>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</si>
  <si>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</si>
  <si>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</si>
  <si>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</si>
  <si>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</si>
  <si>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</si>
  <si>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</si>
  <si>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</si>
  <si>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</si>
  <si>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</si>
  <si>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</si>
  <si>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</si>
  <si>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</si>
  <si>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</si>
  <si>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</si>
  <si>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</si>
  <si>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</si>
  <si>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</si>
  <si>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</si>
  <si>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</si>
  <si>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</si>
  <si>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</si>
  <si>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</si>
  <si>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</si>
  <si>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</si>
  <si>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</si>
  <si>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</si>
  <si>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</si>
  <si>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</si>
  <si>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</si>
  <si>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</si>
  <si>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</si>
  <si>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</si>
  <si>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</si>
  <si>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</si>
  <si>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</si>
  <si>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</si>
  <si>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</si>
  <si>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</si>
  <si>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</si>
  <si>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</si>
  <si>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</si>
  <si>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</si>
  <si>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</si>
  <si>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</si>
  <si>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</si>
  <si>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</si>
  <si>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</si>
  <si>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</si>
  <si>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</si>
  <si>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</si>
  <si>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</si>
  <si>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</si>
  <si>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</si>
  <si>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</si>
  <si>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</si>
  <si>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</si>
  <si>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</si>
  <si>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</si>
  <si>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</si>
  <si>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</si>
  <si>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</si>
  <si>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</si>
  <si>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</si>
  <si>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</si>
  <si>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</si>
  <si>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</si>
  <si>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</si>
  <si>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</si>
  <si>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</si>
  <si>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</si>
  <si>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</si>
  <si>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</si>
  <si>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</si>
  <si>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</si>
  <si>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</si>
  <si>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</si>
  <si>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</si>
  <si>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</si>
  <si>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</si>
  <si>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</si>
  <si>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</si>
  <si>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</si>
  <si>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</si>
  <si>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</si>
  <si>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</si>
  <si>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</si>
  <si>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</si>
  <si>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</si>
  <si>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</si>
  <si>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</si>
  <si>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</si>
  <si>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</si>
  <si>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</si>
  <si>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</si>
  <si>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</si>
  <si>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</si>
  <si>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</si>
  <si>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</si>
  <si>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</si>
  <si>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</si>
  <si>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</si>
  <si>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</si>
  <si>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</si>
  <si>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</si>
  <si>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</si>
  <si>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</si>
  <si>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</si>
  <si>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</si>
  <si>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</si>
  <si>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</si>
  <si>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</si>
  <si>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</si>
  <si>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</si>
  <si>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</si>
  <si>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</si>
  <si>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</si>
  <si>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</si>
  <si>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</si>
  <si>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</si>
  <si>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</si>
  <si>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</si>
  <si>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</si>
  <si>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</si>
  <si>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</si>
  <si>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</si>
  <si>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2026-03-13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</si>
  <si>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</si>
  <si>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</si>
  <si>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</si>
  <si>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</si>
  <si>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2026-03-17</t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</si>
  <si>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</si>
  <si>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</si>
  <si>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</si>
  <si>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</si>
  <si>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</si>
  <si>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</si>
  <si>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</si>
  <si>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</si>
  <si>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</si>
  <si>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</si>
  <si>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</si>
  <si>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</si>
  <si>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</si>
  <si>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</si>
  <si>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</si>
  <si>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</si>
  <si>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</si>
  <si>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</si>
  <si>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</si>
  <si>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</si>
  <si>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</si>
  <si>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</si>
  <si>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</si>
  <si>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</si>
  <si>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</si>
  <si>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</si>
  <si>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</si>
  <si>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</si>
  <si>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</si>
  <si>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</si>
  <si>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</si>
  <si>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</si>
  <si>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</si>
  <si>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</si>
  <si>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</si>
  <si>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</si>
  <si>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</si>
  <si>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</si>
  <si>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</si>
  <si>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</si>
  <si>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</si>
  <si>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</si>
  <si>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</si>
  <si>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</si>
  <si>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</si>
  <si>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</si>
  <si>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</si>
  <si>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2026-03-18</t>
  </si>
  <si>
    <t>2026-03-19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</si>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</sst>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 applyAlignme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69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156" activePane="bottomRight" state="frozen"/>
      <selection pane="topRight"/>
      <selection pane="bottomLeft"/>
      <selection pane="bottomRight" activeCell="E171" sqref="E171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304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134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284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186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136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91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86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269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129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444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864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668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508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646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645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737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379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374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364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358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354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354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353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351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330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316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295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283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253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231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302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226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204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199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185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156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154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143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133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130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396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261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261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212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92</v>
      </c>
      <c r="J66" s="13" t="str">
        <f t="shared" ca="1" si="5"/>
        <v>장기미수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74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74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71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63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59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57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57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53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50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50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46</v>
      </c>
      <c r="J92" s="13" t="str">
        <f t="shared" ca="1" si="5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39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38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38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74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37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37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36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36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35</v>
      </c>
      <c r="J109" s="13" t="str">
        <f t="shared" ca="1" si="5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34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28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25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25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24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23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21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21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21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21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17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17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17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17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17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17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11171400</v>
      </c>
      <c r="I138" s="6">
        <f t="shared" ca="1" si="10"/>
        <v>13</v>
      </c>
      <c r="J138" s="13" t="str">
        <f t="shared" ca="1" si="11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2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2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30186600</v>
      </c>
      <c r="I141" s="6">
        <f t="shared" ca="1" si="13"/>
        <v>15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15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15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15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15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15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15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15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15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14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14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10</v>
      </c>
      <c r="J154" s="13" t="str">
        <f t="shared" ca="1" si="11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14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14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14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4</v>
      </c>
      <c r="J158" s="13" t="str">
        <f t="shared" ca="1" si="11"/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11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11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11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3</v>
      </c>
      <c r="J163" s="13" t="str">
        <f t="shared" ca="1" si="11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3</v>
      </c>
      <c r="J164" s="13" t="str">
        <f t="shared" ca="1" si="11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9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10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10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3</v>
      </c>
      <c r="J169" s="13" t="str">
        <f t="shared" ca="1" si="11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10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6</v>
      </c>
      <c r="J171" s="13" t="str">
        <f t="shared" ca="1" si="11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10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10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10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10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10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9</v>
      </c>
      <c r="J179" s="13" t="str">
        <f t="shared" ref="J179:J242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/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9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9</v>
      </c>
      <c r="J181" s="13" t="str">
        <f t="shared" ca="1" si="14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9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9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9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9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5">
        <v>46093</v>
      </c>
      <c r="D186" s="10" t="str">
        <f t="shared" si="12"/>
        <v>B</v>
      </c>
      <c r="E186" s="23" t="s">
        <v>307</v>
      </c>
      <c r="F186" s="23" t="s">
        <v>311</v>
      </c>
      <c r="G186" s="6" t="s">
        <v>319</v>
      </c>
      <c r="H186" s="25">
        <v>312000</v>
      </c>
      <c r="I186" s="6">
        <f t="shared" ca="1" si="13"/>
        <v>0</v>
      </c>
      <c r="J186" s="13" t="str">
        <f t="shared" ca="1" si="14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5" t="s">
        <v>318</v>
      </c>
      <c r="D187" s="10" t="str">
        <f t="shared" si="12"/>
        <v>B</v>
      </c>
      <c r="E187" s="23" t="s">
        <v>30</v>
      </c>
      <c r="F187" s="23" t="s">
        <v>312</v>
      </c>
      <c r="G187" s="6" t="s">
        <v>319</v>
      </c>
      <c r="H187" s="25">
        <v>1000500</v>
      </c>
      <c r="I187" s="6">
        <f t="shared" ca="1" si="13"/>
        <v>8</v>
      </c>
      <c r="J187" s="13" t="str">
        <f t="shared" ca="1" si="14"/>
        <v>정상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5" t="s">
        <v>318</v>
      </c>
      <c r="D188" s="10" t="str">
        <f t="shared" si="12"/>
        <v>B</v>
      </c>
      <c r="E188" s="23" t="s">
        <v>203</v>
      </c>
      <c r="F188" s="23" t="s">
        <v>316</v>
      </c>
      <c r="G188" s="6" t="s">
        <v>319</v>
      </c>
      <c r="H188" s="25">
        <v>5775000</v>
      </c>
      <c r="I188" s="6">
        <f t="shared" ca="1" si="13"/>
        <v>8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5" t="s">
        <v>318</v>
      </c>
      <c r="D189" s="10" t="str">
        <f t="shared" si="12"/>
        <v>B</v>
      </c>
      <c r="E189" s="23" t="s">
        <v>207</v>
      </c>
      <c r="F189" s="23" t="s">
        <v>313</v>
      </c>
      <c r="G189" s="6" t="s">
        <v>319</v>
      </c>
      <c r="H189" s="25">
        <v>1190000</v>
      </c>
      <c r="I189" s="6">
        <f t="shared" ca="1" si="13"/>
        <v>8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5" t="s">
        <v>318</v>
      </c>
      <c r="D190" s="10" t="str">
        <f t="shared" si="12"/>
        <v>B</v>
      </c>
      <c r="E190" s="23" t="s">
        <v>101</v>
      </c>
      <c r="F190" s="23" t="s">
        <v>317</v>
      </c>
      <c r="G190" s="6" t="s">
        <v>319</v>
      </c>
      <c r="H190" s="25">
        <v>11147800</v>
      </c>
      <c r="I190" s="6">
        <f t="shared" ca="1" si="13"/>
        <v>8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5" t="s">
        <v>318</v>
      </c>
      <c r="D191" s="10" t="str">
        <f t="shared" si="12"/>
        <v>B</v>
      </c>
      <c r="E191" s="23" t="s">
        <v>227</v>
      </c>
      <c r="F191" s="23" t="s">
        <v>314</v>
      </c>
      <c r="G191" s="6" t="s">
        <v>319</v>
      </c>
      <c r="H191" s="25">
        <v>2613000</v>
      </c>
      <c r="I191" s="6">
        <f t="shared" ca="1" si="13"/>
        <v>8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5" t="s">
        <v>318</v>
      </c>
      <c r="D192" s="10" t="str">
        <f t="shared" si="12"/>
        <v>B</v>
      </c>
      <c r="E192" s="23" t="s">
        <v>112</v>
      </c>
      <c r="F192" s="23" t="s">
        <v>315</v>
      </c>
      <c r="G192" s="6" t="s">
        <v>319</v>
      </c>
      <c r="H192" s="25">
        <v>7339000</v>
      </c>
      <c r="I192" s="6">
        <f t="shared" ca="1" si="13"/>
        <v>8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11">
        <v>46094</v>
      </c>
      <c r="D193" s="10" t="str">
        <f t="shared" si="12"/>
        <v>C</v>
      </c>
      <c r="E193" s="6" t="s">
        <v>320</v>
      </c>
      <c r="F193" s="6" t="s">
        <v>321</v>
      </c>
      <c r="G193" s="6" t="s">
        <v>322</v>
      </c>
      <c r="H193" s="4">
        <v>1291250</v>
      </c>
      <c r="I193" s="6">
        <f t="shared" ca="1" si="13"/>
        <v>7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35" t="s">
        <v>332</v>
      </c>
      <c r="D194" s="10" t="str">
        <f t="shared" si="12"/>
        <v>B</v>
      </c>
      <c r="E194" s="23" t="s">
        <v>330</v>
      </c>
      <c r="F194" s="23" t="s">
        <v>323</v>
      </c>
      <c r="G194" s="6" t="s">
        <v>333</v>
      </c>
      <c r="H194" s="25">
        <v>500500</v>
      </c>
      <c r="I194" s="6">
        <f t="shared" ca="1" si="13"/>
        <v>7</v>
      </c>
      <c r="J194" s="13" t="str">
        <f t="shared" ca="1" si="14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5" t="s">
        <v>332</v>
      </c>
      <c r="D195" s="10" t="str">
        <f t="shared" si="12"/>
        <v>B</v>
      </c>
      <c r="E195" s="23" t="s">
        <v>24</v>
      </c>
      <c r="F195" s="23" t="s">
        <v>324</v>
      </c>
      <c r="G195" s="6" t="s">
        <v>333</v>
      </c>
      <c r="H195" s="25">
        <v>3448000</v>
      </c>
      <c r="I195" s="6">
        <f t="shared" ca="1" si="13"/>
        <v>7</v>
      </c>
      <c r="J195" s="13" t="str">
        <f t="shared" ca="1" si="14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5" t="s">
        <v>332</v>
      </c>
      <c r="D196" s="10" t="str">
        <f t="shared" si="12"/>
        <v>B</v>
      </c>
      <c r="E196" s="23" t="s">
        <v>24</v>
      </c>
      <c r="F196" s="23" t="s">
        <v>325</v>
      </c>
      <c r="G196" s="6" t="s">
        <v>333</v>
      </c>
      <c r="H196" s="25">
        <v>28750000</v>
      </c>
      <c r="I196" s="6">
        <f t="shared" ca="1" si="13"/>
        <v>7</v>
      </c>
      <c r="J196" s="13" t="str">
        <f t="shared" ca="1" si="14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5" t="s">
        <v>332</v>
      </c>
      <c r="D197" s="10" t="str">
        <f t="shared" si="12"/>
        <v>B</v>
      </c>
      <c r="E197" s="23" t="s">
        <v>229</v>
      </c>
      <c r="F197" s="23" t="s">
        <v>326</v>
      </c>
      <c r="G197" s="6" t="s">
        <v>333</v>
      </c>
      <c r="H197" s="25">
        <v>3430000</v>
      </c>
      <c r="I197" s="6">
        <f t="shared" ca="1" si="13"/>
        <v>3</v>
      </c>
      <c r="J197" s="13" t="str">
        <f t="shared" ca="1" si="14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5" t="s">
        <v>332</v>
      </c>
      <c r="D198" s="10" t="str">
        <f t="shared" si="12"/>
        <v>B</v>
      </c>
      <c r="E198" s="23" t="s">
        <v>227</v>
      </c>
      <c r="F198" s="23" t="s">
        <v>327</v>
      </c>
      <c r="G198" s="6" t="s">
        <v>333</v>
      </c>
      <c r="H198" s="25">
        <v>14700000</v>
      </c>
      <c r="I198" s="6">
        <f t="shared" ca="1" si="13"/>
        <v>7</v>
      </c>
      <c r="J198" s="13" t="str">
        <f t="shared" ca="1" si="14"/>
        <v>정상</v>
      </c>
      <c r="K198" s="11"/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5" t="s">
        <v>332</v>
      </c>
      <c r="D199" s="10" t="str">
        <f t="shared" si="12"/>
        <v>B</v>
      </c>
      <c r="E199" s="23" t="s">
        <v>331</v>
      </c>
      <c r="F199" s="23" t="s">
        <v>328</v>
      </c>
      <c r="G199" s="6" t="s">
        <v>333</v>
      </c>
      <c r="H199" s="25">
        <v>780000</v>
      </c>
      <c r="I199" s="6">
        <f t="shared" ca="1" si="13"/>
        <v>7</v>
      </c>
      <c r="J199" s="13" t="str">
        <f t="shared" ca="1" si="14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5" t="s">
        <v>332</v>
      </c>
      <c r="D200" s="10" t="str">
        <f t="shared" si="12"/>
        <v>B</v>
      </c>
      <c r="E200" s="23" t="s">
        <v>39</v>
      </c>
      <c r="F200" s="23" t="s">
        <v>329</v>
      </c>
      <c r="G200" s="6" t="s">
        <v>333</v>
      </c>
      <c r="H200" s="25">
        <v>220100</v>
      </c>
      <c r="I200" s="6">
        <f t="shared" ca="1" si="13"/>
        <v>7</v>
      </c>
      <c r="J200" s="13" t="str">
        <f t="shared" ca="1" si="14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5">
        <v>46097</v>
      </c>
      <c r="D201" s="10" t="str">
        <f t="shared" si="12"/>
        <v>A</v>
      </c>
      <c r="E201" s="6" t="s">
        <v>334</v>
      </c>
      <c r="F201" s="6" t="s">
        <v>335</v>
      </c>
      <c r="G201" s="6" t="s">
        <v>336</v>
      </c>
      <c r="H201" s="4">
        <v>22342800</v>
      </c>
      <c r="I201" s="6">
        <f t="shared" ca="1" si="13"/>
        <v>4</v>
      </c>
      <c r="J201" s="13" t="str">
        <f t="shared" ca="1" si="14"/>
        <v>정상</v>
      </c>
      <c r="K201" s="11"/>
      <c r="L201" s="11"/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5" t="s">
        <v>337</v>
      </c>
      <c r="D202" s="10" t="str">
        <f t="shared" si="12"/>
        <v>B</v>
      </c>
      <c r="E202" s="23" t="s">
        <v>128</v>
      </c>
      <c r="F202" s="23" t="s">
        <v>338</v>
      </c>
      <c r="G202" s="6" t="s">
        <v>351</v>
      </c>
      <c r="H202" s="25">
        <v>19467400</v>
      </c>
      <c r="I202" s="6">
        <f t="shared" ca="1" si="13"/>
        <v>3</v>
      </c>
      <c r="J202" s="13" t="str">
        <f t="shared" ca="1" si="14"/>
        <v>정상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5" t="s">
        <v>337</v>
      </c>
      <c r="D203" s="10" t="str">
        <f t="shared" ref="D203:D266" si="15">IF(G203="","",IF(OR(G203="선급금",G203="중도금",G203="잔금"),"A",IF(G203="자재","B",IF(G203="특허료","C",""))))</f>
        <v>B</v>
      </c>
      <c r="E203" s="23" t="s">
        <v>128</v>
      </c>
      <c r="F203" s="23" t="s">
        <v>338</v>
      </c>
      <c r="G203" s="6" t="s">
        <v>351</v>
      </c>
      <c r="H203" s="25">
        <v>4765000</v>
      </c>
      <c r="I203" s="6">
        <f t="shared" ref="I203:I266" ca="1" si="16">IF(C203="","",IF(L203="",TODAY()-C203,L203-C203))</f>
        <v>3</v>
      </c>
      <c r="J203" s="13" t="str">
        <f t="shared" ca="1" si="14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5" t="s">
        <v>337</v>
      </c>
      <c r="D204" s="10" t="str">
        <f t="shared" si="15"/>
        <v>B</v>
      </c>
      <c r="E204" s="23" t="s">
        <v>231</v>
      </c>
      <c r="F204" s="23" t="s">
        <v>339</v>
      </c>
      <c r="G204" s="6" t="s">
        <v>351</v>
      </c>
      <c r="H204" s="25">
        <v>954500</v>
      </c>
      <c r="I204" s="6">
        <f t="shared" ca="1" si="16"/>
        <v>3</v>
      </c>
      <c r="J204" s="13" t="str">
        <f t="shared" ca="1" si="14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5" t="s">
        <v>337</v>
      </c>
      <c r="D205" s="10" t="str">
        <f t="shared" si="15"/>
        <v>B</v>
      </c>
      <c r="E205" s="23" t="s">
        <v>101</v>
      </c>
      <c r="F205" s="23" t="s">
        <v>340</v>
      </c>
      <c r="G205" s="6" t="s">
        <v>351</v>
      </c>
      <c r="H205" s="25">
        <v>9631000</v>
      </c>
      <c r="I205" s="6">
        <f t="shared" ca="1" si="16"/>
        <v>3</v>
      </c>
      <c r="J205" s="13" t="str">
        <f t="shared" ca="1" si="14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5" t="s">
        <v>337</v>
      </c>
      <c r="D206" s="10" t="str">
        <f t="shared" si="15"/>
        <v>B</v>
      </c>
      <c r="E206" s="23" t="s">
        <v>30</v>
      </c>
      <c r="F206" s="23" t="s">
        <v>341</v>
      </c>
      <c r="G206" s="6" t="s">
        <v>351</v>
      </c>
      <c r="H206" s="25">
        <v>1745000</v>
      </c>
      <c r="I206" s="6">
        <f t="shared" ca="1" si="16"/>
        <v>3</v>
      </c>
      <c r="J206" s="13" t="str">
        <f t="shared" ca="1" si="14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5" t="s">
        <v>337</v>
      </c>
      <c r="D207" s="10" t="str">
        <f t="shared" si="15"/>
        <v>B</v>
      </c>
      <c r="E207" s="23" t="s">
        <v>128</v>
      </c>
      <c r="F207" s="23" t="s">
        <v>342</v>
      </c>
      <c r="G207" s="6" t="s">
        <v>351</v>
      </c>
      <c r="H207" s="25">
        <v>493400</v>
      </c>
      <c r="I207" s="6">
        <f t="shared" ca="1" si="16"/>
        <v>3</v>
      </c>
      <c r="J207" s="13" t="str">
        <f t="shared" ca="1" si="14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5" t="s">
        <v>337</v>
      </c>
      <c r="D208" s="10" t="str">
        <f t="shared" si="15"/>
        <v>B</v>
      </c>
      <c r="E208" s="23" t="s">
        <v>128</v>
      </c>
      <c r="F208" s="23" t="s">
        <v>343</v>
      </c>
      <c r="G208" s="6" t="s">
        <v>351</v>
      </c>
      <c r="H208" s="25">
        <v>3568200</v>
      </c>
      <c r="I208" s="6">
        <f t="shared" ca="1" si="16"/>
        <v>3</v>
      </c>
      <c r="J208" s="13" t="str">
        <f t="shared" ca="1" si="14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5" t="s">
        <v>337</v>
      </c>
      <c r="D209" s="10" t="str">
        <f t="shared" si="15"/>
        <v>B</v>
      </c>
      <c r="E209" s="23" t="s">
        <v>128</v>
      </c>
      <c r="F209" s="23" t="s">
        <v>343</v>
      </c>
      <c r="G209" s="6" t="s">
        <v>351</v>
      </c>
      <c r="H209" s="25">
        <v>4110300</v>
      </c>
      <c r="I209" s="6">
        <f t="shared" ca="1" si="16"/>
        <v>3</v>
      </c>
      <c r="J209" s="13" t="str">
        <f t="shared" ca="1" si="14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5" t="s">
        <v>337</v>
      </c>
      <c r="D210" s="10" t="str">
        <f t="shared" si="15"/>
        <v>B</v>
      </c>
      <c r="E210" s="23" t="s">
        <v>166</v>
      </c>
      <c r="F210" s="23" t="s">
        <v>344</v>
      </c>
      <c r="G210" s="6" t="s">
        <v>351</v>
      </c>
      <c r="H210" s="25">
        <v>1318600</v>
      </c>
      <c r="I210" s="6">
        <f t="shared" ca="1" si="16"/>
        <v>3</v>
      </c>
      <c r="J210" s="13" t="str">
        <f t="shared" ca="1" si="14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5" t="s">
        <v>337</v>
      </c>
      <c r="D211" s="10" t="str">
        <f t="shared" si="15"/>
        <v>B</v>
      </c>
      <c r="E211" s="23" t="s">
        <v>350</v>
      </c>
      <c r="F211" s="23" t="s">
        <v>345</v>
      </c>
      <c r="G211" s="6" t="s">
        <v>351</v>
      </c>
      <c r="H211" s="25">
        <v>3541500</v>
      </c>
      <c r="I211" s="6">
        <f t="shared" ca="1" si="16"/>
        <v>3</v>
      </c>
      <c r="J211" s="13" t="str">
        <f t="shared" ca="1" si="14"/>
        <v>정상</v>
      </c>
      <c r="K211" s="11"/>
      <c r="L211" s="11"/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5" t="s">
        <v>337</v>
      </c>
      <c r="D212" s="10" t="str">
        <f t="shared" si="15"/>
        <v>B</v>
      </c>
      <c r="E212" s="23" t="s">
        <v>215</v>
      </c>
      <c r="F212" s="23" t="s">
        <v>346</v>
      </c>
      <c r="G212" s="6" t="s">
        <v>351</v>
      </c>
      <c r="H212" s="25">
        <v>3512300</v>
      </c>
      <c r="I212" s="6">
        <f t="shared" ca="1" si="16"/>
        <v>3</v>
      </c>
      <c r="J212" s="13" t="str">
        <f t="shared" ca="1" si="14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5" t="s">
        <v>337</v>
      </c>
      <c r="D213" s="10" t="str">
        <f t="shared" si="15"/>
        <v>B</v>
      </c>
      <c r="E213" s="23" t="s">
        <v>259</v>
      </c>
      <c r="F213" s="23" t="s">
        <v>347</v>
      </c>
      <c r="G213" s="6" t="s">
        <v>351</v>
      </c>
      <c r="H213" s="25">
        <v>11000000</v>
      </c>
      <c r="I213" s="6">
        <f t="shared" ca="1" si="16"/>
        <v>3</v>
      </c>
      <c r="J213" s="13" t="str">
        <f t="shared" ca="1" si="14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5" t="s">
        <v>337</v>
      </c>
      <c r="D214" s="10" t="str">
        <f t="shared" si="15"/>
        <v>B</v>
      </c>
      <c r="E214" s="23" t="s">
        <v>110</v>
      </c>
      <c r="F214" s="23" t="s">
        <v>348</v>
      </c>
      <c r="G214" s="6" t="s">
        <v>351</v>
      </c>
      <c r="H214" s="25">
        <v>21000000</v>
      </c>
      <c r="I214" s="6">
        <f t="shared" ca="1" si="16"/>
        <v>3</v>
      </c>
      <c r="J214" s="13" t="str">
        <f t="shared" ca="1" si="14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5" t="s">
        <v>337</v>
      </c>
      <c r="D215" s="10" t="str">
        <f t="shared" si="15"/>
        <v>B</v>
      </c>
      <c r="E215" s="23" t="s">
        <v>118</v>
      </c>
      <c r="F215" s="23" t="s">
        <v>349</v>
      </c>
      <c r="G215" s="6" t="s">
        <v>351</v>
      </c>
      <c r="H215" s="25">
        <v>806000</v>
      </c>
      <c r="I215" s="6">
        <f t="shared" ca="1" si="16"/>
        <v>3</v>
      </c>
      <c r="J215" s="13" t="str">
        <f t="shared" ca="1" si="14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63">
        <v>46099</v>
      </c>
      <c r="D216" s="10" t="str">
        <f t="shared" si="15"/>
        <v>A</v>
      </c>
      <c r="E216" s="23" t="s">
        <v>353</v>
      </c>
      <c r="F216" s="65" t="s">
        <v>352</v>
      </c>
      <c r="G216" s="6" t="s">
        <v>354</v>
      </c>
      <c r="H216" s="64">
        <v>4354200</v>
      </c>
      <c r="I216" s="6">
        <f t="shared" ca="1" si="16"/>
        <v>2</v>
      </c>
      <c r="J216" s="13" t="str">
        <f t="shared" ca="1" si="14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63">
        <v>46099</v>
      </c>
      <c r="D217" s="10" t="str">
        <f t="shared" si="15"/>
        <v>A</v>
      </c>
      <c r="E217" s="6" t="s">
        <v>118</v>
      </c>
      <c r="F217" s="6" t="s">
        <v>355</v>
      </c>
      <c r="G217" s="6" t="s">
        <v>354</v>
      </c>
      <c r="H217" s="4">
        <v>28530900</v>
      </c>
      <c r="I217" s="6">
        <f t="shared" ca="1" si="16"/>
        <v>2</v>
      </c>
      <c r="J217" s="13" t="str">
        <f t="shared" ca="1" si="14"/>
        <v>정상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63">
        <v>46099</v>
      </c>
      <c r="D218" s="10" t="str">
        <f t="shared" si="15"/>
        <v>A</v>
      </c>
      <c r="E218" s="6" t="s">
        <v>358</v>
      </c>
      <c r="F218" s="6" t="s">
        <v>356</v>
      </c>
      <c r="G218" s="6" t="s">
        <v>354</v>
      </c>
      <c r="H218" s="4">
        <v>26089600</v>
      </c>
      <c r="I218" s="6">
        <f t="shared" ca="1" si="16"/>
        <v>0</v>
      </c>
      <c r="J218" s="13" t="str">
        <f t="shared" ca="1" si="14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63">
        <v>46099</v>
      </c>
      <c r="D219" s="10" t="str">
        <f t="shared" si="15"/>
        <v>A</v>
      </c>
      <c r="E219" s="6" t="s">
        <v>359</v>
      </c>
      <c r="F219" s="6" t="s">
        <v>357</v>
      </c>
      <c r="G219" s="6" t="s">
        <v>354</v>
      </c>
      <c r="H219" s="4">
        <v>27749100</v>
      </c>
      <c r="I219" s="6">
        <f t="shared" ca="1" si="16"/>
        <v>2</v>
      </c>
      <c r="J219" s="13" t="str">
        <f t="shared" ca="1" si="14"/>
        <v>정상</v>
      </c>
      <c r="K219" s="11"/>
      <c r="L219" s="11"/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11" t="s">
        <v>385</v>
      </c>
      <c r="D220" s="10" t="str">
        <f t="shared" si="15"/>
        <v>B</v>
      </c>
      <c r="E220" s="23" t="s">
        <v>56</v>
      </c>
      <c r="F220" s="23" t="s">
        <v>360</v>
      </c>
      <c r="G220" s="6" t="s">
        <v>387</v>
      </c>
      <c r="H220" s="25">
        <v>1842500</v>
      </c>
      <c r="I220" s="6">
        <f t="shared" ca="1" si="16"/>
        <v>1</v>
      </c>
      <c r="J220" s="13" t="str">
        <f t="shared" ca="1" si="14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 t="s">
        <v>385</v>
      </c>
      <c r="D221" s="10" t="str">
        <f t="shared" si="15"/>
        <v>B</v>
      </c>
      <c r="E221" s="23" t="s">
        <v>128</v>
      </c>
      <c r="F221" s="23" t="s">
        <v>361</v>
      </c>
      <c r="G221" s="6" t="s">
        <v>387</v>
      </c>
      <c r="H221" s="25">
        <v>6583500</v>
      </c>
      <c r="I221" s="6">
        <f t="shared" ca="1" si="16"/>
        <v>2</v>
      </c>
      <c r="J221" s="13" t="str">
        <f t="shared" ca="1" si="14"/>
        <v>정상</v>
      </c>
      <c r="K221" s="11"/>
      <c r="L221" s="11"/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 t="s">
        <v>385</v>
      </c>
      <c r="D222" s="10" t="str">
        <f t="shared" si="15"/>
        <v>B</v>
      </c>
      <c r="E222" s="23" t="s">
        <v>70</v>
      </c>
      <c r="F222" s="23" t="s">
        <v>362</v>
      </c>
      <c r="G222" s="6" t="s">
        <v>387</v>
      </c>
      <c r="H222" s="25">
        <v>2038700</v>
      </c>
      <c r="I222" s="6">
        <f t="shared" ca="1" si="16"/>
        <v>2</v>
      </c>
      <c r="J222" s="13" t="str">
        <f t="shared" ca="1" si="14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 t="s">
        <v>385</v>
      </c>
      <c r="D223" s="10" t="str">
        <f t="shared" si="15"/>
        <v>B</v>
      </c>
      <c r="E223" s="23" t="s">
        <v>124</v>
      </c>
      <c r="F223" s="23" t="s">
        <v>363</v>
      </c>
      <c r="G223" s="6" t="s">
        <v>387</v>
      </c>
      <c r="H223" s="25">
        <v>4750000</v>
      </c>
      <c r="I223" s="6">
        <f t="shared" ca="1" si="16"/>
        <v>2</v>
      </c>
      <c r="J223" s="13" t="str">
        <f t="shared" ca="1" si="14"/>
        <v>정상</v>
      </c>
      <c r="K223" s="11"/>
      <c r="L223" s="11"/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 t="s">
        <v>385</v>
      </c>
      <c r="D224" s="10" t="str">
        <f t="shared" si="15"/>
        <v>B</v>
      </c>
      <c r="E224" s="23" t="s">
        <v>128</v>
      </c>
      <c r="F224" s="23" t="s">
        <v>364</v>
      </c>
      <c r="G224" s="6" t="s">
        <v>387</v>
      </c>
      <c r="H224" s="25">
        <v>3572000</v>
      </c>
      <c r="I224" s="6">
        <f t="shared" ca="1" si="16"/>
        <v>2</v>
      </c>
      <c r="J224" s="13" t="str">
        <f t="shared" ca="1" si="14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 t="s">
        <v>385</v>
      </c>
      <c r="D225" s="10" t="str">
        <f t="shared" si="15"/>
        <v>B</v>
      </c>
      <c r="E225" s="23" t="s">
        <v>24</v>
      </c>
      <c r="F225" s="23" t="s">
        <v>365</v>
      </c>
      <c r="G225" s="6" t="s">
        <v>387</v>
      </c>
      <c r="H225" s="25">
        <v>435000</v>
      </c>
      <c r="I225" s="6">
        <f t="shared" ca="1" si="16"/>
        <v>2</v>
      </c>
      <c r="J225" s="13" t="str">
        <f t="shared" ca="1" si="14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 t="s">
        <v>385</v>
      </c>
      <c r="D226" s="10" t="str">
        <f t="shared" si="15"/>
        <v>B</v>
      </c>
      <c r="E226" s="23" t="s">
        <v>382</v>
      </c>
      <c r="F226" s="23" t="s">
        <v>366</v>
      </c>
      <c r="G226" s="6" t="s">
        <v>387</v>
      </c>
      <c r="H226" s="25">
        <v>637000</v>
      </c>
      <c r="I226" s="6">
        <f t="shared" ca="1" si="16"/>
        <v>2</v>
      </c>
      <c r="J226" s="13" t="str">
        <f t="shared" ca="1" si="14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 t="s">
        <v>385</v>
      </c>
      <c r="D227" s="10" t="str">
        <f t="shared" si="15"/>
        <v>B</v>
      </c>
      <c r="E227" s="23" t="s">
        <v>383</v>
      </c>
      <c r="F227" s="23" t="s">
        <v>367</v>
      </c>
      <c r="G227" s="6" t="s">
        <v>387</v>
      </c>
      <c r="H227" s="25">
        <v>34583000</v>
      </c>
      <c r="I227" s="6">
        <f t="shared" ca="1" si="16"/>
        <v>2</v>
      </c>
      <c r="J227" s="13" t="str">
        <f t="shared" ca="1" si="14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 t="s">
        <v>385</v>
      </c>
      <c r="D228" s="10" t="str">
        <f t="shared" si="15"/>
        <v>B</v>
      </c>
      <c r="E228" s="23" t="s">
        <v>216</v>
      </c>
      <c r="F228" s="23" t="s">
        <v>368</v>
      </c>
      <c r="G228" s="6" t="s">
        <v>387</v>
      </c>
      <c r="H228" s="25">
        <v>6600000</v>
      </c>
      <c r="I228" s="6">
        <f t="shared" ca="1" si="16"/>
        <v>2</v>
      </c>
      <c r="J228" s="13" t="str">
        <f t="shared" ca="1" si="14"/>
        <v>정상</v>
      </c>
      <c r="K228" s="11"/>
      <c r="L228" s="11"/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 t="s">
        <v>385</v>
      </c>
      <c r="D229" s="10" t="str">
        <f t="shared" si="15"/>
        <v>B</v>
      </c>
      <c r="E229" s="23" t="s">
        <v>230</v>
      </c>
      <c r="F229" s="23" t="s">
        <v>369</v>
      </c>
      <c r="G229" s="6" t="s">
        <v>387</v>
      </c>
      <c r="H229" s="25">
        <v>15802000</v>
      </c>
      <c r="I229" s="6">
        <f t="shared" ca="1" si="16"/>
        <v>2</v>
      </c>
      <c r="J229" s="13" t="str">
        <f t="shared" ca="1" si="14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 t="s">
        <v>386</v>
      </c>
      <c r="D230" s="10" t="str">
        <f t="shared" si="15"/>
        <v>B</v>
      </c>
      <c r="E230" s="23" t="s">
        <v>227</v>
      </c>
      <c r="F230" s="23" t="s">
        <v>370</v>
      </c>
      <c r="G230" s="6" t="s">
        <v>387</v>
      </c>
      <c r="H230" s="25">
        <v>9450000</v>
      </c>
      <c r="I230" s="6">
        <f t="shared" ca="1" si="16"/>
        <v>1</v>
      </c>
      <c r="J230" s="13" t="str">
        <f t="shared" ca="1" si="14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 t="s">
        <v>386</v>
      </c>
      <c r="D231" s="10" t="str">
        <f t="shared" si="15"/>
        <v>B</v>
      </c>
      <c r="E231" s="23" t="s">
        <v>128</v>
      </c>
      <c r="F231" s="23" t="s">
        <v>364</v>
      </c>
      <c r="G231" s="6" t="s">
        <v>387</v>
      </c>
      <c r="H231" s="25">
        <v>521000</v>
      </c>
      <c r="I231" s="6">
        <f t="shared" ca="1" si="16"/>
        <v>1</v>
      </c>
      <c r="J231" s="13" t="str">
        <f t="shared" ca="1" si="14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 t="s">
        <v>386</v>
      </c>
      <c r="D232" s="10" t="str">
        <f t="shared" si="15"/>
        <v>B</v>
      </c>
      <c r="E232" s="23" t="s">
        <v>39</v>
      </c>
      <c r="F232" s="23" t="s">
        <v>371</v>
      </c>
      <c r="G232" s="6" t="s">
        <v>387</v>
      </c>
      <c r="H232" s="25">
        <v>333000</v>
      </c>
      <c r="I232" s="6">
        <f t="shared" ca="1" si="16"/>
        <v>1</v>
      </c>
      <c r="J232" s="13" t="str">
        <f t="shared" ca="1" si="14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 t="s">
        <v>386</v>
      </c>
      <c r="D233" s="10" t="str">
        <f t="shared" si="15"/>
        <v>B</v>
      </c>
      <c r="E233" s="23" t="s">
        <v>82</v>
      </c>
      <c r="F233" s="23" t="s">
        <v>372</v>
      </c>
      <c r="G233" s="6" t="s">
        <v>387</v>
      </c>
      <c r="H233" s="25">
        <v>2835000</v>
      </c>
      <c r="I233" s="6">
        <f t="shared" ca="1" si="16"/>
        <v>1</v>
      </c>
      <c r="J233" s="13" t="str">
        <f t="shared" ca="1" si="14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 t="s">
        <v>386</v>
      </c>
      <c r="D234" s="10" t="str">
        <f t="shared" si="15"/>
        <v>B</v>
      </c>
      <c r="E234" s="23" t="s">
        <v>130</v>
      </c>
      <c r="F234" s="23" t="s">
        <v>373</v>
      </c>
      <c r="G234" s="6" t="s">
        <v>387</v>
      </c>
      <c r="H234" s="25">
        <v>351900</v>
      </c>
      <c r="I234" s="6">
        <f t="shared" ca="1" si="16"/>
        <v>0</v>
      </c>
      <c r="J234" s="13" t="str">
        <f t="shared" ca="1" si="14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 t="s">
        <v>386</v>
      </c>
      <c r="D235" s="10" t="str">
        <f t="shared" si="15"/>
        <v>B</v>
      </c>
      <c r="E235" s="23" t="s">
        <v>17</v>
      </c>
      <c r="F235" s="23" t="s">
        <v>374</v>
      </c>
      <c r="G235" s="6" t="s">
        <v>387</v>
      </c>
      <c r="H235" s="25">
        <v>839000</v>
      </c>
      <c r="I235" s="6">
        <f t="shared" ca="1" si="16"/>
        <v>1</v>
      </c>
      <c r="J235" s="13" t="str">
        <f t="shared" ca="1" si="14"/>
        <v>정상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 t="s">
        <v>386</v>
      </c>
      <c r="D236" s="10" t="str">
        <f t="shared" si="15"/>
        <v>B</v>
      </c>
      <c r="E236" s="23" t="s">
        <v>384</v>
      </c>
      <c r="F236" s="23" t="s">
        <v>375</v>
      </c>
      <c r="G236" s="6" t="s">
        <v>387</v>
      </c>
      <c r="H236" s="25">
        <v>1507200</v>
      </c>
      <c r="I236" s="6">
        <f t="shared" ca="1" si="16"/>
        <v>1</v>
      </c>
      <c r="J236" s="13" t="str">
        <f t="shared" ca="1" si="14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 t="s">
        <v>386</v>
      </c>
      <c r="D237" s="10" t="str">
        <f t="shared" si="15"/>
        <v>B</v>
      </c>
      <c r="E237" s="23" t="s">
        <v>228</v>
      </c>
      <c r="F237" s="23" t="s">
        <v>376</v>
      </c>
      <c r="G237" s="6" t="s">
        <v>387</v>
      </c>
      <c r="H237" s="25">
        <v>585000</v>
      </c>
      <c r="I237" s="6">
        <f t="shared" ca="1" si="16"/>
        <v>1</v>
      </c>
      <c r="J237" s="13" t="str">
        <f t="shared" ca="1" si="14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 t="s">
        <v>386</v>
      </c>
      <c r="D238" s="10" t="str">
        <f t="shared" si="15"/>
        <v>B</v>
      </c>
      <c r="E238" s="23" t="s">
        <v>230</v>
      </c>
      <c r="F238" s="23" t="s">
        <v>369</v>
      </c>
      <c r="G238" s="6" t="s">
        <v>387</v>
      </c>
      <c r="H238" s="25">
        <v>615000</v>
      </c>
      <c r="I238" s="6">
        <f t="shared" ca="1" si="16"/>
        <v>1</v>
      </c>
      <c r="J238" s="13" t="str">
        <f t="shared" ca="1" si="14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 t="s">
        <v>386</v>
      </c>
      <c r="D239" s="10" t="str">
        <f t="shared" si="15"/>
        <v>B</v>
      </c>
      <c r="E239" s="23" t="s">
        <v>228</v>
      </c>
      <c r="F239" s="23" t="s">
        <v>377</v>
      </c>
      <c r="G239" s="6" t="s">
        <v>387</v>
      </c>
      <c r="H239" s="25">
        <v>44793500</v>
      </c>
      <c r="I239" s="6">
        <f t="shared" ca="1" si="16"/>
        <v>1</v>
      </c>
      <c r="J239" s="13" t="str">
        <f t="shared" ca="1" si="14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 t="s">
        <v>386</v>
      </c>
      <c r="D240" s="10" t="str">
        <f t="shared" si="15"/>
        <v>B</v>
      </c>
      <c r="E240" s="23" t="s">
        <v>39</v>
      </c>
      <c r="F240" s="23" t="s">
        <v>378</v>
      </c>
      <c r="G240" s="6" t="s">
        <v>387</v>
      </c>
      <c r="H240" s="25">
        <v>602300</v>
      </c>
      <c r="I240" s="6">
        <f t="shared" ca="1" si="16"/>
        <v>1</v>
      </c>
      <c r="J240" s="13" t="str">
        <f t="shared" ca="1" si="14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 t="s">
        <v>386</v>
      </c>
      <c r="D241" s="10" t="str">
        <f t="shared" si="15"/>
        <v>B</v>
      </c>
      <c r="E241" s="23" t="s">
        <v>227</v>
      </c>
      <c r="F241" s="23" t="s">
        <v>379</v>
      </c>
      <c r="G241" s="6" t="s">
        <v>387</v>
      </c>
      <c r="H241" s="25">
        <v>1180000</v>
      </c>
      <c r="I241" s="6">
        <f t="shared" ca="1" si="16"/>
        <v>1</v>
      </c>
      <c r="J241" s="13" t="str">
        <f t="shared" ca="1" si="14"/>
        <v>정상</v>
      </c>
      <c r="K241" s="11"/>
      <c r="L241" s="11"/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 t="s">
        <v>386</v>
      </c>
      <c r="D242" s="10" t="str">
        <f t="shared" si="15"/>
        <v>B</v>
      </c>
      <c r="E242" s="23" t="s">
        <v>350</v>
      </c>
      <c r="F242" s="23" t="s">
        <v>380</v>
      </c>
      <c r="G242" s="6" t="s">
        <v>387</v>
      </c>
      <c r="H242" s="25">
        <v>3300000</v>
      </c>
      <c r="I242" s="6">
        <f t="shared" ca="1" si="16"/>
        <v>1</v>
      </c>
      <c r="J242" s="13" t="str">
        <f t="shared" ca="1" si="14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 t="s">
        <v>386</v>
      </c>
      <c r="D243" s="10" t="str">
        <f t="shared" si="15"/>
        <v>B</v>
      </c>
      <c r="E243" s="23" t="s">
        <v>227</v>
      </c>
      <c r="F243" s="23" t="s">
        <v>381</v>
      </c>
      <c r="G243" s="6" t="s">
        <v>387</v>
      </c>
      <c r="H243" s="25">
        <v>1548500</v>
      </c>
      <c r="I243" s="6">
        <f t="shared" ca="1" si="16"/>
        <v>1</v>
      </c>
      <c r="J243" s="13" t="str">
        <f t="shared" ref="J243" ca="1" si="17">IF(I243="","",
 IF(G243="선급금",
   IF(I243&lt;=20,"정상",IF(I243&lt;=90,"관리","장기미수")),
 IF(G243="자재",
   IF(I243&lt;=40,"정상",IF(I243&lt;=90,"관리","장기미수")),
   IF(I243&lt;=30,"정상",IF(I243&lt;=90,"관리","장기미수"))
  )
 )
)</f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 t="str">
        <f>IF(C244="","",COUNTA($C$2:C244))</f>
        <v/>
      </c>
      <c r="C244" s="11"/>
      <c r="D244" s="10" t="str">
        <f t="shared" si="15"/>
        <v/>
      </c>
      <c r="H244" s="4"/>
      <c r="I244" s="6" t="str">
        <f t="shared" ca="1" si="16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5"/>
        <v/>
      </c>
      <c r="H245" s="4"/>
      <c r="I245" s="6" t="str">
        <f t="shared" ca="1" si="16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5"/>
        <v/>
      </c>
      <c r="H246" s="4"/>
      <c r="I246" s="6" t="str">
        <f t="shared" ca="1" si="16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5"/>
        <v/>
      </c>
      <c r="H247" s="4"/>
      <c r="I247" s="6" t="str">
        <f t="shared" ca="1" si="16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5"/>
        <v/>
      </c>
      <c r="H248" s="4"/>
      <c r="I248" s="6" t="str">
        <f t="shared" ca="1" si="16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5"/>
        <v/>
      </c>
      <c r="H249" s="4"/>
      <c r="I249" s="6" t="str">
        <f t="shared" ca="1" si="16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5"/>
        <v/>
      </c>
      <c r="H250" s="4"/>
      <c r="I250" s="6" t="str">
        <f t="shared" ca="1" si="16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5"/>
        <v/>
      </c>
      <c r="H251" s="4"/>
      <c r="I251" s="6" t="str">
        <f t="shared" ca="1" si="16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5"/>
        <v/>
      </c>
      <c r="H252" s="4"/>
      <c r="I252" s="6" t="str">
        <f t="shared" ca="1" si="16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5"/>
        <v/>
      </c>
      <c r="H253" s="4"/>
      <c r="I253" s="6" t="str">
        <f t="shared" ca="1" si="16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5"/>
        <v/>
      </c>
      <c r="H254" s="4"/>
      <c r="I254" s="6" t="str">
        <f t="shared" ca="1" si="16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5"/>
        <v/>
      </c>
      <c r="H255" s="4"/>
      <c r="I255" s="6" t="str">
        <f t="shared" ca="1" si="16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5"/>
        <v/>
      </c>
      <c r="H256" s="4"/>
      <c r="I256" s="6" t="str">
        <f t="shared" ca="1" si="16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5"/>
        <v/>
      </c>
      <c r="H257" s="4"/>
      <c r="I257" s="6" t="str">
        <f t="shared" ca="1" si="16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5"/>
        <v/>
      </c>
      <c r="H258" s="4"/>
      <c r="I258" s="6" t="str">
        <f t="shared" ca="1" si="16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5"/>
        <v/>
      </c>
      <c r="H259" s="4"/>
      <c r="I259" s="6" t="str">
        <f t="shared" ca="1" si="16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5"/>
        <v/>
      </c>
      <c r="H260" s="4"/>
      <c r="I260" s="6" t="str">
        <f t="shared" ca="1" si="16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5"/>
        <v/>
      </c>
      <c r="H261" s="4"/>
      <c r="I261" s="6" t="str">
        <f t="shared" ca="1" si="16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5"/>
        <v/>
      </c>
      <c r="H262" s="4"/>
      <c r="I262" s="6" t="str">
        <f t="shared" ca="1" si="16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5"/>
        <v/>
      </c>
      <c r="H263" s="4"/>
      <c r="I263" s="6" t="str">
        <f t="shared" ca="1" si="16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5"/>
        <v/>
      </c>
      <c r="H264" s="4"/>
      <c r="I264" s="6" t="str">
        <f t="shared" ca="1" si="16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5"/>
        <v/>
      </c>
      <c r="H265" s="4"/>
      <c r="I265" s="6" t="str">
        <f t="shared" ca="1" si="16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5"/>
        <v/>
      </c>
      <c r="H266" s="4"/>
      <c r="I266" s="6" t="str">
        <f t="shared" ca="1" si="16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ref="D267:D330" si="18">IF(G267="","",IF(OR(G267="선급금",G267="중도금",G267="잔금"),"A",IF(G267="자재","B",IF(G267="특허료","C",""))))</f>
        <v/>
      </c>
      <c r="H267" s="4"/>
      <c r="I267" s="6" t="str">
        <f t="shared" ref="I267:I330" ca="1" si="19">IF(C267="","",IF(L267="",TODAY()-C267,L267-C267))</f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8"/>
        <v/>
      </c>
      <c r="H268" s="4"/>
      <c r="I268" s="6" t="str">
        <f t="shared" ca="1" si="19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8"/>
        <v/>
      </c>
      <c r="H269" s="4"/>
      <c r="I269" s="6" t="str">
        <f t="shared" ca="1" si="19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8"/>
        <v/>
      </c>
      <c r="H270" s="4"/>
      <c r="I270" s="6" t="str">
        <f t="shared" ca="1" si="19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8"/>
        <v/>
      </c>
      <c r="H271" s="4"/>
      <c r="I271" s="6" t="str">
        <f t="shared" ca="1" si="19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8"/>
        <v/>
      </c>
      <c r="H272" s="4"/>
      <c r="I272" s="6" t="str">
        <f t="shared" ca="1" si="19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8"/>
        <v/>
      </c>
      <c r="H273" s="4"/>
      <c r="I273" s="6" t="str">
        <f t="shared" ca="1" si="19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8"/>
        <v/>
      </c>
      <c r="H274" s="4"/>
      <c r="I274" s="6" t="str">
        <f t="shared" ca="1" si="19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8"/>
        <v/>
      </c>
      <c r="H275" s="4"/>
      <c r="I275" s="6" t="str">
        <f t="shared" ca="1" si="19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8"/>
        <v/>
      </c>
      <c r="H276" s="4"/>
      <c r="I276" s="6" t="str">
        <f t="shared" ca="1" si="19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8"/>
        <v/>
      </c>
      <c r="H277" s="4"/>
      <c r="I277" s="6" t="str">
        <f t="shared" ca="1" si="19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8"/>
        <v/>
      </c>
      <c r="H278" s="4"/>
      <c r="I278" s="6" t="str">
        <f t="shared" ca="1" si="19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8"/>
        <v/>
      </c>
      <c r="H279" s="4"/>
      <c r="I279" s="6" t="str">
        <f t="shared" ca="1" si="19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8"/>
        <v/>
      </c>
      <c r="H280" s="4"/>
      <c r="I280" s="6" t="str">
        <f t="shared" ca="1" si="19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8"/>
        <v/>
      </c>
      <c r="H281" s="4"/>
      <c r="I281" s="6" t="str">
        <f t="shared" ca="1" si="19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8"/>
        <v/>
      </c>
      <c r="H282" s="4"/>
      <c r="I282" s="6" t="str">
        <f t="shared" ca="1" si="19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8"/>
        <v/>
      </c>
      <c r="H283" s="4"/>
      <c r="I283" s="6" t="str">
        <f t="shared" ca="1" si="19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8"/>
        <v/>
      </c>
      <c r="H284" s="4"/>
      <c r="I284" s="6" t="str">
        <f t="shared" ca="1" si="19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8"/>
        <v/>
      </c>
      <c r="H285" s="4"/>
      <c r="I285" s="6" t="str">
        <f t="shared" ca="1" si="19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8"/>
        <v/>
      </c>
      <c r="H286" s="4"/>
      <c r="I286" s="6" t="str">
        <f t="shared" ca="1" si="19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8"/>
        <v/>
      </c>
      <c r="H287" s="4"/>
      <c r="I287" s="6" t="str">
        <f t="shared" ca="1" si="19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8"/>
        <v/>
      </c>
      <c r="H288" s="4"/>
      <c r="I288" s="6" t="str">
        <f t="shared" ca="1" si="19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8"/>
        <v/>
      </c>
      <c r="H289" s="4"/>
      <c r="I289" s="6" t="str">
        <f t="shared" ca="1" si="19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8"/>
        <v/>
      </c>
      <c r="H290" s="4"/>
      <c r="I290" s="6" t="str">
        <f t="shared" ca="1" si="19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8"/>
        <v/>
      </c>
      <c r="H291" s="4"/>
      <c r="I291" s="6" t="str">
        <f t="shared" ca="1" si="19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8"/>
        <v/>
      </c>
      <c r="H292" s="4"/>
      <c r="I292" s="6" t="str">
        <f t="shared" ca="1" si="19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8"/>
        <v/>
      </c>
      <c r="H293" s="4"/>
      <c r="I293" s="6" t="str">
        <f t="shared" ca="1" si="19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8"/>
        <v/>
      </c>
      <c r="H294" s="4"/>
      <c r="I294" s="6" t="str">
        <f t="shared" ca="1" si="19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8"/>
        <v/>
      </c>
      <c r="H295" s="4"/>
      <c r="I295" s="6" t="str">
        <f t="shared" ca="1" si="19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8"/>
        <v/>
      </c>
      <c r="H296" s="4"/>
      <c r="I296" s="6" t="str">
        <f t="shared" ca="1" si="19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8"/>
        <v/>
      </c>
      <c r="H297" s="4"/>
      <c r="I297" s="6" t="str">
        <f t="shared" ca="1" si="19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8"/>
        <v/>
      </c>
      <c r="H298" s="4"/>
      <c r="I298" s="6" t="str">
        <f t="shared" ca="1" si="19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8"/>
        <v/>
      </c>
      <c r="H299" s="4"/>
      <c r="I299" s="6" t="str">
        <f t="shared" ca="1" si="19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8"/>
        <v/>
      </c>
      <c r="H300" s="4"/>
      <c r="I300" s="6" t="str">
        <f t="shared" ca="1" si="19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8"/>
        <v/>
      </c>
      <c r="H301" s="4"/>
      <c r="I301" s="6" t="str">
        <f t="shared" ca="1" si="19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8"/>
        <v/>
      </c>
      <c r="H302" s="4"/>
      <c r="I302" s="6" t="str">
        <f t="shared" ca="1" si="19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8"/>
        <v/>
      </c>
      <c r="H303" s="4"/>
      <c r="I303" s="6" t="str">
        <f t="shared" ca="1" si="19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8"/>
        <v/>
      </c>
      <c r="H304" s="4"/>
      <c r="I304" s="6" t="str">
        <f t="shared" ca="1" si="19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8"/>
        <v/>
      </c>
      <c r="H305" s="4"/>
      <c r="I305" s="6" t="str">
        <f t="shared" ca="1" si="19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8"/>
        <v/>
      </c>
      <c r="H306" s="4"/>
      <c r="I306" s="6" t="str">
        <f t="shared" ca="1" si="19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8"/>
        <v/>
      </c>
      <c r="H307" s="4"/>
      <c r="I307" s="6" t="str">
        <f t="shared" ca="1" si="19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8"/>
        <v/>
      </c>
      <c r="H308" s="4"/>
      <c r="I308" s="6" t="str">
        <f t="shared" ca="1" si="19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8"/>
        <v/>
      </c>
      <c r="H309" s="4"/>
      <c r="I309" s="6" t="str">
        <f t="shared" ca="1" si="19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8"/>
        <v/>
      </c>
      <c r="H310" s="4"/>
      <c r="I310" s="6" t="str">
        <f t="shared" ca="1" si="19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8"/>
        <v/>
      </c>
      <c r="H311" s="4"/>
      <c r="I311" s="6" t="str">
        <f t="shared" ca="1" si="19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8"/>
        <v/>
      </c>
      <c r="H312" s="4"/>
      <c r="I312" s="6" t="str">
        <f t="shared" ca="1" si="19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8"/>
        <v/>
      </c>
      <c r="H313" s="4"/>
      <c r="I313" s="6" t="str">
        <f t="shared" ca="1" si="19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8"/>
        <v/>
      </c>
      <c r="H314" s="4"/>
      <c r="I314" s="6" t="str">
        <f t="shared" ca="1" si="19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8"/>
        <v/>
      </c>
      <c r="H315" s="4"/>
      <c r="I315" s="6" t="str">
        <f t="shared" ca="1" si="19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8"/>
        <v/>
      </c>
      <c r="H316" s="4"/>
      <c r="I316" s="6" t="str">
        <f t="shared" ca="1" si="19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8"/>
        <v/>
      </c>
      <c r="H317" s="4"/>
      <c r="I317" s="6" t="str">
        <f t="shared" ca="1" si="19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8"/>
        <v/>
      </c>
      <c r="H318" s="4"/>
      <c r="I318" s="6" t="str">
        <f t="shared" ca="1" si="19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8"/>
        <v/>
      </c>
      <c r="H319" s="4"/>
      <c r="I319" s="6" t="str">
        <f t="shared" ca="1" si="19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8"/>
        <v/>
      </c>
      <c r="H320" s="4"/>
      <c r="I320" s="6" t="str">
        <f t="shared" ca="1" si="19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8"/>
        <v/>
      </c>
      <c r="H321" s="4"/>
      <c r="I321" s="6" t="str">
        <f t="shared" ca="1" si="19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8"/>
        <v/>
      </c>
      <c r="H322" s="4"/>
      <c r="I322" s="6" t="str">
        <f t="shared" ca="1" si="19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8"/>
        <v/>
      </c>
      <c r="H323" s="4"/>
      <c r="I323" s="6" t="str">
        <f t="shared" ca="1" si="19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8"/>
        <v/>
      </c>
      <c r="H324" s="4"/>
      <c r="I324" s="6" t="str">
        <f t="shared" ca="1" si="19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8"/>
        <v/>
      </c>
      <c r="H325" s="4"/>
      <c r="I325" s="6" t="str">
        <f t="shared" ca="1" si="19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8"/>
        <v/>
      </c>
      <c r="H326" s="4"/>
      <c r="I326" s="6" t="str">
        <f t="shared" ca="1" si="19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8"/>
        <v/>
      </c>
      <c r="H327" s="4"/>
      <c r="I327" s="6" t="str">
        <f t="shared" ca="1" si="19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8"/>
        <v/>
      </c>
      <c r="H328" s="4"/>
      <c r="I328" s="6" t="str">
        <f t="shared" ca="1" si="19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8"/>
        <v/>
      </c>
      <c r="H329" s="4"/>
      <c r="I329" s="6" t="str">
        <f t="shared" ca="1" si="19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8"/>
        <v/>
      </c>
      <c r="H330" s="4"/>
      <c r="I330" s="6" t="str">
        <f t="shared" ca="1" si="19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ref="D331:D394" si="20">IF(G331="","",IF(OR(G331="선급금",G331="중도금",G331="잔금"),"A",IF(G331="자재","B",IF(G331="특허료","C",""))))</f>
        <v/>
      </c>
      <c r="H331" s="4"/>
      <c r="I331" s="6" t="str">
        <f t="shared" ref="I331:I394" ca="1" si="21">IF(C331="","",IF(L331="",TODAY()-C331,L331-C331))</f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20"/>
        <v/>
      </c>
      <c r="H332" s="4"/>
      <c r="I332" s="6" t="str">
        <f t="shared" ca="1" si="21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20"/>
        <v/>
      </c>
      <c r="H333" s="4"/>
      <c r="I333" s="6" t="str">
        <f t="shared" ca="1" si="21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20"/>
        <v/>
      </c>
      <c r="H334" s="4"/>
      <c r="I334" s="6" t="str">
        <f t="shared" ca="1" si="21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20"/>
        <v/>
      </c>
      <c r="H335" s="4"/>
      <c r="I335" s="6" t="str">
        <f t="shared" ca="1" si="21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20"/>
        <v/>
      </c>
      <c r="H336" s="4"/>
      <c r="I336" s="6" t="str">
        <f t="shared" ca="1" si="21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20"/>
        <v/>
      </c>
      <c r="H337" s="4"/>
      <c r="I337" s="6" t="str">
        <f t="shared" ca="1" si="21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20"/>
        <v/>
      </c>
      <c r="H338" s="4"/>
      <c r="I338" s="6" t="str">
        <f t="shared" ca="1" si="21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20"/>
        <v/>
      </c>
      <c r="H339" s="4"/>
      <c r="I339" s="6" t="str">
        <f t="shared" ca="1" si="21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20"/>
        <v/>
      </c>
      <c r="H340" s="4"/>
      <c r="I340" s="6" t="str">
        <f t="shared" ca="1" si="21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20"/>
        <v/>
      </c>
      <c r="H341" s="4"/>
      <c r="I341" s="6" t="str">
        <f t="shared" ca="1" si="21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20"/>
        <v/>
      </c>
      <c r="H342" s="4"/>
      <c r="I342" s="6" t="str">
        <f t="shared" ca="1" si="21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20"/>
        <v/>
      </c>
      <c r="H343" s="4"/>
      <c r="I343" s="6" t="str">
        <f t="shared" ca="1" si="21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20"/>
        <v/>
      </c>
      <c r="H344" s="4"/>
      <c r="I344" s="6" t="str">
        <f t="shared" ca="1" si="21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20"/>
        <v/>
      </c>
      <c r="H345" s="4"/>
      <c r="I345" s="6" t="str">
        <f t="shared" ca="1" si="21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20"/>
        <v/>
      </c>
      <c r="H346" s="4"/>
      <c r="I346" s="6" t="str">
        <f t="shared" ca="1" si="21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20"/>
        <v/>
      </c>
      <c r="H347" s="4"/>
      <c r="I347" s="6" t="str">
        <f t="shared" ca="1" si="21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20"/>
        <v/>
      </c>
      <c r="H348" s="4"/>
      <c r="I348" s="6" t="str">
        <f t="shared" ca="1" si="21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20"/>
        <v/>
      </c>
      <c r="H349" s="4"/>
      <c r="I349" s="6" t="str">
        <f t="shared" ca="1" si="21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20"/>
        <v/>
      </c>
      <c r="H350" s="4"/>
      <c r="I350" s="6" t="str">
        <f t="shared" ca="1" si="21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20"/>
        <v/>
      </c>
      <c r="H351" s="4"/>
      <c r="I351" s="6" t="str">
        <f t="shared" ca="1" si="21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20"/>
        <v/>
      </c>
      <c r="H352" s="4"/>
      <c r="I352" s="6" t="str">
        <f t="shared" ca="1" si="21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20"/>
        <v/>
      </c>
      <c r="H353" s="4"/>
      <c r="I353" s="6" t="str">
        <f t="shared" ca="1" si="21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20"/>
        <v/>
      </c>
      <c r="H354" s="4"/>
      <c r="I354" s="6" t="str">
        <f t="shared" ca="1" si="21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20"/>
        <v/>
      </c>
      <c r="H355" s="4"/>
      <c r="I355" s="6" t="str">
        <f t="shared" ca="1" si="21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20"/>
        <v/>
      </c>
      <c r="H356" s="4"/>
      <c r="I356" s="6" t="str">
        <f t="shared" ca="1" si="21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20"/>
        <v/>
      </c>
      <c r="H357" s="4"/>
      <c r="I357" s="6" t="str">
        <f t="shared" ca="1" si="21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20"/>
        <v/>
      </c>
      <c r="H358" s="4"/>
      <c r="I358" s="6" t="str">
        <f t="shared" ca="1" si="21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20"/>
        <v/>
      </c>
      <c r="H359" s="4"/>
      <c r="I359" s="6" t="str">
        <f t="shared" ca="1" si="21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20"/>
        <v/>
      </c>
      <c r="H360" s="4"/>
      <c r="I360" s="6" t="str">
        <f t="shared" ca="1" si="21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20"/>
        <v/>
      </c>
      <c r="H361" s="4"/>
      <c r="I361" s="6" t="str">
        <f t="shared" ca="1" si="21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20"/>
        <v/>
      </c>
      <c r="H362" s="4"/>
      <c r="I362" s="6" t="str">
        <f t="shared" ca="1" si="21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20"/>
        <v/>
      </c>
      <c r="H363" s="4"/>
      <c r="I363" s="6" t="str">
        <f t="shared" ca="1" si="21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20"/>
        <v/>
      </c>
      <c r="H364" s="4"/>
      <c r="I364" s="6" t="str">
        <f t="shared" ca="1" si="21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20"/>
        <v/>
      </c>
      <c r="H365" s="4"/>
      <c r="I365" s="6" t="str">
        <f t="shared" ca="1" si="21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20"/>
        <v/>
      </c>
      <c r="H366" s="4"/>
      <c r="I366" s="6" t="str">
        <f t="shared" ca="1" si="21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20"/>
        <v/>
      </c>
      <c r="H367" s="4"/>
      <c r="I367" s="6" t="str">
        <f t="shared" ca="1" si="21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20"/>
        <v/>
      </c>
      <c r="H368" s="4"/>
      <c r="I368" s="6" t="str">
        <f t="shared" ca="1" si="21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20"/>
        <v/>
      </c>
      <c r="H369" s="4"/>
      <c r="I369" s="6" t="str">
        <f t="shared" ca="1" si="21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20"/>
        <v/>
      </c>
      <c r="H370" s="4"/>
      <c r="I370" s="6" t="str">
        <f t="shared" ca="1" si="21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20"/>
        <v/>
      </c>
      <c r="H371" s="4"/>
      <c r="I371" s="6" t="str">
        <f t="shared" ca="1" si="21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20"/>
        <v/>
      </c>
      <c r="H372" s="4"/>
      <c r="I372" s="6" t="str">
        <f t="shared" ca="1" si="21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20"/>
        <v/>
      </c>
      <c r="H373" s="4"/>
      <c r="I373" s="6" t="str">
        <f t="shared" ca="1" si="21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20"/>
        <v/>
      </c>
      <c r="H374" s="4"/>
      <c r="I374" s="6" t="str">
        <f t="shared" ca="1" si="21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20"/>
        <v/>
      </c>
      <c r="H375" s="4"/>
      <c r="I375" s="6" t="str">
        <f t="shared" ca="1" si="21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20"/>
        <v/>
      </c>
      <c r="H376" s="4"/>
      <c r="I376" s="6" t="str">
        <f t="shared" ca="1" si="21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20"/>
        <v/>
      </c>
      <c r="H377" s="4"/>
      <c r="I377" s="6" t="str">
        <f t="shared" ca="1" si="21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20"/>
        <v/>
      </c>
      <c r="H378" s="4"/>
      <c r="I378" s="6" t="str">
        <f t="shared" ca="1" si="21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20"/>
        <v/>
      </c>
      <c r="H379" s="4"/>
      <c r="I379" s="6" t="str">
        <f t="shared" ca="1" si="21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20"/>
        <v/>
      </c>
      <c r="H380" s="4"/>
      <c r="I380" s="6" t="str">
        <f t="shared" ca="1" si="21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20"/>
        <v/>
      </c>
      <c r="H381" s="4"/>
      <c r="I381" s="6" t="str">
        <f t="shared" ca="1" si="21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20"/>
        <v/>
      </c>
      <c r="H382" s="4"/>
      <c r="I382" s="6" t="str">
        <f t="shared" ca="1" si="21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20"/>
        <v/>
      </c>
      <c r="H383" s="4"/>
      <c r="I383" s="6" t="str">
        <f t="shared" ca="1" si="21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20"/>
        <v/>
      </c>
      <c r="H384" s="4"/>
      <c r="I384" s="6" t="str">
        <f t="shared" ca="1" si="21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20"/>
        <v/>
      </c>
      <c r="H385" s="4"/>
      <c r="I385" s="6" t="str">
        <f t="shared" ca="1" si="21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20"/>
        <v/>
      </c>
      <c r="H386" s="4"/>
      <c r="I386" s="6" t="str">
        <f t="shared" ca="1" si="21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20"/>
        <v/>
      </c>
      <c r="H387" s="4"/>
      <c r="I387" s="6" t="str">
        <f t="shared" ca="1" si="21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20"/>
        <v/>
      </c>
      <c r="H388" s="4"/>
      <c r="I388" s="6" t="str">
        <f t="shared" ca="1" si="21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20"/>
        <v/>
      </c>
      <c r="H389" s="4"/>
      <c r="I389" s="6" t="str">
        <f t="shared" ca="1" si="21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20"/>
        <v/>
      </c>
      <c r="H390" s="4"/>
      <c r="I390" s="6" t="str">
        <f t="shared" ca="1" si="21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20"/>
        <v/>
      </c>
      <c r="H391" s="4"/>
      <c r="I391" s="6" t="str">
        <f t="shared" ca="1" si="21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20"/>
        <v/>
      </c>
      <c r="H392" s="4"/>
      <c r="I392" s="6" t="str">
        <f t="shared" ca="1" si="21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20"/>
        <v/>
      </c>
      <c r="H393" s="4"/>
      <c r="I393" s="6" t="str">
        <f t="shared" ca="1" si="21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20"/>
        <v/>
      </c>
      <c r="H394" s="4"/>
      <c r="I394" s="6" t="str">
        <f t="shared" ca="1" si="21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2">IF(G395="","",IF(OR(G395="선급금",G395="중도금",G395="잔금"),"A",IF(G395="자재","B",IF(G395="특허료","C",""))))</f>
        <v/>
      </c>
      <c r="H395" s="4"/>
      <c r="I395" s="6" t="str">
        <f t="shared" ref="I395:I405" ca="1" si="23">IF(C395="","",IF(L395="",TODAY()-C395,L395-C395))</f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2"/>
        <v/>
      </c>
      <c r="H396" s="4"/>
      <c r="I396" s="6" t="str">
        <f t="shared" ca="1" si="23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2"/>
        <v/>
      </c>
      <c r="H397" s="4"/>
      <c r="I397" s="6" t="str">
        <f t="shared" ca="1" si="23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2"/>
        <v/>
      </c>
      <c r="H398" s="4"/>
      <c r="I398" s="6" t="str">
        <f t="shared" ca="1" si="23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2"/>
        <v/>
      </c>
      <c r="H399" s="4"/>
      <c r="I399" s="6" t="str">
        <f t="shared" ca="1" si="23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2"/>
        <v/>
      </c>
      <c r="H400" s="4"/>
      <c r="I400" s="6" t="str">
        <f t="shared" ca="1" si="23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2"/>
        <v/>
      </c>
      <c r="H401" s="4"/>
      <c r="I401" s="6" t="str">
        <f t="shared" ca="1" si="23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2"/>
        <v/>
      </c>
      <c r="I402" s="1" t="str">
        <f t="shared" ca="1" si="23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2"/>
        <v/>
      </c>
      <c r="I403" s="1" t="str">
        <f t="shared" ca="1" si="23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2"/>
        <v/>
      </c>
      <c r="I404" s="1" t="str">
        <f t="shared" ca="1" si="23"/>
        <v/>
      </c>
      <c r="Q404" s="11"/>
      <c r="R404" s="11"/>
    </row>
    <row r="405" spans="2:19">
      <c r="B405" s="10"/>
      <c r="C405" s="11"/>
      <c r="D405" s="1" t="str">
        <f t="shared" si="22"/>
        <v/>
      </c>
      <c r="I405" s="1" t="str">
        <f t="shared" ca="1" si="23"/>
        <v/>
      </c>
      <c r="Q405" s="11"/>
      <c r="R405" s="11"/>
    </row>
    <row r="406" spans="2:19">
      <c r="B406" s="10"/>
      <c r="C406" s="11"/>
      <c r="D406" s="1" t="str">
        <f t="shared" si="22"/>
        <v/>
      </c>
      <c r="Q406" s="11"/>
      <c r="R406" s="11"/>
    </row>
    <row r="407" spans="2:19">
      <c r="B407" s="10"/>
      <c r="C407" s="11"/>
      <c r="D407" s="1" t="str">
        <f t="shared" si="22"/>
        <v/>
      </c>
      <c r="Q407" s="11"/>
      <c r="R407" s="11"/>
    </row>
    <row r="408" spans="2:19" ht="16.5" customHeight="1">
      <c r="C408" s="58"/>
      <c r="F408" s="62"/>
    </row>
  </sheetData>
  <autoFilter ref="A1:S407"/>
  <phoneticPr fontId="5" type="noConversion"/>
  <conditionalFormatting sqref="E3 F57:F60">
    <cfRule type="expression" dxfId="68" priority="83">
      <formula>$J3="잔금"</formula>
    </cfRule>
  </conditionalFormatting>
  <conditionalFormatting sqref="E8">
    <cfRule type="expression" dxfId="67" priority="82">
      <formula>$J8="잔금"</formula>
    </cfRule>
  </conditionalFormatting>
  <conditionalFormatting sqref="E4">
    <cfRule type="expression" dxfId="66" priority="81">
      <formula>$J4="잔금"</formula>
    </cfRule>
  </conditionalFormatting>
  <conditionalFormatting sqref="E9">
    <cfRule type="expression" dxfId="65" priority="80">
      <formula>$J9="잔금"</formula>
    </cfRule>
  </conditionalFormatting>
  <conditionalFormatting sqref="E41 E37">
    <cfRule type="expression" dxfId="64" priority="75">
      <formula>$J37="잔금"</formula>
    </cfRule>
  </conditionalFormatting>
  <conditionalFormatting sqref="E98:E99 E186:F192 H186:H192 C186:C192">
    <cfRule type="expression" dxfId="63" priority="65">
      <formula>$J98="잔금"</formula>
    </cfRule>
  </conditionalFormatting>
  <conditionalFormatting sqref="F98:F99">
    <cfRule type="expression" dxfId="62" priority="64">
      <formula>$J98="잔금"</formula>
    </cfRule>
  </conditionalFormatting>
  <conditionalFormatting sqref="F104:F105">
    <cfRule type="expression" dxfId="61" priority="62">
      <formula>$J104="잔금"</formula>
    </cfRule>
  </conditionalFormatting>
  <conditionalFormatting sqref="H104:H105">
    <cfRule type="expression" dxfId="60" priority="61">
      <formula>$J104="잔금"</formula>
    </cfRule>
  </conditionalFormatting>
  <conditionalFormatting sqref="E106:E108">
    <cfRule type="expression" dxfId="59" priority="60">
      <formula>$J106="잔금"</formula>
    </cfRule>
  </conditionalFormatting>
  <conditionalFormatting sqref="F106:F108">
    <cfRule type="expression" dxfId="58" priority="59">
      <formula>$J106="잔금"</formula>
    </cfRule>
  </conditionalFormatting>
  <conditionalFormatting sqref="H106:H108">
    <cfRule type="expression" dxfId="57" priority="58">
      <formula>$J106="잔금"</formula>
    </cfRule>
  </conditionalFormatting>
  <conditionalFormatting sqref="E110">
    <cfRule type="expression" dxfId="56" priority="57">
      <formula>$J110="잔금"</formula>
    </cfRule>
  </conditionalFormatting>
  <conditionalFormatting sqref="F110">
    <cfRule type="expression" dxfId="55" priority="56">
      <formula>$J110="잔금"</formula>
    </cfRule>
  </conditionalFormatting>
  <conditionalFormatting sqref="E111:E113">
    <cfRule type="expression" dxfId="54" priority="55">
      <formula>$J111="잔금"</formula>
    </cfRule>
  </conditionalFormatting>
  <conditionalFormatting sqref="F111 F113">
    <cfRule type="expression" dxfId="53" priority="54">
      <formula>$J111="잔금"</formula>
    </cfRule>
  </conditionalFormatting>
  <conditionalFormatting sqref="F112">
    <cfRule type="expression" dxfId="52" priority="53">
      <formula>$J112="잔금"</formula>
    </cfRule>
  </conditionalFormatting>
  <conditionalFormatting sqref="H111:H113">
    <cfRule type="expression" dxfId="51" priority="52">
      <formula>$J111="잔금"</formula>
    </cfRule>
  </conditionalFormatting>
  <conditionalFormatting sqref="C111:C113">
    <cfRule type="expression" dxfId="50" priority="51">
      <formula>$J111="잔금"</formula>
    </cfRule>
  </conditionalFormatting>
  <conditionalFormatting sqref="E117">
    <cfRule type="expression" dxfId="49" priority="50">
      <formula>$J117="잔금"</formula>
    </cfRule>
  </conditionalFormatting>
  <conditionalFormatting sqref="F117">
    <cfRule type="expression" dxfId="48" priority="49">
      <formula>$J117="잔금"</formula>
    </cfRule>
  </conditionalFormatting>
  <conditionalFormatting sqref="F142:F149">
    <cfRule type="expression" dxfId="47" priority="48">
      <formula>$J142="잔금"</formula>
    </cfRule>
  </conditionalFormatting>
  <conditionalFormatting sqref="E142:E149">
    <cfRule type="expression" dxfId="46" priority="47">
      <formula>$J142="잔금"</formula>
    </cfRule>
  </conditionalFormatting>
  <conditionalFormatting sqref="H142:H149">
    <cfRule type="expression" dxfId="45" priority="46">
      <formula>$J142="잔금"</formula>
    </cfRule>
  </conditionalFormatting>
  <conditionalFormatting sqref="E151:E157">
    <cfRule type="expression" dxfId="44" priority="44">
      <formula>$J151="잔금"</formula>
    </cfRule>
  </conditionalFormatting>
  <conditionalFormatting sqref="F151:F157">
    <cfRule type="expression" dxfId="43" priority="43">
      <formula>$J151="잔금"</formula>
    </cfRule>
  </conditionalFormatting>
  <conditionalFormatting sqref="C151:C157">
    <cfRule type="expression" dxfId="42" priority="42">
      <formula>$J151="잔금"</formula>
    </cfRule>
  </conditionalFormatting>
  <conditionalFormatting sqref="H151:H157">
    <cfRule type="expression" dxfId="41" priority="41">
      <formula>$J151="잔금"</formula>
    </cfRule>
  </conditionalFormatting>
  <conditionalFormatting sqref="C158">
    <cfRule type="expression" dxfId="40" priority="40">
      <formula>$I158="잔금"</formula>
    </cfRule>
  </conditionalFormatting>
  <conditionalFormatting sqref="F159:F162">
    <cfRule type="expression" dxfId="39" priority="39">
      <formula>$J159="잔금"</formula>
    </cfRule>
  </conditionalFormatting>
  <conditionalFormatting sqref="E159:E162">
    <cfRule type="expression" dxfId="38" priority="38">
      <formula>$J159="잔금"</formula>
    </cfRule>
  </conditionalFormatting>
  <conditionalFormatting sqref="C159:C165">
    <cfRule type="expression" dxfId="37" priority="37">
      <formula>$J159="잔금"</formula>
    </cfRule>
  </conditionalFormatting>
  <conditionalFormatting sqref="H159:H162">
    <cfRule type="expression" dxfId="36" priority="36">
      <formula>$J159="잔금"</formula>
    </cfRule>
  </conditionalFormatting>
  <conditionalFormatting sqref="F166:F178">
    <cfRule type="expression" dxfId="35" priority="35">
      <formula>$J166="잔금"</formula>
    </cfRule>
  </conditionalFormatting>
  <conditionalFormatting sqref="F179:F185">
    <cfRule type="expression" dxfId="34" priority="34">
      <formula>$J179="잔금"</formula>
    </cfRule>
  </conditionalFormatting>
  <conditionalFormatting sqref="E166:E178">
    <cfRule type="expression" dxfId="33" priority="33">
      <formula>$J166="잔금"</formula>
    </cfRule>
  </conditionalFormatting>
  <conditionalFormatting sqref="E179:E185">
    <cfRule type="expression" dxfId="32" priority="32">
      <formula>$J179="잔금"</formula>
    </cfRule>
  </conditionalFormatting>
  <conditionalFormatting sqref="C166:C178">
    <cfRule type="expression" dxfId="31" priority="31">
      <formula>$J166="잔금"</formula>
    </cfRule>
  </conditionalFormatting>
  <conditionalFormatting sqref="C179:C185">
    <cfRule type="expression" dxfId="30" priority="30">
      <formula>$J179="잔금"</formula>
    </cfRule>
  </conditionalFormatting>
  <conditionalFormatting sqref="H166:H178">
    <cfRule type="expression" dxfId="29" priority="29">
      <formula>$J166="잔금"</formula>
    </cfRule>
  </conditionalFormatting>
  <conditionalFormatting sqref="H179:H185">
    <cfRule type="expression" dxfId="28" priority="28">
      <formula>$J179="잔금"</formula>
    </cfRule>
  </conditionalFormatting>
  <conditionalFormatting sqref="F194:F200">
    <cfRule type="expression" dxfId="27" priority="23">
      <formula>$J194="잔금"</formula>
    </cfRule>
  </conditionalFormatting>
  <conditionalFormatting sqref="E194:E200">
    <cfRule type="expression" dxfId="26" priority="22">
      <formula>$J194="잔금"</formula>
    </cfRule>
  </conditionalFormatting>
  <conditionalFormatting sqref="C194:C201">
    <cfRule type="expression" dxfId="25" priority="21">
      <formula>$J194="잔금"</formula>
    </cfRule>
  </conditionalFormatting>
  <conditionalFormatting sqref="H194:H200">
    <cfRule type="expression" dxfId="24" priority="20">
      <formula>$J194="잔금"</formula>
    </cfRule>
  </conditionalFormatting>
  <conditionalFormatting sqref="C202:C215">
    <cfRule type="expression" dxfId="23" priority="19">
      <formula>$J202="잔금"</formula>
    </cfRule>
  </conditionalFormatting>
  <conditionalFormatting sqref="F202:F215">
    <cfRule type="expression" dxfId="22" priority="18">
      <formula>$J202="잔금"</formula>
    </cfRule>
  </conditionalFormatting>
  <conditionalFormatting sqref="H202:H215">
    <cfRule type="expression" dxfId="21" priority="17">
      <formula>$J202="잔금"</formula>
    </cfRule>
  </conditionalFormatting>
  <conditionalFormatting sqref="E202:E216">
    <cfRule type="expression" dxfId="20" priority="16">
      <formula>$J202="잔금"</formula>
    </cfRule>
  </conditionalFormatting>
  <conditionalFormatting sqref="C216">
    <cfRule type="expression" dxfId="19" priority="15">
      <formula>$I216="잔금"</formula>
    </cfRule>
  </conditionalFormatting>
  <conditionalFormatting sqref="H216">
    <cfRule type="expression" dxfId="18" priority="10">
      <formula>$I216="잔금"</formula>
    </cfRule>
  </conditionalFormatting>
  <conditionalFormatting sqref="C217">
    <cfRule type="expression" dxfId="17" priority="9">
      <formula>$I217="잔금"</formula>
    </cfRule>
  </conditionalFormatting>
  <conditionalFormatting sqref="C218">
    <cfRule type="expression" dxfId="16" priority="8">
      <formula>$I218="잔금"</formula>
    </cfRule>
  </conditionalFormatting>
  <conditionalFormatting sqref="C219">
    <cfRule type="expression" dxfId="15" priority="7">
      <formula>$I219="잔금"</formula>
    </cfRule>
  </conditionalFormatting>
  <conditionalFormatting sqref="F220:F229">
    <cfRule type="expression" dxfId="9" priority="6">
      <formula>$J220="잔금"</formula>
    </cfRule>
  </conditionalFormatting>
  <conditionalFormatting sqref="F230:F243">
    <cfRule type="expression" dxfId="8" priority="5">
      <formula>$J230="잔금"</formula>
    </cfRule>
  </conditionalFormatting>
  <conditionalFormatting sqref="E220:E229">
    <cfRule type="expression" dxfId="5" priority="4">
      <formula>$J220="잔금"</formula>
    </cfRule>
  </conditionalFormatting>
  <conditionalFormatting sqref="E230:E243">
    <cfRule type="expression" dxfId="4" priority="3">
      <formula>$J230="잔금"</formula>
    </cfRule>
  </conditionalFormatting>
  <conditionalFormatting sqref="H220:H229">
    <cfRule type="expression" dxfId="1" priority="2">
      <formula>$J220="잔금"</formula>
    </cfRule>
  </conditionalFormatting>
  <conditionalFormatting sqref="H230:H243">
    <cfRule type="expression" dxfId="0" priority="1">
      <formula>$J230="잔금"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243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2026-03-20T09:28:10Z</dcterms:modified>
</cp:coreProperties>
</file>