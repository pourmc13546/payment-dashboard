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data!$A$1:$S$554</definedName>
    <definedName name="_xlnm._FilterDatabase">data!$A$1:$S$402</definedName>
  </definedNames>
  <calcPr calcId="162913"/>
</workbook>
</file>

<file path=xl/calcChain.xml><?xml version="1.0" encoding="utf-8"?>
<calcChain xmlns="http://schemas.openxmlformats.org/spreadsheetml/2006/main">
  <c r="H17" i="1" l="1"/>
  <c r="I550" i="1" l="1"/>
  <c r="J550" i="1" s="1"/>
  <c r="I551" i="1"/>
  <c r="J551" i="1" s="1"/>
  <c r="I552" i="1"/>
  <c r="J552" i="1" s="1"/>
  <c r="I553" i="1"/>
  <c r="J553" i="1" s="1"/>
  <c r="B550" i="1"/>
  <c r="B551" i="1"/>
  <c r="B552" i="1"/>
  <c r="B553" i="1"/>
  <c r="B554" i="1"/>
  <c r="I542" i="1"/>
  <c r="J542" i="1" s="1"/>
  <c r="I543" i="1"/>
  <c r="J543" i="1" s="1"/>
  <c r="I544" i="1"/>
  <c r="J544" i="1" s="1"/>
  <c r="I545" i="1"/>
  <c r="J545" i="1" s="1"/>
  <c r="I546" i="1"/>
  <c r="J546" i="1" s="1"/>
  <c r="I547" i="1"/>
  <c r="J547" i="1" s="1"/>
  <c r="I548" i="1"/>
  <c r="J548" i="1" s="1"/>
  <c r="I549" i="1"/>
  <c r="J549" i="1" s="1"/>
  <c r="B542" i="1"/>
  <c r="B543" i="1"/>
  <c r="B544" i="1"/>
  <c r="B545" i="1"/>
  <c r="B546" i="1"/>
  <c r="B547" i="1"/>
  <c r="B548" i="1"/>
  <c r="B549" i="1"/>
  <c r="B532" i="1"/>
  <c r="I532" i="1"/>
  <c r="J532" i="1" s="1"/>
  <c r="B533" i="1"/>
  <c r="I533" i="1"/>
  <c r="J533" i="1" s="1"/>
  <c r="B534" i="1"/>
  <c r="I534" i="1"/>
  <c r="J534" i="1" s="1"/>
  <c r="B535" i="1"/>
  <c r="I535" i="1"/>
  <c r="J535" i="1" s="1"/>
  <c r="B536" i="1"/>
  <c r="I536" i="1"/>
  <c r="J536" i="1" s="1"/>
  <c r="B537" i="1"/>
  <c r="I537" i="1"/>
  <c r="J537" i="1" s="1"/>
  <c r="B538" i="1"/>
  <c r="I538" i="1"/>
  <c r="J538" i="1" s="1"/>
  <c r="B539" i="1"/>
  <c r="I539" i="1"/>
  <c r="J539" i="1" s="1"/>
  <c r="I540" i="1"/>
  <c r="J540" i="1" s="1"/>
  <c r="I541" i="1"/>
  <c r="J541" i="1" s="1"/>
  <c r="B540" i="1"/>
  <c r="B541" i="1"/>
  <c r="B522" i="1" l="1"/>
  <c r="B523" i="1"/>
  <c r="B524" i="1"/>
  <c r="B525" i="1"/>
  <c r="B526" i="1"/>
  <c r="B527" i="1"/>
  <c r="B528" i="1"/>
  <c r="B529" i="1"/>
  <c r="B530" i="1"/>
  <c r="B531" i="1"/>
  <c r="I522" i="1"/>
  <c r="J522" i="1" s="1"/>
  <c r="I523" i="1"/>
  <c r="J523" i="1" s="1"/>
  <c r="I524" i="1"/>
  <c r="J524" i="1" s="1"/>
  <c r="I525" i="1"/>
  <c r="J525" i="1" s="1"/>
  <c r="I526" i="1"/>
  <c r="J526" i="1" s="1"/>
  <c r="I527" i="1"/>
  <c r="J527" i="1" s="1"/>
  <c r="I528" i="1"/>
  <c r="J528" i="1" s="1"/>
  <c r="I529" i="1"/>
  <c r="J529" i="1" s="1"/>
  <c r="I530" i="1"/>
  <c r="J530" i="1" s="1"/>
  <c r="I531" i="1"/>
  <c r="J531" i="1" s="1"/>
  <c r="I520" i="1" l="1"/>
  <c r="J520" i="1" s="1"/>
  <c r="I521" i="1"/>
  <c r="J521" i="1" s="1"/>
  <c r="B520" i="1"/>
  <c r="B521" i="1"/>
  <c r="I519" i="1"/>
  <c r="J519" i="1" s="1"/>
  <c r="B519" i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I512" i="1"/>
  <c r="J512" i="1" s="1"/>
  <c r="I513" i="1"/>
  <c r="J513" i="1" s="1"/>
  <c r="I514" i="1"/>
  <c r="J514" i="1" s="1"/>
  <c r="I515" i="1"/>
  <c r="J515" i="1" s="1"/>
  <c r="I516" i="1"/>
  <c r="J516" i="1" s="1"/>
  <c r="I517" i="1"/>
  <c r="J517" i="1" s="1"/>
  <c r="I518" i="1"/>
  <c r="J518" i="1" s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I486" i="1" l="1"/>
  <c r="J486" i="1" s="1"/>
  <c r="B486" i="1"/>
  <c r="I485" i="1"/>
  <c r="J485" i="1" s="1"/>
  <c r="B485" i="1"/>
  <c r="I479" i="1"/>
  <c r="J479" i="1" s="1"/>
  <c r="I480" i="1"/>
  <c r="J480" i="1" s="1"/>
  <c r="I481" i="1"/>
  <c r="J481" i="1" s="1"/>
  <c r="I482" i="1"/>
  <c r="J482" i="1" s="1"/>
  <c r="I483" i="1"/>
  <c r="J483" i="1" s="1"/>
  <c r="I484" i="1"/>
  <c r="J484" i="1" s="1"/>
  <c r="B479" i="1"/>
  <c r="B480" i="1"/>
  <c r="B481" i="1"/>
  <c r="B482" i="1"/>
  <c r="B483" i="1"/>
  <c r="B484" i="1"/>
  <c r="B337" i="1"/>
  <c r="I337" i="1"/>
  <c r="J337" i="1" s="1"/>
  <c r="H8" i="1" l="1"/>
  <c r="I477" i="1"/>
  <c r="J477" i="1" s="1"/>
  <c r="I478" i="1"/>
  <c r="J478" i="1" s="1"/>
  <c r="B477" i="1"/>
  <c r="B478" i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I471" i="1"/>
  <c r="J471" i="1" s="1"/>
  <c r="I472" i="1"/>
  <c r="J472" i="1" s="1"/>
  <c r="I473" i="1"/>
  <c r="J473" i="1" s="1"/>
  <c r="I474" i="1"/>
  <c r="J474" i="1" s="1"/>
  <c r="I475" i="1"/>
  <c r="J475" i="1" s="1"/>
  <c r="I476" i="1"/>
  <c r="J476" i="1" s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I452" i="1" l="1"/>
  <c r="J452" i="1" s="1"/>
  <c r="I453" i="1"/>
  <c r="J453" i="1" s="1"/>
  <c r="B453" i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I446" i="1"/>
  <c r="J446" i="1" s="1"/>
  <c r="I447" i="1"/>
  <c r="J447" i="1" s="1"/>
  <c r="I448" i="1"/>
  <c r="J448" i="1" s="1"/>
  <c r="I449" i="1"/>
  <c r="J449" i="1" s="1"/>
  <c r="I450" i="1"/>
  <c r="J450" i="1" s="1"/>
  <c r="I451" i="1"/>
  <c r="J451" i="1" s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I311" i="1" l="1"/>
  <c r="J311" i="1" s="1"/>
  <c r="B311" i="1"/>
  <c r="I435" i="1" l="1"/>
  <c r="J435" i="1" s="1"/>
  <c r="I436" i="1"/>
  <c r="J436" i="1" s="1"/>
  <c r="I437" i="1"/>
  <c r="J437" i="1" s="1"/>
  <c r="I438" i="1"/>
  <c r="J438" i="1" s="1"/>
  <c r="B435" i="1"/>
  <c r="B436" i="1"/>
  <c r="B437" i="1"/>
  <c r="B438" i="1"/>
  <c r="B434" i="1"/>
  <c r="I425" i="1"/>
  <c r="J425" i="1" s="1"/>
  <c r="I426" i="1"/>
  <c r="J426" i="1" s="1"/>
  <c r="I427" i="1"/>
  <c r="J427" i="1" s="1"/>
  <c r="I428" i="1"/>
  <c r="J428" i="1" s="1"/>
  <c r="I429" i="1"/>
  <c r="J429" i="1" s="1"/>
  <c r="I430" i="1"/>
  <c r="J430" i="1" s="1"/>
  <c r="I431" i="1"/>
  <c r="J431" i="1" s="1"/>
  <c r="I432" i="1"/>
  <c r="J432" i="1" s="1"/>
  <c r="I433" i="1"/>
  <c r="J433" i="1" s="1"/>
  <c r="I434" i="1"/>
  <c r="J434" i="1" s="1"/>
  <c r="B425" i="1"/>
  <c r="B426" i="1"/>
  <c r="B427" i="1"/>
  <c r="B428" i="1"/>
  <c r="B429" i="1"/>
  <c r="B430" i="1"/>
  <c r="B431" i="1"/>
  <c r="B432" i="1"/>
  <c r="B433" i="1"/>
  <c r="I421" i="1" l="1"/>
  <c r="J421" i="1" s="1"/>
  <c r="I422" i="1"/>
  <c r="J422" i="1" s="1"/>
  <c r="I423" i="1"/>
  <c r="J423" i="1" s="1"/>
  <c r="I424" i="1"/>
  <c r="J424" i="1" s="1"/>
  <c r="D417" i="1"/>
  <c r="D418" i="1"/>
  <c r="D419" i="1"/>
  <c r="D420" i="1"/>
  <c r="B421" i="1"/>
  <c r="B422" i="1"/>
  <c r="B423" i="1"/>
  <c r="B424" i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I419" i="1"/>
  <c r="J419" i="1" s="1"/>
  <c r="I420" i="1"/>
  <c r="J420" i="1" s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D402" i="1"/>
  <c r="I401" i="1" l="1"/>
  <c r="J401" i="1" s="1"/>
  <c r="B401" i="1"/>
  <c r="B400" i="1"/>
  <c r="B399" i="1"/>
  <c r="B398" i="1"/>
  <c r="D397" i="1"/>
  <c r="B396" i="1"/>
  <c r="B397" i="1"/>
  <c r="B384" i="1" l="1"/>
  <c r="B385" i="1"/>
  <c r="B386" i="1"/>
  <c r="B387" i="1"/>
  <c r="B388" i="1"/>
  <c r="B389" i="1"/>
  <c r="B390" i="1"/>
  <c r="B391" i="1"/>
  <c r="B392" i="1"/>
  <c r="B393" i="1"/>
  <c r="B394" i="1"/>
  <c r="B395" i="1"/>
  <c r="B383" i="1" l="1"/>
  <c r="B382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0" i="1" l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288" i="1" l="1"/>
  <c r="D100" i="1"/>
  <c r="B278" i="1" l="1"/>
  <c r="B279" i="1"/>
  <c r="B280" i="1"/>
  <c r="B281" i="1"/>
  <c r="B282" i="1"/>
  <c r="B283" i="1"/>
  <c r="B284" i="1"/>
  <c r="B285" i="1"/>
  <c r="B286" i="1"/>
  <c r="B287" i="1"/>
  <c r="B276" i="1"/>
  <c r="B277" i="1"/>
  <c r="I138" i="1" l="1"/>
  <c r="J138" i="1" s="1"/>
  <c r="I139" i="1"/>
  <c r="B138" i="1"/>
  <c r="D138" i="1"/>
  <c r="B257" i="1" l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55" i="1"/>
  <c r="B256" i="1"/>
  <c r="B253" i="1"/>
  <c r="B254" i="1"/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I400" i="1" l="1"/>
  <c r="J400" i="1" s="1"/>
  <c r="I399" i="1"/>
  <c r="J399" i="1" s="1"/>
  <c r="I398" i="1"/>
  <c r="J398" i="1" s="1"/>
  <c r="I397" i="1"/>
  <c r="J397" i="1" s="1"/>
  <c r="I396" i="1"/>
  <c r="J396" i="1" s="1"/>
  <c r="D396" i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0" i="1"/>
  <c r="J310" i="1" s="1"/>
  <c r="I309" i="1"/>
  <c r="J309" i="1" s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D289" i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D255" i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J139" i="1"/>
  <c r="D139" i="1"/>
  <c r="B139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<sst xmlns="http://schemas.openxmlformats.org/spreadsheetml/2006/main" count="2938" uniqueCount="770">
  <si>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</si>
  <si>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</si>
  <si>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</si>
  <si>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</si>
  <si>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</si>
  <si>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</si>
  <si>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</si>
  <si>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</si>
  <si>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</si>
  <si>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</si>
  <si>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</si>
  <si>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</si>
  <si>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</si>
  <si>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</si>
  <si>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</si>
  <si>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</si>
  <si>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</si>
  <si>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</si>
  <si>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</si>
  <si>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</si>
  <si>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</si>
  <si>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</si>
  <si>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</si>
  <si>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</si>
  <si>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</si>
  <si>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</si>
  <si>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</si>
  <si>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</si>
  <si>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</si>
  <si>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</si>
  <si>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</si>
  <si>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</si>
  <si>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</si>
  <si>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</si>
  <si>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</si>
  <si>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</si>
  <si>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</si>
  <si>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</si>
  <si>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</si>
  <si>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</si>
  <si>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</si>
  <si>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</si>
  <si>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</si>
  <si>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</si>
  <si>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</si>
  <si>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</si>
  <si>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</si>
  <si>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</si>
  <si>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</si>
  <si>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</si>
  <si>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</si>
  <si>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</si>
  <si>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</si>
  <si>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</si>
  <si>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</si>
  <si>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</si>
  <si>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</si>
  <si>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</si>
  <si>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</si>
  <si>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</si>
  <si>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</si>
  <si>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</si>
  <si>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</si>
  <si>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</si>
  <si>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</si>
  <si>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</si>
  <si>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</si>
  <si>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</si>
  <si>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</si>
  <si>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</si>
  <si>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</si>
  <si>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</si>
  <si>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</si>
  <si>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</si>
  <si>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</si>
  <si>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</si>
  <si>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</si>
  <si>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</si>
  <si>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</si>
  <si>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</si>
  <si>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</si>
  <si>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</si>
  <si>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</si>
  <si>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</si>
  <si>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</si>
  <si>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</si>
  <si>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</si>
  <si>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</si>
  <si>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</si>
  <si>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</si>
  <si>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</si>
  <si>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</si>
  <si>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</si>
  <si>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</si>
  <si>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</si>
  <si>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</si>
  <si>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</si>
  <si>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</si>
  <si>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</si>
  <si>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</si>
  <si>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</si>
  <si>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</si>
  <si>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</si>
  <si>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</si>
  <si>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</si>
  <si>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</si>
  <si>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</si>
  <si>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</si>
  <si>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</si>
  <si>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</si>
  <si>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</si>
  <si>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</si>
  <si>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</si>
  <si>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</si>
  <si>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</si>
  <si>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</si>
  <si>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</si>
  <si>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</si>
  <si>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</si>
  <si>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</si>
  <si>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</si>
  <si>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</si>
  <si>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</si>
  <si>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</si>
  <si>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</si>
  <si>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</si>
  <si>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</si>
  <si>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</si>
  <si>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</si>
  <si>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</si>
  <si>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</si>
  <si>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</si>
  <si>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</si>
  <si>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</si>
  <si>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</si>
  <si>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</si>
  <si>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</si>
  <si>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</si>
  <si>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</si>
  <si>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</si>
  <si>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</si>
  <si>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</si>
  <si>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</si>
  <si>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</si>
  <si>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</si>
  <si>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</si>
  <si>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</si>
  <si>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</si>
  <si>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</si>
  <si>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</si>
  <si>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</si>
  <si>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</si>
  <si>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</si>
  <si>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</si>
  <si>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</si>
  <si>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</si>
  <si>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</si>
  <si>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</si>
  <si>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</si>
  <si>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</si>
  <si>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</si>
  <si>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</si>
  <si>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</si>
  <si>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</si>
  <si>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</si>
  <si>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</si>
  <si>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</si>
  <si>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</si>
  <si>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</si>
  <si>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</si>
  <si>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</si>
  <si>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</si>
  <si>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</si>
  <si>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</si>
  <si>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</si>
  <si>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</si>
  <si>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</si>
  <si>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</si>
  <si>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</si>
  <si>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</si>
  <si>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</si>
  <si>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</si>
  <si>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</si>
  <si>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</si>
  <si>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</si>
  <si>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</si>
  <si>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</si>
  <si>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</si>
  <si>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</si>
  <si>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</si>
  <si>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</si>
  <si>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</si>
  <si>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</si>
  <si>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</si>
  <si>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</si>
  <si>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</si>
  <si>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</si>
  <si>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</si>
  <si>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</si>
  <si>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</si>
  <si>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</si>
  <si>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</si>
  <si>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</si>
  <si>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</si>
  <si>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</si>
  <si>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</si>
  <si>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</si>
  <si>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</si>
  <si>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</si>
  <si>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</si>
  <si>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</si>
  <si>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</si>
  <si>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</si>
  <si>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</si>
  <si>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</si>
  <si>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</si>
  <si>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</si>
  <si>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</si>
  <si>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</si>
  <si>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</si>
  <si>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</si>
  <si>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</si>
  <si>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</si>
  <si>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</si>
  <si>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</si>
  <si>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</si>
  <si>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</si>
  <si>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</si>
  <si>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</si>
  <si>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</si>
  <si>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</si>
  <si>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</si>
  <si>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</si>
  <si>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</si>
  <si>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</si>
  <si>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</si>
  <si>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</si>
  <si>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</si>
  <si>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</si>
  <si>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</si>
  <si>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</si>
  <si>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</si>
  <si>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</si>
  <si>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</si>
  <si>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</si>
  <si>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</si>
  <si>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</si>
  <si>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</si>
  <si>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</si>
  <si>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</si>
  <si>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</si>
  <si>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</si>
  <si>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</si>
  <si>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</si>
  <si>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</si>
  <si>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</si>
  <si>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</si>
  <si>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</si>
  <si>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</si>
  <si>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</si>
  <si>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</si>
  <si>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</si>
  <si>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</si>
  <si>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</si>
  <si>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</si>
  <si>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</si>
  <si>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</si>
  <si>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</si>
  <si>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</si>
  <si>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</si>
  <si>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</si>
  <si>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</si>
  <si>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</si>
  <si>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</si>
  <si>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</si>
  <si>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</si>
  <si>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</si>
  <si>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</si>
  <si>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</si>
  <si>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</si>
  <si>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</si>
  <si>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</si>
  <si>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</si>
  <si>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</si>
  <si>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</si>
  <si>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</si>
  <si>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</si>
  <si>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</si>
  <si>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</si>
  <si>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</si>
  <si>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</si>
  <si>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</si>
  <si>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</si>
  <si>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</si>
  <si>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</si>
  <si>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</si>
  <si>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</si>
  <si>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</si>
  <si>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</si>
  <si>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</si>
  <si>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</si>
  <si>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</si>
  <si>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</si>
  <si>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</si>
  <si>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</si>
  <si>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</si>
  <si>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</si>
  <si>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</si>
  <si>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</si>
  <si>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</si>
  <si>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</si>
  <si>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</si>
  <si>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</si>
  <si>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</si>
  <si>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</si>
  <si>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</si>
  <si>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</si>
  <si>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</si>
  <si>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</si>
  <si>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</si>
  <si>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</si>
  <si>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</si>
  <si>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</si>
  <si>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</si>
  <si>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</si>
  <si>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</si>
  <si>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</si>
  <si>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</si>
  <si>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</si>
  <si>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</si>
  <si>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</si>
  <si>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</si>
  <si>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</si>
  <si>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</si>
  <si>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</si>
  <si>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</si>
  <si>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</si>
  <si>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</si>
  <si>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</si>
  <si>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</si>
  <si>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</si>
  <si>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</si>
  <si>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</si>
  <si>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</si>
  <si>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</si>
  <si>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</si>
  <si>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</si>
  <si>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</si>
  <si>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</si>
  <si>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</si>
  <si>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</si>
  <si>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</si>
  <si>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</si>
  <si>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</si>
  <si>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</si>
  <si>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</si>
  <si>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</si>
  <si>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</si>
  <si>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</si>
  <si>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</si>
  <si>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</si>
  <si>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</si>
  <si>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</si>
  <si>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</si>
  <si>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</si>
  <si>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</si>
  <si>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</si>
  <si>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</si>
  <si>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</si>
  <si>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</si>
  <si>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</si>
  <si>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</si>
  <si>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</si>
  <si>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</si>
  <si>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</si>
  <si>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</si>
  <si>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</si>
  <si>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</si>
  <si>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</si>
  <si>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</si>
  <si>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</si>
  <si>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</si>
  <si>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</si>
  <si>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</si>
  <si>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</si>
  <si>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</si>
  <si>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</si>
  <si>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</si>
  <si>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</si>
  <si>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</si>
  <si>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</si>
  <si>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</si>
  <si>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</si>
  <si>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</si>
  <si>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</si>
  <si>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</si>
  <si>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</si>
  <si>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</si>
  <si>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</si>
  <si>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</si>
  <si>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</si>
  <si>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</si>
  <si>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</si>
  <si>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</si>
  <si>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</si>
  <si>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</si>
  <si>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</si>
  <si>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</si>
  <si>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</si>
  <si>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</si>
  <si>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</si>
  <si>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</si>
  <si>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</si>
  <si>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</si>
  <si>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</si>
  <si>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</si>
  <si>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</si>
  <si>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</si>
  <si>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</si>
  <si>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</si>
  <si>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</si>
  <si>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</si>
  <si>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</si>
  <si>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</si>
  <si>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</si>
  <si>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</si>
  <si>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</si>
  <si>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</si>
  <si>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</si>
  <si>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</si>
  <si>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</si>
  <si>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</si>
  <si>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</si>
  <si>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</si>
  <si>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</si>
  <si>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</si>
  <si>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</si>
  <si>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</si>
  <si>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</si>
  <si>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</si>
  <si>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</si>
  <si>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</si>
  <si>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</si>
  <si>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</si>
  <si>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</si>
  <si>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</si>
  <si>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</si>
  <si>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</si>
  <si>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</si>
  <si>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</si>
  <si>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</si>
  <si>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</si>
  <si>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</si>
  <si>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</si>
  <si>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</si>
  <si>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</si>
  <si>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</si>
  <si>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</si>
  <si>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</si>
  <si>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</si>
  <si>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</si>
  <si>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</si>
  <si>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</si>
  <si>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</si>
  <si>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</si>
  <si>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</si>
  <si>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</si>
  <si>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</si>
  <si>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</si>
  <si>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</si>
  <si>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</si>
  <si>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</si>
  <si>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</si>
  <si>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</si>
  <si>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</si>
  <si>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</si>
  <si>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</si>
  <si>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</si>
  <si>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</si>
  <si>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</si>
  <si>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</si>
  <si>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</si>
  <si>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</si>
  <si>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</si>
  <si>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</si>
  <si>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</si>
  <si>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</si>
  <si>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</si>
  <si>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</si>
  <si>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</si>
  <si>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</si>
  <si>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</si>
  <si>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</si>
  <si>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</si>
  <si>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</si>
  <si>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</si>
  <si>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</si>
  <si>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</si>
  <si>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</si>
  <si>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</si>
  <si>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</si>
  <si>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</si>
  <si>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</si>
  <si>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</si>
  <si>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</si>
  <si>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</si>
  <si>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</si>
  <si>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</si>
  <si>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</si>
  <si>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</si>
  <si>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</si>
  <si>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</si>
  <si>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</si>
  <si>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</si>
  <si>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</si>
  <si>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</si>
  <si>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</si>
  <si>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</si>
  <si>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</si>
  <si>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</si>
  <si>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</si>
  <si>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</si>
  <si>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</si>
  <si>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</si>
  <si>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</si>
  <si>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</si>
  <si>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</si>
  <si>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</si>
  <si>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</si>
  <si>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</si>
  <si>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</si>
  <si>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</si>
  <si>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</si>
  <si>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</si>
  <si>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</si>
  <si>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</si>
  <si>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</si>
  <si>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</si>
  <si>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</si>
  <si>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</si>
  <si>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</si>
  <si>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</si>
  <si>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</si>
  <si>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</si>
  <si>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</si>
  <si>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</si>
  <si>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</si>
  <si>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</si>
  <si>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</si>
  <si>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</si>
  <si>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</si>
  <si>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</si>
  <si>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</si>
  <si>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</si>
  <si>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</si>
  <si>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</si>
  <si>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</si>
  <si>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</si>
  <si>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</si>
  <si>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</si>
  <si>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</si>
  <si>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</si>
  <si>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</si>
  <si>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</si>
  <si>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</si>
  <si>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</si>
  <si>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</si>
  <si>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</si>
  <si>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</si>
  <si>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</si>
  <si>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</si>
  <si>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</si>
  <si>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</si>
  <si>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</si>
  <si>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</si>
  <si>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</si>
  <si>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</si>
  <si>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</si>
  <si>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</si>
  <si>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</si>
  <si>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</si>
  <si>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</si>
  <si>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</si>
  <si>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</si>
  <si>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</si>
  <si>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</si>
  <si>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</si>
  <si>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</si>
  <si>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</si>
  <si>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</si>
  <si>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</si>
  <si>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</si>
  <si>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</si>
  <si>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</si>
  <si>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</si>
  <si>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</si>
  <si>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</si>
  <si>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</si>
  <si>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</si>
  <si>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</si>
  <si>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</si>
  <si>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</si>
  <si>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</si>
  <si>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</si>
  <si>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</si>
  <si>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</si>
  <si>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</si>
  <si>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</si>
  <si>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</si>
  <si>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</si>
  <si>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</si>
  <si>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</si>
  <si>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</si>
  <si>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</si>
  <si>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</si>
  <si>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</si>
  <si>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</si>
  <si>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</si>
  <si>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</si>
  <si>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</si>
  <si>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</si>
  <si>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</si>
  <si>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</si>
  <si>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</si>
  <si>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</si>
  <si>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</si>
  <si>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무주상록아파트</t>
    <phoneticPr fontId="12" type="noConversion"/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</si>
  <si>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</si>
  <si>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</si>
  <si>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</si>
  <si>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</si>
  <si>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</si>
  <si>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</si>
  <si>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</si>
  <si>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</si>
  <si>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</si>
  <si>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</si>
  <si>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</si>
  <si>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</si>
  <si>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</si>
  <si>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</si>
  <si>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</si>
  <si>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</si>
  <si>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</si>
  <si>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</si>
  <si>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</si>
  <si>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</si>
  <si>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</si>
  <si>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</si>
  <si>
    <t>신대방신동아아파트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</si>
  <si>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</si>
  <si>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</si>
  <si>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</si>
  <si>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</si>
  <si>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</si>
  <si>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석수두산위브아파트</t>
  </si>
  <si>
    <t>원일가대라곡아파트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</si>
  <si>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</si>
  <si>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</si>
  <si>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</si>
  <si>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</si>
  <si>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</si>
  <si>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성진산업</t>
  </si>
  <si>
    <t>(주)세영건설</t>
  </si>
  <si>
    <t>2026-04-20</t>
  </si>
  <si>
    <t>2026-04-21</t>
  </si>
  <si>
    <t>자재</t>
    <phoneticPr fontId="5" type="noConversion"/>
  </si>
  <si>
    <t>크로바아파트</t>
    <phoneticPr fontId="5" type="noConversion"/>
  </si>
  <si>
    <t>잔금</t>
    <phoneticPr fontId="5" type="noConversion"/>
  </si>
  <si>
    <t>주식회사 위즈페인팅</t>
    <phoneticPr fontId="5" type="noConversion"/>
  </si>
  <si>
    <t>A</t>
    <phoneticPr fontId="5" type="noConversion"/>
  </si>
  <si>
    <t>금오주공그린빌4단지아파트</t>
    <phoneticPr fontId="5" type="noConversion"/>
  </si>
  <si>
    <t>삼정ING건설</t>
    <phoneticPr fontId="5" type="noConversion"/>
  </si>
  <si>
    <t>중도금</t>
    <phoneticPr fontId="5" type="noConversion"/>
  </si>
  <si>
    <t>정진코킹</t>
  </si>
  <si>
    <t>대현테크노월드주상복합</t>
  </si>
  <si>
    <t>경동 대전중구오류183 추가</t>
  </si>
  <si>
    <t>경동택배 대전중구오류183</t>
  </si>
  <si>
    <t>인창1차동문굿모닝힐</t>
  </si>
  <si>
    <t>자재</t>
    <phoneticPr fontId="5" type="noConversion"/>
  </si>
  <si>
    <t>B</t>
    <phoneticPr fontId="5" type="noConversion"/>
  </si>
  <si>
    <t>해운대 센텀트루엘아파트(주차장)</t>
  </si>
  <si>
    <t>㈜대한진단건설</t>
  </si>
  <si>
    <t>기술자문료</t>
    <phoneticPr fontId="5" type="noConversion"/>
  </si>
  <si>
    <t>기술자문료</t>
    <phoneticPr fontId="5" type="noConversion"/>
  </si>
  <si>
    <t>A</t>
    <phoneticPr fontId="5" type="noConversion"/>
  </si>
  <si>
    <t>여름건설(주)</t>
    <phoneticPr fontId="5" type="noConversion"/>
  </si>
  <si>
    <t>원불교안암교당</t>
    <phoneticPr fontId="5" type="noConversion"/>
  </si>
  <si>
    <t>잔금</t>
    <phoneticPr fontId="5" type="noConversion"/>
  </si>
  <si>
    <t>계룡삼환아파트</t>
    <phoneticPr fontId="5" type="noConversion"/>
  </si>
  <si>
    <t>대왕중학교</t>
  </si>
  <si>
    <t>봉천동건영6차</t>
  </si>
  <si>
    <t>권선삼성래미안</t>
  </si>
  <si>
    <t>계룡삼환아파트</t>
  </si>
  <si>
    <t>검단힐스테이트2차</t>
  </si>
  <si>
    <t>태왕아너스오션</t>
    <phoneticPr fontId="12" type="noConversion"/>
  </si>
  <si>
    <t>사곡영진자이온2단지</t>
    <phoneticPr fontId="12" type="noConversion"/>
  </si>
  <si>
    <t>삼익세라믹1.2차</t>
    <phoneticPr fontId="12" type="noConversion"/>
  </si>
  <si>
    <t>고덕현대</t>
    <phoneticPr fontId="12" type="noConversion"/>
  </si>
  <si>
    <t>동탄더레이크팰리스</t>
    <phoneticPr fontId="12" type="noConversion"/>
  </si>
  <si>
    <t>대림3동현대</t>
    <phoneticPr fontId="12" type="noConversion"/>
  </si>
  <si>
    <t>송도베르디움더퍼스트</t>
  </si>
  <si>
    <t>사무실 택배</t>
  </si>
  <si>
    <t>금촌동문아파트</t>
  </si>
  <si>
    <t>목동세종그랑시아</t>
  </si>
  <si>
    <t>상무버들마을2단지</t>
  </si>
  <si>
    <t>안성베르빌</t>
  </si>
  <si>
    <t>대천홍화아파트</t>
  </si>
  <si>
    <t>대전창고</t>
    <phoneticPr fontId="12" type="noConversion"/>
  </si>
  <si>
    <t>주식회사 주태건설</t>
  </si>
  <si>
    <t>알파플러스</t>
  </si>
  <si>
    <t>(주)케이탑건설</t>
  </si>
  <si>
    <t>(주)무한하우징</t>
  </si>
  <si>
    <t>2026-04-22</t>
  </si>
  <si>
    <t>2026-04-23</t>
  </si>
  <si>
    <t>자재</t>
    <phoneticPr fontId="5" type="noConversion"/>
  </si>
  <si>
    <t>B</t>
    <phoneticPr fontId="5" type="noConversion"/>
  </si>
  <si>
    <t>대림3동현대</t>
    <phoneticPr fontId="5" type="noConversion"/>
  </si>
  <si>
    <t>㈜무한하우징</t>
    <phoneticPr fontId="5" type="noConversion"/>
  </si>
  <si>
    <t>C</t>
    <phoneticPr fontId="5" type="noConversion"/>
  </si>
  <si>
    <t>특허료</t>
    <phoneticPr fontId="5" type="noConversion"/>
  </si>
  <si>
    <t>A</t>
    <phoneticPr fontId="5" type="noConversion"/>
  </si>
  <si>
    <t>중도금</t>
    <phoneticPr fontId="5" type="noConversion"/>
  </si>
  <si>
    <t>선급금</t>
    <phoneticPr fontId="5" type="noConversion"/>
  </si>
  <si>
    <t>㈜적산건설</t>
    <phoneticPr fontId="5" type="noConversion"/>
  </si>
  <si>
    <t>㈜에이치제이건설</t>
    <phoneticPr fontId="5" type="noConversion"/>
  </si>
  <si>
    <t>대창센시티아파트</t>
    <phoneticPr fontId="5" type="noConversion"/>
  </si>
  <si>
    <t>영승한마음타운아파트</t>
    <phoneticPr fontId="5" type="noConversion"/>
  </si>
  <si>
    <t>㈜청명이앤디</t>
    <phoneticPr fontId="5" type="noConversion"/>
  </si>
  <si>
    <t>(주)대륜씨엔씨</t>
  </si>
  <si>
    <t>재현방수,페인트</t>
  </si>
  <si>
    <t>(주)라인탑케이에스</t>
  </si>
  <si>
    <t>2026-04-24</t>
  </si>
  <si>
    <t>2026-04-27</t>
  </si>
  <si>
    <t>골드클래스시그니처</t>
  </si>
  <si>
    <t>무등산광신프로그래스</t>
  </si>
  <si>
    <t>잠원동롯데캐슬갤럭시1차</t>
  </si>
  <si>
    <t>경동택배제주화북일4701</t>
  </si>
  <si>
    <t>신월금용아파트</t>
  </si>
  <si>
    <t>천안프라지움6차</t>
  </si>
  <si>
    <t>민락진로비치</t>
  </si>
  <si>
    <t>하남은행아파트</t>
  </si>
  <si>
    <t>자재</t>
    <phoneticPr fontId="5" type="noConversion"/>
  </si>
  <si>
    <t>B</t>
    <phoneticPr fontId="5" type="noConversion"/>
  </si>
  <si>
    <t>2026-04-28</t>
  </si>
  <si>
    <t>(주)일진건설</t>
  </si>
  <si>
    <t>내서숲속마을주공그린빌4단지</t>
    <phoneticPr fontId="12" type="noConversion"/>
  </si>
  <si>
    <t>송정풍산아파트</t>
    <phoneticPr fontId="12" type="noConversion"/>
  </si>
  <si>
    <t>사무실 택배</t>
    <phoneticPr fontId="12" type="noConversion"/>
  </si>
  <si>
    <t>선진정공 당진공장</t>
    <phoneticPr fontId="12" type="noConversion"/>
  </si>
  <si>
    <t>신월금호타운</t>
    <phoneticPr fontId="12" type="noConversion"/>
  </si>
  <si>
    <t>여주현대하리</t>
    <phoneticPr fontId="12" type="noConversion"/>
  </si>
  <si>
    <t>김호호반베르디움더퍼스트</t>
  </si>
  <si>
    <t>동탄역시범리슈빌</t>
    <phoneticPr fontId="12" type="noConversion"/>
  </si>
  <si>
    <t>주안역신일해피트리</t>
    <phoneticPr fontId="12" type="noConversion"/>
  </si>
  <si>
    <t>하남은행아파트</t>
    <phoneticPr fontId="12" type="noConversion"/>
  </si>
  <si>
    <t>대전한우리아파트</t>
    <phoneticPr fontId="12" type="noConversion"/>
  </si>
  <si>
    <t>삼정그린코아포레스트2단지</t>
    <phoneticPr fontId="12" type="noConversion"/>
  </si>
  <si>
    <t>칠곡효성해링턴3단지</t>
    <phoneticPr fontId="12" type="noConversion"/>
  </si>
  <si>
    <t>건진개발㈜</t>
    <phoneticPr fontId="5" type="noConversion"/>
  </si>
  <si>
    <t>덕천동롯데</t>
    <phoneticPr fontId="5" type="noConversion"/>
  </si>
  <si>
    <t>중도금</t>
    <phoneticPr fontId="5" type="noConversion"/>
  </si>
  <si>
    <t>A</t>
    <phoneticPr fontId="5" type="noConversion"/>
  </si>
  <si>
    <t>초담건설㈜</t>
    <phoneticPr fontId="5" type="noConversion"/>
  </si>
  <si>
    <t>대지마을현대홈타운아파트</t>
    <phoneticPr fontId="5" type="noConversion"/>
  </si>
  <si>
    <t>중도금</t>
    <phoneticPr fontId="5" type="noConversion"/>
  </si>
  <si>
    <t>㈜적산건설</t>
    <phoneticPr fontId="5" type="noConversion"/>
  </si>
  <si>
    <t>석수e편한세상아파트</t>
    <phoneticPr fontId="5" type="noConversion"/>
  </si>
  <si>
    <t>대창센시티아파트</t>
    <phoneticPr fontId="5" type="noConversion"/>
  </si>
  <si>
    <t>잔금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</si>
</sst>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52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  <xf numFmtId="41" fontId="3" fillId="0" borderId="0" xfId="0" applyNumberFormat="1" applyFont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27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554"/>
  <sheetViews>
    <sheetView tabSelected="1" zoomScaleNormal="100" workbookViewId="0">
      <pane xSplit="5" ySplit="1" topLeftCell="F2" activePane="bottomRight" state="frozen"/>
      <selection pane="topRight"/>
      <selection pane="bottomLeft"/>
      <selection pane="bottomRight" activeCell="H556" sqref="H556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hidden="1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343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hidden="1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hidden="1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173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hidden="1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hidden="1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323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hidden="1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225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hidden="1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f>91762800-45454545</f>
        <v>46308255</v>
      </c>
      <c r="I8" s="12">
        <f t="shared" ca="1" si="1"/>
        <v>175</v>
      </c>
      <c r="J8" s="13" t="str">
        <f t="shared" ca="1" si="2"/>
        <v>장기미수</v>
      </c>
      <c r="K8" s="11">
        <v>46111</v>
      </c>
      <c r="L8" s="11"/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hidden="1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130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hidden="1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125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hidden="1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hidden="1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hidden="1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308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hidden="1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168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hidden="1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483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903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f>48041200-15423595</f>
        <v>32617605</v>
      </c>
      <c r="I17" s="12">
        <f t="shared" ca="1" si="1"/>
        <v>707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547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685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684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hidden="1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776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hidden="1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418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hidden="1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413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hidden="1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403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hidden="1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397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hidden="1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393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hidden="1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393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hidden="1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392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hidden="1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390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hidden="1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369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hidden="1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355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hidden="1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334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hidden="1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322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hidden="1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292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hidden="1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270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hidden="1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341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hidden="1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265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hidden="1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17970118</v>
      </c>
      <c r="I38" s="12">
        <f t="shared" ca="1" si="3"/>
        <v>243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hidden="1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238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hidden="1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hidden="1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195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hidden="1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193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hidden="1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hidden="1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182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hidden="1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hidden="1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hidden="1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hidden="1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hidden="1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hidden="1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hidden="1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hidden="1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hidden="1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hidden="1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hidden="1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hidden="1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435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300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300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251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hidden="1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hidden="1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hidden="1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hidden="1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hidden="1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hidden="1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hidden="1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hidden="1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hidden="1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hidden="1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hidden="1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hidden="1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hidden="1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hidden="1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hidden="1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hidden="1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hidden="1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</v>
      </c>
      <c r="J77" s="13" t="str">
        <f t="shared" ca="1" si="7"/>
        <v>정상</v>
      </c>
      <c r="K77" s="11"/>
      <c r="L77" s="11">
        <v>46045</v>
      </c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hidden="1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hidden="1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hidden="1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hidden="1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98</v>
      </c>
      <c r="J81" s="13" t="str">
        <f t="shared" ca="1" si="7"/>
        <v>장기미수</v>
      </c>
      <c r="K81" s="11"/>
      <c r="L81" s="11">
        <v>46136</v>
      </c>
      <c r="M81" s="10"/>
      <c r="N81" s="10" t="s">
        <v>33</v>
      </c>
      <c r="Q81" s="11"/>
      <c r="R81" s="11"/>
      <c r="S81" s="10"/>
    </row>
    <row r="82" spans="2:19" s="6" customFormat="1" ht="16.5" hidden="1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hidden="1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hidden="1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hidden="1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hidden="1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hidden="1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hidden="1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hidden="1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hidden="1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hidden="1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hidden="1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hidden="1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hidden="1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hidden="1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hidden="1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78</v>
      </c>
      <c r="J96" s="13" t="str">
        <f t="shared" ca="1" si="7"/>
        <v>관리</v>
      </c>
      <c r="K96" s="11">
        <v>46142</v>
      </c>
      <c r="L96" s="11"/>
      <c r="M96" s="10"/>
      <c r="N96" s="10" t="s">
        <v>33</v>
      </c>
      <c r="Q96" s="11"/>
      <c r="R96" s="11"/>
      <c r="S96" s="10"/>
    </row>
    <row r="97" spans="2:19" s="6" customFormat="1" ht="16.5" hidden="1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hidden="1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77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/>
      <c r="M98" s="10"/>
      <c r="N98" s="10" t="s">
        <v>33</v>
      </c>
      <c r="Q98" s="11"/>
      <c r="R98" s="11"/>
      <c r="S98" s="10"/>
    </row>
    <row r="99" spans="2:19" s="6" customFormat="1" ht="16.5" hidden="1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hidden="1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683</v>
      </c>
      <c r="H100" s="4">
        <v>16130000</v>
      </c>
      <c r="I100" s="6">
        <f t="shared" ca="1" si="10"/>
        <v>113</v>
      </c>
      <c r="J100" s="13" t="str">
        <f t="shared" ca="1" si="11"/>
        <v>장기미수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hidden="1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hidden="1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hidden="1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hidden="1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76</v>
      </c>
      <c r="J104" s="13" t="str">
        <f t="shared" ca="1" si="11"/>
        <v>관리</v>
      </c>
      <c r="K104" s="11">
        <v>46142</v>
      </c>
      <c r="L104" s="11"/>
      <c r="M104" s="10"/>
      <c r="N104" s="10" t="s">
        <v>33</v>
      </c>
      <c r="Q104" s="11"/>
      <c r="R104" s="11"/>
      <c r="S104" s="10"/>
    </row>
    <row r="105" spans="2:19" s="6" customFormat="1" ht="16.5" hidden="1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76</v>
      </c>
      <c r="J105" s="13" t="str">
        <f t="shared" ca="1" si="11"/>
        <v>관리</v>
      </c>
      <c r="K105" s="11">
        <v>46142</v>
      </c>
      <c r="L105" s="11"/>
      <c r="M105" s="10"/>
      <c r="N105" s="10" t="s">
        <v>33</v>
      </c>
      <c r="Q105" s="11"/>
      <c r="R105" s="11"/>
      <c r="S105" s="10"/>
    </row>
    <row r="106" spans="2:19" s="6" customFormat="1" ht="16.5" hidden="1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75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hidden="1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hidden="1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75</v>
      </c>
      <c r="J108" s="13" t="str">
        <f t="shared" ca="1" si="11"/>
        <v>관리</v>
      </c>
      <c r="K108" s="11">
        <v>46142</v>
      </c>
      <c r="L108" s="11"/>
      <c r="M108" s="10"/>
      <c r="N108" s="10" t="s">
        <v>33</v>
      </c>
      <c r="Q108" s="11"/>
      <c r="R108" s="11"/>
      <c r="S108" s="10"/>
    </row>
    <row r="109" spans="2:19" s="6" customFormat="1" ht="16.5" hidden="1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74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hidden="1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73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hidden="1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hidden="1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hidden="1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hidden="1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hidden="1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hidden="1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hidden="1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hidden="1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hidden="1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62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hidden="1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hidden="1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hidden="1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60</v>
      </c>
      <c r="J122" s="13" t="str">
        <f t="shared" ca="1" si="11"/>
        <v>관리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hidden="1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60</v>
      </c>
      <c r="J123" s="13" t="str">
        <f t="shared" ca="1" si="11"/>
        <v>관리</v>
      </c>
      <c r="K123" s="11">
        <v>46142</v>
      </c>
      <c r="L123" s="11"/>
      <c r="M123" s="10"/>
      <c r="N123" s="10" t="s">
        <v>33</v>
      </c>
      <c r="Q123" s="11"/>
      <c r="R123" s="11"/>
      <c r="S123" s="10"/>
    </row>
    <row r="124" spans="2:19" s="6" customFormat="1" ht="16.5" hidden="1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hidden="1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56</v>
      </c>
      <c r="J125" s="13" t="str">
        <f t="shared" ca="1" si="11"/>
        <v>관리</v>
      </c>
      <c r="K125" s="11"/>
      <c r="L125" s="11">
        <v>46136</v>
      </c>
      <c r="M125" s="10"/>
      <c r="N125" s="10" t="s">
        <v>33</v>
      </c>
      <c r="Q125" s="11"/>
      <c r="R125" s="11"/>
      <c r="S125" s="10"/>
    </row>
    <row r="126" spans="2:19" s="6" customFormat="1" ht="16.5" hidden="1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hidden="1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89" ca="1" si="12">IF(C127="","",IF(L127="",TODAY()-C127,L127-C127))</f>
        <v>32</v>
      </c>
      <c r="J127" s="13" t="str">
        <f t="shared" ref="J127:J157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hidden="1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56</v>
      </c>
      <c r="J128" s="13" t="str">
        <f t="shared" ca="1" si="13"/>
        <v>관리</v>
      </c>
      <c r="K128" s="11">
        <v>46157</v>
      </c>
      <c r="L128" s="11"/>
      <c r="M128" s="10"/>
      <c r="N128" s="10" t="s">
        <v>33</v>
      </c>
      <c r="Q128" s="11"/>
      <c r="R128" s="11"/>
      <c r="S128" s="10"/>
    </row>
    <row r="129" spans="2:19" s="6" customFormat="1" ht="16.5" hidden="1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hidden="1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56</v>
      </c>
      <c r="J130" s="13" t="str">
        <f t="shared" ca="1" si="13"/>
        <v>관리</v>
      </c>
      <c r="K130" s="11">
        <v>46157</v>
      </c>
      <c r="L130" s="11"/>
      <c r="M130" s="10"/>
      <c r="N130" s="10" t="s">
        <v>33</v>
      </c>
      <c r="Q130" s="11"/>
      <c r="R130" s="11"/>
      <c r="S130" s="10"/>
    </row>
    <row r="131" spans="2:19" s="6" customFormat="1" ht="16.5" hidden="1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hidden="1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hidden="1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hidden="1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hidden="1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hidden="1" customHeight="1">
      <c r="B136" s="10">
        <f>IF(C136="","",COUNTA($C$2:C136))</f>
        <v>135</v>
      </c>
      <c r="C136" s="35">
        <v>46085</v>
      </c>
      <c r="D136" s="10" t="str">
        <f t="shared" si="9"/>
        <v>A</v>
      </c>
      <c r="E136" s="34" t="s">
        <v>223</v>
      </c>
      <c r="F136" s="34" t="s">
        <v>224</v>
      </c>
      <c r="G136" s="6" t="s">
        <v>227</v>
      </c>
      <c r="H136" s="4">
        <v>12360000</v>
      </c>
      <c r="I136" s="6">
        <f t="shared" ca="1" si="12"/>
        <v>1</v>
      </c>
      <c r="J136" s="13" t="str">
        <f t="shared" ca="1" si="13"/>
        <v>정상</v>
      </c>
      <c r="K136" s="11"/>
      <c r="L136" s="11">
        <v>46086</v>
      </c>
      <c r="M136" s="10"/>
      <c r="N136" s="10" t="s">
        <v>33</v>
      </c>
      <c r="Q136" s="11"/>
      <c r="R136" s="11"/>
      <c r="S136" s="10"/>
    </row>
    <row r="137" spans="2:19" s="6" customFormat="1" ht="16.5" hidden="1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228</v>
      </c>
      <c r="F137" s="34" t="s">
        <v>225</v>
      </c>
      <c r="G137" s="6" t="s">
        <v>227</v>
      </c>
      <c r="H137" s="36">
        <v>11171400</v>
      </c>
      <c r="I137" s="6">
        <f t="shared" ca="1" si="12"/>
        <v>13</v>
      </c>
      <c r="J137" s="13" t="str">
        <f t="shared" ca="1" si="13"/>
        <v>정상</v>
      </c>
      <c r="K137" s="11"/>
      <c r="L137" s="11">
        <v>46098</v>
      </c>
      <c r="M137" s="10"/>
      <c r="N137" s="10" t="s">
        <v>33</v>
      </c>
      <c r="Q137" s="11"/>
      <c r="R137" s="11"/>
      <c r="S137" s="10"/>
    </row>
    <row r="138" spans="2:19" s="6" customFormat="1" ht="16.5" hidden="1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418</v>
      </c>
      <c r="F138" s="38" t="s">
        <v>417</v>
      </c>
      <c r="G138" s="6" t="s">
        <v>419</v>
      </c>
      <c r="H138" s="36">
        <v>11115400</v>
      </c>
      <c r="I138" s="6">
        <f t="shared" ca="1" si="12"/>
        <v>33</v>
      </c>
      <c r="J138" s="13" t="str">
        <f t="shared" ca="1" si="13"/>
        <v>관리</v>
      </c>
      <c r="K138" s="11"/>
      <c r="L138" s="11">
        <v>46118</v>
      </c>
      <c r="M138" s="10"/>
      <c r="N138" s="10" t="s">
        <v>33</v>
      </c>
      <c r="Q138" s="11"/>
      <c r="R138" s="11"/>
      <c r="S138" s="10"/>
    </row>
    <row r="139" spans="2:19" s="6" customFormat="1" ht="16.5" hidden="1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229</v>
      </c>
      <c r="F139" s="6" t="s">
        <v>231</v>
      </c>
      <c r="G139" s="6" t="s">
        <v>227</v>
      </c>
      <c r="H139" s="36">
        <v>9772000</v>
      </c>
      <c r="I139" s="6">
        <f t="shared" ca="1" si="12"/>
        <v>0</v>
      </c>
      <c r="J139" s="13" t="str">
        <f t="shared" ca="1" si="13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hidden="1" customHeight="1">
      <c r="B140" s="10">
        <f>IF(C140="","",COUNTA($C$2:C140))</f>
        <v>139</v>
      </c>
      <c r="C140" s="35">
        <v>46086</v>
      </c>
      <c r="D140" s="10" t="str">
        <f t="shared" ref="D140:D202" si="14">IF(G140="","",IF(OR(G140="선급금",G140="중도금",G140="잔금"),"A",IF(G140="자재","B",IF(G140="특허료","C",""))))</f>
        <v>A</v>
      </c>
      <c r="E140" s="34" t="s">
        <v>229</v>
      </c>
      <c r="F140" s="34" t="s">
        <v>226</v>
      </c>
      <c r="G140" s="6" t="s">
        <v>230</v>
      </c>
      <c r="H140" s="36">
        <v>19544000</v>
      </c>
      <c r="I140" s="6">
        <f t="shared" ca="1" si="12"/>
        <v>4</v>
      </c>
      <c r="J140" s="13" t="str">
        <f t="shared" ca="1" si="13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hidden="1" customHeight="1">
      <c r="B141" s="10">
        <f>IF(C141="","",COUNTA($C$2:C141))</f>
        <v>140</v>
      </c>
      <c r="C141" s="35">
        <v>46086</v>
      </c>
      <c r="D141" s="10" t="str">
        <f t="shared" si="14"/>
        <v>A</v>
      </c>
      <c r="E141" s="6" t="s">
        <v>234</v>
      </c>
      <c r="F141" s="6" t="s">
        <v>232</v>
      </c>
      <c r="G141" s="6" t="s">
        <v>233</v>
      </c>
      <c r="H141" s="37">
        <v>30186600</v>
      </c>
      <c r="I141" s="6">
        <f t="shared" ca="1" si="12"/>
        <v>36</v>
      </c>
      <c r="J141" s="13" t="str">
        <f t="shared" ca="1" si="13"/>
        <v>관리</v>
      </c>
      <c r="K141" s="11"/>
      <c r="L141" s="11">
        <v>46122</v>
      </c>
      <c r="M141" s="10"/>
      <c r="N141" s="10" t="s">
        <v>33</v>
      </c>
      <c r="Q141" s="11"/>
      <c r="R141" s="11"/>
      <c r="S141" s="10"/>
    </row>
    <row r="142" spans="2:19" s="6" customFormat="1" ht="16.5" hidden="1" customHeight="1">
      <c r="B142" s="10">
        <f>IF(C142="","",COUNTA($C$2:C142))</f>
        <v>141</v>
      </c>
      <c r="C142" s="35">
        <v>46086</v>
      </c>
      <c r="D142" s="10" t="s">
        <v>239</v>
      </c>
      <c r="E142" s="23" t="s">
        <v>195</v>
      </c>
      <c r="F142" s="23" t="s">
        <v>196</v>
      </c>
      <c r="G142" s="6" t="s">
        <v>240</v>
      </c>
      <c r="H142" s="25">
        <v>5775000</v>
      </c>
      <c r="I142" s="6">
        <f t="shared" ca="1" si="12"/>
        <v>40</v>
      </c>
      <c r="J142" s="13" t="str">
        <f t="shared" ca="1" si="13"/>
        <v>정상</v>
      </c>
      <c r="K142" s="11"/>
      <c r="L142" s="11">
        <v>46126</v>
      </c>
      <c r="M142" s="10"/>
      <c r="N142" s="10" t="s">
        <v>33</v>
      </c>
      <c r="Q142" s="11"/>
      <c r="R142" s="11"/>
      <c r="S142" s="10"/>
    </row>
    <row r="143" spans="2:19" s="6" customFormat="1" ht="16.5" hidden="1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207</v>
      </c>
      <c r="F143" s="23" t="s">
        <v>202</v>
      </c>
      <c r="G143" s="6" t="s">
        <v>240</v>
      </c>
      <c r="H143" s="25">
        <v>2260000</v>
      </c>
      <c r="I143" s="6">
        <f t="shared" ca="1" si="12"/>
        <v>54</v>
      </c>
      <c r="J143" s="13" t="str">
        <f t="shared" ca="1" si="13"/>
        <v>관리</v>
      </c>
      <c r="K143" s="11">
        <v>46142</v>
      </c>
      <c r="L143" s="11"/>
      <c r="M143" s="10"/>
      <c r="N143" s="10" t="s">
        <v>33</v>
      </c>
      <c r="Q143" s="11"/>
      <c r="R143" s="11"/>
      <c r="S143" s="10"/>
    </row>
    <row r="144" spans="2:19" s="6" customFormat="1" ht="16.5" hidden="1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26</v>
      </c>
      <c r="F144" s="23" t="s">
        <v>248</v>
      </c>
      <c r="G144" s="6" t="s">
        <v>240</v>
      </c>
      <c r="H144" s="25">
        <v>237000</v>
      </c>
      <c r="I144" s="6">
        <f t="shared" ca="1" si="12"/>
        <v>54</v>
      </c>
      <c r="J144" s="13" t="str">
        <f t="shared" ca="1" si="13"/>
        <v>관리</v>
      </c>
      <c r="K144" s="11"/>
      <c r="L144" s="11"/>
      <c r="M144" s="10"/>
      <c r="N144" s="10" t="s">
        <v>33</v>
      </c>
      <c r="P144" s="6" t="s">
        <v>80</v>
      </c>
      <c r="Q144" s="11"/>
      <c r="R144" s="11"/>
      <c r="S144" s="10"/>
    </row>
    <row r="145" spans="2:19" s="6" customFormat="1" ht="16.5" hidden="1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238</v>
      </c>
      <c r="F145" s="23" t="s">
        <v>235</v>
      </c>
      <c r="G145" s="6" t="s">
        <v>240</v>
      </c>
      <c r="H145" s="25">
        <v>167500</v>
      </c>
      <c r="I145" s="6">
        <f t="shared" ca="1" si="12"/>
        <v>26</v>
      </c>
      <c r="J145" s="13" t="str">
        <f t="shared" ca="1" si="13"/>
        <v>정상</v>
      </c>
      <c r="K145" s="11"/>
      <c r="L145" s="11">
        <v>46112</v>
      </c>
      <c r="M145" s="10"/>
      <c r="N145" s="10" t="s">
        <v>33</v>
      </c>
      <c r="Q145" s="11"/>
      <c r="R145" s="11"/>
      <c r="S145" s="10"/>
    </row>
    <row r="146" spans="2:19" s="6" customFormat="1" ht="16.5" hidden="1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126</v>
      </c>
      <c r="F146" s="23" t="s">
        <v>236</v>
      </c>
      <c r="G146" s="6" t="s">
        <v>240</v>
      </c>
      <c r="H146" s="25">
        <v>3179600</v>
      </c>
      <c r="I146" s="6">
        <f t="shared" ca="1" si="12"/>
        <v>54</v>
      </c>
      <c r="J146" s="13" t="str">
        <f t="shared" ca="1" si="13"/>
        <v>관리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hidden="1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218</v>
      </c>
      <c r="F147" s="23" t="s">
        <v>210</v>
      </c>
      <c r="G147" s="6" t="s">
        <v>240</v>
      </c>
      <c r="H147" s="25">
        <v>5500000</v>
      </c>
      <c r="I147" s="6">
        <f t="shared" ca="1" si="12"/>
        <v>54</v>
      </c>
      <c r="J147" s="13" t="str">
        <f t="shared" ca="1" si="13"/>
        <v>관리</v>
      </c>
      <c r="K147" s="11">
        <v>46157</v>
      </c>
      <c r="L147" s="11"/>
      <c r="M147" s="10"/>
      <c r="N147" s="10" t="s">
        <v>33</v>
      </c>
      <c r="Q147" s="11"/>
      <c r="R147" s="11"/>
      <c r="S147" s="10"/>
    </row>
    <row r="148" spans="2:19" s="6" customFormat="1" ht="16.5" hidden="1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1801000</v>
      </c>
      <c r="I148" s="6">
        <f t="shared" ca="1" si="12"/>
        <v>54</v>
      </c>
      <c r="J148" s="13" t="str">
        <f t="shared" ca="1" si="13"/>
        <v>관리</v>
      </c>
      <c r="K148" s="11">
        <v>46157</v>
      </c>
      <c r="L148" s="11"/>
      <c r="M148" s="10"/>
      <c r="N148" s="10" t="s">
        <v>33</v>
      </c>
      <c r="Q148" s="11"/>
      <c r="R148" s="11"/>
      <c r="S148" s="10"/>
    </row>
    <row r="149" spans="2:19" s="6" customFormat="1" ht="16.5" hidden="1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237</v>
      </c>
      <c r="G149" s="6" t="s">
        <v>240</v>
      </c>
      <c r="H149" s="25">
        <v>6400500</v>
      </c>
      <c r="I149" s="6">
        <f t="shared" ca="1" si="12"/>
        <v>54</v>
      </c>
      <c r="J149" s="13" t="str">
        <f t="shared" ca="1" si="13"/>
        <v>관리</v>
      </c>
      <c r="K149" s="11">
        <v>46157</v>
      </c>
      <c r="L149" s="11"/>
      <c r="M149" s="10"/>
      <c r="N149" s="10" t="s">
        <v>33</v>
      </c>
      <c r="Q149" s="11"/>
      <c r="R149" s="11"/>
      <c r="S149" s="10"/>
    </row>
    <row r="150" spans="2:19" s="6" customFormat="1" ht="16.5" hidden="1" customHeight="1">
      <c r="B150" s="10">
        <f>IF(C150="","",COUNTA($C$2:C150))</f>
        <v>149</v>
      </c>
      <c r="C150" s="35">
        <v>46087</v>
      </c>
      <c r="D150" s="10" t="s">
        <v>243</v>
      </c>
      <c r="E150" s="6" t="s">
        <v>247</v>
      </c>
      <c r="F150" s="6" t="s">
        <v>246</v>
      </c>
      <c r="G150" s="6" t="s">
        <v>227</v>
      </c>
      <c r="H150" s="4">
        <v>5358400</v>
      </c>
      <c r="I150" s="6">
        <f t="shared" ca="1" si="12"/>
        <v>26</v>
      </c>
      <c r="J150" s="13" t="str">
        <f t="shared" ca="1" si="13"/>
        <v>관리</v>
      </c>
      <c r="K150" s="11"/>
      <c r="L150" s="11">
        <v>46113</v>
      </c>
      <c r="M150" s="10"/>
      <c r="N150" s="10" t="s">
        <v>33</v>
      </c>
      <c r="Q150" s="11"/>
      <c r="R150" s="11"/>
      <c r="S150" s="10"/>
    </row>
    <row r="151" spans="2:19" s="6" customFormat="1" ht="16.5" hidden="1" customHeight="1">
      <c r="B151" s="10">
        <f>IF(C151="","",COUNTA($C$2:C151))</f>
        <v>150</v>
      </c>
      <c r="C151" s="30">
        <v>46087</v>
      </c>
      <c r="D151" s="10" t="s">
        <v>178</v>
      </c>
      <c r="E151" s="23" t="s">
        <v>124</v>
      </c>
      <c r="F151" s="23" t="s">
        <v>250</v>
      </c>
      <c r="G151" s="6" t="s">
        <v>255</v>
      </c>
      <c r="H151" s="25">
        <v>753000</v>
      </c>
      <c r="I151" s="6">
        <f t="shared" ca="1" si="12"/>
        <v>0</v>
      </c>
      <c r="J151" s="13" t="str">
        <f t="shared" ca="1" si="13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hidden="1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195</v>
      </c>
      <c r="F152" s="23" t="s">
        <v>251</v>
      </c>
      <c r="G152" s="6" t="s">
        <v>255</v>
      </c>
      <c r="H152" s="25">
        <v>3230000</v>
      </c>
      <c r="I152" s="6">
        <f t="shared" ca="1" si="12"/>
        <v>39</v>
      </c>
      <c r="J152" s="13" t="str">
        <f t="shared" ca="1" si="13"/>
        <v>정상</v>
      </c>
      <c r="K152" s="11"/>
      <c r="L152" s="11">
        <v>46126</v>
      </c>
      <c r="M152" s="10"/>
      <c r="N152" s="10" t="s">
        <v>33</v>
      </c>
      <c r="Q152" s="11"/>
      <c r="R152" s="11"/>
      <c r="S152" s="10"/>
    </row>
    <row r="153" spans="2:19" s="6" customFormat="1" ht="16.5" hidden="1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128</v>
      </c>
      <c r="F153" s="23" t="s">
        <v>252</v>
      </c>
      <c r="G153" s="6" t="s">
        <v>255</v>
      </c>
      <c r="H153" s="25">
        <v>5030650</v>
      </c>
      <c r="I153" s="6">
        <f t="shared" ca="1" si="12"/>
        <v>0</v>
      </c>
      <c r="J153" s="13" t="str">
        <f t="shared" ca="1" si="13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hidden="1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249</v>
      </c>
      <c r="F154" s="23" t="s">
        <v>253</v>
      </c>
      <c r="G154" s="6" t="s">
        <v>255</v>
      </c>
      <c r="H154" s="25">
        <v>9140500</v>
      </c>
      <c r="I154" s="6">
        <f t="shared" ca="1" si="12"/>
        <v>10</v>
      </c>
      <c r="J154" s="13" t="str">
        <f t="shared" ca="1" si="13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hidden="1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219</v>
      </c>
      <c r="F155" s="23" t="s">
        <v>213</v>
      </c>
      <c r="G155" s="6" t="s">
        <v>255</v>
      </c>
      <c r="H155" s="25">
        <v>16695000</v>
      </c>
      <c r="I155" s="6">
        <f t="shared" ca="1" si="12"/>
        <v>25</v>
      </c>
      <c r="J155" s="13" t="str">
        <f t="shared" ca="1" si="13"/>
        <v>정상</v>
      </c>
      <c r="K155" s="11"/>
      <c r="L155" s="11">
        <v>46112</v>
      </c>
      <c r="M155" s="10"/>
      <c r="N155" s="10" t="s">
        <v>33</v>
      </c>
      <c r="Q155" s="11"/>
      <c r="R155" s="11"/>
      <c r="S155" s="10"/>
    </row>
    <row r="156" spans="2:19" s="6" customFormat="1" ht="16.5" hidden="1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1870000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hidden="1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81</v>
      </c>
      <c r="F157" s="23" t="s">
        <v>254</v>
      </c>
      <c r="G157" s="6" t="s">
        <v>255</v>
      </c>
      <c r="H157" s="25">
        <v>12478000</v>
      </c>
      <c r="I157" s="6">
        <f t="shared" ca="1" si="12"/>
        <v>53</v>
      </c>
      <c r="J157" s="13" t="str">
        <f t="shared" ca="1" si="13"/>
        <v>관리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hidden="1" customHeight="1">
      <c r="B158" s="10">
        <f>IF(C158="","",COUNTA($C$2:C158))</f>
        <v>157</v>
      </c>
      <c r="C158" s="39">
        <v>46090</v>
      </c>
      <c r="D158" s="10" t="str">
        <f t="shared" si="14"/>
        <v>A</v>
      </c>
      <c r="E158" s="6" t="s">
        <v>260</v>
      </c>
      <c r="F158" s="6" t="s">
        <v>259</v>
      </c>
      <c r="G158" s="6" t="s">
        <v>261</v>
      </c>
      <c r="H158" s="4">
        <v>29070400</v>
      </c>
      <c r="I158" s="6">
        <f t="shared" ca="1" si="12"/>
        <v>4</v>
      </c>
      <c r="J158" s="13" t="str">
        <f t="shared" ref="J158:J189" ca="1" si="15">IF(I158="","",
 IF(G158="선급금",
   IF(I158&lt;=20,"정상",IF(I158&lt;=90,"관리","장기미수")),
 IF(G158="자재",
   IF(I158&lt;=40,"정상",IF(I158&lt;=90,"관리","장기미수")),
   IF(I158&lt;=30,"정상",IF(I158&lt;=90,"관리","장기미수"))
  )
 )
)</f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hidden="1" customHeight="1">
      <c r="B159" s="10">
        <f>IF(C159="","",COUNTA($C$2:C159))</f>
        <v>158</v>
      </c>
      <c r="C159" s="30">
        <v>46090</v>
      </c>
      <c r="D159" s="10" t="str">
        <f t="shared" si="14"/>
        <v>B</v>
      </c>
      <c r="E159" s="23" t="s">
        <v>199</v>
      </c>
      <c r="F159" s="23" t="s">
        <v>262</v>
      </c>
      <c r="G159" s="6" t="s">
        <v>268</v>
      </c>
      <c r="H159" s="25">
        <v>3390000</v>
      </c>
      <c r="I159" s="6">
        <f t="shared" ca="1" si="12"/>
        <v>50</v>
      </c>
      <c r="J159" s="13" t="str">
        <f t="shared" ca="1" si="15"/>
        <v>관리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hidden="1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266</v>
      </c>
      <c r="F160" s="23" t="s">
        <v>263</v>
      </c>
      <c r="G160" s="6" t="s">
        <v>268</v>
      </c>
      <c r="H160" s="25">
        <v>9140500</v>
      </c>
      <c r="I160" s="6">
        <f t="shared" ca="1" si="12"/>
        <v>44</v>
      </c>
      <c r="J160" s="13" t="str">
        <f t="shared" ca="1" si="15"/>
        <v>관리</v>
      </c>
      <c r="K160" s="11"/>
      <c r="L160" s="11">
        <v>46134</v>
      </c>
      <c r="M160" s="10"/>
      <c r="N160" s="10" t="s">
        <v>33</v>
      </c>
      <c r="Q160" s="11"/>
      <c r="R160" s="11"/>
      <c r="S160" s="10"/>
    </row>
    <row r="161" spans="2:19" s="6" customFormat="1" ht="16.5" hidden="1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207</v>
      </c>
      <c r="F161" s="23" t="s">
        <v>264</v>
      </c>
      <c r="G161" s="6" t="s">
        <v>268</v>
      </c>
      <c r="H161" s="25">
        <v>4719500</v>
      </c>
      <c r="I161" s="6">
        <f t="shared" ca="1" si="12"/>
        <v>50</v>
      </c>
      <c r="J161" s="13" t="str">
        <f t="shared" ca="1" si="15"/>
        <v>관리</v>
      </c>
      <c r="K161" s="11">
        <v>46142</v>
      </c>
      <c r="L161" s="11"/>
      <c r="M161" s="10"/>
      <c r="N161" s="10" t="s">
        <v>33</v>
      </c>
      <c r="Q161" s="11"/>
      <c r="R161" s="11"/>
      <c r="S161" s="10"/>
    </row>
    <row r="162" spans="2:19" s="6" customFormat="1" ht="16.5" hidden="1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267</v>
      </c>
      <c r="F162" s="23" t="s">
        <v>265</v>
      </c>
      <c r="G162" s="6" t="s">
        <v>268</v>
      </c>
      <c r="H162" s="25">
        <v>38534600</v>
      </c>
      <c r="I162" s="6">
        <f t="shared" ca="1" si="12"/>
        <v>1</v>
      </c>
      <c r="J162" s="13" t="str">
        <f t="shared" ca="1" si="15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hidden="1" customHeight="1">
      <c r="B163" s="10">
        <f>IF(C163="","",COUNTA($C$2:C163))</f>
        <v>162</v>
      </c>
      <c r="C163" s="30">
        <v>46091</v>
      </c>
      <c r="D163" s="10" t="s">
        <v>243</v>
      </c>
      <c r="E163" s="6" t="s">
        <v>270</v>
      </c>
      <c r="F163" s="6" t="s">
        <v>269</v>
      </c>
      <c r="G163" s="6" t="s">
        <v>271</v>
      </c>
      <c r="H163" s="4">
        <v>13694000</v>
      </c>
      <c r="I163" s="6">
        <f t="shared" ca="1" si="12"/>
        <v>3</v>
      </c>
      <c r="J163" s="13" t="str">
        <f t="shared" ca="1" si="15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hidden="1" customHeight="1">
      <c r="B164" s="10">
        <f>IF(C164="","",COUNTA($C$2:C164))</f>
        <v>163</v>
      </c>
      <c r="C164" s="30">
        <v>46091</v>
      </c>
      <c r="D164" s="10" t="str">
        <f t="shared" si="14"/>
        <v>A</v>
      </c>
      <c r="E164" s="6" t="s">
        <v>273</v>
      </c>
      <c r="F164" s="6" t="s">
        <v>272</v>
      </c>
      <c r="G164" s="6" t="s">
        <v>274</v>
      </c>
      <c r="H164" s="4">
        <v>59166000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hidden="1" customHeight="1">
      <c r="B165" s="10">
        <f>IF(C165="","",COUNTA($C$2:C165))</f>
        <v>164</v>
      </c>
      <c r="C165" s="30">
        <v>46092</v>
      </c>
      <c r="D165" s="10" t="s">
        <v>181</v>
      </c>
      <c r="E165" s="6" t="s">
        <v>276</v>
      </c>
      <c r="F165" s="6" t="s">
        <v>275</v>
      </c>
      <c r="G165" s="6" t="s">
        <v>169</v>
      </c>
      <c r="H165" s="4">
        <v>4500000</v>
      </c>
      <c r="I165" s="6">
        <f t="shared" ca="1" si="12"/>
        <v>35</v>
      </c>
      <c r="J165" s="13" t="str">
        <f t="shared" ca="1" si="15"/>
        <v>관리</v>
      </c>
      <c r="K165" s="11"/>
      <c r="L165" s="11">
        <v>46127</v>
      </c>
      <c r="M165" s="10"/>
      <c r="N165" s="10" t="s">
        <v>33</v>
      </c>
      <c r="Q165" s="11"/>
      <c r="R165" s="11"/>
      <c r="S165" s="10"/>
    </row>
    <row r="166" spans="2:19" s="6" customFormat="1" ht="16.5" hidden="1" customHeight="1">
      <c r="B166" s="10">
        <f>IF(C166="","",COUNTA($C$2:C166))</f>
        <v>165</v>
      </c>
      <c r="C166" s="30">
        <v>46091</v>
      </c>
      <c r="D166" s="10" t="str">
        <f t="shared" si="14"/>
        <v>B</v>
      </c>
      <c r="E166" s="23" t="s">
        <v>218</v>
      </c>
      <c r="F166" s="23" t="s">
        <v>277</v>
      </c>
      <c r="G166" s="6" t="s">
        <v>296</v>
      </c>
      <c r="H166" s="25">
        <v>8400000</v>
      </c>
      <c r="I166" s="6">
        <f t="shared" ca="1" si="12"/>
        <v>49</v>
      </c>
      <c r="J166" s="13" t="str">
        <f t="shared" ca="1" si="15"/>
        <v>관리</v>
      </c>
      <c r="K166" s="11">
        <v>46157</v>
      </c>
      <c r="L166" s="11"/>
      <c r="M166" s="10"/>
      <c r="N166" s="10" t="s">
        <v>33</v>
      </c>
      <c r="Q166" s="11"/>
      <c r="R166" s="11"/>
      <c r="S166" s="10"/>
    </row>
    <row r="167" spans="2:19" s="6" customFormat="1" ht="16.5" hidden="1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24</v>
      </c>
      <c r="F167" s="23" t="s">
        <v>188</v>
      </c>
      <c r="G167" s="6" t="s">
        <v>296</v>
      </c>
      <c r="H167" s="25">
        <v>46282000</v>
      </c>
      <c r="I167" s="6">
        <f t="shared" ca="1" si="12"/>
        <v>49</v>
      </c>
      <c r="J167" s="13" t="str">
        <f t="shared" ca="1" si="15"/>
        <v>관리</v>
      </c>
      <c r="K167" s="11"/>
      <c r="L167" s="11"/>
      <c r="M167" s="10"/>
      <c r="N167" s="10" t="s">
        <v>20</v>
      </c>
      <c r="O167" s="6" t="s">
        <v>58</v>
      </c>
      <c r="P167" s="6" t="s">
        <v>153</v>
      </c>
      <c r="Q167" s="11"/>
      <c r="R167" s="11"/>
      <c r="S167" s="10"/>
    </row>
    <row r="168" spans="2:19" s="6" customFormat="1" ht="16.5" hidden="1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56</v>
      </c>
      <c r="F168" s="23" t="s">
        <v>278</v>
      </c>
      <c r="G168" s="6" t="s">
        <v>296</v>
      </c>
      <c r="H168" s="25">
        <v>1832500</v>
      </c>
      <c r="I168" s="6">
        <f t="shared" ca="1" si="12"/>
        <v>0</v>
      </c>
      <c r="J168" s="13" t="str">
        <f t="shared" ca="1" si="15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hidden="1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120</v>
      </c>
      <c r="F169" s="23" t="s">
        <v>279</v>
      </c>
      <c r="G169" s="6" t="s">
        <v>296</v>
      </c>
      <c r="H169" s="25">
        <v>222000</v>
      </c>
      <c r="I169" s="6">
        <f t="shared" ca="1" si="12"/>
        <v>3</v>
      </c>
      <c r="J169" s="13" t="str">
        <f t="shared" ca="1" si="15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hidden="1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266</v>
      </c>
      <c r="F170" s="23" t="s">
        <v>280</v>
      </c>
      <c r="G170" s="6" t="s">
        <v>296</v>
      </c>
      <c r="H170" s="25">
        <v>14080000</v>
      </c>
      <c r="I170" s="6">
        <f t="shared" ca="1" si="12"/>
        <v>37</v>
      </c>
      <c r="J170" s="13" t="str">
        <f t="shared" ca="1" si="15"/>
        <v>정상</v>
      </c>
      <c r="K170" s="11"/>
      <c r="L170" s="11">
        <v>46128</v>
      </c>
      <c r="M170" s="10"/>
      <c r="N170" s="10" t="s">
        <v>33</v>
      </c>
      <c r="Q170" s="11"/>
      <c r="R170" s="11"/>
      <c r="S170" s="10"/>
    </row>
    <row r="171" spans="2:19" s="6" customFormat="1" ht="16.5" hidden="1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249</v>
      </c>
      <c r="F171" s="23" t="s">
        <v>280</v>
      </c>
      <c r="G171" s="6" t="s">
        <v>296</v>
      </c>
      <c r="H171" s="25">
        <v>14080000</v>
      </c>
      <c r="I171" s="6">
        <f t="shared" ca="1" si="12"/>
        <v>6</v>
      </c>
      <c r="J171" s="13" t="str">
        <f t="shared" ca="1" si="15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hidden="1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222</v>
      </c>
      <c r="F172" s="23" t="s">
        <v>281</v>
      </c>
      <c r="G172" s="6" t="s">
        <v>296</v>
      </c>
      <c r="H172" s="25">
        <v>1186600</v>
      </c>
      <c r="I172" s="6">
        <f t="shared" ca="1" si="12"/>
        <v>49</v>
      </c>
      <c r="J172" s="13" t="str">
        <f t="shared" ca="1" si="15"/>
        <v>관리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hidden="1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62</v>
      </c>
      <c r="F173" s="23" t="s">
        <v>282</v>
      </c>
      <c r="G173" s="6" t="s">
        <v>296</v>
      </c>
      <c r="H173" s="25">
        <v>270000</v>
      </c>
      <c r="I173" s="6">
        <f t="shared" ca="1" si="12"/>
        <v>45</v>
      </c>
      <c r="J173" s="13" t="str">
        <f t="shared" ca="1" si="15"/>
        <v>관리</v>
      </c>
      <c r="K173" s="11"/>
      <c r="L173" s="11">
        <v>46136</v>
      </c>
      <c r="M173" s="10"/>
      <c r="N173" s="10" t="s">
        <v>33</v>
      </c>
      <c r="Q173" s="11"/>
      <c r="R173" s="11"/>
      <c r="S173" s="10"/>
    </row>
    <row r="174" spans="2:19" s="6" customFormat="1" ht="16.5" hidden="1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24</v>
      </c>
      <c r="F174" s="23" t="s">
        <v>283</v>
      </c>
      <c r="G174" s="6" t="s">
        <v>296</v>
      </c>
      <c r="H174" s="25">
        <v>5912000</v>
      </c>
      <c r="I174" s="6">
        <f t="shared" ca="1" si="12"/>
        <v>49</v>
      </c>
      <c r="J174" s="13" t="str">
        <f t="shared" ca="1" si="15"/>
        <v>관리</v>
      </c>
      <c r="K174" s="11"/>
      <c r="L174" s="11"/>
      <c r="M174" s="10"/>
      <c r="N174" s="10" t="s">
        <v>20</v>
      </c>
      <c r="O174" s="6" t="s">
        <v>58</v>
      </c>
      <c r="P174" s="6" t="s">
        <v>153</v>
      </c>
      <c r="Q174" s="11"/>
      <c r="R174" s="11"/>
      <c r="S174" s="10"/>
    </row>
    <row r="175" spans="2:19" s="6" customFormat="1" ht="16.5" hidden="1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188</v>
      </c>
      <c r="G175" s="6" t="s">
        <v>296</v>
      </c>
      <c r="H175" s="25">
        <v>4992000</v>
      </c>
      <c r="I175" s="6">
        <f t="shared" ca="1" si="12"/>
        <v>49</v>
      </c>
      <c r="J175" s="13" t="str">
        <f t="shared" ca="1" si="15"/>
        <v>관리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hidden="1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128</v>
      </c>
      <c r="F176" s="23" t="s">
        <v>284</v>
      </c>
      <c r="G176" s="6" t="s">
        <v>296</v>
      </c>
      <c r="H176" s="25">
        <v>950350</v>
      </c>
      <c r="I176" s="6">
        <f t="shared" ca="1" si="12"/>
        <v>0</v>
      </c>
      <c r="J176" s="13" t="str">
        <f t="shared" ca="1" si="15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hidden="1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207</v>
      </c>
      <c r="F177" s="23" t="s">
        <v>285</v>
      </c>
      <c r="G177" s="6" t="s">
        <v>296</v>
      </c>
      <c r="H177" s="25">
        <v>770400</v>
      </c>
      <c r="I177" s="6">
        <f t="shared" ca="1" si="12"/>
        <v>49</v>
      </c>
      <c r="J177" s="13" t="str">
        <f t="shared" ca="1" si="15"/>
        <v>관리</v>
      </c>
      <c r="K177" s="11">
        <v>46142</v>
      </c>
      <c r="L177" s="11"/>
      <c r="M177" s="10"/>
      <c r="N177" s="10" t="s">
        <v>33</v>
      </c>
      <c r="Q177" s="11"/>
      <c r="R177" s="11"/>
      <c r="S177" s="10"/>
    </row>
    <row r="178" spans="2:19" s="6" customFormat="1" ht="16.5" hidden="1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293</v>
      </c>
      <c r="F178" s="23" t="s">
        <v>286</v>
      </c>
      <c r="G178" s="6" t="s">
        <v>296</v>
      </c>
      <c r="H178" s="25">
        <v>473600</v>
      </c>
      <c r="I178" s="6">
        <f t="shared" ca="1" si="12"/>
        <v>0</v>
      </c>
      <c r="J178" s="13" t="str">
        <f t="shared" ca="1" si="15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hidden="1" customHeight="1">
      <c r="B179" s="10">
        <f>IF(C179="","",COUNTA($C$2:C179))</f>
        <v>178</v>
      </c>
      <c r="C179" s="30">
        <v>46092</v>
      </c>
      <c r="D179" s="10" t="str">
        <f t="shared" si="14"/>
        <v>B</v>
      </c>
      <c r="E179" s="23" t="s">
        <v>294</v>
      </c>
      <c r="F179" s="23" t="s">
        <v>287</v>
      </c>
      <c r="G179" s="6" t="s">
        <v>296</v>
      </c>
      <c r="H179" s="25">
        <v>121500</v>
      </c>
      <c r="I179" s="6">
        <f t="shared" ca="1" si="12"/>
        <v>9</v>
      </c>
      <c r="J179" s="13" t="str">
        <f t="shared" ca="1" si="15"/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hidden="1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566</v>
      </c>
      <c r="F180" s="23" t="s">
        <v>288</v>
      </c>
      <c r="G180" s="6" t="s">
        <v>296</v>
      </c>
      <c r="H180" s="25">
        <v>16818900</v>
      </c>
      <c r="I180" s="6">
        <f t="shared" ca="1" si="12"/>
        <v>48</v>
      </c>
      <c r="J180" s="13" t="str">
        <f t="shared" ca="1" si="15"/>
        <v>관리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hidden="1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17</v>
      </c>
      <c r="F181" s="23" t="s">
        <v>289</v>
      </c>
      <c r="G181" s="6" t="s">
        <v>296</v>
      </c>
      <c r="H181" s="25">
        <v>294800</v>
      </c>
      <c r="I181" s="6">
        <f t="shared" ca="1" si="12"/>
        <v>9</v>
      </c>
      <c r="J181" s="13" t="str">
        <f t="shared" ca="1" si="15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hidden="1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116</v>
      </c>
      <c r="F182" s="23" t="s">
        <v>290</v>
      </c>
      <c r="G182" s="6" t="s">
        <v>296</v>
      </c>
      <c r="H182" s="25">
        <v>321000</v>
      </c>
      <c r="I182" s="6">
        <f t="shared" ca="1" si="12"/>
        <v>44</v>
      </c>
      <c r="J182" s="13" t="str">
        <f t="shared" ca="1" si="15"/>
        <v>관리</v>
      </c>
      <c r="K182" s="11"/>
      <c r="L182" s="11">
        <v>46136</v>
      </c>
      <c r="M182" s="10"/>
      <c r="N182" s="10" t="s">
        <v>33</v>
      </c>
      <c r="Q182" s="11"/>
      <c r="R182" s="11"/>
      <c r="S182" s="10"/>
    </row>
    <row r="183" spans="2:19" s="6" customFormat="1" ht="16.5" hidden="1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295</v>
      </c>
      <c r="F183" s="23" t="s">
        <v>291</v>
      </c>
      <c r="G183" s="6" t="s">
        <v>296</v>
      </c>
      <c r="H183" s="25">
        <v>1275400</v>
      </c>
      <c r="I183" s="6">
        <f t="shared" ca="1" si="12"/>
        <v>48</v>
      </c>
      <c r="J183" s="13" t="str">
        <f t="shared" ca="1" si="15"/>
        <v>관리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hidden="1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24</v>
      </c>
      <c r="F184" s="23" t="s">
        <v>188</v>
      </c>
      <c r="G184" s="6" t="s">
        <v>296</v>
      </c>
      <c r="H184" s="25">
        <v>11000000</v>
      </c>
      <c r="I184" s="6">
        <f t="shared" ca="1" si="12"/>
        <v>48</v>
      </c>
      <c r="J184" s="13" t="str">
        <f t="shared" ca="1" si="15"/>
        <v>관리</v>
      </c>
      <c r="K184" s="11"/>
      <c r="L184" s="11"/>
      <c r="M184" s="10"/>
      <c r="N184" s="10" t="s">
        <v>20</v>
      </c>
      <c r="O184" s="6" t="s">
        <v>58</v>
      </c>
      <c r="P184" s="6" t="s">
        <v>153</v>
      </c>
      <c r="Q184" s="11"/>
      <c r="R184" s="11"/>
      <c r="S184" s="10"/>
    </row>
    <row r="185" spans="2:19" s="6" customFormat="1" ht="16.5" hidden="1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26</v>
      </c>
      <c r="F185" s="23" t="s">
        <v>292</v>
      </c>
      <c r="G185" s="6" t="s">
        <v>296</v>
      </c>
      <c r="H185" s="25">
        <v>5475500</v>
      </c>
      <c r="I185" s="6">
        <f t="shared" ca="1" si="12"/>
        <v>48</v>
      </c>
      <c r="J185" s="13" t="str">
        <f t="shared" ca="1" si="15"/>
        <v>관리</v>
      </c>
      <c r="K185" s="11"/>
      <c r="L185" s="11"/>
      <c r="M185" s="10"/>
      <c r="N185" s="10" t="s">
        <v>33</v>
      </c>
      <c r="P185" s="6" t="s">
        <v>80</v>
      </c>
      <c r="Q185" s="11"/>
      <c r="R185" s="11"/>
      <c r="S185" s="10"/>
    </row>
    <row r="186" spans="2:19" s="6" customFormat="1" ht="16.5" hidden="1" customHeight="1">
      <c r="B186" s="10">
        <f>IF(C186="","",COUNTA($C$2:C186))</f>
        <v>185</v>
      </c>
      <c r="C186" s="30">
        <v>46093</v>
      </c>
      <c r="D186" s="10" t="str">
        <f t="shared" si="14"/>
        <v>B</v>
      </c>
      <c r="E186" s="23" t="s">
        <v>293</v>
      </c>
      <c r="F186" s="23" t="s">
        <v>297</v>
      </c>
      <c r="G186" s="6" t="s">
        <v>304</v>
      </c>
      <c r="H186" s="25">
        <v>312000</v>
      </c>
      <c r="I186" s="6">
        <f t="shared" ca="1" si="12"/>
        <v>0</v>
      </c>
      <c r="J186" s="13" t="str">
        <f t="shared" ca="1" si="15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hidden="1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30</v>
      </c>
      <c r="F187" s="23" t="s">
        <v>298</v>
      </c>
      <c r="G187" s="6" t="s">
        <v>304</v>
      </c>
      <c r="H187" s="25">
        <v>1000500</v>
      </c>
      <c r="I187" s="6">
        <f t="shared" ca="1" si="12"/>
        <v>47</v>
      </c>
      <c r="J187" s="13" t="str">
        <f t="shared" ca="1" si="15"/>
        <v>관리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hidden="1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195</v>
      </c>
      <c r="F188" s="23" t="s">
        <v>302</v>
      </c>
      <c r="G188" s="6" t="s">
        <v>304</v>
      </c>
      <c r="H188" s="25">
        <v>5775000</v>
      </c>
      <c r="I188" s="6">
        <f t="shared" ca="1" si="12"/>
        <v>33</v>
      </c>
      <c r="J188" s="13" t="str">
        <f t="shared" ca="1" si="15"/>
        <v>정상</v>
      </c>
      <c r="K188" s="11"/>
      <c r="L188" s="11">
        <v>46126</v>
      </c>
      <c r="M188" s="10"/>
      <c r="N188" s="10" t="s">
        <v>33</v>
      </c>
      <c r="Q188" s="11"/>
      <c r="R188" s="11"/>
      <c r="S188" s="10"/>
    </row>
    <row r="189" spans="2:19" s="6" customFormat="1" ht="16.5" hidden="1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199</v>
      </c>
      <c r="F189" s="23" t="s">
        <v>299</v>
      </c>
      <c r="G189" s="6" t="s">
        <v>304</v>
      </c>
      <c r="H189" s="25">
        <v>1190000</v>
      </c>
      <c r="I189" s="6">
        <f t="shared" ca="1" si="12"/>
        <v>47</v>
      </c>
      <c r="J189" s="13" t="str">
        <f t="shared" ca="1" si="15"/>
        <v>관리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hidden="1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100</v>
      </c>
      <c r="F190" s="23" t="s">
        <v>303</v>
      </c>
      <c r="G190" s="6" t="s">
        <v>304</v>
      </c>
      <c r="H190" s="25">
        <v>11147800</v>
      </c>
      <c r="I190" s="6">
        <f t="shared" ref="I190:I253" ca="1" si="16">IF(C190="","",IF(L190="",TODAY()-C190,L190-C190))</f>
        <v>47</v>
      </c>
      <c r="J190" s="13" t="str">
        <f t="shared" ref="J190:J221" ca="1" si="17">IF(I190="","",
 IF(G190="선급금",
   IF(I190&lt;=20,"정상",IF(I190&lt;=90,"관리","장기미수")),
 IF(G190="자재",
   IF(I190&lt;=40,"정상",IF(I190&lt;=90,"관리","장기미수")),
   IF(I190&lt;=30,"정상",IF(I190&lt;=90,"관리","장기미수"))
  )
 )
)</f>
        <v>관리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hidden="1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218</v>
      </c>
      <c r="F191" s="23" t="s">
        <v>300</v>
      </c>
      <c r="G191" s="6" t="s">
        <v>304</v>
      </c>
      <c r="H191" s="25">
        <v>2613000</v>
      </c>
      <c r="I191" s="6">
        <f t="shared" ca="1" si="16"/>
        <v>47</v>
      </c>
      <c r="J191" s="13" t="str">
        <f t="shared" ca="1" si="17"/>
        <v>관리</v>
      </c>
      <c r="K191" s="11">
        <v>46157</v>
      </c>
      <c r="L191" s="11"/>
      <c r="M191" s="10"/>
      <c r="N191" s="10" t="s">
        <v>33</v>
      </c>
      <c r="Q191" s="11"/>
      <c r="R191" s="11"/>
      <c r="S191" s="10"/>
    </row>
    <row r="192" spans="2:19" s="6" customFormat="1" ht="16.5" hidden="1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110</v>
      </c>
      <c r="F192" s="23" t="s">
        <v>301</v>
      </c>
      <c r="G192" s="6" t="s">
        <v>304</v>
      </c>
      <c r="H192" s="25">
        <v>7339000</v>
      </c>
      <c r="I192" s="6">
        <f t="shared" ca="1" si="16"/>
        <v>47</v>
      </c>
      <c r="J192" s="13" t="str">
        <f t="shared" ca="1" si="17"/>
        <v>관리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hidden="1" customHeight="1">
      <c r="B193" s="10">
        <f>IF(C193="","",COUNTA($C$2:C193))</f>
        <v>192</v>
      </c>
      <c r="C193" s="11">
        <v>46094</v>
      </c>
      <c r="D193" s="10" t="str">
        <f t="shared" si="14"/>
        <v>C</v>
      </c>
      <c r="E193" s="6" t="s">
        <v>305</v>
      </c>
      <c r="F193" s="6" t="s">
        <v>306</v>
      </c>
      <c r="G193" s="6" t="s">
        <v>307</v>
      </c>
      <c r="H193" s="4">
        <v>1291250</v>
      </c>
      <c r="I193" s="6">
        <f t="shared" ca="1" si="16"/>
        <v>18</v>
      </c>
      <c r="J193" s="13" t="str">
        <f t="shared" ca="1" si="17"/>
        <v>정상</v>
      </c>
      <c r="K193" s="11"/>
      <c r="L193" s="11">
        <v>46112</v>
      </c>
      <c r="M193" s="10"/>
      <c r="N193" s="10" t="s">
        <v>33</v>
      </c>
      <c r="Q193" s="11"/>
      <c r="R193" s="11"/>
      <c r="S193" s="10"/>
    </row>
    <row r="194" spans="2:19" s="6" customFormat="1" ht="16.5" hidden="1" customHeight="1">
      <c r="B194" s="10">
        <f>IF(C194="","",COUNTA($C$2:C194))</f>
        <v>193</v>
      </c>
      <c r="C194" s="30">
        <v>46094</v>
      </c>
      <c r="D194" s="10" t="str">
        <f t="shared" si="14"/>
        <v>B</v>
      </c>
      <c r="E194" s="23" t="s">
        <v>315</v>
      </c>
      <c r="F194" s="23" t="s">
        <v>308</v>
      </c>
      <c r="G194" s="6" t="s">
        <v>317</v>
      </c>
      <c r="H194" s="25">
        <v>500500</v>
      </c>
      <c r="I194" s="6">
        <f t="shared" ca="1" si="16"/>
        <v>46</v>
      </c>
      <c r="J194" s="13" t="str">
        <f t="shared" ca="1" si="17"/>
        <v>관리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hidden="1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24</v>
      </c>
      <c r="F195" s="23" t="s">
        <v>309</v>
      </c>
      <c r="G195" s="6" t="s">
        <v>317</v>
      </c>
      <c r="H195" s="25">
        <v>3448000</v>
      </c>
      <c r="I195" s="6">
        <f t="shared" ca="1" si="16"/>
        <v>46</v>
      </c>
      <c r="J195" s="13" t="str">
        <f t="shared" ca="1" si="17"/>
        <v>관리</v>
      </c>
      <c r="K195" s="11"/>
      <c r="L195" s="11"/>
      <c r="M195" s="10"/>
      <c r="N195" s="10" t="s">
        <v>20</v>
      </c>
      <c r="O195" s="6" t="s">
        <v>58</v>
      </c>
      <c r="P195" s="6" t="s">
        <v>153</v>
      </c>
      <c r="Q195" s="11"/>
      <c r="R195" s="11"/>
      <c r="S195" s="10"/>
    </row>
    <row r="196" spans="2:19" s="6" customFormat="1" ht="16.5" hidden="1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317</v>
      </c>
      <c r="H196" s="25">
        <v>28750000</v>
      </c>
      <c r="I196" s="6">
        <f t="shared" ca="1" si="16"/>
        <v>46</v>
      </c>
      <c r="J196" s="13" t="str">
        <f t="shared" ca="1" si="17"/>
        <v>관리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hidden="1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220</v>
      </c>
      <c r="F197" s="23" t="s">
        <v>311</v>
      </c>
      <c r="G197" s="6" t="s">
        <v>317</v>
      </c>
      <c r="H197" s="25">
        <v>3430000</v>
      </c>
      <c r="I197" s="6">
        <f t="shared" ca="1" si="16"/>
        <v>3</v>
      </c>
      <c r="J197" s="13" t="str">
        <f t="shared" ca="1" si="17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hidden="1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218</v>
      </c>
      <c r="F198" s="23" t="s">
        <v>312</v>
      </c>
      <c r="G198" s="6" t="s">
        <v>317</v>
      </c>
      <c r="H198" s="25">
        <v>14700000</v>
      </c>
      <c r="I198" s="6">
        <f t="shared" ca="1" si="16"/>
        <v>46</v>
      </c>
      <c r="J198" s="13" t="str">
        <f t="shared" ca="1" si="17"/>
        <v>관리</v>
      </c>
      <c r="K198" s="11">
        <v>46157</v>
      </c>
      <c r="L198" s="11"/>
      <c r="M198" s="10"/>
      <c r="N198" s="10" t="s">
        <v>33</v>
      </c>
      <c r="Q198" s="11"/>
      <c r="R198" s="11"/>
      <c r="S198" s="10"/>
    </row>
    <row r="199" spans="2:19" s="6" customFormat="1" ht="16.5" hidden="1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316</v>
      </c>
      <c r="F199" s="23" t="s">
        <v>313</v>
      </c>
      <c r="G199" s="6" t="s">
        <v>317</v>
      </c>
      <c r="H199" s="25">
        <v>780000</v>
      </c>
      <c r="I199" s="6">
        <f t="shared" ca="1" si="16"/>
        <v>46</v>
      </c>
      <c r="J199" s="13" t="str">
        <f t="shared" ca="1" si="17"/>
        <v>관리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hidden="1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39</v>
      </c>
      <c r="F200" s="23" t="s">
        <v>314</v>
      </c>
      <c r="G200" s="6" t="s">
        <v>317</v>
      </c>
      <c r="H200" s="25">
        <v>220100</v>
      </c>
      <c r="I200" s="6">
        <f t="shared" ca="1" si="16"/>
        <v>18</v>
      </c>
      <c r="J200" s="13" t="str">
        <f t="shared" ca="1" si="17"/>
        <v>정상</v>
      </c>
      <c r="K200" s="11"/>
      <c r="L200" s="11">
        <v>46112</v>
      </c>
      <c r="M200" s="10"/>
      <c r="N200" s="10" t="s">
        <v>33</v>
      </c>
      <c r="Q200" s="11"/>
      <c r="R200" s="11"/>
      <c r="S200" s="10"/>
    </row>
    <row r="201" spans="2:19" s="6" customFormat="1" ht="16.5" hidden="1" customHeight="1">
      <c r="B201" s="10">
        <f>IF(C201="","",COUNTA($C$2:C201))</f>
        <v>200</v>
      </c>
      <c r="C201" s="30">
        <v>46097</v>
      </c>
      <c r="D201" s="10" t="str">
        <f t="shared" si="14"/>
        <v>A</v>
      </c>
      <c r="E201" s="6" t="s">
        <v>318</v>
      </c>
      <c r="F201" s="6" t="s">
        <v>319</v>
      </c>
      <c r="G201" s="6" t="s">
        <v>320</v>
      </c>
      <c r="H201" s="4">
        <v>22342800</v>
      </c>
      <c r="I201" s="6">
        <f t="shared" ca="1" si="16"/>
        <v>21</v>
      </c>
      <c r="J201" s="13" t="str">
        <f t="shared" ca="1" si="17"/>
        <v>정상</v>
      </c>
      <c r="K201" s="11"/>
      <c r="L201" s="11">
        <v>46118</v>
      </c>
      <c r="M201" s="10"/>
      <c r="N201" s="10" t="s">
        <v>33</v>
      </c>
      <c r="Q201" s="11"/>
      <c r="R201" s="11"/>
      <c r="S201" s="10"/>
    </row>
    <row r="202" spans="2:19" s="6" customFormat="1" ht="16.5" hidden="1" customHeight="1">
      <c r="B202" s="10">
        <f>IF(C202="","",COUNTA($C$2:C202))</f>
        <v>201</v>
      </c>
      <c r="C202" s="30">
        <v>46098</v>
      </c>
      <c r="D202" s="10" t="str">
        <f t="shared" si="14"/>
        <v>B</v>
      </c>
      <c r="E202" s="23" t="s">
        <v>126</v>
      </c>
      <c r="F202" s="23" t="s">
        <v>321</v>
      </c>
      <c r="G202" s="6" t="s">
        <v>334</v>
      </c>
      <c r="H202" s="25">
        <v>19467400</v>
      </c>
      <c r="I202" s="6">
        <f t="shared" ca="1" si="16"/>
        <v>42</v>
      </c>
      <c r="J202" s="13" t="str">
        <f t="shared" ca="1" si="17"/>
        <v>관리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hidden="1" customHeight="1">
      <c r="B203" s="10">
        <f>IF(C203="","",COUNTA($C$2:C203))</f>
        <v>202</v>
      </c>
      <c r="C203" s="30">
        <v>46098</v>
      </c>
      <c r="D203" s="10" t="str">
        <f t="shared" ref="D203:D266" si="18">IF(G203="","",IF(OR(G203="선급금",G203="중도금",G203="잔금"),"A",IF(G203="자재","B",IF(G203="특허료","C",""))))</f>
        <v>B</v>
      </c>
      <c r="E203" s="23" t="s">
        <v>126</v>
      </c>
      <c r="F203" s="23" t="s">
        <v>321</v>
      </c>
      <c r="G203" s="6" t="s">
        <v>334</v>
      </c>
      <c r="H203" s="25">
        <v>4765000</v>
      </c>
      <c r="I203" s="6">
        <f t="shared" ca="1" si="16"/>
        <v>42</v>
      </c>
      <c r="J203" s="13" t="str">
        <f t="shared" ca="1" si="17"/>
        <v>관리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hidden="1" customHeight="1">
      <c r="B204" s="10">
        <f>IF(C204="","",COUNTA($C$2:C204))</f>
        <v>203</v>
      </c>
      <c r="C204" s="30">
        <v>46098</v>
      </c>
      <c r="D204" s="10" t="str">
        <f t="shared" si="18"/>
        <v>B</v>
      </c>
      <c r="E204" s="23" t="s">
        <v>222</v>
      </c>
      <c r="F204" s="23" t="s">
        <v>322</v>
      </c>
      <c r="G204" s="6" t="s">
        <v>334</v>
      </c>
      <c r="H204" s="25">
        <v>954500</v>
      </c>
      <c r="I204" s="6">
        <f t="shared" ca="1" si="16"/>
        <v>42</v>
      </c>
      <c r="J204" s="13" t="str">
        <f t="shared" ca="1" si="17"/>
        <v>관리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hidden="1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100</v>
      </c>
      <c r="F205" s="23" t="s">
        <v>323</v>
      </c>
      <c r="G205" s="6" t="s">
        <v>334</v>
      </c>
      <c r="H205" s="25">
        <v>9631000</v>
      </c>
      <c r="I205" s="6">
        <f t="shared" ca="1" si="16"/>
        <v>42</v>
      </c>
      <c r="J205" s="13" t="str">
        <f t="shared" ca="1" si="17"/>
        <v>관리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hidden="1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30</v>
      </c>
      <c r="F206" s="23" t="s">
        <v>324</v>
      </c>
      <c r="G206" s="6" t="s">
        <v>334</v>
      </c>
      <c r="H206" s="25">
        <v>1745000</v>
      </c>
      <c r="I206" s="6">
        <f t="shared" ca="1" si="16"/>
        <v>42</v>
      </c>
      <c r="J206" s="13" t="str">
        <f t="shared" ca="1" si="17"/>
        <v>관리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hidden="1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126</v>
      </c>
      <c r="F207" s="23" t="s">
        <v>325</v>
      </c>
      <c r="G207" s="6" t="s">
        <v>334</v>
      </c>
      <c r="H207" s="25">
        <v>493400</v>
      </c>
      <c r="I207" s="6">
        <f t="shared" ca="1" si="16"/>
        <v>42</v>
      </c>
      <c r="J207" s="13" t="str">
        <f t="shared" ca="1" si="17"/>
        <v>관리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hidden="1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326</v>
      </c>
      <c r="G208" s="6" t="s">
        <v>334</v>
      </c>
      <c r="H208" s="25">
        <v>3568200</v>
      </c>
      <c r="I208" s="6">
        <f t="shared" ca="1" si="16"/>
        <v>42</v>
      </c>
      <c r="J208" s="13" t="str">
        <f t="shared" ca="1" si="17"/>
        <v>관리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hidden="1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4110300</v>
      </c>
      <c r="I209" s="6">
        <f t="shared" ca="1" si="16"/>
        <v>42</v>
      </c>
      <c r="J209" s="13" t="str">
        <f t="shared" ca="1" si="17"/>
        <v>관리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hidden="1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163</v>
      </c>
      <c r="F210" s="23" t="s">
        <v>327</v>
      </c>
      <c r="G210" s="6" t="s">
        <v>334</v>
      </c>
      <c r="H210" s="25">
        <v>1318600</v>
      </c>
      <c r="I210" s="6">
        <f t="shared" ca="1" si="16"/>
        <v>7</v>
      </c>
      <c r="J210" s="13" t="str">
        <f t="shared" ca="1" si="17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hidden="1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333</v>
      </c>
      <c r="F211" s="23" t="s">
        <v>328</v>
      </c>
      <c r="G211" s="6" t="s">
        <v>334</v>
      </c>
      <c r="H211" s="25">
        <v>3541500</v>
      </c>
      <c r="I211" s="6">
        <f t="shared" ca="1" si="16"/>
        <v>28</v>
      </c>
      <c r="J211" s="13" t="str">
        <f t="shared" ca="1" si="17"/>
        <v>정상</v>
      </c>
      <c r="K211" s="11"/>
      <c r="L211" s="11">
        <v>46126</v>
      </c>
      <c r="M211" s="10"/>
      <c r="N211" s="10" t="s">
        <v>33</v>
      </c>
      <c r="Q211" s="11"/>
      <c r="R211" s="11"/>
      <c r="S211" s="10"/>
    </row>
    <row r="212" spans="2:19" s="6" customFormat="1" ht="16.5" hidden="1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207</v>
      </c>
      <c r="F212" s="23" t="s">
        <v>329</v>
      </c>
      <c r="G212" s="6" t="s">
        <v>334</v>
      </c>
      <c r="H212" s="25">
        <v>3512300</v>
      </c>
      <c r="I212" s="6">
        <f t="shared" ca="1" si="16"/>
        <v>42</v>
      </c>
      <c r="J212" s="13" t="str">
        <f t="shared" ca="1" si="17"/>
        <v>관리</v>
      </c>
      <c r="K212" s="11">
        <v>46142</v>
      </c>
      <c r="L212" s="11"/>
      <c r="M212" s="10"/>
      <c r="N212" s="10" t="s">
        <v>33</v>
      </c>
      <c r="Q212" s="11"/>
      <c r="R212" s="11"/>
      <c r="S212" s="10"/>
    </row>
    <row r="213" spans="2:19" s="6" customFormat="1" ht="16.5" hidden="1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249</v>
      </c>
      <c r="F213" s="23" t="s">
        <v>330</v>
      </c>
      <c r="G213" s="6" t="s">
        <v>334</v>
      </c>
      <c r="H213" s="25">
        <v>11000000</v>
      </c>
      <c r="I213" s="6">
        <f t="shared" ca="1" si="16"/>
        <v>42</v>
      </c>
      <c r="J213" s="13" t="str">
        <f t="shared" ca="1" si="17"/>
        <v>관리</v>
      </c>
      <c r="K213" s="11">
        <v>46142</v>
      </c>
      <c r="L213" s="11"/>
      <c r="M213" s="10"/>
      <c r="N213" s="10" t="s">
        <v>33</v>
      </c>
      <c r="Q213" s="11"/>
      <c r="R213" s="11"/>
      <c r="S213" s="10"/>
    </row>
    <row r="214" spans="2:19" s="6" customFormat="1" ht="16.5" hidden="1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108</v>
      </c>
      <c r="F214" s="23" t="s">
        <v>331</v>
      </c>
      <c r="G214" s="6" t="s">
        <v>334</v>
      </c>
      <c r="H214" s="25">
        <v>21000000</v>
      </c>
      <c r="I214" s="6">
        <f t="shared" ca="1" si="16"/>
        <v>42</v>
      </c>
      <c r="J214" s="13" t="str">
        <f t="shared" ca="1" si="17"/>
        <v>관리</v>
      </c>
      <c r="K214" s="11">
        <v>46172</v>
      </c>
      <c r="L214" s="11"/>
      <c r="M214" s="10"/>
      <c r="N214" s="10" t="s">
        <v>33</v>
      </c>
      <c r="Q214" s="11"/>
      <c r="R214" s="11"/>
      <c r="S214" s="10"/>
    </row>
    <row r="215" spans="2:19" s="6" customFormat="1" ht="16.5" hidden="1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116</v>
      </c>
      <c r="F215" s="23" t="s">
        <v>332</v>
      </c>
      <c r="G215" s="6" t="s">
        <v>334</v>
      </c>
      <c r="H215" s="25">
        <v>806000</v>
      </c>
      <c r="I215" s="6">
        <f t="shared" ca="1" si="16"/>
        <v>38</v>
      </c>
      <c r="J215" s="13" t="str">
        <f t="shared" ca="1" si="17"/>
        <v>정상</v>
      </c>
      <c r="K215" s="11"/>
      <c r="L215" s="11">
        <v>46136</v>
      </c>
      <c r="M215" s="10"/>
      <c r="N215" s="10" t="s">
        <v>33</v>
      </c>
      <c r="Q215" s="11"/>
      <c r="R215" s="11"/>
      <c r="S215" s="10"/>
    </row>
    <row r="216" spans="2:19" s="6" customFormat="1" ht="16.5" hidden="1" customHeight="1">
      <c r="B216" s="10">
        <f>IF(C216="","",COUNTA($C$2:C216))</f>
        <v>215</v>
      </c>
      <c r="C216" s="39">
        <v>46099</v>
      </c>
      <c r="D216" s="10" t="str">
        <f t="shared" si="18"/>
        <v>A</v>
      </c>
      <c r="E216" s="23" t="s">
        <v>336</v>
      </c>
      <c r="F216" s="41" t="s">
        <v>335</v>
      </c>
      <c r="G216" s="6" t="s">
        <v>337</v>
      </c>
      <c r="H216" s="40">
        <v>4354200</v>
      </c>
      <c r="I216" s="6">
        <f t="shared" ca="1" si="16"/>
        <v>28</v>
      </c>
      <c r="J216" s="13" t="str">
        <f t="shared" ca="1" si="17"/>
        <v>관리</v>
      </c>
      <c r="K216" s="11">
        <v>46127</v>
      </c>
      <c r="L216" s="11">
        <v>46127</v>
      </c>
      <c r="M216" s="10"/>
      <c r="N216" s="10" t="s">
        <v>33</v>
      </c>
      <c r="Q216" s="11"/>
      <c r="R216" s="11"/>
      <c r="S216" s="10"/>
    </row>
    <row r="217" spans="2:19" s="6" customFormat="1" ht="16.5" hidden="1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6" t="s">
        <v>116</v>
      </c>
      <c r="F217" s="6" t="s">
        <v>338</v>
      </c>
      <c r="G217" s="6" t="s">
        <v>337</v>
      </c>
      <c r="H217" s="4">
        <v>28530900</v>
      </c>
      <c r="I217" s="6">
        <f t="shared" ca="1" si="16"/>
        <v>16</v>
      </c>
      <c r="J217" s="13" t="str">
        <f t="shared" ca="1" si="17"/>
        <v>정상</v>
      </c>
      <c r="K217" s="11"/>
      <c r="L217" s="11">
        <v>46115</v>
      </c>
      <c r="M217" s="10"/>
      <c r="N217" s="10" t="s">
        <v>33</v>
      </c>
      <c r="Q217" s="11"/>
      <c r="R217" s="11"/>
      <c r="S217" s="10"/>
    </row>
    <row r="218" spans="2:19" s="6" customFormat="1" ht="16.5" hidden="1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341</v>
      </c>
      <c r="F218" s="6" t="s">
        <v>339</v>
      </c>
      <c r="G218" s="6" t="s">
        <v>337</v>
      </c>
      <c r="H218" s="4">
        <v>26089600</v>
      </c>
      <c r="I218" s="6">
        <f t="shared" ca="1" si="16"/>
        <v>0</v>
      </c>
      <c r="J218" s="13" t="str">
        <f t="shared" ca="1" si="17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hidden="1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337</v>
      </c>
      <c r="H219" s="4">
        <v>27749100</v>
      </c>
      <c r="I219" s="6">
        <f t="shared" ca="1" si="16"/>
        <v>16</v>
      </c>
      <c r="J219" s="13" t="str">
        <f t="shared" ca="1" si="17"/>
        <v>정상</v>
      </c>
      <c r="K219" s="11"/>
      <c r="L219" s="11">
        <v>46115</v>
      </c>
      <c r="M219" s="10"/>
      <c r="N219" s="10" t="s">
        <v>33</v>
      </c>
      <c r="Q219" s="11"/>
      <c r="R219" s="11"/>
      <c r="S219" s="10"/>
    </row>
    <row r="220" spans="2:19" s="6" customFormat="1" ht="16.5" hidden="1" customHeight="1">
      <c r="B220" s="10">
        <f>IF(C220="","",COUNTA($C$2:C220))</f>
        <v>219</v>
      </c>
      <c r="C220" s="11">
        <v>46099</v>
      </c>
      <c r="D220" s="10" t="str">
        <f t="shared" si="18"/>
        <v>B</v>
      </c>
      <c r="E220" s="23" t="s">
        <v>56</v>
      </c>
      <c r="F220" s="23" t="s">
        <v>343</v>
      </c>
      <c r="G220" s="6" t="s">
        <v>368</v>
      </c>
      <c r="H220" s="25">
        <v>1842500</v>
      </c>
      <c r="I220" s="6">
        <f t="shared" ca="1" si="16"/>
        <v>1</v>
      </c>
      <c r="J220" s="13" t="str">
        <f t="shared" ca="1" si="17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hidden="1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126</v>
      </c>
      <c r="F221" s="23" t="s">
        <v>344</v>
      </c>
      <c r="G221" s="6" t="s">
        <v>368</v>
      </c>
      <c r="H221" s="25">
        <v>6583500</v>
      </c>
      <c r="I221" s="6">
        <f t="shared" ca="1" si="16"/>
        <v>41</v>
      </c>
      <c r="J221" s="13" t="str">
        <f t="shared" ca="1" si="17"/>
        <v>관리</v>
      </c>
      <c r="K221" s="11"/>
      <c r="L221" s="11"/>
      <c r="M221" s="10"/>
      <c r="N221" s="10" t="s">
        <v>33</v>
      </c>
      <c r="Q221" s="11"/>
      <c r="R221" s="11"/>
      <c r="S221" s="10"/>
    </row>
    <row r="222" spans="2:19" s="6" customFormat="1" ht="16.5" hidden="1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69</v>
      </c>
      <c r="F222" s="23" t="s">
        <v>345</v>
      </c>
      <c r="G222" s="6" t="s">
        <v>368</v>
      </c>
      <c r="H222" s="25">
        <v>2038700</v>
      </c>
      <c r="I222" s="6">
        <f t="shared" ca="1" si="16"/>
        <v>19</v>
      </c>
      <c r="J222" s="13" t="str">
        <f t="shared" ref="J222:J253" ca="1" si="19">IF(I222="","",
 IF(G222="선급금",
   IF(I222&lt;=20,"정상",IF(I222&lt;=90,"관리","장기미수")),
 IF(G222="자재",
   IF(I222&lt;=40,"정상",IF(I222&lt;=90,"관리","장기미수")),
   IF(I222&lt;=30,"정상",IF(I222&lt;=90,"관리","장기미수"))
  )
 )
)</f>
        <v>정상</v>
      </c>
      <c r="K222" s="11"/>
      <c r="L222" s="11">
        <v>46118</v>
      </c>
      <c r="M222" s="10"/>
      <c r="N222" s="10" t="s">
        <v>33</v>
      </c>
      <c r="Q222" s="11"/>
      <c r="R222" s="11"/>
      <c r="S222" s="10"/>
    </row>
    <row r="223" spans="2:19" s="6" customFormat="1" ht="16.5" hidden="1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122</v>
      </c>
      <c r="F223" s="23" t="s">
        <v>346</v>
      </c>
      <c r="G223" s="6" t="s">
        <v>368</v>
      </c>
      <c r="H223" s="25">
        <v>4750000</v>
      </c>
      <c r="I223" s="6">
        <f t="shared" ca="1" si="16"/>
        <v>23</v>
      </c>
      <c r="J223" s="13" t="str">
        <f t="shared" ca="1" si="19"/>
        <v>정상</v>
      </c>
      <c r="K223" s="11"/>
      <c r="L223" s="11">
        <v>46122</v>
      </c>
      <c r="M223" s="10"/>
      <c r="N223" s="10" t="s">
        <v>33</v>
      </c>
      <c r="Q223" s="11"/>
      <c r="R223" s="11"/>
      <c r="S223" s="10"/>
    </row>
    <row r="224" spans="2:19" s="6" customFormat="1" ht="16.5" hidden="1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126</v>
      </c>
      <c r="F224" s="23" t="s">
        <v>347</v>
      </c>
      <c r="G224" s="6" t="s">
        <v>368</v>
      </c>
      <c r="H224" s="25">
        <v>3572000</v>
      </c>
      <c r="I224" s="6">
        <f t="shared" ca="1" si="16"/>
        <v>41</v>
      </c>
      <c r="J224" s="13" t="str">
        <f t="shared" ca="1" si="19"/>
        <v>관리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hidden="1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24</v>
      </c>
      <c r="F225" s="23" t="s">
        <v>348</v>
      </c>
      <c r="G225" s="6" t="s">
        <v>368</v>
      </c>
      <c r="H225" s="25">
        <v>435000</v>
      </c>
      <c r="I225" s="6">
        <f t="shared" ca="1" si="16"/>
        <v>41</v>
      </c>
      <c r="J225" s="13" t="str">
        <f t="shared" ca="1" si="19"/>
        <v>관리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hidden="1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365</v>
      </c>
      <c r="F226" s="23" t="s">
        <v>349</v>
      </c>
      <c r="G226" s="6" t="s">
        <v>368</v>
      </c>
      <c r="H226" s="25">
        <v>637000</v>
      </c>
      <c r="I226" s="6">
        <f t="shared" ca="1" si="16"/>
        <v>41</v>
      </c>
      <c r="J226" s="13" t="str">
        <f t="shared" ca="1" si="19"/>
        <v>관리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hidden="1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368</v>
      </c>
      <c r="H227" s="25">
        <v>34583000</v>
      </c>
      <c r="I227" s="6">
        <f t="shared" ca="1" si="16"/>
        <v>19</v>
      </c>
      <c r="J227" s="13" t="str">
        <f t="shared" ca="1" si="19"/>
        <v>정상</v>
      </c>
      <c r="K227" s="11"/>
      <c r="L227" s="11">
        <v>46118</v>
      </c>
      <c r="M227" s="10"/>
      <c r="N227" s="10" t="s">
        <v>33</v>
      </c>
      <c r="Q227" s="11"/>
      <c r="R227" s="11"/>
      <c r="S227" s="10"/>
    </row>
    <row r="228" spans="2:19" s="6" customFormat="1" ht="16.5" hidden="1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208</v>
      </c>
      <c r="F228" s="23" t="s">
        <v>351</v>
      </c>
      <c r="G228" s="6" t="s">
        <v>368</v>
      </c>
      <c r="H228" s="25">
        <v>6600000</v>
      </c>
      <c r="I228" s="6">
        <f t="shared" ca="1" si="16"/>
        <v>28</v>
      </c>
      <c r="J228" s="13" t="str">
        <f t="shared" ca="1" si="19"/>
        <v>정상</v>
      </c>
      <c r="K228" s="11"/>
      <c r="L228" s="11">
        <v>46127</v>
      </c>
      <c r="M228" s="10"/>
      <c r="N228" s="10" t="s">
        <v>33</v>
      </c>
      <c r="Q228" s="11"/>
      <c r="R228" s="11"/>
      <c r="S228" s="10"/>
    </row>
    <row r="229" spans="2:19" s="6" customFormat="1" ht="16.5" hidden="1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221</v>
      </c>
      <c r="F229" s="23" t="s">
        <v>352</v>
      </c>
      <c r="G229" s="6" t="s">
        <v>368</v>
      </c>
      <c r="H229" s="25">
        <v>15802000</v>
      </c>
      <c r="I229" s="6">
        <f t="shared" ca="1" si="16"/>
        <v>41</v>
      </c>
      <c r="J229" s="13" t="str">
        <f t="shared" ca="1" si="19"/>
        <v>관리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hidden="1" customHeight="1">
      <c r="B230" s="10">
        <f>IF(C230="","",COUNTA($C$2:C230))</f>
        <v>229</v>
      </c>
      <c r="C230" s="11">
        <v>46100</v>
      </c>
      <c r="D230" s="10" t="str">
        <f t="shared" si="18"/>
        <v>B</v>
      </c>
      <c r="E230" s="23" t="s">
        <v>218</v>
      </c>
      <c r="F230" s="23" t="s">
        <v>353</v>
      </c>
      <c r="G230" s="6" t="s">
        <v>368</v>
      </c>
      <c r="H230" s="25">
        <v>9450000</v>
      </c>
      <c r="I230" s="6">
        <f t="shared" ca="1" si="16"/>
        <v>40</v>
      </c>
      <c r="J230" s="13" t="str">
        <f t="shared" ca="1" si="19"/>
        <v>정상</v>
      </c>
      <c r="K230" s="11">
        <v>46157</v>
      </c>
      <c r="L230" s="11"/>
      <c r="M230" s="10"/>
      <c r="N230" s="10" t="s">
        <v>33</v>
      </c>
      <c r="Q230" s="11"/>
      <c r="R230" s="11"/>
      <c r="S230" s="10"/>
    </row>
    <row r="231" spans="2:19" s="6" customFormat="1" ht="16.5" hidden="1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126</v>
      </c>
      <c r="F231" s="23" t="s">
        <v>347</v>
      </c>
      <c r="G231" s="6" t="s">
        <v>368</v>
      </c>
      <c r="H231" s="25">
        <v>521000</v>
      </c>
      <c r="I231" s="6">
        <f t="shared" ca="1" si="16"/>
        <v>40</v>
      </c>
      <c r="J231" s="13" t="str">
        <f t="shared" ca="1" si="19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hidden="1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39</v>
      </c>
      <c r="F232" s="23" t="s">
        <v>354</v>
      </c>
      <c r="G232" s="6" t="s">
        <v>368</v>
      </c>
      <c r="H232" s="25">
        <v>333000</v>
      </c>
      <c r="I232" s="6">
        <f t="shared" ca="1" si="16"/>
        <v>12</v>
      </c>
      <c r="J232" s="13" t="str">
        <f t="shared" ca="1" si="19"/>
        <v>정상</v>
      </c>
      <c r="K232" s="11"/>
      <c r="L232" s="11">
        <v>46112</v>
      </c>
      <c r="M232" s="10"/>
      <c r="N232" s="10" t="s">
        <v>33</v>
      </c>
      <c r="Q232" s="11"/>
      <c r="R232" s="11"/>
      <c r="S232" s="10"/>
    </row>
    <row r="233" spans="2:19" s="6" customFormat="1" ht="16.5" hidden="1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81</v>
      </c>
      <c r="F233" s="23" t="s">
        <v>355</v>
      </c>
      <c r="G233" s="6" t="s">
        <v>368</v>
      </c>
      <c r="H233" s="25">
        <v>2835000</v>
      </c>
      <c r="I233" s="6">
        <f t="shared" ca="1" si="16"/>
        <v>40</v>
      </c>
      <c r="J233" s="13" t="str">
        <f t="shared" ca="1" si="19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hidden="1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128</v>
      </c>
      <c r="F234" s="23" t="s">
        <v>356</v>
      </c>
      <c r="G234" s="6" t="s">
        <v>368</v>
      </c>
      <c r="H234" s="25">
        <v>351900</v>
      </c>
      <c r="I234" s="6">
        <f t="shared" ca="1" si="16"/>
        <v>0</v>
      </c>
      <c r="J234" s="13" t="str">
        <f t="shared" ca="1" si="19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hidden="1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17</v>
      </c>
      <c r="F235" s="23" t="s">
        <v>357</v>
      </c>
      <c r="G235" s="6" t="s">
        <v>368</v>
      </c>
      <c r="H235" s="25">
        <v>839000</v>
      </c>
      <c r="I235" s="6">
        <f t="shared" ca="1" si="16"/>
        <v>40</v>
      </c>
      <c r="J235" s="13" t="str">
        <f t="shared" ca="1" si="19"/>
        <v>정상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hidden="1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367</v>
      </c>
      <c r="F236" s="23" t="s">
        <v>358</v>
      </c>
      <c r="G236" s="6" t="s">
        <v>368</v>
      </c>
      <c r="H236" s="25">
        <v>1507200</v>
      </c>
      <c r="I236" s="6">
        <f t="shared" ca="1" si="16"/>
        <v>29</v>
      </c>
      <c r="J236" s="13" t="str">
        <f t="shared" ca="1" si="19"/>
        <v>정상</v>
      </c>
      <c r="K236" s="11"/>
      <c r="L236" s="11">
        <v>46129</v>
      </c>
      <c r="M236" s="10"/>
      <c r="N236" s="10" t="s">
        <v>33</v>
      </c>
      <c r="Q236" s="11"/>
      <c r="R236" s="11"/>
      <c r="S236" s="10"/>
    </row>
    <row r="237" spans="2:19" s="6" customFormat="1" ht="16.5" hidden="1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219</v>
      </c>
      <c r="F237" s="23" t="s">
        <v>359</v>
      </c>
      <c r="G237" s="6" t="s">
        <v>368</v>
      </c>
      <c r="H237" s="25">
        <v>585000</v>
      </c>
      <c r="I237" s="6">
        <f t="shared" ca="1" si="16"/>
        <v>26</v>
      </c>
      <c r="J237" s="13" t="str">
        <f t="shared" ca="1" si="19"/>
        <v>정상</v>
      </c>
      <c r="K237" s="11"/>
      <c r="L237" s="11">
        <v>46126</v>
      </c>
      <c r="M237" s="10"/>
      <c r="N237" s="10" t="s">
        <v>33</v>
      </c>
      <c r="Q237" s="11"/>
      <c r="R237" s="11"/>
      <c r="S237" s="10"/>
    </row>
    <row r="238" spans="2:19" s="6" customFormat="1" ht="16.5" hidden="1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221</v>
      </c>
      <c r="F238" s="23" t="s">
        <v>352</v>
      </c>
      <c r="G238" s="6" t="s">
        <v>368</v>
      </c>
      <c r="H238" s="25">
        <v>615000</v>
      </c>
      <c r="I238" s="6">
        <f t="shared" ca="1" si="16"/>
        <v>40</v>
      </c>
      <c r="J238" s="13" t="str">
        <f t="shared" ca="1" si="19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hidden="1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219</v>
      </c>
      <c r="F239" s="23" t="s">
        <v>360</v>
      </c>
      <c r="G239" s="6" t="s">
        <v>368</v>
      </c>
      <c r="H239" s="25">
        <v>44793500</v>
      </c>
      <c r="I239" s="6">
        <f t="shared" ca="1" si="16"/>
        <v>26</v>
      </c>
      <c r="J239" s="13" t="str">
        <f t="shared" ca="1" si="19"/>
        <v>정상</v>
      </c>
      <c r="K239" s="11"/>
      <c r="L239" s="11">
        <v>46126</v>
      </c>
      <c r="M239" s="10"/>
      <c r="N239" s="10" t="s">
        <v>33</v>
      </c>
      <c r="Q239" s="11"/>
      <c r="R239" s="11"/>
      <c r="S239" s="10"/>
    </row>
    <row r="240" spans="2:19" s="6" customFormat="1" ht="16.5" hidden="1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39</v>
      </c>
      <c r="F240" s="23" t="s">
        <v>361</v>
      </c>
      <c r="G240" s="6" t="s">
        <v>368</v>
      </c>
      <c r="H240" s="25">
        <v>602300</v>
      </c>
      <c r="I240" s="6">
        <f t="shared" ca="1" si="16"/>
        <v>12</v>
      </c>
      <c r="J240" s="13" t="str">
        <f t="shared" ca="1" si="19"/>
        <v>정상</v>
      </c>
      <c r="K240" s="11"/>
      <c r="L240" s="11">
        <v>46112</v>
      </c>
      <c r="M240" s="10"/>
      <c r="N240" s="10" t="s">
        <v>33</v>
      </c>
      <c r="Q240" s="11"/>
      <c r="R240" s="11"/>
      <c r="S240" s="10"/>
    </row>
    <row r="241" spans="2:19" s="6" customFormat="1" ht="16.5" hidden="1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218</v>
      </c>
      <c r="F241" s="23" t="s">
        <v>362</v>
      </c>
      <c r="G241" s="6" t="s">
        <v>368</v>
      </c>
      <c r="H241" s="25">
        <v>1180000</v>
      </c>
      <c r="I241" s="6">
        <f t="shared" ca="1" si="16"/>
        <v>40</v>
      </c>
      <c r="J241" s="13" t="str">
        <f t="shared" ca="1" si="19"/>
        <v>정상</v>
      </c>
      <c r="K241" s="11">
        <v>46157</v>
      </c>
      <c r="L241" s="11"/>
      <c r="M241" s="10"/>
      <c r="N241" s="10" t="s">
        <v>33</v>
      </c>
      <c r="Q241" s="11"/>
      <c r="R241" s="11"/>
      <c r="S241" s="10"/>
    </row>
    <row r="242" spans="2:19" s="6" customFormat="1" ht="16.5" hidden="1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333</v>
      </c>
      <c r="F242" s="23" t="s">
        <v>363</v>
      </c>
      <c r="G242" s="6" t="s">
        <v>368</v>
      </c>
      <c r="H242" s="25">
        <v>3300000</v>
      </c>
      <c r="I242" s="6">
        <f t="shared" ca="1" si="16"/>
        <v>26</v>
      </c>
      <c r="J242" s="13" t="str">
        <f t="shared" ca="1" si="19"/>
        <v>정상</v>
      </c>
      <c r="K242" s="11"/>
      <c r="L242" s="11">
        <v>46126</v>
      </c>
      <c r="M242" s="10"/>
      <c r="N242" s="10" t="s">
        <v>33</v>
      </c>
      <c r="Q242" s="11"/>
      <c r="R242" s="11"/>
      <c r="S242" s="10"/>
    </row>
    <row r="243" spans="2:19" s="6" customFormat="1" ht="16.5" hidden="1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218</v>
      </c>
      <c r="F243" s="23" t="s">
        <v>364</v>
      </c>
      <c r="G243" s="6" t="s">
        <v>368</v>
      </c>
      <c r="H243" s="25">
        <v>1548500</v>
      </c>
      <c r="I243" s="6">
        <f t="shared" ca="1" si="16"/>
        <v>40</v>
      </c>
      <c r="J243" s="13" t="str">
        <f t="shared" ca="1" si="19"/>
        <v>정상</v>
      </c>
      <c r="K243" s="11">
        <v>46157</v>
      </c>
      <c r="L243" s="11"/>
      <c r="M243" s="10"/>
      <c r="N243" s="10" t="s">
        <v>33</v>
      </c>
      <c r="Q243" s="11"/>
      <c r="R243" s="11"/>
      <c r="S243" s="10"/>
    </row>
    <row r="244" spans="2:19" s="6" customFormat="1" ht="16.5" hidden="1" customHeight="1">
      <c r="B244" s="10">
        <f>IF(C244="","",COUNTA($C$2:C244))</f>
        <v>243</v>
      </c>
      <c r="C244" s="11">
        <v>46101</v>
      </c>
      <c r="D244" s="10" t="s">
        <v>243</v>
      </c>
      <c r="E244" s="6" t="s">
        <v>370</v>
      </c>
      <c r="F244" s="6" t="s">
        <v>369</v>
      </c>
      <c r="G244" s="6" t="s">
        <v>377</v>
      </c>
      <c r="H244" s="4">
        <v>10716800</v>
      </c>
      <c r="I244" s="6">
        <f t="shared" ca="1" si="16"/>
        <v>12</v>
      </c>
      <c r="J244" s="13" t="str">
        <f t="shared" ca="1" si="19"/>
        <v>정상</v>
      </c>
      <c r="K244" s="11"/>
      <c r="L244" s="11">
        <v>46113</v>
      </c>
      <c r="M244" s="10"/>
      <c r="N244" s="10" t="s">
        <v>33</v>
      </c>
      <c r="Q244" s="11"/>
      <c r="R244" s="11"/>
      <c r="S244" s="10"/>
    </row>
    <row r="245" spans="2:19" s="6" customFormat="1" ht="16.5" hidden="1" customHeight="1">
      <c r="B245" s="10">
        <f>IF(C245="","",COUNTA($C$2:C245))</f>
        <v>244</v>
      </c>
      <c r="C245" s="39">
        <v>46101</v>
      </c>
      <c r="D245" s="10" t="s">
        <v>243</v>
      </c>
      <c r="E245" s="6" t="s">
        <v>374</v>
      </c>
      <c r="F245" s="6" t="s">
        <v>371</v>
      </c>
      <c r="G245" s="6" t="s">
        <v>233</v>
      </c>
      <c r="H245" s="4">
        <v>9029600</v>
      </c>
      <c r="I245" s="6">
        <f t="shared" ca="1" si="16"/>
        <v>13</v>
      </c>
      <c r="J245" s="13" t="str">
        <f t="shared" ca="1" si="19"/>
        <v>정상</v>
      </c>
      <c r="K245" s="11"/>
      <c r="L245" s="11">
        <v>46114</v>
      </c>
      <c r="M245" s="10"/>
      <c r="N245" s="10" t="s">
        <v>33</v>
      </c>
      <c r="Q245" s="11"/>
      <c r="R245" s="11"/>
      <c r="S245" s="10"/>
    </row>
    <row r="246" spans="2:19" s="6" customFormat="1" ht="16.5" hidden="1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375</v>
      </c>
      <c r="F246" s="6" t="s">
        <v>372</v>
      </c>
      <c r="G246" s="6" t="s">
        <v>233</v>
      </c>
      <c r="H246" s="4">
        <v>6484400</v>
      </c>
      <c r="I246" s="6">
        <f t="shared" ca="1" si="16"/>
        <v>26</v>
      </c>
      <c r="J246" s="13" t="str">
        <f t="shared" ca="1" si="19"/>
        <v>관리</v>
      </c>
      <c r="K246" s="11">
        <v>46127</v>
      </c>
      <c r="L246" s="11">
        <v>46127</v>
      </c>
      <c r="M246" s="10"/>
      <c r="N246" s="10" t="s">
        <v>33</v>
      </c>
      <c r="Q246" s="11"/>
      <c r="R246" s="11"/>
      <c r="S246" s="10"/>
    </row>
    <row r="247" spans="2:19" s="6" customFormat="1" ht="16.5" hidden="1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376</v>
      </c>
      <c r="F247" s="6" t="s">
        <v>373</v>
      </c>
      <c r="G247" s="6" t="s">
        <v>233</v>
      </c>
      <c r="H247" s="4">
        <v>52857300</v>
      </c>
      <c r="I247" s="6">
        <f t="shared" ca="1" si="16"/>
        <v>11</v>
      </c>
      <c r="J247" s="13" t="str">
        <f t="shared" ca="1" si="19"/>
        <v>정상</v>
      </c>
      <c r="K247" s="11"/>
      <c r="L247" s="11">
        <v>46112</v>
      </c>
      <c r="M247" s="10"/>
      <c r="N247" s="10" t="s">
        <v>33</v>
      </c>
      <c r="Q247" s="11"/>
      <c r="R247" s="11"/>
      <c r="S247" s="10"/>
    </row>
    <row r="248" spans="2:19" s="6" customFormat="1" ht="16.5" hidden="1" customHeight="1">
      <c r="B248" s="10">
        <f>IF(C248="","",COUNTA($C$2:C248))</f>
        <v>247</v>
      </c>
      <c r="C248" s="30">
        <v>46101</v>
      </c>
      <c r="D248" s="10" t="s">
        <v>178</v>
      </c>
      <c r="E248" s="23" t="s">
        <v>383</v>
      </c>
      <c r="F248" s="23" t="s">
        <v>378</v>
      </c>
      <c r="G248" s="6" t="s">
        <v>385</v>
      </c>
      <c r="H248" s="25">
        <v>114000</v>
      </c>
      <c r="I248" s="6">
        <f t="shared" ca="1" si="16"/>
        <v>21</v>
      </c>
      <c r="J248" s="13" t="str">
        <f t="shared" ca="1" si="19"/>
        <v>정상</v>
      </c>
      <c r="K248" s="11"/>
      <c r="L248" s="11">
        <v>46122</v>
      </c>
      <c r="M248" s="10"/>
      <c r="N248" s="10" t="s">
        <v>33</v>
      </c>
      <c r="Q248" s="11"/>
      <c r="R248" s="11"/>
      <c r="S248" s="10"/>
    </row>
    <row r="249" spans="2:19" s="6" customFormat="1" ht="16.5" hidden="1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24</v>
      </c>
      <c r="F249" s="23" t="s">
        <v>379</v>
      </c>
      <c r="G249" s="6" t="s">
        <v>385</v>
      </c>
      <c r="H249" s="25">
        <v>9563000</v>
      </c>
      <c r="I249" s="6">
        <f t="shared" ca="1" si="16"/>
        <v>39</v>
      </c>
      <c r="J249" s="13" t="str">
        <f t="shared" ca="1" si="19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hidden="1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100</v>
      </c>
      <c r="F250" s="23" t="s">
        <v>380</v>
      </c>
      <c r="G250" s="6" t="s">
        <v>385</v>
      </c>
      <c r="H250" s="25">
        <v>2270000</v>
      </c>
      <c r="I250" s="6">
        <f t="shared" ca="1" si="16"/>
        <v>39</v>
      </c>
      <c r="J250" s="13" t="str">
        <f t="shared" ca="1" si="19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hidden="1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384</v>
      </c>
      <c r="F251" s="23" t="s">
        <v>381</v>
      </c>
      <c r="G251" s="6" t="s">
        <v>385</v>
      </c>
      <c r="H251" s="25">
        <v>121500</v>
      </c>
      <c r="I251" s="6">
        <f t="shared" ca="1" si="16"/>
        <v>0</v>
      </c>
      <c r="J251" s="13" t="str">
        <f t="shared" ca="1" si="19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hidden="1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122</v>
      </c>
      <c r="F252" s="23" t="s">
        <v>382</v>
      </c>
      <c r="G252" s="6" t="s">
        <v>385</v>
      </c>
      <c r="H252" s="25">
        <v>658000</v>
      </c>
      <c r="I252" s="6">
        <f t="shared" ca="1" si="16"/>
        <v>21</v>
      </c>
      <c r="J252" s="13" t="str">
        <f t="shared" ca="1" si="19"/>
        <v>정상</v>
      </c>
      <c r="K252" s="11"/>
      <c r="L252" s="11">
        <v>46122</v>
      </c>
      <c r="M252" s="10"/>
      <c r="N252" s="10" t="s">
        <v>33</v>
      </c>
      <c r="Q252" s="11"/>
      <c r="R252" s="11"/>
      <c r="S252" s="10"/>
    </row>
    <row r="253" spans="2:19" s="6" customFormat="1" ht="16.5" hidden="1" customHeight="1">
      <c r="B253" s="10">
        <f>IF(C253="","",COUNTA($C$2:C253))</f>
        <v>252</v>
      </c>
      <c r="C253" s="39">
        <v>46104</v>
      </c>
      <c r="D253" s="10" t="s">
        <v>243</v>
      </c>
      <c r="E253" s="6" t="s">
        <v>387</v>
      </c>
      <c r="F253" s="6" t="s">
        <v>386</v>
      </c>
      <c r="G253" s="6" t="s">
        <v>230</v>
      </c>
      <c r="H253" s="4">
        <v>23835400</v>
      </c>
      <c r="I253" s="6">
        <f t="shared" ca="1" si="16"/>
        <v>23</v>
      </c>
      <c r="J253" s="13" t="str">
        <f t="shared" ca="1" si="19"/>
        <v>정상</v>
      </c>
      <c r="K253" s="11"/>
      <c r="L253" s="11">
        <v>46127</v>
      </c>
      <c r="M253" s="10"/>
      <c r="N253" s="10" t="s">
        <v>33</v>
      </c>
      <c r="Q253" s="11"/>
      <c r="R253" s="11"/>
      <c r="S253" s="10"/>
    </row>
    <row r="254" spans="2:19" s="6" customFormat="1" ht="16.5" hidden="1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389</v>
      </c>
      <c r="F254" s="6" t="s">
        <v>388</v>
      </c>
      <c r="G254" s="6" t="s">
        <v>230</v>
      </c>
      <c r="H254" s="4">
        <v>8708400</v>
      </c>
      <c r="I254" s="6">
        <f t="shared" ref="I254:I317" ca="1" si="20">IF(C254="","",IF(L254="",TODAY()-C254,L254-C254))</f>
        <v>23</v>
      </c>
      <c r="J254" s="13" t="str">
        <f t="shared" ref="J254:J285" ca="1" si="21">IF(I254="","",
 IF(G254="선급금",
   IF(I254&lt;=20,"정상",IF(I254&lt;=90,"관리","장기미수")),
 IF(G254="자재",
   IF(I254&lt;=40,"정상",IF(I254&lt;=90,"관리","장기미수")),
   IF(I254&lt;=30,"정상",IF(I254&lt;=90,"관리","장기미수"))
  )
 )
)</f>
        <v>정상</v>
      </c>
      <c r="K254" s="11">
        <v>46127</v>
      </c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hidden="1" customHeight="1">
      <c r="B255" s="10">
        <f>IF(C255="","",COUNTA($C$2:C255))</f>
        <v>254</v>
      </c>
      <c r="C255" s="39">
        <v>46105</v>
      </c>
      <c r="D255" s="10" t="str">
        <f t="shared" si="18"/>
        <v>A</v>
      </c>
      <c r="E255" s="6" t="s">
        <v>393</v>
      </c>
      <c r="F255" s="6" t="s">
        <v>390</v>
      </c>
      <c r="G255" s="6" t="s">
        <v>227</v>
      </c>
      <c r="H255" s="4">
        <v>8559000</v>
      </c>
      <c r="I255" s="6">
        <f t="shared" ca="1" si="20"/>
        <v>2</v>
      </c>
      <c r="J255" s="13" t="str">
        <f t="shared" ca="1" si="21"/>
        <v>정상</v>
      </c>
      <c r="K255" s="11"/>
      <c r="L255" s="11">
        <v>46107</v>
      </c>
      <c r="M255" s="10"/>
      <c r="N255" s="10" t="s">
        <v>33</v>
      </c>
      <c r="Q255" s="11"/>
      <c r="R255" s="11"/>
      <c r="S255" s="10"/>
    </row>
    <row r="256" spans="2:19" s="6" customFormat="1" ht="16.5" hidden="1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392</v>
      </c>
      <c r="H256" s="4">
        <v>3281000</v>
      </c>
      <c r="I256" s="6">
        <f t="shared" ca="1" si="20"/>
        <v>22</v>
      </c>
      <c r="J256" s="13" t="str">
        <f t="shared" ca="1" si="21"/>
        <v>관리</v>
      </c>
      <c r="K256" s="11">
        <v>46127</v>
      </c>
      <c r="L256" s="11">
        <v>46127</v>
      </c>
      <c r="M256" s="10"/>
      <c r="N256" s="10" t="s">
        <v>33</v>
      </c>
      <c r="Q256" s="11"/>
      <c r="R256" s="11"/>
      <c r="S256" s="10"/>
    </row>
    <row r="257" spans="2:19" s="6" customFormat="1" ht="16.5" hidden="1" customHeight="1">
      <c r="B257" s="10">
        <f>IF(C257="","",COUNTA($C$2:C257))</f>
        <v>256</v>
      </c>
      <c r="C257" s="11">
        <v>46104</v>
      </c>
      <c r="D257" s="10" t="str">
        <f t="shared" si="18"/>
        <v>B</v>
      </c>
      <c r="E257" s="6" t="s">
        <v>218</v>
      </c>
      <c r="F257" s="23" t="s">
        <v>397</v>
      </c>
      <c r="G257" s="6" t="s">
        <v>416</v>
      </c>
      <c r="H257" s="4">
        <v>4290000</v>
      </c>
      <c r="I257" s="6">
        <f t="shared" ca="1" si="20"/>
        <v>36</v>
      </c>
      <c r="J257" s="13" t="str">
        <f t="shared" ca="1" si="21"/>
        <v>정상</v>
      </c>
      <c r="K257" s="11">
        <v>46157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hidden="1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530</v>
      </c>
      <c r="F258" s="23" t="s">
        <v>398</v>
      </c>
      <c r="G258" s="6" t="s">
        <v>416</v>
      </c>
      <c r="H258" s="4">
        <v>8800000</v>
      </c>
      <c r="I258" s="6">
        <f t="shared" ca="1" si="20"/>
        <v>2</v>
      </c>
      <c r="J258" s="13" t="str">
        <f t="shared" ca="1" si="21"/>
        <v>정상</v>
      </c>
      <c r="K258" s="11"/>
      <c r="L258" s="11">
        <v>46106</v>
      </c>
      <c r="M258" s="10"/>
      <c r="N258" s="10" t="s">
        <v>33</v>
      </c>
      <c r="Q258" s="11"/>
      <c r="R258" s="11"/>
      <c r="S258" s="10"/>
    </row>
    <row r="259" spans="2:19" s="6" customFormat="1" ht="16.5" hidden="1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26</v>
      </c>
      <c r="F259" s="23" t="s">
        <v>399</v>
      </c>
      <c r="G259" s="6" t="s">
        <v>416</v>
      </c>
      <c r="H259" s="4">
        <v>465000</v>
      </c>
      <c r="I259" s="6">
        <f t="shared" ca="1" si="20"/>
        <v>36</v>
      </c>
      <c r="J259" s="13" t="str">
        <f t="shared" ca="1" si="21"/>
        <v>정상</v>
      </c>
      <c r="K259" s="11"/>
      <c r="L259" s="11"/>
      <c r="M259" s="10"/>
      <c r="N259" s="10" t="s">
        <v>33</v>
      </c>
      <c r="P259" s="6" t="s">
        <v>80</v>
      </c>
      <c r="Q259" s="11"/>
      <c r="R259" s="11"/>
      <c r="S259" s="10"/>
    </row>
    <row r="260" spans="2:19" s="6" customFormat="1" ht="16.5" hidden="1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126</v>
      </c>
      <c r="F260" s="23" t="s">
        <v>400</v>
      </c>
      <c r="G260" s="6" t="s">
        <v>416</v>
      </c>
      <c r="H260" s="4">
        <v>5765500</v>
      </c>
      <c r="I260" s="6">
        <f t="shared" ca="1" si="20"/>
        <v>36</v>
      </c>
      <c r="J260" s="13" t="str">
        <f t="shared" ca="1" si="21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hidden="1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120</v>
      </c>
      <c r="F261" s="23" t="s">
        <v>401</v>
      </c>
      <c r="G261" s="6" t="s">
        <v>416</v>
      </c>
      <c r="H261" s="4">
        <v>222000</v>
      </c>
      <c r="I261" s="6">
        <f t="shared" ca="1" si="20"/>
        <v>11</v>
      </c>
      <c r="J261" s="13" t="str">
        <f t="shared" ca="1" si="21"/>
        <v>정상</v>
      </c>
      <c r="K261" s="11"/>
      <c r="L261" s="11">
        <v>46115</v>
      </c>
      <c r="M261" s="10"/>
      <c r="N261" s="10" t="s">
        <v>33</v>
      </c>
      <c r="Q261" s="11"/>
      <c r="R261" s="11"/>
      <c r="S261" s="10"/>
    </row>
    <row r="262" spans="2:19" s="6" customFormat="1" ht="16.5" hidden="1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207</v>
      </c>
      <c r="F262" s="23" t="s">
        <v>402</v>
      </c>
      <c r="G262" s="6" t="s">
        <v>416</v>
      </c>
      <c r="H262" s="4">
        <v>1866000</v>
      </c>
      <c r="I262" s="6">
        <f t="shared" ca="1" si="20"/>
        <v>36</v>
      </c>
      <c r="J262" s="13" t="str">
        <f t="shared" ca="1" si="21"/>
        <v>정상</v>
      </c>
      <c r="K262" s="11">
        <v>46142</v>
      </c>
      <c r="L262" s="11"/>
      <c r="M262" s="10"/>
      <c r="N262" s="10" t="s">
        <v>33</v>
      </c>
      <c r="Q262" s="11"/>
      <c r="R262" s="11"/>
      <c r="S262" s="10"/>
    </row>
    <row r="263" spans="2:19" s="6" customFormat="1" ht="16.5" hidden="1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179</v>
      </c>
      <c r="F263" s="23" t="s">
        <v>403</v>
      </c>
      <c r="G263" s="6" t="s">
        <v>416</v>
      </c>
      <c r="H263" s="4">
        <v>798500</v>
      </c>
      <c r="I263" s="6">
        <f t="shared" ca="1" si="20"/>
        <v>18</v>
      </c>
      <c r="J263" s="13" t="str">
        <f t="shared" ca="1" si="21"/>
        <v>정상</v>
      </c>
      <c r="K263" s="11"/>
      <c r="L263" s="11">
        <v>46122</v>
      </c>
      <c r="M263" s="10"/>
      <c r="N263" s="10" t="s">
        <v>33</v>
      </c>
      <c r="Q263" s="11"/>
      <c r="R263" s="11"/>
      <c r="S263" s="10"/>
    </row>
    <row r="264" spans="2:19" s="6" customFormat="1" ht="16.5" hidden="1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395</v>
      </c>
      <c r="F264" s="23" t="s">
        <v>404</v>
      </c>
      <c r="G264" s="6" t="s">
        <v>416</v>
      </c>
      <c r="H264" s="4">
        <v>5442500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hidden="1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208</v>
      </c>
      <c r="F265" s="23" t="s">
        <v>405</v>
      </c>
      <c r="G265" s="6" t="s">
        <v>416</v>
      </c>
      <c r="H265" s="4">
        <v>2969500</v>
      </c>
      <c r="I265" s="6">
        <f t="shared" ca="1" si="20"/>
        <v>23</v>
      </c>
      <c r="J265" s="13" t="str">
        <f t="shared" ca="1" si="21"/>
        <v>정상</v>
      </c>
      <c r="K265" s="11"/>
      <c r="L265" s="11">
        <v>46127</v>
      </c>
      <c r="M265" s="10"/>
      <c r="N265" s="10" t="s">
        <v>33</v>
      </c>
      <c r="Q265" s="11"/>
      <c r="R265" s="11"/>
      <c r="S265" s="10"/>
    </row>
    <row r="266" spans="2:19" s="6" customFormat="1" ht="16.5" hidden="1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195</v>
      </c>
      <c r="F266" s="23" t="s">
        <v>406</v>
      </c>
      <c r="G266" s="6" t="s">
        <v>416</v>
      </c>
      <c r="H266" s="4">
        <v>10451300</v>
      </c>
      <c r="I266" s="6">
        <f t="shared" ca="1" si="20"/>
        <v>35</v>
      </c>
      <c r="J266" s="13" t="str">
        <f t="shared" ca="1" si="21"/>
        <v>정상</v>
      </c>
      <c r="K266" s="11"/>
      <c r="L266" s="11">
        <v>46139</v>
      </c>
      <c r="M266" s="10"/>
      <c r="N266" s="10" t="s">
        <v>33</v>
      </c>
      <c r="Q266" s="11"/>
      <c r="R266" s="11"/>
      <c r="S266" s="10"/>
    </row>
    <row r="267" spans="2:19" s="6" customFormat="1" ht="16.5" hidden="1" customHeight="1">
      <c r="B267" s="10">
        <f>IF(C267="","",COUNTA($C$2:C267))</f>
        <v>266</v>
      </c>
      <c r="C267" s="11">
        <v>46104</v>
      </c>
      <c r="D267" s="10" t="str">
        <f t="shared" ref="D267:D307" si="22">IF(G267="","",IF(OR(G267="선급금",G267="중도금",G267="잔금"),"A",IF(G267="자재","B",IF(G267="특허료","C",""))))</f>
        <v>B</v>
      </c>
      <c r="E267" s="6" t="s">
        <v>108</v>
      </c>
      <c r="F267" s="23" t="s">
        <v>407</v>
      </c>
      <c r="G267" s="6" t="s">
        <v>416</v>
      </c>
      <c r="H267" s="4">
        <v>2250000</v>
      </c>
      <c r="I267" s="6">
        <f t="shared" ca="1" si="20"/>
        <v>36</v>
      </c>
      <c r="J267" s="13" t="str">
        <f t="shared" ca="1" si="21"/>
        <v>정상</v>
      </c>
      <c r="K267" s="11">
        <v>46172</v>
      </c>
      <c r="L267" s="11"/>
      <c r="M267" s="10"/>
      <c r="N267" s="10" t="s">
        <v>33</v>
      </c>
      <c r="Q267" s="11"/>
      <c r="R267" s="11"/>
      <c r="S267" s="10"/>
    </row>
    <row r="268" spans="2:19" s="6" customFormat="1" ht="16.5" hidden="1" customHeight="1">
      <c r="B268" s="10">
        <f>IF(C268="","",COUNTA($C$2:C268))</f>
        <v>267</v>
      </c>
      <c r="C268" s="11">
        <v>46105</v>
      </c>
      <c r="D268" s="10" t="str">
        <f t="shared" si="22"/>
        <v>B</v>
      </c>
      <c r="E268" s="6" t="s">
        <v>126</v>
      </c>
      <c r="F268" s="23" t="s">
        <v>408</v>
      </c>
      <c r="G268" s="6" t="s">
        <v>416</v>
      </c>
      <c r="H268" s="4">
        <v>2711000</v>
      </c>
      <c r="I268" s="6">
        <f t="shared" ca="1" si="20"/>
        <v>35</v>
      </c>
      <c r="J268" s="13" t="str">
        <f t="shared" ca="1" si="21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hidden="1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416</v>
      </c>
      <c r="H269" s="4">
        <v>10539000</v>
      </c>
      <c r="I269" s="6">
        <f t="shared" ca="1" si="20"/>
        <v>35</v>
      </c>
      <c r="J269" s="13" t="str">
        <f t="shared" ca="1" si="21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hidden="1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396</v>
      </c>
      <c r="F270" s="23" t="s">
        <v>410</v>
      </c>
      <c r="G270" s="6" t="s">
        <v>416</v>
      </c>
      <c r="H270" s="4">
        <v>1021000</v>
      </c>
      <c r="I270" s="6">
        <f t="shared" ca="1" si="20"/>
        <v>35</v>
      </c>
      <c r="J270" s="13" t="str">
        <f t="shared" ca="1" si="21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hidden="1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98</v>
      </c>
      <c r="F271" s="23" t="s">
        <v>411</v>
      </c>
      <c r="G271" s="6" t="s">
        <v>416</v>
      </c>
      <c r="H271" s="4">
        <v>427800</v>
      </c>
      <c r="I271" s="6">
        <f t="shared" ca="1" si="20"/>
        <v>35</v>
      </c>
      <c r="J271" s="13" t="str">
        <f t="shared" ca="1" si="21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hidden="1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218</v>
      </c>
      <c r="F272" s="23" t="s">
        <v>412</v>
      </c>
      <c r="G272" s="6" t="s">
        <v>416</v>
      </c>
      <c r="H272" s="4">
        <v>1180000</v>
      </c>
      <c r="I272" s="6">
        <f t="shared" ca="1" si="20"/>
        <v>35</v>
      </c>
      <c r="J272" s="13" t="str">
        <f t="shared" ca="1" si="21"/>
        <v>정상</v>
      </c>
      <c r="K272" s="11">
        <v>46157</v>
      </c>
      <c r="L272" s="11"/>
      <c r="M272" s="10"/>
      <c r="N272" s="10" t="s">
        <v>33</v>
      </c>
      <c r="Q272" s="11"/>
      <c r="R272" s="11"/>
      <c r="S272" s="10"/>
    </row>
    <row r="273" spans="2:19" s="6" customFormat="1" ht="16.5" hidden="1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208</v>
      </c>
      <c r="F273" s="23" t="s">
        <v>413</v>
      </c>
      <c r="G273" s="6" t="s">
        <v>416</v>
      </c>
      <c r="H273" s="4">
        <v>4520000</v>
      </c>
      <c r="I273" s="6">
        <f t="shared" ca="1" si="20"/>
        <v>22</v>
      </c>
      <c r="J273" s="13" t="str">
        <f t="shared" ca="1" si="21"/>
        <v>정상</v>
      </c>
      <c r="K273" s="11"/>
      <c r="L273" s="11">
        <v>46127</v>
      </c>
      <c r="M273" s="10"/>
      <c r="N273" s="10" t="s">
        <v>33</v>
      </c>
      <c r="Q273" s="11"/>
      <c r="R273" s="11"/>
      <c r="S273" s="10"/>
    </row>
    <row r="274" spans="2:19" s="6" customFormat="1" ht="16.5" hidden="1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126</v>
      </c>
      <c r="F274" s="23" t="s">
        <v>414</v>
      </c>
      <c r="G274" s="6" t="s">
        <v>416</v>
      </c>
      <c r="H274" s="4">
        <v>157000</v>
      </c>
      <c r="I274" s="6">
        <f t="shared" ca="1" si="20"/>
        <v>35</v>
      </c>
      <c r="J274" s="13" t="str">
        <f t="shared" ca="1" si="21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hidden="1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222</v>
      </c>
      <c r="F275" s="23" t="s">
        <v>415</v>
      </c>
      <c r="G275" s="6" t="s">
        <v>416</v>
      </c>
      <c r="H275" s="4">
        <v>2380000</v>
      </c>
      <c r="I275" s="6">
        <f t="shared" ca="1" si="20"/>
        <v>35</v>
      </c>
      <c r="J275" s="13" t="str">
        <f t="shared" ca="1" si="21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hidden="1" customHeight="1">
      <c r="B276" s="10">
        <f>IF(C276="","",COUNTA($C$2:C276))</f>
        <v>275</v>
      </c>
      <c r="C276" s="11">
        <v>46106</v>
      </c>
      <c r="D276" s="10" t="s">
        <v>243</v>
      </c>
      <c r="E276" s="6" t="s">
        <v>421</v>
      </c>
      <c r="F276" s="6" t="s">
        <v>420</v>
      </c>
      <c r="G276" s="6" t="s">
        <v>422</v>
      </c>
      <c r="H276" s="4">
        <v>8080000</v>
      </c>
      <c r="I276" s="6">
        <f t="shared" ca="1" si="20"/>
        <v>7</v>
      </c>
      <c r="J276" s="13" t="str">
        <f t="shared" ca="1" si="21"/>
        <v>정상</v>
      </c>
      <c r="K276" s="11"/>
      <c r="L276" s="11">
        <v>46113</v>
      </c>
      <c r="M276" s="10"/>
      <c r="N276" s="10" t="s">
        <v>33</v>
      </c>
      <c r="Q276" s="11"/>
      <c r="R276" s="11"/>
      <c r="S276" s="10"/>
    </row>
    <row r="277" spans="2:19" s="6" customFormat="1" ht="16.5" hidden="1" customHeight="1">
      <c r="B277" s="10">
        <f>IF(C277="","",COUNTA($C$2:C277))</f>
        <v>276</v>
      </c>
      <c r="C277" s="11">
        <v>46107</v>
      </c>
      <c r="D277" s="10" t="s">
        <v>243</v>
      </c>
      <c r="E277" s="6" t="s">
        <v>423</v>
      </c>
      <c r="F277" s="6" t="s">
        <v>424</v>
      </c>
      <c r="G277" s="6" t="s">
        <v>422</v>
      </c>
      <c r="H277" s="4">
        <v>2878800</v>
      </c>
      <c r="I277" s="6">
        <f t="shared" ca="1" si="20"/>
        <v>33</v>
      </c>
      <c r="J277" s="13" t="str">
        <f t="shared" ca="1" si="21"/>
        <v>관리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hidden="1" customHeight="1">
      <c r="B278" s="10">
        <f>IF(C278="","",COUNTA($C$2:C278))</f>
        <v>277</v>
      </c>
      <c r="C278" s="11">
        <v>46106</v>
      </c>
      <c r="D278" s="10" t="s">
        <v>178</v>
      </c>
      <c r="E278" s="6" t="s">
        <v>206</v>
      </c>
      <c r="F278" s="6" t="s">
        <v>211</v>
      </c>
      <c r="G278" s="6" t="s">
        <v>435</v>
      </c>
      <c r="H278" s="4">
        <v>350000</v>
      </c>
      <c r="I278" s="6">
        <f t="shared" ca="1" si="20"/>
        <v>0</v>
      </c>
      <c r="J278" s="13" t="str">
        <f t="shared" ca="1" si="21"/>
        <v>정상</v>
      </c>
      <c r="K278" s="11"/>
      <c r="L278" s="11">
        <v>46106</v>
      </c>
      <c r="M278" s="10"/>
      <c r="N278" s="10" t="s">
        <v>33</v>
      </c>
      <c r="Q278" s="11"/>
      <c r="R278" s="11"/>
      <c r="S278" s="10"/>
    </row>
    <row r="279" spans="2:19" s="6" customFormat="1" ht="16.5" hidden="1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126</v>
      </c>
      <c r="F279" s="6" t="s">
        <v>425</v>
      </c>
      <c r="G279" s="6" t="s">
        <v>435</v>
      </c>
      <c r="H279" s="4">
        <v>4748300</v>
      </c>
      <c r="I279" s="6">
        <f t="shared" ca="1" si="20"/>
        <v>34</v>
      </c>
      <c r="J279" s="13" t="str">
        <f t="shared" ca="1" si="21"/>
        <v>정상</v>
      </c>
      <c r="K279" s="11"/>
      <c r="L279" s="11"/>
      <c r="M279" s="10"/>
      <c r="N279" s="10" t="s">
        <v>33</v>
      </c>
      <c r="Q279" s="11"/>
      <c r="R279" s="11"/>
      <c r="S279" s="10"/>
    </row>
    <row r="280" spans="2:19" s="6" customFormat="1" ht="16.5" hidden="1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105</v>
      </c>
      <c r="F280" s="6" t="s">
        <v>426</v>
      </c>
      <c r="G280" s="6" t="s">
        <v>435</v>
      </c>
      <c r="H280" s="4">
        <v>396000</v>
      </c>
      <c r="I280" s="6">
        <f t="shared" ca="1" si="20"/>
        <v>6</v>
      </c>
      <c r="J280" s="13" t="str">
        <f t="shared" ca="1" si="21"/>
        <v>정상</v>
      </c>
      <c r="K280" s="11"/>
      <c r="L280" s="11">
        <v>46112</v>
      </c>
      <c r="M280" s="10"/>
      <c r="N280" s="10" t="s">
        <v>33</v>
      </c>
      <c r="Q280" s="11"/>
      <c r="R280" s="11"/>
      <c r="S280" s="10"/>
    </row>
    <row r="281" spans="2:19" s="6" customFormat="1" ht="16.5" hidden="1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126</v>
      </c>
      <c r="F281" s="6" t="s">
        <v>427</v>
      </c>
      <c r="G281" s="6" t="s">
        <v>435</v>
      </c>
      <c r="H281" s="4">
        <v>1414500</v>
      </c>
      <c r="I281" s="6">
        <f t="shared" ca="1" si="20"/>
        <v>34</v>
      </c>
      <c r="J281" s="13" t="str">
        <f t="shared" ca="1" si="21"/>
        <v>정상</v>
      </c>
      <c r="K281" s="11"/>
      <c r="L281" s="11"/>
      <c r="M281" s="10"/>
      <c r="N281" s="10" t="s">
        <v>33</v>
      </c>
      <c r="Q281" s="11"/>
      <c r="R281" s="11"/>
      <c r="S281" s="10"/>
    </row>
    <row r="282" spans="2:19" s="6" customFormat="1" ht="16.5" hidden="1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249</v>
      </c>
      <c r="F282" s="6" t="s">
        <v>428</v>
      </c>
      <c r="G282" s="6" t="s">
        <v>435</v>
      </c>
      <c r="H282" s="4">
        <v>936000</v>
      </c>
      <c r="I282" s="6">
        <f t="shared" ca="1" si="20"/>
        <v>34</v>
      </c>
      <c r="J282" s="13" t="str">
        <f t="shared" ca="1" si="21"/>
        <v>정상</v>
      </c>
      <c r="K282" s="11">
        <v>46142</v>
      </c>
      <c r="L282" s="11"/>
      <c r="M282" s="10"/>
      <c r="N282" s="10" t="s">
        <v>33</v>
      </c>
      <c r="Q282" s="11"/>
      <c r="R282" s="11"/>
      <c r="S282" s="10"/>
    </row>
    <row r="283" spans="2:19" s="6" customFormat="1" ht="16.5" hidden="1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126</v>
      </c>
      <c r="F283" s="6" t="s">
        <v>429</v>
      </c>
      <c r="G283" s="6" t="s">
        <v>435</v>
      </c>
      <c r="H283" s="4">
        <v>8336500</v>
      </c>
      <c r="I283" s="6">
        <f t="shared" ca="1" si="20"/>
        <v>34</v>
      </c>
      <c r="J283" s="13" t="str">
        <f t="shared" ca="1" si="21"/>
        <v>정상</v>
      </c>
      <c r="K283" s="11"/>
      <c r="L283" s="11"/>
      <c r="M283" s="10"/>
      <c r="N283" s="10" t="s">
        <v>33</v>
      </c>
      <c r="Q283" s="11"/>
      <c r="R283" s="11"/>
      <c r="S283" s="10"/>
    </row>
    <row r="284" spans="2:19" s="6" customFormat="1" ht="16.5" hidden="1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435</v>
      </c>
      <c r="H284" s="4">
        <v>555000</v>
      </c>
      <c r="I284" s="6">
        <f t="shared" ca="1" si="20"/>
        <v>34</v>
      </c>
      <c r="J284" s="13" t="str">
        <f t="shared" ca="1" si="21"/>
        <v>정상</v>
      </c>
      <c r="K284" s="11"/>
      <c r="L284" s="11"/>
      <c r="M284" s="10"/>
      <c r="N284" s="10" t="s">
        <v>33</v>
      </c>
      <c r="Q284" s="11"/>
      <c r="R284" s="11"/>
      <c r="S284" s="10"/>
    </row>
    <row r="285" spans="2:19" s="6" customFormat="1" ht="16.5" hidden="1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207</v>
      </c>
      <c r="F285" s="6" t="s">
        <v>431</v>
      </c>
      <c r="G285" s="6" t="s">
        <v>435</v>
      </c>
      <c r="H285" s="4">
        <v>508400</v>
      </c>
      <c r="I285" s="6">
        <f t="shared" ca="1" si="20"/>
        <v>34</v>
      </c>
      <c r="J285" s="13" t="str">
        <f t="shared" ca="1" si="21"/>
        <v>정상</v>
      </c>
      <c r="K285" s="11">
        <v>46142</v>
      </c>
      <c r="L285" s="11"/>
      <c r="M285" s="10"/>
      <c r="N285" s="10" t="s">
        <v>33</v>
      </c>
      <c r="Q285" s="11"/>
      <c r="R285" s="11"/>
      <c r="S285" s="10"/>
    </row>
    <row r="286" spans="2:19" s="6" customFormat="1" ht="16.5" hidden="1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434</v>
      </c>
      <c r="F286" s="6" t="s">
        <v>432</v>
      </c>
      <c r="G286" s="6" t="s">
        <v>435</v>
      </c>
      <c r="H286" s="4">
        <v>6771000</v>
      </c>
      <c r="I286" s="6">
        <f t="shared" ca="1" si="20"/>
        <v>34</v>
      </c>
      <c r="J286" s="13" t="str">
        <f t="shared" ref="J286:J349" ca="1" si="23">IF(I286="","",
 IF(G286="선급금",
   IF(I286&lt;=20,"정상",IF(I286&lt;=90,"관리","장기미수")),
 IF(G286="자재",
   IF(I286&lt;=40,"정상",IF(I286&lt;=90,"관리","장기미수")),
   IF(I286&lt;=30,"정상",IF(I286&lt;=90,"관리","장기미수"))
  )
 )
)</f>
        <v>정상</v>
      </c>
      <c r="K286" s="11"/>
      <c r="L286" s="11"/>
      <c r="M286" s="10"/>
      <c r="N286" s="10" t="s">
        <v>33</v>
      </c>
      <c r="Q286" s="11"/>
      <c r="R286" s="11"/>
      <c r="S286" s="10"/>
    </row>
    <row r="287" spans="2:19" s="6" customFormat="1" ht="16.5" hidden="1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24</v>
      </c>
      <c r="F287" s="6" t="s">
        <v>433</v>
      </c>
      <c r="G287" s="6" t="s">
        <v>435</v>
      </c>
      <c r="H287" s="4">
        <v>2997000</v>
      </c>
      <c r="I287" s="6">
        <f t="shared" ca="1" si="20"/>
        <v>34</v>
      </c>
      <c r="J287" s="13" t="str">
        <f t="shared" ca="1" si="23"/>
        <v>정상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hidden="1" customHeight="1">
      <c r="B288" s="10">
        <f>IF(C288="","",COUNTA($C$2:C288))</f>
        <v>287</v>
      </c>
      <c r="C288" s="11">
        <v>46106</v>
      </c>
      <c r="D288" s="10" t="s">
        <v>437</v>
      </c>
      <c r="E288" s="6" t="s">
        <v>234</v>
      </c>
      <c r="F288" s="6" t="s">
        <v>232</v>
      </c>
      <c r="G288" s="6" t="s">
        <v>438</v>
      </c>
      <c r="H288" s="4">
        <v>30186600</v>
      </c>
      <c r="I288" s="6">
        <f t="shared" ca="1" si="20"/>
        <v>34</v>
      </c>
      <c r="J288" s="13" t="str">
        <f t="shared" ca="1" si="23"/>
        <v>관리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hidden="1" customHeight="1">
      <c r="B289" s="10">
        <f>IF(C289="","",COUNTA($C$2:C289))</f>
        <v>288</v>
      </c>
      <c r="C289" s="11" t="s">
        <v>464</v>
      </c>
      <c r="D289" s="10" t="str">
        <f t="shared" si="22"/>
        <v>B</v>
      </c>
      <c r="E289" s="6" t="s">
        <v>219</v>
      </c>
      <c r="F289" s="23" t="s">
        <v>439</v>
      </c>
      <c r="G289" s="6" t="s">
        <v>458</v>
      </c>
      <c r="H289" s="25">
        <v>111000</v>
      </c>
      <c r="I289" s="6">
        <f t="shared" ca="1" si="20"/>
        <v>19</v>
      </c>
      <c r="J289" s="13" t="str">
        <f t="shared" ca="1" si="23"/>
        <v>정상</v>
      </c>
      <c r="K289" s="11"/>
      <c r="L289" s="11">
        <v>46126</v>
      </c>
      <c r="M289" s="10"/>
      <c r="N289" s="10" t="s">
        <v>33</v>
      </c>
      <c r="Q289" s="11"/>
      <c r="R289" s="11"/>
      <c r="S289" s="10"/>
    </row>
    <row r="290" spans="2:19" s="6" customFormat="1" ht="16.5" hidden="1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221</v>
      </c>
      <c r="F290" s="23" t="s">
        <v>440</v>
      </c>
      <c r="G290" s="6" t="s">
        <v>458</v>
      </c>
      <c r="H290" s="25">
        <v>1135000</v>
      </c>
      <c r="I290" s="6">
        <f t="shared" ca="1" si="20"/>
        <v>33</v>
      </c>
      <c r="J290" s="13" t="str">
        <f t="shared" ca="1" si="23"/>
        <v>정상</v>
      </c>
      <c r="K290" s="11"/>
      <c r="L290" s="11"/>
      <c r="M290" s="10"/>
      <c r="N290" s="10" t="s">
        <v>33</v>
      </c>
      <c r="Q290" s="11"/>
      <c r="R290" s="11"/>
      <c r="S290" s="10"/>
    </row>
    <row r="291" spans="2:19" s="6" customFormat="1" ht="16.5" hidden="1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249</v>
      </c>
      <c r="F291" s="23" t="s">
        <v>441</v>
      </c>
      <c r="G291" s="6" t="s">
        <v>458</v>
      </c>
      <c r="H291" s="25">
        <v>14380000</v>
      </c>
      <c r="I291" s="6">
        <f t="shared" ca="1" si="20"/>
        <v>33</v>
      </c>
      <c r="J291" s="13" t="str">
        <f t="shared" ca="1" si="23"/>
        <v>정상</v>
      </c>
      <c r="K291" s="11">
        <v>46142</v>
      </c>
      <c r="L291" s="11"/>
      <c r="M291" s="10"/>
      <c r="N291" s="10" t="s">
        <v>33</v>
      </c>
      <c r="Q291" s="11"/>
      <c r="R291" s="11"/>
      <c r="S291" s="10"/>
    </row>
    <row r="292" spans="2:19" s="6" customFormat="1" ht="16.5" hidden="1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221</v>
      </c>
      <c r="F292" s="23" t="s">
        <v>440</v>
      </c>
      <c r="G292" s="6" t="s">
        <v>458</v>
      </c>
      <c r="H292" s="25">
        <v>4175400</v>
      </c>
      <c r="I292" s="6">
        <f t="shared" ca="1" si="20"/>
        <v>33</v>
      </c>
      <c r="J292" s="13" t="str">
        <f t="shared" ca="1" si="23"/>
        <v>정상</v>
      </c>
      <c r="K292" s="11"/>
      <c r="L292" s="11"/>
      <c r="M292" s="10"/>
      <c r="N292" s="10" t="s">
        <v>33</v>
      </c>
      <c r="Q292" s="11"/>
      <c r="R292" s="11"/>
      <c r="S292" s="10"/>
    </row>
    <row r="293" spans="2:19" s="6" customFormat="1" ht="16.5" hidden="1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209</v>
      </c>
      <c r="F293" s="23" t="s">
        <v>442</v>
      </c>
      <c r="G293" s="6" t="s">
        <v>458</v>
      </c>
      <c r="H293" s="25">
        <v>5473000</v>
      </c>
      <c r="I293" s="6">
        <f t="shared" ca="1" si="20"/>
        <v>33</v>
      </c>
      <c r="J293" s="13" t="str">
        <f t="shared" ca="1" si="23"/>
        <v>정상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hidden="1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24</v>
      </c>
      <c r="F294" s="23" t="s">
        <v>443</v>
      </c>
      <c r="G294" s="6" t="s">
        <v>458</v>
      </c>
      <c r="H294" s="25">
        <v>52914000</v>
      </c>
      <c r="I294" s="6">
        <f t="shared" ca="1" si="20"/>
        <v>33</v>
      </c>
      <c r="J294" s="13" t="str">
        <f t="shared" ca="1" si="23"/>
        <v>정상</v>
      </c>
      <c r="K294" s="11"/>
      <c r="L294" s="11"/>
      <c r="M294" s="10"/>
      <c r="N294" s="10" t="s">
        <v>20</v>
      </c>
      <c r="O294" s="6" t="s">
        <v>58</v>
      </c>
      <c r="P294" s="6" t="s">
        <v>153</v>
      </c>
      <c r="Q294" s="11"/>
      <c r="R294" s="11"/>
      <c r="S294" s="10"/>
    </row>
    <row r="295" spans="2:19" s="6" customFormat="1" ht="16.5" hidden="1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728</v>
      </c>
      <c r="F295" s="23" t="s">
        <v>444</v>
      </c>
      <c r="G295" s="6" t="s">
        <v>458</v>
      </c>
      <c r="H295" s="25">
        <v>427500</v>
      </c>
      <c r="I295" s="6">
        <f t="shared" ca="1" si="20"/>
        <v>33</v>
      </c>
      <c r="J295" s="13" t="str">
        <f t="shared" ca="1" si="23"/>
        <v>정상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hidden="1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195</v>
      </c>
      <c r="F296" s="23" t="s">
        <v>445</v>
      </c>
      <c r="G296" s="6" t="s">
        <v>458</v>
      </c>
      <c r="H296" s="25">
        <v>5032500</v>
      </c>
      <c r="I296" s="6">
        <f t="shared" ca="1" si="20"/>
        <v>33</v>
      </c>
      <c r="J296" s="13" t="str">
        <f t="shared" ca="1" si="23"/>
        <v>정상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hidden="1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56</v>
      </c>
      <c r="F297" s="23" t="s">
        <v>446</v>
      </c>
      <c r="G297" s="6" t="s">
        <v>458</v>
      </c>
      <c r="H297" s="25">
        <v>987000</v>
      </c>
      <c r="I297" s="6">
        <f t="shared" ca="1" si="20"/>
        <v>0</v>
      </c>
      <c r="J297" s="13" t="str">
        <f t="shared" ca="1" si="23"/>
        <v>정상</v>
      </c>
      <c r="K297" s="11"/>
      <c r="L297" s="11">
        <v>46107</v>
      </c>
      <c r="M297" s="10"/>
      <c r="N297" s="10" t="s">
        <v>33</v>
      </c>
      <c r="Q297" s="11"/>
      <c r="R297" s="11"/>
      <c r="S297" s="10"/>
    </row>
    <row r="298" spans="2:19" s="6" customFormat="1" ht="16.5" hidden="1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459</v>
      </c>
      <c r="F298" s="23" t="s">
        <v>447</v>
      </c>
      <c r="G298" s="6" t="s">
        <v>458</v>
      </c>
      <c r="H298" s="25">
        <v>2884600</v>
      </c>
      <c r="I298" s="6">
        <f t="shared" ca="1" si="20"/>
        <v>32</v>
      </c>
      <c r="J298" s="13" t="str">
        <f t="shared" ca="1" si="23"/>
        <v>정상</v>
      </c>
      <c r="K298" s="11"/>
      <c r="L298" s="11">
        <v>46139</v>
      </c>
      <c r="M298" s="10"/>
      <c r="N298" s="10" t="s">
        <v>33</v>
      </c>
      <c r="Q298" s="11"/>
      <c r="R298" s="11"/>
      <c r="S298" s="10"/>
    </row>
    <row r="299" spans="2:19" s="6" customFormat="1" ht="16.5" hidden="1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98</v>
      </c>
      <c r="F299" s="23" t="s">
        <v>448</v>
      </c>
      <c r="G299" s="6" t="s">
        <v>458</v>
      </c>
      <c r="H299" s="25">
        <v>180000</v>
      </c>
      <c r="I299" s="6">
        <f t="shared" ca="1" si="20"/>
        <v>33</v>
      </c>
      <c r="J299" s="13" t="str">
        <f t="shared" ca="1" si="23"/>
        <v>정상</v>
      </c>
      <c r="K299" s="11"/>
      <c r="L299" s="11"/>
      <c r="M299" s="10"/>
      <c r="N299" s="10" t="s">
        <v>33</v>
      </c>
      <c r="Q299" s="11"/>
      <c r="R299" s="11"/>
      <c r="S299" s="10"/>
    </row>
    <row r="300" spans="2:19" s="6" customFormat="1" ht="16.5" hidden="1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126</v>
      </c>
      <c r="F300" s="23" t="s">
        <v>449</v>
      </c>
      <c r="G300" s="6" t="s">
        <v>458</v>
      </c>
      <c r="H300" s="25">
        <v>24591000</v>
      </c>
      <c r="I300" s="6">
        <f t="shared" ca="1" si="20"/>
        <v>33</v>
      </c>
      <c r="J300" s="13" t="str">
        <f t="shared" ca="1" si="23"/>
        <v>정상</v>
      </c>
      <c r="K300" s="11"/>
      <c r="L300" s="11"/>
      <c r="M300" s="10"/>
      <c r="N300" s="10" t="s">
        <v>33</v>
      </c>
      <c r="Q300" s="11"/>
      <c r="R300" s="11"/>
      <c r="S300" s="10"/>
    </row>
    <row r="301" spans="2:19" s="6" customFormat="1" ht="16.5" hidden="1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208</v>
      </c>
      <c r="F301" s="23" t="s">
        <v>450</v>
      </c>
      <c r="G301" s="6" t="s">
        <v>458</v>
      </c>
      <c r="H301" s="25">
        <v>3390000</v>
      </c>
      <c r="I301" s="6">
        <f t="shared" ca="1" si="20"/>
        <v>20</v>
      </c>
      <c r="J301" s="13" t="str">
        <f t="shared" ca="1" si="23"/>
        <v>정상</v>
      </c>
      <c r="K301" s="11"/>
      <c r="L301" s="11">
        <v>46127</v>
      </c>
      <c r="M301" s="10"/>
      <c r="N301" s="10" t="s">
        <v>33</v>
      </c>
      <c r="Q301" s="11"/>
      <c r="R301" s="11"/>
      <c r="S301" s="10"/>
    </row>
    <row r="302" spans="2:19" s="6" customFormat="1" ht="16.5" hidden="1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222</v>
      </c>
      <c r="F302" s="23" t="s">
        <v>451</v>
      </c>
      <c r="G302" s="6" t="s">
        <v>458</v>
      </c>
      <c r="H302" s="25">
        <v>4637500</v>
      </c>
      <c r="I302" s="6">
        <f t="shared" ca="1" si="20"/>
        <v>33</v>
      </c>
      <c r="J302" s="13" t="str">
        <f t="shared" ca="1" si="23"/>
        <v>정상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hidden="1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81</v>
      </c>
      <c r="F303" s="23" t="s">
        <v>452</v>
      </c>
      <c r="G303" s="6" t="s">
        <v>458</v>
      </c>
      <c r="H303" s="25">
        <v>121500</v>
      </c>
      <c r="I303" s="6">
        <f t="shared" ca="1" si="20"/>
        <v>32</v>
      </c>
      <c r="J303" s="13" t="str">
        <f t="shared" ca="1" si="23"/>
        <v>정상</v>
      </c>
      <c r="K303" s="11"/>
      <c r="L303" s="11"/>
      <c r="M303" s="10"/>
      <c r="N303" s="10" t="s">
        <v>33</v>
      </c>
      <c r="Q303" s="11"/>
      <c r="R303" s="11"/>
      <c r="S303" s="10"/>
    </row>
    <row r="304" spans="2:19" s="6" customFormat="1" ht="16.5" hidden="1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460</v>
      </c>
      <c r="F304" s="23" t="s">
        <v>453</v>
      </c>
      <c r="G304" s="6" t="s">
        <v>458</v>
      </c>
      <c r="H304" s="25">
        <v>13647200</v>
      </c>
      <c r="I304" s="6">
        <f t="shared" ca="1" si="20"/>
        <v>32</v>
      </c>
      <c r="J304" s="13" t="str">
        <f t="shared" ca="1" si="23"/>
        <v>정상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hidden="1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108</v>
      </c>
      <c r="F305" s="23" t="s">
        <v>454</v>
      </c>
      <c r="G305" s="6" t="s">
        <v>458</v>
      </c>
      <c r="H305" s="25">
        <v>1810000</v>
      </c>
      <c r="I305" s="6">
        <f t="shared" ca="1" si="20"/>
        <v>32</v>
      </c>
      <c r="J305" s="13" t="str">
        <f t="shared" ca="1" si="23"/>
        <v>정상</v>
      </c>
      <c r="K305" s="11">
        <v>46172</v>
      </c>
      <c r="L305" s="11"/>
      <c r="M305" s="10"/>
      <c r="N305" s="10" t="s">
        <v>33</v>
      </c>
      <c r="Q305" s="11"/>
      <c r="R305" s="11"/>
      <c r="S305" s="10"/>
    </row>
    <row r="306" spans="2:19" s="6" customFormat="1" ht="16.5" hidden="1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33000000</v>
      </c>
      <c r="I306" s="6">
        <f t="shared" ca="1" si="20"/>
        <v>32</v>
      </c>
      <c r="J306" s="13" t="str">
        <f t="shared" ca="1" si="23"/>
        <v>정상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hidden="1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461</v>
      </c>
      <c r="F307" s="23" t="s">
        <v>455</v>
      </c>
      <c r="G307" s="6" t="s">
        <v>458</v>
      </c>
      <c r="H307" s="25">
        <v>548000</v>
      </c>
      <c r="I307" s="6">
        <f t="shared" ca="1" si="20"/>
        <v>24</v>
      </c>
      <c r="J307" s="13" t="str">
        <f t="shared" ca="1" si="23"/>
        <v>정상</v>
      </c>
      <c r="K307" s="11"/>
      <c r="L307" s="11">
        <v>46132</v>
      </c>
      <c r="M307" s="10"/>
      <c r="N307" s="10" t="s">
        <v>33</v>
      </c>
      <c r="Q307" s="11"/>
      <c r="R307" s="11"/>
      <c r="S307" s="10"/>
    </row>
    <row r="308" spans="2:19" s="6" customFormat="1" ht="16.5" hidden="1" customHeight="1">
      <c r="B308" s="10">
        <f>IF(C308="","",COUNTA($C$2:C308))</f>
        <v>307</v>
      </c>
      <c r="C308" s="11" t="s">
        <v>466</v>
      </c>
      <c r="D308" s="10" t="str">
        <f>IF(G309="","",IF(OR(G309="선급금",G309="중도금",G309="잔금"),"A",IF(G309="자재","B",IF(G309="특허료","C",""))))</f>
        <v>B</v>
      </c>
      <c r="E308" s="6" t="s">
        <v>462</v>
      </c>
      <c r="F308" s="23" t="s">
        <v>456</v>
      </c>
      <c r="G308" s="6" t="s">
        <v>458</v>
      </c>
      <c r="H308" s="25">
        <v>216000</v>
      </c>
      <c r="I308" s="6">
        <f t="shared" ca="1" si="20"/>
        <v>0</v>
      </c>
      <c r="J308" s="13" t="str">
        <f t="shared" ca="1" si="23"/>
        <v>정상</v>
      </c>
      <c r="K308" s="11"/>
      <c r="L308" s="11">
        <v>46111</v>
      </c>
      <c r="M308" s="10"/>
      <c r="N308" s="10" t="s">
        <v>33</v>
      </c>
      <c r="Q308" s="11"/>
      <c r="R308" s="11"/>
      <c r="S308" s="10"/>
    </row>
    <row r="309" spans="2:19" s="6" customFormat="1" ht="16.5" hidden="1" customHeight="1">
      <c r="B309" s="10">
        <f>IF(C309="","",COUNTA($C$2:C309))</f>
        <v>308</v>
      </c>
      <c r="C309" s="11" t="s">
        <v>466</v>
      </c>
      <c r="D309" s="10" t="s">
        <v>178</v>
      </c>
      <c r="E309" s="6" t="s">
        <v>463</v>
      </c>
      <c r="F309" s="23" t="s">
        <v>457</v>
      </c>
      <c r="G309" s="6" t="s">
        <v>458</v>
      </c>
      <c r="H309" s="25">
        <v>35839300</v>
      </c>
      <c r="I309" s="6">
        <f t="shared" ca="1" si="20"/>
        <v>29</v>
      </c>
      <c r="J309" s="13" t="str">
        <f t="shared" ca="1" si="23"/>
        <v>정상</v>
      </c>
      <c r="K309" s="11"/>
      <c r="L309" s="11"/>
      <c r="M309" s="10"/>
      <c r="N309" s="10" t="s">
        <v>33</v>
      </c>
      <c r="Q309" s="11"/>
      <c r="R309" s="11"/>
      <c r="S309" s="10"/>
    </row>
    <row r="310" spans="2:19" s="6" customFormat="1" ht="16.5" hidden="1" customHeight="1">
      <c r="B310" s="10">
        <f>IF(C310="","",COUNTA($C$2:C310))</f>
        <v>309</v>
      </c>
      <c r="C310" s="11">
        <v>46111</v>
      </c>
      <c r="D310" s="10" t="s">
        <v>243</v>
      </c>
      <c r="E310" s="6" t="s">
        <v>469</v>
      </c>
      <c r="F310" s="6" t="s">
        <v>467</v>
      </c>
      <c r="G310" s="6" t="s">
        <v>468</v>
      </c>
      <c r="H310" s="4">
        <v>109031200</v>
      </c>
      <c r="I310" s="6">
        <f t="shared" ca="1" si="20"/>
        <v>16</v>
      </c>
      <c r="J310" s="13" t="str">
        <f t="shared" ca="1" si="23"/>
        <v>정상</v>
      </c>
      <c r="K310" s="11"/>
      <c r="L310" s="11">
        <v>46127</v>
      </c>
      <c r="M310" s="10"/>
      <c r="N310" s="10" t="s">
        <v>33</v>
      </c>
      <c r="Q310" s="11"/>
      <c r="R310" s="11"/>
      <c r="S310" s="10"/>
    </row>
    <row r="311" spans="2:19" s="6" customFormat="1" ht="16.5" hidden="1" customHeight="1">
      <c r="B311" s="10">
        <f>IF(C311="","",COUNTA($C$2:C311))</f>
        <v>310</v>
      </c>
      <c r="C311" s="11">
        <v>46112</v>
      </c>
      <c r="D311" s="10" t="s">
        <v>243</v>
      </c>
      <c r="E311" s="6" t="s">
        <v>624</v>
      </c>
      <c r="F311" s="6" t="s">
        <v>622</v>
      </c>
      <c r="G311" s="6" t="s">
        <v>623</v>
      </c>
      <c r="H311" s="4">
        <v>6562000</v>
      </c>
      <c r="I311" s="6">
        <f t="shared" ca="1" si="20"/>
        <v>15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hidden="1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hidden="1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25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hidden="1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25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hidden="1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25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hidden="1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hidden="1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hidden="1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25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hidden="1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25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hidden="1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25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hidden="1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25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hidden="1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25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hidden="1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hidden="1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25</v>
      </c>
      <c r="J324" s="13" t="str">
        <f t="shared" ca="1" si="23"/>
        <v>정상</v>
      </c>
      <c r="K324" s="11"/>
      <c r="L324" s="11"/>
      <c r="M324" s="10"/>
      <c r="N324" s="10" t="s">
        <v>33</v>
      </c>
      <c r="Q324" s="11"/>
      <c r="R324" s="11"/>
      <c r="S324" s="10"/>
    </row>
    <row r="325" spans="2:19" s="6" customFormat="1" ht="16.5" hidden="1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25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hidden="1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25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hidden="1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25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hidden="1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25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hidden="1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25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hidden="1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25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hidden="1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25</v>
      </c>
      <c r="J331" s="13" t="str">
        <f t="shared" ca="1" si="23"/>
        <v>정상</v>
      </c>
      <c r="K331" s="11"/>
      <c r="L331" s="11"/>
      <c r="M331" s="10"/>
      <c r="N331" s="10" t="s">
        <v>33</v>
      </c>
      <c r="Q331" s="11"/>
      <c r="R331" s="11"/>
      <c r="S331" s="10"/>
    </row>
    <row r="332" spans="2:19" s="6" customFormat="1" ht="16.5" hidden="1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hidden="1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25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hidden="1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25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hidden="1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22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hidden="1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22</v>
      </c>
      <c r="J336" s="13" t="str">
        <f t="shared" ca="1" si="23"/>
        <v>정상</v>
      </c>
      <c r="K336" s="11"/>
      <c r="L336" s="11"/>
      <c r="M336" s="10"/>
      <c r="N336" s="10" t="s">
        <v>33</v>
      </c>
      <c r="Q336" s="11"/>
      <c r="R336" s="11"/>
      <c r="S336" s="10"/>
    </row>
    <row r="337" spans="2:19" s="6" customFormat="1" ht="16.5" hidden="1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22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hidden="1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22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hidden="1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22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hidden="1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hidden="1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9</v>
      </c>
      <c r="J341" s="13" t="str">
        <f t="shared" ca="1" si="23"/>
        <v>정상</v>
      </c>
      <c r="K341" s="11"/>
      <c r="L341" s="11">
        <v>46127</v>
      </c>
      <c r="M341" s="10"/>
      <c r="N341" s="10" t="s">
        <v>33</v>
      </c>
      <c r="Q341" s="11"/>
      <c r="R341" s="11"/>
      <c r="S341" s="10"/>
    </row>
    <row r="342" spans="2:19" s="6" customFormat="1" ht="16.5" hidden="1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22</v>
      </c>
      <c r="J342" s="13" t="str">
        <f t="shared" ca="1" si="23"/>
        <v>정상</v>
      </c>
      <c r="K342" s="11"/>
      <c r="L342" s="11"/>
      <c r="M342" s="10"/>
      <c r="N342" s="10" t="s">
        <v>33</v>
      </c>
      <c r="Q342" s="11"/>
      <c r="R342" s="11"/>
      <c r="S342" s="10"/>
    </row>
    <row r="343" spans="2:19" s="6" customFormat="1" ht="16.5" hidden="1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22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hidden="1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22</v>
      </c>
      <c r="J344" s="13" t="str">
        <f t="shared" ca="1" si="23"/>
        <v>정상</v>
      </c>
      <c r="K344" s="11"/>
      <c r="L344" s="11"/>
      <c r="M344" s="10"/>
      <c r="N344" s="10" t="s">
        <v>33</v>
      </c>
      <c r="Q344" s="11"/>
      <c r="R344" s="11"/>
      <c r="S344" s="10"/>
    </row>
    <row r="345" spans="2:19" s="6" customFormat="1" ht="16.5" hidden="1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hidden="1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22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hidden="1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22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hidden="1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22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hidden="1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9</v>
      </c>
      <c r="J349" s="13" t="str">
        <f t="shared" ca="1" si="23"/>
        <v>정상</v>
      </c>
      <c r="K349" s="11"/>
      <c r="L349" s="11">
        <v>46127</v>
      </c>
      <c r="M349" s="10"/>
      <c r="N349" s="10" t="s">
        <v>33</v>
      </c>
      <c r="Q349" s="11"/>
      <c r="R349" s="11"/>
      <c r="S349" s="10"/>
    </row>
    <row r="350" spans="2:19" s="6" customFormat="1" ht="16.5" hidden="1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22</v>
      </c>
      <c r="J350" s="13" t="str">
        <f t="shared" ref="J350:J412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hidden="1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22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hidden="1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22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hidden="1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22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hidden="1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12</v>
      </c>
      <c r="J354" s="13" t="str">
        <f t="shared" ca="1" si="25"/>
        <v>정상</v>
      </c>
      <c r="K354" s="11"/>
      <c r="L354" s="11">
        <v>46127</v>
      </c>
      <c r="M354" s="10"/>
      <c r="N354" s="10" t="s">
        <v>33</v>
      </c>
      <c r="Q354" s="11"/>
      <c r="R354" s="11"/>
      <c r="S354" s="10"/>
    </row>
    <row r="355" spans="2:19" s="6" customFormat="1" ht="16.5" hidden="1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22</v>
      </c>
      <c r="J355" s="13" t="str">
        <f t="shared" ca="1" si="25"/>
        <v>정상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hidden="1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23</v>
      </c>
      <c r="J356" s="13" t="str">
        <f t="shared" ca="1" si="25"/>
        <v>정상</v>
      </c>
      <c r="K356" s="11"/>
      <c r="L356" s="11">
        <v>46136</v>
      </c>
      <c r="M356" s="10"/>
      <c r="N356" s="10" t="s">
        <v>33</v>
      </c>
      <c r="Q356" s="11"/>
      <c r="R356" s="11"/>
      <c r="S356" s="10"/>
    </row>
    <row r="357" spans="2:19" s="6" customFormat="1" ht="16.5" hidden="1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22</v>
      </c>
      <c r="J357" s="13" t="str">
        <f t="shared" ca="1" si="25"/>
        <v>정상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hidden="1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12</v>
      </c>
      <c r="J358" s="13" t="str">
        <f t="shared" ca="1" si="25"/>
        <v>정상</v>
      </c>
      <c r="K358" s="11"/>
      <c r="L358" s="11">
        <v>46127</v>
      </c>
      <c r="M358" s="10"/>
      <c r="N358" s="10" t="s">
        <v>33</v>
      </c>
      <c r="Q358" s="11"/>
      <c r="R358" s="11"/>
      <c r="S358" s="10"/>
    </row>
    <row r="359" spans="2:19" s="6" customFormat="1" ht="16.5" hidden="1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25</v>
      </c>
      <c r="J359" s="13" t="str">
        <f t="shared" ca="1" si="25"/>
        <v>정상</v>
      </c>
      <c r="K359" s="11">
        <v>46142</v>
      </c>
      <c r="L359" s="11"/>
      <c r="M359" s="10"/>
      <c r="N359" s="10" t="s">
        <v>33</v>
      </c>
      <c r="Q359" s="11"/>
      <c r="R359" s="11"/>
      <c r="S359" s="10"/>
    </row>
    <row r="360" spans="2:19" s="6" customFormat="1" ht="16.5" hidden="1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25</v>
      </c>
      <c r="J360" s="13" t="str">
        <f t="shared" ca="1" si="25"/>
        <v>정상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hidden="1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14</v>
      </c>
      <c r="J361" s="13" t="str">
        <f t="shared" ca="1" si="25"/>
        <v>정상</v>
      </c>
      <c r="K361" s="11">
        <v>46127</v>
      </c>
      <c r="L361" s="11">
        <v>46127</v>
      </c>
      <c r="M361" s="10"/>
      <c r="N361" s="10" t="s">
        <v>33</v>
      </c>
      <c r="Q361" s="11"/>
      <c r="R361" s="11"/>
      <c r="S361" s="10"/>
    </row>
    <row r="362" spans="2:19" s="6" customFormat="1" ht="16.5" hidden="1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26</v>
      </c>
      <c r="J362" s="13" t="str">
        <f t="shared" ca="1" si="25"/>
        <v>정상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hidden="1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22</v>
      </c>
      <c r="J363" s="13" t="str">
        <f t="shared" ca="1" si="25"/>
        <v>정상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hidden="1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>
        <v>46126</v>
      </c>
      <c r="M364" s="10"/>
      <c r="N364" s="10" t="s">
        <v>33</v>
      </c>
      <c r="Q364" s="11"/>
      <c r="R364" s="11"/>
      <c r="S364" s="10"/>
    </row>
    <row r="365" spans="2:19" s="6" customFormat="1" ht="16.5" hidden="1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14</v>
      </c>
      <c r="J365" s="13" t="str">
        <f t="shared" ca="1" si="25"/>
        <v>정상</v>
      </c>
      <c r="K365" s="11">
        <v>46127</v>
      </c>
      <c r="L365" s="11">
        <v>46127</v>
      </c>
      <c r="M365" s="10"/>
      <c r="N365" s="10" t="s">
        <v>33</v>
      </c>
      <c r="Q365" s="11"/>
      <c r="R365" s="11"/>
      <c r="S365" s="10"/>
    </row>
    <row r="366" spans="2:19" s="6" customFormat="1" ht="16.5" hidden="1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hidden="1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hidden="1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21</v>
      </c>
      <c r="J368" s="13" t="str">
        <f t="shared" ca="1" si="25"/>
        <v>정상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hidden="1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8</v>
      </c>
      <c r="J369" s="13" t="str">
        <f t="shared" ca="1" si="25"/>
        <v>정상</v>
      </c>
      <c r="K369" s="11"/>
      <c r="L369" s="11">
        <v>46127</v>
      </c>
      <c r="M369" s="10"/>
      <c r="N369" s="10" t="s">
        <v>33</v>
      </c>
      <c r="Q369" s="11"/>
      <c r="R369" s="11"/>
      <c r="S369" s="10"/>
    </row>
    <row r="370" spans="2:19" s="6" customFormat="1" ht="16.5" hidden="1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20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hidden="1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20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hidden="1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20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hidden="1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14</v>
      </c>
      <c r="J373" s="13" t="str">
        <f t="shared" ca="1" si="25"/>
        <v>정상</v>
      </c>
      <c r="K373" s="11"/>
      <c r="L373" s="11">
        <v>46134</v>
      </c>
      <c r="M373" s="10"/>
      <c r="N373" s="10" t="s">
        <v>33</v>
      </c>
      <c r="Q373" s="11"/>
      <c r="R373" s="11"/>
      <c r="S373" s="10"/>
    </row>
    <row r="374" spans="2:19" s="6" customFormat="1" ht="16.5" hidden="1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20</v>
      </c>
      <c r="J374" s="13" t="str">
        <f t="shared" ca="1" si="25"/>
        <v>정상</v>
      </c>
      <c r="K374" s="11">
        <v>46173</v>
      </c>
      <c r="L374" s="11"/>
      <c r="M374" s="10"/>
      <c r="N374" s="10" t="s">
        <v>33</v>
      </c>
      <c r="Q374" s="11"/>
      <c r="R374" s="11"/>
      <c r="S374" s="10"/>
    </row>
    <row r="375" spans="2:19" s="6" customFormat="1" ht="16.5" hidden="1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7</v>
      </c>
      <c r="J375" s="13" t="str">
        <f t="shared" ca="1" si="25"/>
        <v>정상</v>
      </c>
      <c r="K375" s="11"/>
      <c r="L375" s="11">
        <v>46127</v>
      </c>
      <c r="M375" s="10"/>
      <c r="N375" s="10" t="s">
        <v>33</v>
      </c>
      <c r="Q375" s="11"/>
      <c r="R375" s="11"/>
      <c r="S375" s="10"/>
    </row>
    <row r="376" spans="2:19" s="6" customFormat="1" ht="16.5" hidden="1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20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hidden="1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20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hidden="1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20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hidden="1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13</v>
      </c>
      <c r="J379" s="13" t="str">
        <f t="shared" ca="1" si="25"/>
        <v>정상</v>
      </c>
      <c r="K379" s="11"/>
      <c r="L379" s="11">
        <v>46133</v>
      </c>
      <c r="M379" s="10"/>
      <c r="N379" s="10" t="s">
        <v>33</v>
      </c>
      <c r="Q379" s="11"/>
      <c r="R379" s="11"/>
      <c r="S379" s="10"/>
    </row>
    <row r="380" spans="2:19" s="6" customFormat="1" ht="16.5" hidden="1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hidden="1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20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hidden="1" customHeight="1">
      <c r="B382" s="10">
        <f>IF(C382="","",COUNTA($C$2:C382))</f>
        <v>381</v>
      </c>
      <c r="C382" s="11">
        <v>46120</v>
      </c>
      <c r="D382" s="10" t="s">
        <v>243</v>
      </c>
      <c r="E382" s="6" t="s">
        <v>270</v>
      </c>
      <c r="F382" s="6" t="s">
        <v>545</v>
      </c>
      <c r="G382" s="6" t="s">
        <v>546</v>
      </c>
      <c r="H382" s="12">
        <v>20237900</v>
      </c>
      <c r="I382" s="6">
        <f t="shared" ref="I382:I442" ca="1" si="27">IF(C382="","",IF(L382="",TODAY()-C382,L382-C382))</f>
        <v>20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hidden="1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548</v>
      </c>
      <c r="F383" s="6" t="s">
        <v>547</v>
      </c>
      <c r="G383" s="6" t="s">
        <v>549</v>
      </c>
      <c r="H383" s="12">
        <v>6013200</v>
      </c>
      <c r="I383" s="6">
        <f t="shared" ca="1" si="27"/>
        <v>1</v>
      </c>
      <c r="J383" s="13" t="str">
        <f t="shared" ca="1" si="25"/>
        <v>정상</v>
      </c>
      <c r="K383" s="11"/>
      <c r="L383" s="11">
        <v>46121</v>
      </c>
      <c r="M383" s="10"/>
      <c r="N383" s="10" t="s">
        <v>33</v>
      </c>
      <c r="Q383" s="11"/>
      <c r="R383" s="11"/>
      <c r="S383" s="10"/>
    </row>
    <row r="384" spans="2:19" s="6" customFormat="1" ht="16.5" hidden="1" customHeight="1">
      <c r="B384" s="10">
        <f>IF(C384="","",COUNTA($C$2:C384))</f>
        <v>383</v>
      </c>
      <c r="C384" s="11" t="s">
        <v>563</v>
      </c>
      <c r="D384" s="10" t="s">
        <v>178</v>
      </c>
      <c r="E384" s="6" t="s">
        <v>24</v>
      </c>
      <c r="F384" s="6" t="s">
        <v>550</v>
      </c>
      <c r="G384" s="6" t="s">
        <v>565</v>
      </c>
      <c r="H384" s="12">
        <v>4492000</v>
      </c>
      <c r="I384" s="6">
        <f t="shared" ca="1" si="27"/>
        <v>19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hidden="1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542</v>
      </c>
      <c r="F385" s="6" t="s">
        <v>551</v>
      </c>
      <c r="G385" s="6" t="s">
        <v>565</v>
      </c>
      <c r="H385" s="12">
        <v>31045500</v>
      </c>
      <c r="I385" s="6">
        <f t="shared" ca="1" si="27"/>
        <v>19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hidden="1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552</v>
      </c>
      <c r="G386" s="6" t="s">
        <v>565</v>
      </c>
      <c r="H386" s="12">
        <v>574800</v>
      </c>
      <c r="I386" s="6">
        <f t="shared" ca="1" si="27"/>
        <v>19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hidden="1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128</v>
      </c>
      <c r="F387" s="6" t="s">
        <v>553</v>
      </c>
      <c r="G387" s="6" t="s">
        <v>565</v>
      </c>
      <c r="H387" s="12">
        <v>3687500</v>
      </c>
      <c r="I387" s="6">
        <f t="shared" ca="1" si="27"/>
        <v>5</v>
      </c>
      <c r="J387" s="13" t="str">
        <f t="shared" ca="1" si="25"/>
        <v>정상</v>
      </c>
      <c r="K387" s="11"/>
      <c r="L387" s="11">
        <v>46126</v>
      </c>
      <c r="M387" s="10"/>
      <c r="N387" s="10" t="s">
        <v>33</v>
      </c>
      <c r="Q387" s="11"/>
      <c r="R387" s="11"/>
      <c r="S387" s="10"/>
    </row>
    <row r="388" spans="2:19" s="6" customFormat="1" ht="16.5" hidden="1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208</v>
      </c>
      <c r="F388" s="6" t="s">
        <v>554</v>
      </c>
      <c r="G388" s="6" t="s">
        <v>565</v>
      </c>
      <c r="H388" s="12">
        <v>21780000</v>
      </c>
      <c r="I388" s="6">
        <f t="shared" ca="1" si="27"/>
        <v>6</v>
      </c>
      <c r="J388" s="13" t="str">
        <f t="shared" ca="1" si="25"/>
        <v>정상</v>
      </c>
      <c r="K388" s="11"/>
      <c r="L388" s="11">
        <v>46127</v>
      </c>
      <c r="M388" s="10"/>
      <c r="N388" s="10" t="s">
        <v>33</v>
      </c>
      <c r="Q388" s="11"/>
      <c r="R388" s="11"/>
      <c r="S388" s="10"/>
    </row>
    <row r="389" spans="2:19" s="6" customFormat="1" ht="16.5" hidden="1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561</v>
      </c>
      <c r="F389" s="6" t="s">
        <v>555</v>
      </c>
      <c r="G389" s="6" t="s">
        <v>565</v>
      </c>
      <c r="H389" s="12">
        <v>1630000</v>
      </c>
      <c r="I389" s="6">
        <f t="shared" ca="1" si="27"/>
        <v>19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hidden="1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395</v>
      </c>
      <c r="F390" s="6" t="s">
        <v>556</v>
      </c>
      <c r="G390" s="6" t="s">
        <v>565</v>
      </c>
      <c r="H390" s="12">
        <v>20219600</v>
      </c>
      <c r="I390" s="6">
        <f t="shared" ca="1" si="27"/>
        <v>19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hidden="1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126</v>
      </c>
      <c r="F391" s="6" t="s">
        <v>689</v>
      </c>
      <c r="G391" s="6" t="s">
        <v>565</v>
      </c>
      <c r="H391" s="12">
        <v>963200</v>
      </c>
      <c r="I391" s="6">
        <f t="shared" ca="1" si="27"/>
        <v>19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hidden="1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562</v>
      </c>
      <c r="F392" s="6" t="s">
        <v>558</v>
      </c>
      <c r="G392" s="6" t="s">
        <v>565</v>
      </c>
      <c r="H392" s="12">
        <v>1380000</v>
      </c>
      <c r="I392" s="6">
        <f t="shared" ca="1" si="27"/>
        <v>15</v>
      </c>
      <c r="J392" s="13" t="str">
        <f t="shared" ca="1" si="25"/>
        <v>정상</v>
      </c>
      <c r="K392" s="11"/>
      <c r="L392" s="11">
        <v>46136</v>
      </c>
      <c r="M392" s="10"/>
      <c r="N392" s="10" t="s">
        <v>33</v>
      </c>
      <c r="Q392" s="11"/>
      <c r="R392" s="11"/>
      <c r="S392" s="10"/>
    </row>
    <row r="393" spans="2:19" s="6" customFormat="1" ht="16.5" hidden="1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62</v>
      </c>
      <c r="F393" s="6" t="s">
        <v>559</v>
      </c>
      <c r="G393" s="6" t="s">
        <v>565</v>
      </c>
      <c r="H393" s="12">
        <v>410000</v>
      </c>
      <c r="I393" s="6">
        <f t="shared" ca="1" si="27"/>
        <v>14</v>
      </c>
      <c r="J393" s="13" t="str">
        <f t="shared" ca="1" si="25"/>
        <v>정상</v>
      </c>
      <c r="K393" s="11"/>
      <c r="L393" s="11">
        <v>46136</v>
      </c>
      <c r="M393" s="10"/>
      <c r="N393" s="10" t="s">
        <v>33</v>
      </c>
      <c r="Q393" s="11"/>
      <c r="R393" s="11"/>
      <c r="S393" s="10"/>
    </row>
    <row r="394" spans="2:19" s="6" customFormat="1" ht="16.5" hidden="1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126</v>
      </c>
      <c r="F394" s="6" t="s">
        <v>485</v>
      </c>
      <c r="G394" s="6" t="s">
        <v>565</v>
      </c>
      <c r="H394" s="12">
        <v>464000</v>
      </c>
      <c r="I394" s="6">
        <f t="shared" ca="1" si="27"/>
        <v>18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hidden="1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207</v>
      </c>
      <c r="F395" s="6" t="s">
        <v>560</v>
      </c>
      <c r="G395" s="6" t="s">
        <v>565</v>
      </c>
      <c r="H395" s="12">
        <v>1261000</v>
      </c>
      <c r="I395" s="6">
        <f t="shared" ca="1" si="27"/>
        <v>18</v>
      </c>
      <c r="J395" s="13" t="str">
        <f t="shared" ca="1" si="25"/>
        <v>정상</v>
      </c>
      <c r="K395" s="11"/>
      <c r="L395" s="11"/>
      <c r="M395" s="10"/>
      <c r="N395" s="10" t="s">
        <v>33</v>
      </c>
      <c r="Q395" s="11"/>
      <c r="R395" s="11"/>
      <c r="S395" s="10"/>
    </row>
    <row r="396" spans="2:19" s="6" customFormat="1" ht="16.5" hidden="1" customHeight="1">
      <c r="B396" s="10">
        <f>IF(C396="","",COUNTA($C$2:C396))</f>
        <v>395</v>
      </c>
      <c r="C396" s="11" t="s">
        <v>564</v>
      </c>
      <c r="D396" s="10" t="str">
        <f t="shared" ref="D396:D420" si="28">IF(G396="","",IF(OR(G396="선급금",G396="중도금",G396="잔금"),"A",IF(G396="자재","B",IF(G396="특허료","C",""))))</f>
        <v>B</v>
      </c>
      <c r="E396" s="6" t="s">
        <v>124</v>
      </c>
      <c r="F396" s="6" t="s">
        <v>568</v>
      </c>
      <c r="G396" s="6" t="s">
        <v>172</v>
      </c>
      <c r="H396" s="12">
        <v>866400</v>
      </c>
      <c r="I396" s="6">
        <f t="shared" ca="1" si="27"/>
        <v>0</v>
      </c>
      <c r="J396" s="13" t="str">
        <f t="shared" ca="1" si="25"/>
        <v>정상</v>
      </c>
      <c r="K396" s="11"/>
      <c r="L396" s="11">
        <v>46122</v>
      </c>
      <c r="M396" s="10"/>
      <c r="N396" s="10" t="s">
        <v>33</v>
      </c>
      <c r="Q396" s="11"/>
      <c r="R396" s="11"/>
      <c r="S396" s="10"/>
    </row>
    <row r="397" spans="2:19" s="18" customFormat="1" ht="13.5" hidden="1">
      <c r="B397" s="10">
        <f>IF(C397="","",COUNTA($C$2:C397))</f>
        <v>396</v>
      </c>
      <c r="C397" s="11" t="s">
        <v>564</v>
      </c>
      <c r="D397" s="10" t="str">
        <f t="shared" si="28"/>
        <v>B</v>
      </c>
      <c r="E397" s="18" t="s">
        <v>126</v>
      </c>
      <c r="F397" s="18" t="s">
        <v>569</v>
      </c>
      <c r="G397" s="6" t="s">
        <v>172</v>
      </c>
      <c r="H397" s="12">
        <v>-785400</v>
      </c>
      <c r="I397" s="18">
        <f t="shared" ca="1" si="27"/>
        <v>18</v>
      </c>
      <c r="J397" s="13" t="str">
        <f t="shared" ca="1" si="25"/>
        <v>정상</v>
      </c>
      <c r="K397" s="11"/>
      <c r="L397" s="11"/>
      <c r="M397" s="42"/>
      <c r="N397" s="10" t="s">
        <v>33</v>
      </c>
      <c r="Q397" s="11"/>
      <c r="R397" s="11"/>
    </row>
    <row r="398" spans="2:19" s="18" customFormat="1" ht="13.5" hidden="1">
      <c r="B398" s="10">
        <f>IF(C398="","",COUNTA($C$2:C398))</f>
        <v>397</v>
      </c>
      <c r="C398" s="11" t="s">
        <v>564</v>
      </c>
      <c r="D398" s="10" t="s">
        <v>181</v>
      </c>
      <c r="E398" s="18" t="s">
        <v>421</v>
      </c>
      <c r="F398" s="18" t="s">
        <v>570</v>
      </c>
      <c r="G398" s="6" t="s">
        <v>571</v>
      </c>
      <c r="H398" s="12">
        <v>2421500</v>
      </c>
      <c r="I398" s="18">
        <f t="shared" ca="1" si="27"/>
        <v>5</v>
      </c>
      <c r="J398" s="13" t="str">
        <f t="shared" ca="1" si="25"/>
        <v>정상</v>
      </c>
      <c r="K398" s="11"/>
      <c r="L398" s="11">
        <v>46127</v>
      </c>
      <c r="M398" s="42"/>
      <c r="N398" s="10" t="s">
        <v>33</v>
      </c>
      <c r="Q398" s="11"/>
      <c r="R398" s="11"/>
    </row>
    <row r="399" spans="2:19" s="18" customFormat="1" ht="13.5" hidden="1">
      <c r="B399" s="10">
        <f>IF(C399="","",COUNTA($C$2:C399))</f>
        <v>398</v>
      </c>
      <c r="C399" s="11">
        <v>46122</v>
      </c>
      <c r="D399" s="42" t="s">
        <v>243</v>
      </c>
      <c r="E399" s="43" t="s">
        <v>573</v>
      </c>
      <c r="F399" s="43" t="s">
        <v>572</v>
      </c>
      <c r="G399" s="6" t="s">
        <v>230</v>
      </c>
      <c r="H399" s="12">
        <v>72676000</v>
      </c>
      <c r="I399" s="18">
        <f t="shared" ca="1" si="27"/>
        <v>5</v>
      </c>
      <c r="J399" s="13" t="str">
        <f t="shared" ca="1" si="25"/>
        <v>정상</v>
      </c>
      <c r="K399" s="44"/>
      <c r="L399" s="44">
        <v>46127</v>
      </c>
      <c r="M399" s="42"/>
      <c r="N399" s="10" t="s">
        <v>33</v>
      </c>
      <c r="Q399" s="11"/>
      <c r="R399" s="11"/>
    </row>
    <row r="400" spans="2:19" s="18" customFormat="1" ht="13.5" hidden="1">
      <c r="B400" s="10">
        <f>IF(C400="","",COUNTA($C$2:C400))</f>
        <v>399</v>
      </c>
      <c r="C400" s="11">
        <v>46122</v>
      </c>
      <c r="D400" s="42" t="s">
        <v>243</v>
      </c>
      <c r="E400" s="18" t="s">
        <v>126</v>
      </c>
      <c r="F400" s="18" t="s">
        <v>420</v>
      </c>
      <c r="G400" s="18" t="s">
        <v>574</v>
      </c>
      <c r="H400" s="12">
        <v>14760000</v>
      </c>
      <c r="I400" s="18">
        <f t="shared" ca="1" si="27"/>
        <v>18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 hidden="1">
      <c r="B401" s="10">
        <f>IF(C401="","",COUNTA($C$2:C401))</f>
        <v>400</v>
      </c>
      <c r="C401" s="11">
        <v>46122</v>
      </c>
      <c r="D401" s="42" t="s">
        <v>243</v>
      </c>
      <c r="E401" s="18" t="s">
        <v>423</v>
      </c>
      <c r="F401" s="18" t="s">
        <v>575</v>
      </c>
      <c r="G401" s="18" t="s">
        <v>574</v>
      </c>
      <c r="H401" s="12">
        <v>2480000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 hidden="1">
      <c r="B402" s="10">
        <f>IF(C402="","",COUNTA($C$2:C402))</f>
        <v>401</v>
      </c>
      <c r="C402" s="45" t="s">
        <v>586</v>
      </c>
      <c r="D402" s="42" t="str">
        <f t="shared" si="28"/>
        <v>B</v>
      </c>
      <c r="E402" s="18" t="s">
        <v>126</v>
      </c>
      <c r="F402" s="18" t="s">
        <v>479</v>
      </c>
      <c r="G402" s="6" t="s">
        <v>598</v>
      </c>
      <c r="H402" s="12">
        <v>52695000</v>
      </c>
      <c r="I402" s="18">
        <f t="shared" ca="1" si="27"/>
        <v>14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6.5" hidden="1" customHeight="1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577</v>
      </c>
      <c r="F403" s="38" t="s">
        <v>588</v>
      </c>
      <c r="G403" s="6" t="s">
        <v>598</v>
      </c>
      <c r="H403" s="12">
        <v>1217300</v>
      </c>
      <c r="I403" s="18">
        <f t="shared" ca="1" si="27"/>
        <v>14</v>
      </c>
      <c r="J403" s="13" t="str">
        <f t="shared" ca="1" si="25"/>
        <v>정상</v>
      </c>
      <c r="K403" s="44"/>
      <c r="L403" s="44"/>
      <c r="M403" s="42"/>
      <c r="N403" s="10" t="s">
        <v>33</v>
      </c>
      <c r="Q403" s="46"/>
      <c r="R403" s="46"/>
    </row>
    <row r="404" spans="2:18" s="18" customFormat="1" ht="16.5" hidden="1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375</v>
      </c>
      <c r="F404" s="18" t="s">
        <v>500</v>
      </c>
      <c r="G404" s="6" t="s">
        <v>598</v>
      </c>
      <c r="H404" s="12">
        <v>23634000</v>
      </c>
      <c r="I404" s="18">
        <f t="shared" ca="1" si="27"/>
        <v>14</v>
      </c>
      <c r="J404" s="13" t="str">
        <f t="shared" ca="1" si="25"/>
        <v>정상</v>
      </c>
      <c r="K404" s="44"/>
      <c r="L404" s="44"/>
      <c r="M404" s="42"/>
      <c r="N404" s="10" t="s">
        <v>33</v>
      </c>
      <c r="Q404" s="46"/>
      <c r="R404" s="46"/>
    </row>
    <row r="405" spans="2:18" s="18" customFormat="1" ht="16.5" hidden="1" customHeight="1">
      <c r="B405" s="10">
        <f>IF(C405="","",COUNTA($C$2:C405))</f>
        <v>404</v>
      </c>
      <c r="C405" s="45" t="s">
        <v>586</v>
      </c>
      <c r="D405" s="42" t="str">
        <f t="shared" si="28"/>
        <v>B</v>
      </c>
      <c r="E405" s="18" t="s">
        <v>578</v>
      </c>
      <c r="F405" s="18" t="s">
        <v>589</v>
      </c>
      <c r="G405" s="6" t="s">
        <v>598</v>
      </c>
      <c r="H405" s="12">
        <v>7826000</v>
      </c>
      <c r="I405" s="18">
        <f t="shared" ca="1" si="27"/>
        <v>1</v>
      </c>
      <c r="J405" s="13" t="str">
        <f t="shared" ca="1" si="25"/>
        <v>정상</v>
      </c>
      <c r="K405" s="44"/>
      <c r="L405" s="44">
        <v>46127</v>
      </c>
      <c r="M405" s="42"/>
      <c r="N405" s="10" t="s">
        <v>33</v>
      </c>
      <c r="Q405" s="46"/>
      <c r="R405" s="46"/>
    </row>
    <row r="406" spans="2:18" s="18" customFormat="1" ht="16.5" hidden="1" customHeight="1">
      <c r="B406" s="10">
        <f>IF(C406="","",COUNTA($C$2:C406))</f>
        <v>405</v>
      </c>
      <c r="C406" s="45" t="s">
        <v>586</v>
      </c>
      <c r="D406" s="42" t="str">
        <f t="shared" si="28"/>
        <v>B</v>
      </c>
      <c r="E406" s="18" t="s">
        <v>579</v>
      </c>
      <c r="F406" s="18" t="s">
        <v>590</v>
      </c>
      <c r="G406" s="6" t="s">
        <v>598</v>
      </c>
      <c r="H406" s="12">
        <v>13317700</v>
      </c>
      <c r="I406" s="18">
        <f t="shared" ca="1" si="27"/>
        <v>14</v>
      </c>
      <c r="J406" s="13" t="str">
        <f t="shared" ca="1" si="25"/>
        <v>정상</v>
      </c>
      <c r="K406" s="44"/>
      <c r="L406" s="44"/>
      <c r="M406" s="42"/>
      <c r="N406" s="10" t="s">
        <v>33</v>
      </c>
      <c r="Q406" s="46"/>
      <c r="R406" s="46"/>
    </row>
    <row r="407" spans="2:18" s="18" customFormat="1" ht="16.5" hidden="1" customHeight="1">
      <c r="B407" s="10">
        <f>IF(C407="","",COUNTA($C$2:C407))</f>
        <v>406</v>
      </c>
      <c r="C407" s="45" t="s">
        <v>587</v>
      </c>
      <c r="D407" s="42" t="str">
        <f t="shared" si="28"/>
        <v>B</v>
      </c>
      <c r="E407" s="18" t="s">
        <v>249</v>
      </c>
      <c r="F407" s="18" t="s">
        <v>428</v>
      </c>
      <c r="G407" s="6" t="s">
        <v>598</v>
      </c>
      <c r="H407" s="12">
        <v>44522500</v>
      </c>
      <c r="I407" s="18">
        <f t="shared" ca="1" si="27"/>
        <v>15</v>
      </c>
      <c r="J407" s="13" t="str">
        <f t="shared" ca="1" si="25"/>
        <v>정상</v>
      </c>
      <c r="K407" s="44">
        <v>46173</v>
      </c>
      <c r="L407" s="44"/>
      <c r="M407" s="42"/>
      <c r="N407" s="10" t="s">
        <v>33</v>
      </c>
      <c r="Q407" s="46"/>
      <c r="R407" s="46"/>
    </row>
    <row r="408" spans="2:18" s="18" customFormat="1" ht="16.5" hidden="1" customHeight="1">
      <c r="B408" s="10">
        <f>IF(C408="","",COUNTA($C$2:C408))</f>
        <v>407</v>
      </c>
      <c r="C408" s="30" t="s">
        <v>587</v>
      </c>
      <c r="D408" s="42" t="str">
        <f t="shared" si="28"/>
        <v>B</v>
      </c>
      <c r="E408" s="18" t="s">
        <v>580</v>
      </c>
      <c r="F408" s="18" t="s">
        <v>591</v>
      </c>
      <c r="G408" s="6" t="s">
        <v>598</v>
      </c>
      <c r="H408" s="12">
        <v>10572000</v>
      </c>
      <c r="I408" s="18">
        <f t="shared" ca="1" si="27"/>
        <v>1</v>
      </c>
      <c r="J408" s="13" t="str">
        <f t="shared" ca="1" si="25"/>
        <v>정상</v>
      </c>
      <c r="K408" s="44"/>
      <c r="L408" s="44">
        <v>46126</v>
      </c>
      <c r="M408" s="42"/>
      <c r="N408" s="10" t="s">
        <v>33</v>
      </c>
      <c r="Q408" s="46"/>
      <c r="R408" s="46"/>
    </row>
    <row r="409" spans="2:18" s="18" customFormat="1" ht="16.5" hidden="1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581</v>
      </c>
      <c r="F409" s="18" t="s">
        <v>211</v>
      </c>
      <c r="G409" s="6" t="s">
        <v>598</v>
      </c>
      <c r="H409" s="12">
        <v>280000</v>
      </c>
      <c r="I409" s="18">
        <f t="shared" ca="1" si="27"/>
        <v>0</v>
      </c>
      <c r="J409" s="13" t="str">
        <f t="shared" ca="1" si="25"/>
        <v>정상</v>
      </c>
      <c r="K409" s="44"/>
      <c r="L409" s="44">
        <v>46125</v>
      </c>
      <c r="M409" s="42"/>
      <c r="N409" s="10" t="s">
        <v>33</v>
      </c>
      <c r="Q409" s="46"/>
      <c r="R409" s="46"/>
    </row>
    <row r="410" spans="2:18" s="18" customFormat="1" ht="16.5" hidden="1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395</v>
      </c>
      <c r="F410" s="18" t="s">
        <v>477</v>
      </c>
      <c r="G410" s="6" t="s">
        <v>598</v>
      </c>
      <c r="H410" s="12">
        <v>7665000</v>
      </c>
      <c r="I410" s="18">
        <f t="shared" ca="1" si="27"/>
        <v>15</v>
      </c>
      <c r="J410" s="13" t="str">
        <f t="shared" ca="1" si="25"/>
        <v>정상</v>
      </c>
      <c r="K410" s="44"/>
      <c r="L410" s="44"/>
      <c r="M410" s="42"/>
      <c r="N410" s="10" t="s">
        <v>33</v>
      </c>
      <c r="Q410" s="46"/>
      <c r="R410" s="46"/>
    </row>
    <row r="411" spans="2:18" s="18" customFormat="1" ht="16.5" hidden="1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582</v>
      </c>
      <c r="F411" s="18" t="s">
        <v>592</v>
      </c>
      <c r="G411" s="6" t="s">
        <v>598</v>
      </c>
      <c r="H411" s="12">
        <v>481100</v>
      </c>
      <c r="I411" s="18">
        <f t="shared" ca="1" si="27"/>
        <v>15</v>
      </c>
      <c r="J411" s="13" t="str">
        <f t="shared" ca="1" si="25"/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hidden="1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434</v>
      </c>
      <c r="F412" s="18" t="s">
        <v>432</v>
      </c>
      <c r="G412" s="6" t="s">
        <v>598</v>
      </c>
      <c r="H412" s="12">
        <v>3109500</v>
      </c>
      <c r="I412" s="18">
        <f t="shared" ca="1" si="27"/>
        <v>15</v>
      </c>
      <c r="J412" s="13" t="str">
        <f t="shared" ca="1" si="25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hidden="1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583</v>
      </c>
      <c r="F413" s="18" t="s">
        <v>588</v>
      </c>
      <c r="G413" s="6" t="s">
        <v>598</v>
      </c>
      <c r="H413" s="12">
        <v>399900</v>
      </c>
      <c r="I413" s="18">
        <f t="shared" ca="1" si="27"/>
        <v>15</v>
      </c>
      <c r="J413" s="13" t="str">
        <f t="shared" ref="J413:J474" ca="1" si="29">IF(I413="","",
 IF(G413="선급금",
   IF(I413&lt;=20,"정상",IF(I413&lt;=90,"관리","장기미수")),
 IF(G413="자재",
   IF(I413&lt;=40,"정상",IF(I413&lt;=90,"관리","장기미수")),
   IF(I413&lt;=30,"정상",IF(I413&lt;=90,"관리","장기미수"))
  )
 )
)</f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hidden="1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584</v>
      </c>
      <c r="F414" s="18" t="s">
        <v>593</v>
      </c>
      <c r="G414" s="6" t="s">
        <v>598</v>
      </c>
      <c r="H414" s="12">
        <v>4678300</v>
      </c>
      <c r="I414" s="18">
        <f t="shared" ca="1" si="27"/>
        <v>15</v>
      </c>
      <c r="J414" s="13" t="str">
        <f t="shared" ca="1" si="29"/>
        <v>정상</v>
      </c>
      <c r="K414" s="44"/>
      <c r="L414" s="44"/>
      <c r="M414" s="42"/>
      <c r="N414" s="10" t="s">
        <v>33</v>
      </c>
      <c r="Q414" s="46"/>
      <c r="R414" s="46"/>
    </row>
    <row r="415" spans="2:18" s="18" customFormat="1" ht="16.5" hidden="1" customHeight="1">
      <c r="B415" s="10">
        <f>IF(C415="","",COUNTA($C$2:C415))</f>
        <v>414</v>
      </c>
      <c r="C415" s="30" t="s">
        <v>587</v>
      </c>
      <c r="D415" s="42" t="str">
        <f t="shared" si="28"/>
        <v>B</v>
      </c>
      <c r="E415" s="18" t="s">
        <v>584</v>
      </c>
      <c r="F415" s="18" t="s">
        <v>594</v>
      </c>
      <c r="G415" s="6" t="s">
        <v>598</v>
      </c>
      <c r="H415" s="12">
        <v>941200</v>
      </c>
      <c r="I415" s="18">
        <f t="shared" ca="1" si="27"/>
        <v>15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hidden="1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128</v>
      </c>
      <c r="F416" s="18" t="s">
        <v>129</v>
      </c>
      <c r="G416" s="6" t="s">
        <v>598</v>
      </c>
      <c r="H416" s="12">
        <v>1885800</v>
      </c>
      <c r="I416" s="18">
        <f t="shared" ca="1" si="27"/>
        <v>1</v>
      </c>
      <c r="J416" s="13" t="str">
        <f t="shared" ca="1" si="29"/>
        <v>정상</v>
      </c>
      <c r="K416" s="44"/>
      <c r="L416" s="44">
        <v>46126</v>
      </c>
      <c r="M416" s="42"/>
      <c r="N416" s="10" t="s">
        <v>33</v>
      </c>
      <c r="Q416" s="46"/>
      <c r="R416" s="46"/>
    </row>
    <row r="417" spans="2:18" s="18" customFormat="1" ht="16.5" hidden="1" customHeight="1">
      <c r="B417" s="10">
        <f>IF(C417="","",COUNTA($C$2:C417))</f>
        <v>416</v>
      </c>
      <c r="C417" s="30" t="s">
        <v>587</v>
      </c>
      <c r="D417" s="42" t="str">
        <f>IF(G417="","",IF(OR(G417="선급금",G417="중도금",G417="잔금"),"A",IF(G417="자재","B",IF(G417="특허료","C",""))))</f>
        <v>B</v>
      </c>
      <c r="E417" s="18" t="s">
        <v>39</v>
      </c>
      <c r="F417" s="18" t="s">
        <v>595</v>
      </c>
      <c r="G417" s="6" t="s">
        <v>598</v>
      </c>
      <c r="H417" s="12">
        <v>332400</v>
      </c>
      <c r="I417" s="18">
        <f t="shared" ca="1" si="27"/>
        <v>15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hidden="1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585</v>
      </c>
      <c r="F418" s="18" t="s">
        <v>596</v>
      </c>
      <c r="G418" s="6" t="s">
        <v>598</v>
      </c>
      <c r="H418" s="12">
        <v>1254000</v>
      </c>
      <c r="I418" s="18">
        <f t="shared" ca="1" si="27"/>
        <v>1</v>
      </c>
      <c r="J418" s="13" t="str">
        <f t="shared" ca="1" si="29"/>
        <v>정상</v>
      </c>
      <c r="K418" s="44"/>
      <c r="L418" s="44">
        <v>46126</v>
      </c>
      <c r="M418" s="42"/>
      <c r="N418" s="10" t="s">
        <v>33</v>
      </c>
      <c r="Q418" s="46"/>
      <c r="R418" s="46"/>
    </row>
    <row r="419" spans="2:18" s="18" customFormat="1" ht="16.5" hidden="1" customHeight="1">
      <c r="B419" s="10">
        <f>IF(C419="","",COUNTA($C$2:C419))</f>
        <v>418</v>
      </c>
      <c r="C419" s="30" t="s">
        <v>587</v>
      </c>
      <c r="D419" s="42" t="str">
        <f t="shared" si="28"/>
        <v>B</v>
      </c>
      <c r="E419" s="18" t="s">
        <v>83</v>
      </c>
      <c r="F419" s="18" t="s">
        <v>493</v>
      </c>
      <c r="G419" s="6" t="s">
        <v>598</v>
      </c>
      <c r="H419" s="12">
        <v>7680000</v>
      </c>
      <c r="I419" s="18">
        <f t="shared" ca="1" si="27"/>
        <v>15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hidden="1" customHeight="1">
      <c r="B420" s="10">
        <f>IF(C420="","",COUNTA($C$2:C420))</f>
        <v>419</v>
      </c>
      <c r="C420" s="30" t="s">
        <v>587</v>
      </c>
      <c r="D420" s="42" t="str">
        <f t="shared" si="28"/>
        <v>B</v>
      </c>
      <c r="E420" s="18" t="s">
        <v>195</v>
      </c>
      <c r="F420" s="18" t="s">
        <v>597</v>
      </c>
      <c r="G420" s="6" t="s">
        <v>598</v>
      </c>
      <c r="H420" s="12">
        <v>720200</v>
      </c>
      <c r="I420" s="18">
        <f t="shared" ca="1" si="27"/>
        <v>15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hidden="1" customHeight="1">
      <c r="B421" s="10">
        <f>IF(C421="","",COUNTA($C$2:C421))</f>
        <v>420</v>
      </c>
      <c r="C421" s="44">
        <v>46125</v>
      </c>
      <c r="D421" s="42" t="s">
        <v>243</v>
      </c>
      <c r="E421" s="18" t="s">
        <v>519</v>
      </c>
      <c r="F421" s="18" t="s">
        <v>272</v>
      </c>
      <c r="G421" s="18" t="s">
        <v>600</v>
      </c>
      <c r="H421" s="12">
        <v>59166000</v>
      </c>
      <c r="I421" s="18">
        <f t="shared" ca="1" si="27"/>
        <v>15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hidden="1" customHeight="1">
      <c r="B422" s="10">
        <f>IF(C422="","",COUNTA($C$2:C422))</f>
        <v>421</v>
      </c>
      <c r="C422" s="44">
        <v>46125</v>
      </c>
      <c r="D422" s="42" t="s">
        <v>243</v>
      </c>
      <c r="E422" s="18" t="s">
        <v>375</v>
      </c>
      <c r="F422" s="18" t="s">
        <v>372</v>
      </c>
      <c r="G422" s="18" t="s">
        <v>601</v>
      </c>
      <c r="H422" s="12">
        <v>12618800</v>
      </c>
      <c r="I422" s="18">
        <f t="shared" ca="1" si="27"/>
        <v>15</v>
      </c>
      <c r="J422" s="13" t="str">
        <f t="shared" ca="1" si="29"/>
        <v>정상</v>
      </c>
      <c r="K422" s="44"/>
      <c r="L422" s="44"/>
      <c r="M422" s="42"/>
      <c r="N422" s="10" t="s">
        <v>33</v>
      </c>
      <c r="Q422" s="46"/>
      <c r="R422" s="46"/>
    </row>
    <row r="423" spans="2:18" s="18" customFormat="1" ht="16.5" hidden="1" customHeight="1">
      <c r="B423" s="10">
        <f>IF(C423="","",COUNTA($C$2:C423))</f>
        <v>422</v>
      </c>
      <c r="C423" s="44">
        <v>46125</v>
      </c>
      <c r="D423" s="42" t="s">
        <v>243</v>
      </c>
      <c r="E423" s="18" t="s">
        <v>548</v>
      </c>
      <c r="F423" s="18" t="s">
        <v>547</v>
      </c>
      <c r="G423" s="18" t="s">
        <v>602</v>
      </c>
      <c r="H423" s="12">
        <v>12026400</v>
      </c>
      <c r="I423" s="18">
        <f t="shared" ca="1" si="27"/>
        <v>15</v>
      </c>
      <c r="J423" s="13" t="str">
        <f t="shared" ca="1" si="29"/>
        <v>정상</v>
      </c>
      <c r="K423" s="44"/>
      <c r="L423" s="44"/>
      <c r="M423" s="42"/>
      <c r="N423" s="10" t="s">
        <v>33</v>
      </c>
      <c r="Q423" s="46"/>
      <c r="R423" s="46"/>
    </row>
    <row r="424" spans="2:18" s="18" customFormat="1" ht="16.5" hidden="1" customHeight="1">
      <c r="B424" s="10">
        <f>IF(C424="","",COUNTA($C$2:C424))</f>
        <v>423</v>
      </c>
      <c r="C424" s="44">
        <v>46125</v>
      </c>
      <c r="D424" s="42" t="s">
        <v>243</v>
      </c>
      <c r="E424" s="18" t="s">
        <v>394</v>
      </c>
      <c r="F424" s="18" t="s">
        <v>599</v>
      </c>
      <c r="G424" s="18" t="s">
        <v>603</v>
      </c>
      <c r="H424" s="12">
        <v>5365000</v>
      </c>
      <c r="I424" s="18">
        <f t="shared" ca="1" si="27"/>
        <v>15</v>
      </c>
      <c r="J424" s="13" t="str">
        <f t="shared" ca="1" si="29"/>
        <v>정상</v>
      </c>
      <c r="K424" s="44"/>
      <c r="L424" s="44"/>
      <c r="M424" s="42"/>
      <c r="N424" s="10" t="s">
        <v>33</v>
      </c>
      <c r="Q424" s="46"/>
      <c r="R424" s="46"/>
    </row>
    <row r="425" spans="2:18" s="18" customFormat="1" ht="16.5" hidden="1" customHeight="1">
      <c r="B425" s="10">
        <f>IF(C425="","",COUNTA($C$2:C425))</f>
        <v>424</v>
      </c>
      <c r="C425" s="44" t="s">
        <v>586</v>
      </c>
      <c r="D425" s="42" t="s">
        <v>178</v>
      </c>
      <c r="E425" s="18" t="s">
        <v>579</v>
      </c>
      <c r="F425" s="18" t="s">
        <v>590</v>
      </c>
      <c r="G425" s="18" t="s">
        <v>607</v>
      </c>
      <c r="H425" s="12">
        <v>15635000</v>
      </c>
      <c r="I425" s="18">
        <f t="shared" ca="1" si="27"/>
        <v>14</v>
      </c>
      <c r="J425" s="13" t="str">
        <f t="shared" ca="1" si="29"/>
        <v>정상</v>
      </c>
      <c r="K425" s="44"/>
      <c r="L425" s="44"/>
      <c r="M425" s="42"/>
      <c r="N425" s="10" t="s">
        <v>33</v>
      </c>
      <c r="Q425" s="46"/>
      <c r="R425" s="46"/>
    </row>
    <row r="426" spans="2:18" ht="16.5" hidden="1" customHeight="1">
      <c r="B426" s="10">
        <f>IF(C426="","",COUNTA($C$2:C426))</f>
        <v>425</v>
      </c>
      <c r="C426" s="44" t="s">
        <v>586</v>
      </c>
      <c r="D426" s="42" t="s">
        <v>178</v>
      </c>
      <c r="E426" s="18" t="s">
        <v>195</v>
      </c>
      <c r="F426" s="18" t="s">
        <v>597</v>
      </c>
      <c r="G426" s="18" t="s">
        <v>607</v>
      </c>
      <c r="H426" s="4">
        <v>802000</v>
      </c>
      <c r="I426" s="18">
        <f t="shared" ca="1" si="27"/>
        <v>14</v>
      </c>
      <c r="J426" s="13" t="str">
        <f t="shared" ca="1" si="29"/>
        <v>정상</v>
      </c>
      <c r="N426" s="10" t="s">
        <v>33</v>
      </c>
    </row>
    <row r="427" spans="2:18" ht="16.5" hidden="1" customHeight="1">
      <c r="B427" s="10">
        <f>IF(C427="","",COUNTA($C$2:C427))</f>
        <v>426</v>
      </c>
      <c r="C427" s="44" t="s">
        <v>586</v>
      </c>
      <c r="D427" s="42" t="s">
        <v>178</v>
      </c>
      <c r="E427" s="18" t="s">
        <v>521</v>
      </c>
      <c r="F427" s="18" t="s">
        <v>535</v>
      </c>
      <c r="G427" s="18" t="s">
        <v>607</v>
      </c>
      <c r="H427" s="4">
        <v>990000</v>
      </c>
      <c r="I427" s="18">
        <f t="shared" ca="1" si="27"/>
        <v>14</v>
      </c>
      <c r="J427" s="13" t="str">
        <f t="shared" ca="1" si="29"/>
        <v>정상</v>
      </c>
      <c r="N427" s="10" t="s">
        <v>33</v>
      </c>
    </row>
    <row r="428" spans="2:18" ht="16.5" hidden="1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606</v>
      </c>
      <c r="F428" s="18" t="s">
        <v>604</v>
      </c>
      <c r="G428" s="18" t="s">
        <v>607</v>
      </c>
      <c r="H428" s="4">
        <v>3592300</v>
      </c>
      <c r="I428" s="18">
        <f t="shared" ca="1" si="27"/>
        <v>0</v>
      </c>
      <c r="J428" s="13" t="str">
        <f t="shared" ca="1" si="29"/>
        <v>정상</v>
      </c>
      <c r="L428" s="44">
        <v>46126</v>
      </c>
      <c r="N428" s="10" t="s">
        <v>33</v>
      </c>
    </row>
    <row r="429" spans="2:18" ht="16.5" hidden="1" customHeight="1">
      <c r="B429" s="10">
        <f>IF(C429="","",COUNTA($C$2:C429))</f>
        <v>428</v>
      </c>
      <c r="C429" s="44" t="s">
        <v>586</v>
      </c>
      <c r="D429" s="42" t="s">
        <v>178</v>
      </c>
      <c r="E429" s="18" t="s">
        <v>585</v>
      </c>
      <c r="F429" s="18" t="s">
        <v>596</v>
      </c>
      <c r="G429" s="18" t="s">
        <v>607</v>
      </c>
      <c r="H429" s="4">
        <v>11000000</v>
      </c>
      <c r="I429" s="18">
        <f t="shared" ca="1" si="27"/>
        <v>14</v>
      </c>
      <c r="J429" s="13" t="str">
        <f t="shared" ca="1" si="29"/>
        <v>정상</v>
      </c>
      <c r="N429" s="10" t="s">
        <v>33</v>
      </c>
    </row>
    <row r="430" spans="2:18" ht="16.5" hidden="1" customHeight="1">
      <c r="B430" s="10">
        <f>IF(C430="","",COUNTA($C$2:C430))</f>
        <v>429</v>
      </c>
      <c r="C430" s="44" t="s">
        <v>586</v>
      </c>
      <c r="D430" s="42" t="s">
        <v>178</v>
      </c>
      <c r="E430" s="18" t="s">
        <v>100</v>
      </c>
      <c r="F430" s="18" t="s">
        <v>605</v>
      </c>
      <c r="G430" s="18" t="s">
        <v>607</v>
      </c>
      <c r="H430" s="4">
        <v>11295600</v>
      </c>
      <c r="I430" s="18">
        <f t="shared" ca="1" si="27"/>
        <v>14</v>
      </c>
      <c r="J430" s="13" t="str">
        <f t="shared" ca="1" si="29"/>
        <v>정상</v>
      </c>
      <c r="N430" s="10" t="s">
        <v>33</v>
      </c>
    </row>
    <row r="431" spans="2:18" ht="16.5" hidden="1" customHeight="1">
      <c r="B431" s="10">
        <f>IF(C431="","",COUNTA($C$2:C431))</f>
        <v>430</v>
      </c>
      <c r="C431" s="44" t="s">
        <v>586</v>
      </c>
      <c r="D431" s="42" t="s">
        <v>178</v>
      </c>
      <c r="E431" s="18" t="s">
        <v>577</v>
      </c>
      <c r="F431" s="18" t="s">
        <v>588</v>
      </c>
      <c r="G431" s="18" t="s">
        <v>607</v>
      </c>
      <c r="H431" s="4">
        <v>1217300</v>
      </c>
      <c r="I431" s="18">
        <f t="shared" ca="1" si="27"/>
        <v>14</v>
      </c>
      <c r="J431" s="13" t="str">
        <f t="shared" ca="1" si="29"/>
        <v>정상</v>
      </c>
      <c r="N431" s="10" t="s">
        <v>33</v>
      </c>
    </row>
    <row r="432" spans="2:18" ht="16.5" hidden="1" customHeight="1">
      <c r="B432" s="10">
        <f>IF(C432="","",COUNTA($C$2:C432))</f>
        <v>431</v>
      </c>
      <c r="C432" s="44" t="s">
        <v>586</v>
      </c>
      <c r="D432" s="42" t="s">
        <v>178</v>
      </c>
      <c r="E432" s="18" t="s">
        <v>375</v>
      </c>
      <c r="F432" s="18" t="s">
        <v>500</v>
      </c>
      <c r="G432" s="18" t="s">
        <v>607</v>
      </c>
      <c r="H432" s="4">
        <v>23634000</v>
      </c>
      <c r="I432" s="18">
        <f t="shared" ca="1" si="27"/>
        <v>1</v>
      </c>
      <c r="J432" s="13" t="str">
        <f t="shared" ca="1" si="29"/>
        <v>정상</v>
      </c>
      <c r="L432" s="44">
        <v>46127</v>
      </c>
      <c r="N432" s="10" t="s">
        <v>33</v>
      </c>
    </row>
    <row r="433" spans="2:18" ht="16.5" hidden="1" customHeight="1">
      <c r="B433" s="10">
        <f>IF(C433="","",COUNTA($C$2:C433))</f>
        <v>432</v>
      </c>
      <c r="C433" s="44" t="s">
        <v>586</v>
      </c>
      <c r="D433" s="42" t="s">
        <v>178</v>
      </c>
      <c r="E433" s="18" t="s">
        <v>578</v>
      </c>
      <c r="F433" s="18" t="s">
        <v>589</v>
      </c>
      <c r="G433" s="18" t="s">
        <v>607</v>
      </c>
      <c r="H433" s="4">
        <v>7826000</v>
      </c>
      <c r="I433" s="18">
        <f t="shared" ca="1" si="27"/>
        <v>14</v>
      </c>
      <c r="J433" s="13" t="str">
        <f t="shared" ca="1" si="29"/>
        <v>정상</v>
      </c>
      <c r="N433" s="10" t="s">
        <v>33</v>
      </c>
    </row>
    <row r="434" spans="2:18" s="18" customFormat="1" ht="16.5" hidden="1" customHeight="1">
      <c r="B434" s="10">
        <f>IF(C434="","",COUNTA($C$2:C434))</f>
        <v>433</v>
      </c>
      <c r="C434" s="44" t="s">
        <v>586</v>
      </c>
      <c r="D434" s="42" t="s">
        <v>181</v>
      </c>
      <c r="E434" s="18" t="s">
        <v>609</v>
      </c>
      <c r="F434" s="18" t="s">
        <v>608</v>
      </c>
      <c r="G434" s="18" t="s">
        <v>610</v>
      </c>
      <c r="H434" s="12">
        <v>299600</v>
      </c>
      <c r="I434" s="18">
        <f t="shared" ca="1" si="27"/>
        <v>14</v>
      </c>
      <c r="J434" s="13" t="str">
        <f t="shared" ca="1" si="29"/>
        <v>정상</v>
      </c>
      <c r="K434" s="44"/>
      <c r="L434" s="44"/>
      <c r="M434" s="42"/>
      <c r="N434" s="10" t="s">
        <v>33</v>
      </c>
      <c r="Q434" s="46"/>
      <c r="R434" s="46"/>
    </row>
    <row r="435" spans="2:18" s="18" customFormat="1" ht="16.5" hidden="1" customHeight="1">
      <c r="B435" s="10">
        <f>IF(C435="","",COUNTA($C$2:C435))</f>
        <v>434</v>
      </c>
      <c r="C435" s="44" t="s">
        <v>586</v>
      </c>
      <c r="D435" s="42" t="s">
        <v>243</v>
      </c>
      <c r="E435" s="18" t="s">
        <v>618</v>
      </c>
      <c r="F435" s="18" t="s">
        <v>614</v>
      </c>
      <c r="G435" s="18" t="s">
        <v>611</v>
      </c>
      <c r="H435" s="12">
        <v>7532400</v>
      </c>
      <c r="I435" s="18">
        <f t="shared" ca="1" si="27"/>
        <v>14</v>
      </c>
      <c r="J435" s="13" t="str">
        <f t="shared" ca="1" si="29"/>
        <v>정상</v>
      </c>
      <c r="K435" s="44"/>
      <c r="L435" s="44"/>
      <c r="M435" s="42"/>
      <c r="N435" s="10" t="s">
        <v>33</v>
      </c>
      <c r="Q435" s="46"/>
      <c r="R435" s="46"/>
    </row>
    <row r="436" spans="2:18" s="18" customFormat="1" ht="16.5" hidden="1" customHeight="1">
      <c r="B436" s="10">
        <f>IF(C436="","",COUNTA($C$2:C436))</f>
        <v>435</v>
      </c>
      <c r="C436" s="44" t="s">
        <v>586</v>
      </c>
      <c r="D436" s="42" t="s">
        <v>243</v>
      </c>
      <c r="E436" s="18" t="s">
        <v>619</v>
      </c>
      <c r="F436" s="18" t="s">
        <v>615</v>
      </c>
      <c r="G436" s="18" t="s">
        <v>612</v>
      </c>
      <c r="H436" s="12">
        <v>70476400</v>
      </c>
      <c r="I436" s="18">
        <f t="shared" ca="1" si="27"/>
        <v>14</v>
      </c>
      <c r="J436" s="13" t="str">
        <f t="shared" ca="1" si="29"/>
        <v>정상</v>
      </c>
      <c r="K436" s="44"/>
      <c r="L436" s="44"/>
      <c r="M436" s="42"/>
      <c r="N436" s="10" t="s">
        <v>33</v>
      </c>
      <c r="Q436" s="46"/>
      <c r="R436" s="46"/>
    </row>
    <row r="437" spans="2:18" s="18" customFormat="1" ht="16.5" hidden="1" customHeight="1">
      <c r="B437" s="10">
        <f>IF(C437="","",COUNTA($C$2:C437))</f>
        <v>436</v>
      </c>
      <c r="C437" s="44" t="s">
        <v>586</v>
      </c>
      <c r="D437" s="42" t="s">
        <v>243</v>
      </c>
      <c r="E437" s="18" t="s">
        <v>620</v>
      </c>
      <c r="F437" s="18" t="s">
        <v>616</v>
      </c>
      <c r="G437" s="18" t="s">
        <v>611</v>
      </c>
      <c r="H437" s="12">
        <v>7287600</v>
      </c>
      <c r="I437" s="18">
        <f t="shared" ca="1" si="27"/>
        <v>14</v>
      </c>
      <c r="J437" s="13" t="str">
        <f t="shared" ca="1" si="29"/>
        <v>정상</v>
      </c>
      <c r="K437" s="44"/>
      <c r="L437" s="44"/>
      <c r="M437" s="42"/>
      <c r="N437" s="10" t="s">
        <v>33</v>
      </c>
      <c r="Q437" s="46"/>
      <c r="R437" s="46"/>
    </row>
    <row r="438" spans="2:18" s="18" customFormat="1" ht="16.5" hidden="1" customHeight="1">
      <c r="B438" s="10">
        <f>IF(C438="","",COUNTA($C$2:C438))</f>
        <v>437</v>
      </c>
      <c r="C438" s="44" t="s">
        <v>586</v>
      </c>
      <c r="D438" s="42" t="s">
        <v>243</v>
      </c>
      <c r="E438" s="18" t="s">
        <v>621</v>
      </c>
      <c r="F438" s="18" t="s">
        <v>617</v>
      </c>
      <c r="G438" s="18" t="s">
        <v>613</v>
      </c>
      <c r="H438" s="12">
        <v>4080000</v>
      </c>
      <c r="I438" s="18">
        <f t="shared" ca="1" si="27"/>
        <v>14</v>
      </c>
      <c r="J438" s="13" t="str">
        <f t="shared" ca="1" si="29"/>
        <v>정상</v>
      </c>
      <c r="K438" s="44"/>
      <c r="L438" s="44"/>
      <c r="M438" s="42"/>
      <c r="N438" s="10" t="s">
        <v>33</v>
      </c>
      <c r="Q438" s="46"/>
      <c r="R438" s="46"/>
    </row>
    <row r="439" spans="2:18" ht="16.5" hidden="1" customHeight="1">
      <c r="B439" s="10">
        <f>IF(C439="","",COUNTA($C$2:C439))</f>
        <v>438</v>
      </c>
      <c r="C439" s="44">
        <v>46126</v>
      </c>
      <c r="D439" s="42" t="s">
        <v>639</v>
      </c>
      <c r="E439" s="23" t="s">
        <v>579</v>
      </c>
      <c r="F439" s="23" t="s">
        <v>626</v>
      </c>
      <c r="G439" s="18" t="s">
        <v>642</v>
      </c>
      <c r="H439" s="4">
        <v>13317700</v>
      </c>
      <c r="I439" s="18">
        <f t="shared" ca="1" si="27"/>
        <v>14</v>
      </c>
      <c r="J439" s="13" t="str">
        <f t="shared" ca="1" si="29"/>
        <v>정상</v>
      </c>
      <c r="N439" s="10" t="s">
        <v>33</v>
      </c>
    </row>
    <row r="440" spans="2:18" ht="16.5" hidden="1" customHeight="1">
      <c r="B440" s="10">
        <f>IF(C440="","",COUNTA($C$2:C440))</f>
        <v>439</v>
      </c>
      <c r="C440" s="30" t="s">
        <v>640</v>
      </c>
      <c r="D440" s="42" t="s">
        <v>639</v>
      </c>
      <c r="E440" s="23" t="s">
        <v>585</v>
      </c>
      <c r="F440" s="23" t="s">
        <v>627</v>
      </c>
      <c r="G440" s="18" t="s">
        <v>642</v>
      </c>
      <c r="H440" s="4">
        <v>4826000</v>
      </c>
      <c r="I440" s="18">
        <f t="shared" ca="1" si="27"/>
        <v>13</v>
      </c>
      <c r="J440" s="13" t="str">
        <f t="shared" ca="1" si="29"/>
        <v>정상</v>
      </c>
      <c r="N440" s="10" t="s">
        <v>33</v>
      </c>
    </row>
    <row r="441" spans="2:18" ht="16.5" hidden="1" customHeight="1">
      <c r="B441" s="10">
        <f>IF(C441="","",COUNTA($C$2:C441))</f>
        <v>440</v>
      </c>
      <c r="C441" s="30" t="s">
        <v>640</v>
      </c>
      <c r="D441" s="42" t="s">
        <v>639</v>
      </c>
      <c r="E441" s="23" t="s">
        <v>249</v>
      </c>
      <c r="F441" s="23" t="s">
        <v>628</v>
      </c>
      <c r="G441" s="18" t="s">
        <v>642</v>
      </c>
      <c r="H441" s="4">
        <v>266400</v>
      </c>
      <c r="I441" s="18">
        <f t="shared" ca="1" si="27"/>
        <v>13</v>
      </c>
      <c r="J441" s="13" t="str">
        <f t="shared" ca="1" si="29"/>
        <v>정상</v>
      </c>
      <c r="K441" s="44">
        <v>46173</v>
      </c>
      <c r="N441" s="10" t="s">
        <v>33</v>
      </c>
    </row>
    <row r="442" spans="2:18" ht="16.5" hidden="1" customHeight="1">
      <c r="B442" s="10">
        <f>IF(C442="","",COUNTA($C$2:C442))</f>
        <v>441</v>
      </c>
      <c r="C442" s="30" t="s">
        <v>640</v>
      </c>
      <c r="D442" s="42" t="s">
        <v>639</v>
      </c>
      <c r="E442" s="23" t="s">
        <v>463</v>
      </c>
      <c r="F442" s="23" t="s">
        <v>625</v>
      </c>
      <c r="G442" s="18" t="s">
        <v>642</v>
      </c>
      <c r="H442" s="4">
        <v>1013300</v>
      </c>
      <c r="I442" s="18">
        <f t="shared" ca="1" si="27"/>
        <v>13</v>
      </c>
      <c r="J442" s="13" t="str">
        <f t="shared" ca="1" si="29"/>
        <v>정상</v>
      </c>
      <c r="N442" s="10" t="s">
        <v>33</v>
      </c>
    </row>
    <row r="443" spans="2:18" ht="16.5" hidden="1" customHeight="1">
      <c r="B443" s="10">
        <f>IF(C443="","",COUNTA($C$2:C443))</f>
        <v>442</v>
      </c>
      <c r="C443" s="30" t="s">
        <v>640</v>
      </c>
      <c r="D443" s="42" t="s">
        <v>639</v>
      </c>
      <c r="E443" s="23" t="s">
        <v>81</v>
      </c>
      <c r="F443" s="23" t="s">
        <v>629</v>
      </c>
      <c r="G443" s="18" t="s">
        <v>642</v>
      </c>
      <c r="H443" s="4">
        <v>449400</v>
      </c>
      <c r="I443" s="18">
        <f t="shared" ref="I443:I506" ca="1" si="30">IF(C443="","",IF(L443="",TODAY()-C443,L443-C443))</f>
        <v>13</v>
      </c>
      <c r="J443" s="13" t="str">
        <f t="shared" ca="1" si="29"/>
        <v>정상</v>
      </c>
      <c r="N443" s="10" t="s">
        <v>33</v>
      </c>
    </row>
    <row r="444" spans="2:18" ht="16.5" hidden="1" customHeight="1">
      <c r="B444" s="10">
        <f>IF(C444="","",COUNTA($C$2:C444))</f>
        <v>443</v>
      </c>
      <c r="C444" s="30" t="s">
        <v>640</v>
      </c>
      <c r="D444" s="42" t="s">
        <v>639</v>
      </c>
      <c r="E444" s="23" t="s">
        <v>208</v>
      </c>
      <c r="F444" s="23" t="s">
        <v>630</v>
      </c>
      <c r="G444" s="18" t="s">
        <v>642</v>
      </c>
      <c r="H444" s="4">
        <v>-7260000</v>
      </c>
      <c r="I444" s="18">
        <f t="shared" ca="1" si="30"/>
        <v>13</v>
      </c>
      <c r="J444" s="13" t="str">
        <f t="shared" ca="1" si="29"/>
        <v>정상</v>
      </c>
      <c r="N444" s="10" t="s">
        <v>33</v>
      </c>
    </row>
    <row r="445" spans="2:18" ht="16.5" hidden="1" customHeight="1">
      <c r="B445" s="10">
        <f>IF(C445="","",COUNTA($C$2:C445))</f>
        <v>444</v>
      </c>
      <c r="C445" s="30" t="s">
        <v>640</v>
      </c>
      <c r="D445" s="42" t="s">
        <v>639</v>
      </c>
      <c r="E445" s="23" t="s">
        <v>209</v>
      </c>
      <c r="F445" s="23" t="s">
        <v>631</v>
      </c>
      <c r="G445" s="18" t="s">
        <v>642</v>
      </c>
      <c r="H445" s="4">
        <v>10770000</v>
      </c>
      <c r="I445" s="18">
        <f t="shared" ca="1" si="30"/>
        <v>13</v>
      </c>
      <c r="J445" s="13" t="str">
        <f t="shared" ca="1" si="29"/>
        <v>정상</v>
      </c>
      <c r="N445" s="10" t="s">
        <v>33</v>
      </c>
    </row>
    <row r="446" spans="2:18" ht="16.5" hidden="1" customHeight="1">
      <c r="B446" s="10">
        <f>IF(C446="","",COUNTA($C$2:C446))</f>
        <v>445</v>
      </c>
      <c r="C446" s="30" t="s">
        <v>640</v>
      </c>
      <c r="D446" s="42" t="s">
        <v>639</v>
      </c>
      <c r="E446" s="23" t="s">
        <v>637</v>
      </c>
      <c r="F446" s="23" t="s">
        <v>632</v>
      </c>
      <c r="G446" s="18" t="s">
        <v>642</v>
      </c>
      <c r="H446" s="4">
        <v>46300</v>
      </c>
      <c r="I446" s="18">
        <f t="shared" ca="1" si="30"/>
        <v>13</v>
      </c>
      <c r="J446" s="13" t="str">
        <f t="shared" ca="1" si="29"/>
        <v>정상</v>
      </c>
      <c r="N446" s="10" t="s">
        <v>33</v>
      </c>
    </row>
    <row r="447" spans="2:18" ht="16.5" hidden="1" customHeight="1">
      <c r="B447" s="10">
        <f>IF(C447="","",COUNTA($C$2:C447))</f>
        <v>446</v>
      </c>
      <c r="C447" s="30" t="s">
        <v>640</v>
      </c>
      <c r="D447" s="42" t="s">
        <v>639</v>
      </c>
      <c r="E447" s="23" t="s">
        <v>126</v>
      </c>
      <c r="F447" s="23" t="s">
        <v>633</v>
      </c>
      <c r="G447" s="18" t="s">
        <v>642</v>
      </c>
      <c r="H447" s="4">
        <v>11690000</v>
      </c>
      <c r="I447" s="18">
        <f t="shared" ca="1" si="30"/>
        <v>13</v>
      </c>
      <c r="J447" s="13" t="str">
        <f t="shared" ca="1" si="29"/>
        <v>정상</v>
      </c>
      <c r="N447" s="10" t="s">
        <v>33</v>
      </c>
    </row>
    <row r="448" spans="2:18" ht="16.5" hidden="1" customHeight="1">
      <c r="B448" s="10">
        <f>IF(C448="","",COUNTA($C$2:C448))</f>
        <v>447</v>
      </c>
      <c r="C448" s="30" t="s">
        <v>641</v>
      </c>
      <c r="D448" s="42" t="s">
        <v>639</v>
      </c>
      <c r="E448" s="23" t="s">
        <v>638</v>
      </c>
      <c r="F448" s="23" t="s">
        <v>634</v>
      </c>
      <c r="G448" s="18" t="s">
        <v>642</v>
      </c>
      <c r="H448" s="4">
        <v>2000200</v>
      </c>
      <c r="I448" s="18">
        <f t="shared" ca="1" si="30"/>
        <v>0</v>
      </c>
      <c r="J448" s="13" t="str">
        <f t="shared" ca="1" si="29"/>
        <v>정상</v>
      </c>
      <c r="L448" s="44">
        <v>46128</v>
      </c>
      <c r="N448" s="10" t="s">
        <v>33</v>
      </c>
    </row>
    <row r="449" spans="2:18" ht="16.5" hidden="1" customHeight="1">
      <c r="B449" s="10">
        <f>IF(C449="","",COUNTA($C$2:C449))</f>
        <v>448</v>
      </c>
      <c r="C449" s="30" t="s">
        <v>641</v>
      </c>
      <c r="D449" s="42" t="s">
        <v>639</v>
      </c>
      <c r="E449" s="23" t="s">
        <v>434</v>
      </c>
      <c r="F449" s="23" t="s">
        <v>635</v>
      </c>
      <c r="G449" s="18" t="s">
        <v>642</v>
      </c>
      <c r="H449" s="4">
        <v>8651000</v>
      </c>
      <c r="I449" s="18">
        <f t="shared" ca="1" si="30"/>
        <v>12</v>
      </c>
      <c r="J449" s="13" t="str">
        <f t="shared" ca="1" si="29"/>
        <v>정상</v>
      </c>
      <c r="N449" s="10" t="s">
        <v>33</v>
      </c>
    </row>
    <row r="450" spans="2:18" ht="16.5" hidden="1" customHeight="1">
      <c r="B450" s="10">
        <f>IF(C450="","",COUNTA($C$2:C450))</f>
        <v>449</v>
      </c>
      <c r="C450" s="30" t="s">
        <v>641</v>
      </c>
      <c r="D450" s="42" t="s">
        <v>639</v>
      </c>
      <c r="E450" s="23" t="s">
        <v>249</v>
      </c>
      <c r="F450" s="23" t="s">
        <v>628</v>
      </c>
      <c r="G450" s="18" t="s">
        <v>642</v>
      </c>
      <c r="H450" s="4">
        <v>2110000</v>
      </c>
      <c r="I450" s="18">
        <f t="shared" ca="1" si="30"/>
        <v>12</v>
      </c>
      <c r="J450" s="13" t="str">
        <f t="shared" ca="1" si="29"/>
        <v>정상</v>
      </c>
      <c r="K450" s="44">
        <v>46173</v>
      </c>
      <c r="N450" s="10" t="s">
        <v>33</v>
      </c>
    </row>
    <row r="451" spans="2:18" ht="16.5" hidden="1" customHeight="1">
      <c r="B451" s="10">
        <f>IF(C451="","",COUNTA($C$2:C451))</f>
        <v>450</v>
      </c>
      <c r="C451" s="30" t="s">
        <v>641</v>
      </c>
      <c r="D451" s="42" t="s">
        <v>639</v>
      </c>
      <c r="E451" s="23" t="s">
        <v>24</v>
      </c>
      <c r="F451" s="23" t="s">
        <v>636</v>
      </c>
      <c r="G451" s="18" t="s">
        <v>642</v>
      </c>
      <c r="H451" s="4">
        <v>1006400</v>
      </c>
      <c r="I451" s="18">
        <f t="shared" ca="1" si="30"/>
        <v>12</v>
      </c>
      <c r="J451" s="13" t="str">
        <f t="shared" ca="1" si="29"/>
        <v>정상</v>
      </c>
      <c r="N451" s="10" t="s">
        <v>33</v>
      </c>
    </row>
    <row r="452" spans="2:18" s="18" customFormat="1" ht="16.5" hidden="1" customHeight="1">
      <c r="B452" s="10">
        <f>IF(C452="","",COUNTA($C$2:C452))</f>
        <v>451</v>
      </c>
      <c r="C452" s="30" t="s">
        <v>643</v>
      </c>
      <c r="D452" s="42" t="s">
        <v>644</v>
      </c>
      <c r="E452" s="48" t="s">
        <v>648</v>
      </c>
      <c r="F452" s="48" t="s">
        <v>647</v>
      </c>
      <c r="G452" s="18" t="s">
        <v>646</v>
      </c>
      <c r="H452" s="12">
        <v>65224000</v>
      </c>
      <c r="I452" s="18">
        <f t="shared" ca="1" si="30"/>
        <v>11</v>
      </c>
      <c r="J452" s="13" t="str">
        <f t="shared" ca="1" si="29"/>
        <v>정상</v>
      </c>
      <c r="K452" s="44"/>
      <c r="L452" s="44"/>
      <c r="M452" s="42"/>
      <c r="N452" s="10" t="s">
        <v>33</v>
      </c>
      <c r="Q452" s="46"/>
      <c r="R452" s="46"/>
    </row>
    <row r="453" spans="2:18" s="18" customFormat="1" ht="16.5" hidden="1" customHeight="1">
      <c r="B453" s="10">
        <f>IF(C453="","",COUNTA($C$2:C453))</f>
        <v>452</v>
      </c>
      <c r="C453" s="30">
        <v>46129</v>
      </c>
      <c r="D453" s="42" t="s">
        <v>644</v>
      </c>
      <c r="E453" s="18" t="s">
        <v>519</v>
      </c>
      <c r="F453" s="18" t="s">
        <v>645</v>
      </c>
      <c r="G453" s="47" t="s">
        <v>227</v>
      </c>
      <c r="H453" s="12">
        <v>104823750</v>
      </c>
      <c r="I453" s="18">
        <f t="shared" ca="1" si="30"/>
        <v>7</v>
      </c>
      <c r="J453" s="13" t="str">
        <f t="shared" ca="1" si="29"/>
        <v>정상</v>
      </c>
      <c r="K453" s="44"/>
      <c r="L453" s="44">
        <v>46136</v>
      </c>
      <c r="M453" s="42"/>
      <c r="N453" s="10" t="s">
        <v>33</v>
      </c>
      <c r="Q453" s="46"/>
      <c r="R453" s="46"/>
    </row>
    <row r="454" spans="2:18" s="18" customFormat="1" ht="16.5" hidden="1" customHeight="1">
      <c r="B454" s="10">
        <f>IF(C454="","",COUNTA($C$2:C454))</f>
        <v>453</v>
      </c>
      <c r="C454" s="30" t="s">
        <v>643</v>
      </c>
      <c r="D454" s="42" t="s">
        <v>239</v>
      </c>
      <c r="E454" s="23" t="s">
        <v>206</v>
      </c>
      <c r="F454" s="18" t="s">
        <v>557</v>
      </c>
      <c r="G454" s="47" t="s">
        <v>666</v>
      </c>
      <c r="H454" s="12">
        <v>700000</v>
      </c>
      <c r="I454" s="18">
        <f t="shared" ca="1" si="30"/>
        <v>0</v>
      </c>
      <c r="J454" s="13" t="str">
        <f t="shared" ca="1" si="29"/>
        <v>정상</v>
      </c>
      <c r="K454" s="44"/>
      <c r="L454" s="44">
        <v>46129</v>
      </c>
      <c r="M454" s="42"/>
      <c r="N454" s="10" t="s">
        <v>33</v>
      </c>
      <c r="Q454" s="46"/>
      <c r="R454" s="46"/>
    </row>
    <row r="455" spans="2:18" s="18" customFormat="1" ht="16.5" hidden="1" customHeight="1">
      <c r="B455" s="10">
        <f>IF(C455="","",COUNTA($C$2:C455))</f>
        <v>454</v>
      </c>
      <c r="C455" s="30" t="s">
        <v>643</v>
      </c>
      <c r="D455" s="42" t="s">
        <v>239</v>
      </c>
      <c r="E455" s="23" t="s">
        <v>579</v>
      </c>
      <c r="F455" s="18" t="s">
        <v>590</v>
      </c>
      <c r="G455" s="47" t="s">
        <v>666</v>
      </c>
      <c r="H455" s="12">
        <v>12079800</v>
      </c>
      <c r="I455" s="18">
        <f t="shared" ca="1" si="30"/>
        <v>0</v>
      </c>
      <c r="J455" s="13" t="str">
        <f t="shared" ca="1" si="29"/>
        <v>정상</v>
      </c>
      <c r="K455" s="44"/>
      <c r="L455" s="44">
        <v>46129</v>
      </c>
      <c r="M455" s="42"/>
      <c r="N455" s="10" t="s">
        <v>33</v>
      </c>
      <c r="Q455" s="46"/>
      <c r="R455" s="46"/>
    </row>
    <row r="456" spans="2:18" s="18" customFormat="1" ht="16.5" hidden="1" customHeight="1">
      <c r="B456" s="10">
        <f>IF(C456="","",COUNTA($C$2:C456))</f>
        <v>455</v>
      </c>
      <c r="C456" s="30" t="s">
        <v>643</v>
      </c>
      <c r="D456" s="42" t="s">
        <v>239</v>
      </c>
      <c r="E456" s="23" t="s">
        <v>218</v>
      </c>
      <c r="F456" s="18" t="s">
        <v>649</v>
      </c>
      <c r="G456" s="47" t="s">
        <v>666</v>
      </c>
      <c r="H456" s="12">
        <v>167600</v>
      </c>
      <c r="I456" s="18">
        <f t="shared" ca="1" si="30"/>
        <v>11</v>
      </c>
      <c r="J456" s="13" t="str">
        <f t="shared" ca="1" si="29"/>
        <v>정상</v>
      </c>
      <c r="K456" s="44"/>
      <c r="L456" s="44"/>
      <c r="M456" s="42"/>
      <c r="N456" s="10" t="s">
        <v>33</v>
      </c>
      <c r="Q456" s="46"/>
      <c r="R456" s="46"/>
    </row>
    <row r="457" spans="2:18" s="18" customFormat="1" ht="16.5" hidden="1" customHeight="1">
      <c r="B457" s="10">
        <f>IF(C457="","",COUNTA($C$2:C457))</f>
        <v>456</v>
      </c>
      <c r="C457" s="30" t="s">
        <v>643</v>
      </c>
      <c r="D457" s="42" t="s">
        <v>239</v>
      </c>
      <c r="E457" s="23" t="s">
        <v>662</v>
      </c>
      <c r="F457" s="18" t="s">
        <v>211</v>
      </c>
      <c r="G457" s="47" t="s">
        <v>666</v>
      </c>
      <c r="H457" s="12">
        <v>233200</v>
      </c>
      <c r="I457" s="18">
        <f t="shared" ca="1" si="30"/>
        <v>11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  <row r="458" spans="2:18" s="18" customFormat="1" ht="16.5" hidden="1" customHeight="1">
      <c r="B458" s="10">
        <f>IF(C458="","",COUNTA($C$2:C458))</f>
        <v>457</v>
      </c>
      <c r="C458" s="30" t="s">
        <v>643</v>
      </c>
      <c r="D458" s="42" t="s">
        <v>239</v>
      </c>
      <c r="E458" s="23" t="s">
        <v>126</v>
      </c>
      <c r="F458" s="18" t="s">
        <v>479</v>
      </c>
      <c r="G458" s="47" t="s">
        <v>666</v>
      </c>
      <c r="H458" s="12">
        <v>1969000</v>
      </c>
      <c r="I458" s="18">
        <f t="shared" ca="1" si="30"/>
        <v>11</v>
      </c>
      <c r="J458" s="13" t="str">
        <f t="shared" ca="1" si="29"/>
        <v>정상</v>
      </c>
      <c r="K458" s="44"/>
      <c r="L458" s="44"/>
      <c r="M458" s="42"/>
      <c r="N458" s="10" t="s">
        <v>33</v>
      </c>
      <c r="Q458" s="46"/>
      <c r="R458" s="46"/>
    </row>
    <row r="459" spans="2:18" s="18" customFormat="1" ht="16.5" hidden="1" customHeight="1">
      <c r="B459" s="10">
        <f>IF(C459="","",COUNTA($C$2:C459))</f>
        <v>458</v>
      </c>
      <c r="C459" s="30" t="s">
        <v>664</v>
      </c>
      <c r="D459" s="42" t="s">
        <v>239</v>
      </c>
      <c r="E459" s="23" t="s">
        <v>366</v>
      </c>
      <c r="F459" s="18" t="s">
        <v>480</v>
      </c>
      <c r="G459" s="47" t="s">
        <v>666</v>
      </c>
      <c r="H459" s="12">
        <v>5047800</v>
      </c>
      <c r="I459" s="18">
        <f t="shared" ca="1" si="30"/>
        <v>8</v>
      </c>
      <c r="J459" s="13" t="str">
        <f t="shared" ca="1" si="29"/>
        <v>정상</v>
      </c>
      <c r="K459" s="44"/>
      <c r="L459" s="44"/>
      <c r="M459" s="42"/>
      <c r="N459" s="10" t="s">
        <v>33</v>
      </c>
      <c r="Q459" s="46"/>
      <c r="R459" s="46"/>
    </row>
    <row r="460" spans="2:18" s="18" customFormat="1" ht="16.5" hidden="1" customHeight="1">
      <c r="B460" s="10">
        <f>IF(C460="","",COUNTA($C$2:C460))</f>
        <v>459</v>
      </c>
      <c r="C460" s="30" t="s">
        <v>664</v>
      </c>
      <c r="D460" s="42" t="s">
        <v>239</v>
      </c>
      <c r="E460" s="23" t="s">
        <v>209</v>
      </c>
      <c r="F460" s="18" t="s">
        <v>650</v>
      </c>
      <c r="G460" s="47" t="s">
        <v>666</v>
      </c>
      <c r="H460" s="12">
        <v>56594600</v>
      </c>
      <c r="I460" s="18">
        <f t="shared" ca="1" si="30"/>
        <v>8</v>
      </c>
      <c r="J460" s="13" t="str">
        <f t="shared" ca="1" si="29"/>
        <v>정상</v>
      </c>
      <c r="K460" s="44"/>
      <c r="L460" s="44"/>
      <c r="M460" s="42"/>
      <c r="N460" s="10" t="s">
        <v>33</v>
      </c>
      <c r="Q460" s="46"/>
      <c r="R460" s="46"/>
    </row>
    <row r="461" spans="2:18" s="18" customFormat="1" ht="16.5" hidden="1" customHeight="1">
      <c r="B461" s="10">
        <f>IF(C461="","",COUNTA($C$2:C461))</f>
        <v>460</v>
      </c>
      <c r="C461" s="30" t="s">
        <v>664</v>
      </c>
      <c r="D461" s="42" t="s">
        <v>239</v>
      </c>
      <c r="E461" s="23" t="s">
        <v>209</v>
      </c>
      <c r="F461" s="18" t="s">
        <v>651</v>
      </c>
      <c r="G461" s="47" t="s">
        <v>666</v>
      </c>
      <c r="H461" s="12">
        <v>-1277000</v>
      </c>
      <c r="I461" s="18">
        <f t="shared" ca="1" si="30"/>
        <v>8</v>
      </c>
      <c r="J461" s="13" t="str">
        <f t="shared" ca="1" si="29"/>
        <v>정상</v>
      </c>
      <c r="K461" s="44"/>
      <c r="L461" s="44"/>
      <c r="M461" s="42"/>
      <c r="N461" s="10" t="s">
        <v>33</v>
      </c>
      <c r="Q461" s="46"/>
      <c r="R461" s="46"/>
    </row>
    <row r="462" spans="2:18" s="18" customFormat="1" ht="16.5" hidden="1" customHeight="1">
      <c r="B462" s="10">
        <f>IF(C462="","",COUNTA($C$2:C462))</f>
        <v>461</v>
      </c>
      <c r="C462" s="30" t="s">
        <v>664</v>
      </c>
      <c r="D462" s="42" t="s">
        <v>239</v>
      </c>
      <c r="E462" s="23" t="s">
        <v>128</v>
      </c>
      <c r="F462" s="18" t="s">
        <v>652</v>
      </c>
      <c r="G462" s="47" t="s">
        <v>666</v>
      </c>
      <c r="H462" s="12">
        <v>2242500</v>
      </c>
      <c r="I462" s="18">
        <f t="shared" ca="1" si="30"/>
        <v>8</v>
      </c>
      <c r="J462" s="13" t="str">
        <f t="shared" ca="1" si="29"/>
        <v>정상</v>
      </c>
      <c r="K462" s="44"/>
      <c r="L462" s="44"/>
      <c r="M462" s="42"/>
      <c r="N462" s="10" t="s">
        <v>33</v>
      </c>
      <c r="Q462" s="46"/>
      <c r="R462" s="46"/>
    </row>
    <row r="463" spans="2:18" s="18" customFormat="1" ht="16.5" hidden="1" customHeight="1">
      <c r="B463" s="10">
        <f>IF(C463="","",COUNTA($C$2:C463))</f>
        <v>462</v>
      </c>
      <c r="C463" s="30" t="s">
        <v>664</v>
      </c>
      <c r="D463" s="42" t="s">
        <v>239</v>
      </c>
      <c r="E463" s="23" t="s">
        <v>461</v>
      </c>
      <c r="F463" s="18" t="s">
        <v>653</v>
      </c>
      <c r="G463" s="47" t="s">
        <v>666</v>
      </c>
      <c r="H463" s="12">
        <v>2107200</v>
      </c>
      <c r="I463" s="18">
        <f t="shared" ca="1" si="30"/>
        <v>8</v>
      </c>
      <c r="J463" s="13" t="str">
        <f t="shared" ca="1" si="29"/>
        <v>정상</v>
      </c>
      <c r="K463" s="44"/>
      <c r="L463" s="44"/>
      <c r="M463" s="42"/>
      <c r="N463" s="10" t="s">
        <v>33</v>
      </c>
      <c r="Q463" s="46"/>
      <c r="R463" s="46"/>
    </row>
    <row r="464" spans="2:18" s="18" customFormat="1" ht="16.5" hidden="1" customHeight="1">
      <c r="B464" s="10">
        <f>IF(C464="","",COUNTA($C$2:C464))</f>
        <v>463</v>
      </c>
      <c r="C464" s="30" t="s">
        <v>664</v>
      </c>
      <c r="D464" s="42" t="s">
        <v>239</v>
      </c>
      <c r="E464" s="23" t="s">
        <v>128</v>
      </c>
      <c r="F464" s="18" t="s">
        <v>654</v>
      </c>
      <c r="G464" s="47" t="s">
        <v>666</v>
      </c>
      <c r="H464" s="12">
        <v>10709900</v>
      </c>
      <c r="I464" s="18">
        <f t="shared" ca="1" si="30"/>
        <v>8</v>
      </c>
      <c r="J464" s="13" t="str">
        <f t="shared" ca="1" si="29"/>
        <v>정상</v>
      </c>
      <c r="K464" s="44"/>
      <c r="L464" s="44"/>
      <c r="M464" s="42"/>
      <c r="N464" s="10" t="s">
        <v>33</v>
      </c>
      <c r="Q464" s="46"/>
      <c r="R464" s="46"/>
    </row>
    <row r="465" spans="2:18" s="18" customFormat="1" ht="16.5" hidden="1" customHeight="1">
      <c r="B465" s="10">
        <f>IF(C465="","",COUNTA($C$2:C465))</f>
        <v>464</v>
      </c>
      <c r="C465" s="30" t="s">
        <v>664</v>
      </c>
      <c r="D465" s="42" t="s">
        <v>239</v>
      </c>
      <c r="E465" s="23" t="s">
        <v>663</v>
      </c>
      <c r="F465" s="18" t="s">
        <v>655</v>
      </c>
      <c r="G465" s="47" t="s">
        <v>666</v>
      </c>
      <c r="H465" s="12">
        <v>8250000</v>
      </c>
      <c r="I465" s="18">
        <f t="shared" ca="1" si="30"/>
        <v>0</v>
      </c>
      <c r="J465" s="13" t="str">
        <f t="shared" ca="1" si="29"/>
        <v>정상</v>
      </c>
      <c r="K465" s="44"/>
      <c r="L465" s="44">
        <v>46132</v>
      </c>
      <c r="M465" s="42"/>
      <c r="N465" s="10" t="s">
        <v>33</v>
      </c>
      <c r="Q465" s="46"/>
      <c r="R465" s="46"/>
    </row>
    <row r="466" spans="2:18" s="18" customFormat="1" ht="16.5" hidden="1" customHeight="1">
      <c r="B466" s="10">
        <f>IF(C466="","",COUNTA($C$2:C466))</f>
        <v>465</v>
      </c>
      <c r="C466" s="30" t="s">
        <v>664</v>
      </c>
      <c r="D466" s="42" t="s">
        <v>239</v>
      </c>
      <c r="E466" s="23" t="s">
        <v>83</v>
      </c>
      <c r="F466" s="18" t="s">
        <v>493</v>
      </c>
      <c r="G466" s="47" t="s">
        <v>666</v>
      </c>
      <c r="H466" s="12">
        <v>7032000</v>
      </c>
      <c r="I466" s="18">
        <f t="shared" ca="1" si="30"/>
        <v>8</v>
      </c>
      <c r="J466" s="13" t="str">
        <f t="shared" ca="1" si="29"/>
        <v>정상</v>
      </c>
      <c r="K466" s="44"/>
      <c r="L466" s="44"/>
      <c r="M466" s="42"/>
      <c r="N466" s="10" t="s">
        <v>33</v>
      </c>
      <c r="Q466" s="46"/>
      <c r="R466" s="46"/>
    </row>
    <row r="467" spans="2:18" s="18" customFormat="1" ht="16.5" hidden="1" customHeight="1">
      <c r="B467" s="10">
        <f>IF(C467="","",COUNTA($C$2:C467))</f>
        <v>466</v>
      </c>
      <c r="C467" s="30" t="s">
        <v>664</v>
      </c>
      <c r="D467" s="42" t="s">
        <v>239</v>
      </c>
      <c r="E467" s="23" t="s">
        <v>110</v>
      </c>
      <c r="F467" s="18" t="s">
        <v>656</v>
      </c>
      <c r="G467" s="47" t="s">
        <v>666</v>
      </c>
      <c r="H467" s="12">
        <v>20070100</v>
      </c>
      <c r="I467" s="18">
        <f t="shared" ca="1" si="30"/>
        <v>8</v>
      </c>
      <c r="J467" s="13" t="str">
        <f t="shared" ca="1" si="29"/>
        <v>정상</v>
      </c>
      <c r="K467" s="44"/>
      <c r="L467" s="44"/>
      <c r="M467" s="42"/>
      <c r="N467" s="10" t="s">
        <v>33</v>
      </c>
      <c r="Q467" s="46"/>
      <c r="R467" s="46"/>
    </row>
    <row r="468" spans="2:18" s="18" customFormat="1" ht="16.5" hidden="1" customHeight="1">
      <c r="B468" s="10">
        <f>IF(C468="","",COUNTA($C$2:C468))</f>
        <v>467</v>
      </c>
      <c r="C468" s="30" t="s">
        <v>664</v>
      </c>
      <c r="D468" s="42" t="s">
        <v>239</v>
      </c>
      <c r="E468" s="23" t="s">
        <v>128</v>
      </c>
      <c r="F468" s="18" t="s">
        <v>553</v>
      </c>
      <c r="G468" s="47" t="s">
        <v>666</v>
      </c>
      <c r="H468" s="12">
        <v>25734800</v>
      </c>
      <c r="I468" s="18">
        <f t="shared" ca="1" si="30"/>
        <v>8</v>
      </c>
      <c r="J468" s="13" t="str">
        <f t="shared" ca="1" si="29"/>
        <v>정상</v>
      </c>
      <c r="K468" s="44"/>
      <c r="L468" s="44"/>
      <c r="M468" s="42"/>
      <c r="N468" s="10" t="s">
        <v>33</v>
      </c>
      <c r="Q468" s="46"/>
      <c r="R468" s="46"/>
    </row>
    <row r="469" spans="2:18" s="18" customFormat="1" ht="16.5" hidden="1" customHeight="1">
      <c r="B469" s="10">
        <f>IF(C469="","",COUNTA($C$2:C469))</f>
        <v>468</v>
      </c>
      <c r="C469" s="30" t="s">
        <v>665</v>
      </c>
      <c r="D469" s="42" t="s">
        <v>239</v>
      </c>
      <c r="E469" s="23" t="s">
        <v>585</v>
      </c>
      <c r="F469" s="18" t="s">
        <v>657</v>
      </c>
      <c r="G469" s="47" t="s">
        <v>666</v>
      </c>
      <c r="H469" s="12">
        <v>15595200</v>
      </c>
      <c r="I469" s="18">
        <f t="shared" ca="1" si="30"/>
        <v>7</v>
      </c>
      <c r="J469" s="13" t="str">
        <f t="shared" ca="1" si="29"/>
        <v>정상</v>
      </c>
      <c r="K469" s="44"/>
      <c r="L469" s="44"/>
      <c r="M469" s="42"/>
      <c r="N469" s="10" t="s">
        <v>33</v>
      </c>
      <c r="Q469" s="46"/>
      <c r="R469" s="46"/>
    </row>
    <row r="470" spans="2:18" s="18" customFormat="1" ht="16.5" hidden="1" customHeight="1">
      <c r="B470" s="10">
        <f>IF(C470="","",COUNTA($C$2:C470))</f>
        <v>469</v>
      </c>
      <c r="C470" s="30" t="s">
        <v>665</v>
      </c>
      <c r="D470" s="42" t="s">
        <v>239</v>
      </c>
      <c r="E470" s="23" t="s">
        <v>126</v>
      </c>
      <c r="F470" s="18" t="s">
        <v>484</v>
      </c>
      <c r="G470" s="47" t="s">
        <v>666</v>
      </c>
      <c r="H470" s="12">
        <v>484000</v>
      </c>
      <c r="I470" s="18">
        <f t="shared" ca="1" si="30"/>
        <v>7</v>
      </c>
      <c r="J470" s="13" t="str">
        <f t="shared" ca="1" si="29"/>
        <v>정상</v>
      </c>
      <c r="K470" s="44"/>
      <c r="L470" s="44"/>
      <c r="M470" s="42"/>
      <c r="N470" s="10" t="s">
        <v>33</v>
      </c>
      <c r="Q470" s="46"/>
      <c r="R470" s="46"/>
    </row>
    <row r="471" spans="2:18" s="18" customFormat="1" ht="16.5" hidden="1" customHeight="1">
      <c r="B471" s="10">
        <f>IF(C471="","",COUNTA($C$2:C471))</f>
        <v>470</v>
      </c>
      <c r="C471" s="30" t="s">
        <v>665</v>
      </c>
      <c r="D471" s="42" t="s">
        <v>239</v>
      </c>
      <c r="E471" s="23" t="s">
        <v>105</v>
      </c>
      <c r="F471" s="18" t="s">
        <v>658</v>
      </c>
      <c r="G471" s="47" t="s">
        <v>666</v>
      </c>
      <c r="H471" s="12">
        <v>972200</v>
      </c>
      <c r="I471" s="18">
        <f t="shared" ca="1" si="30"/>
        <v>7</v>
      </c>
      <c r="J471" s="13" t="str">
        <f t="shared" ca="1" si="29"/>
        <v>정상</v>
      </c>
      <c r="K471" s="44"/>
      <c r="L471" s="44"/>
      <c r="M471" s="42"/>
      <c r="N471" s="10" t="s">
        <v>33</v>
      </c>
      <c r="Q471" s="46"/>
      <c r="R471" s="46"/>
    </row>
    <row r="472" spans="2:18" s="18" customFormat="1" ht="16.5" hidden="1" customHeight="1">
      <c r="B472" s="10">
        <f>IF(C472="","",COUNTA($C$2:C472))</f>
        <v>471</v>
      </c>
      <c r="C472" s="30" t="s">
        <v>665</v>
      </c>
      <c r="D472" s="42" t="s">
        <v>239</v>
      </c>
      <c r="E472" s="23" t="s">
        <v>579</v>
      </c>
      <c r="F472" s="18" t="s">
        <v>659</v>
      </c>
      <c r="G472" s="47" t="s">
        <v>666</v>
      </c>
      <c r="H472" s="12">
        <v>498600</v>
      </c>
      <c r="I472" s="18">
        <f t="shared" ca="1" si="30"/>
        <v>0</v>
      </c>
      <c r="J472" s="13" t="str">
        <f t="shared" ca="1" si="29"/>
        <v>정상</v>
      </c>
      <c r="K472" s="44"/>
      <c r="L472" s="44">
        <v>46133</v>
      </c>
      <c r="M472" s="42"/>
      <c r="N472" s="10" t="s">
        <v>33</v>
      </c>
      <c r="Q472" s="46"/>
      <c r="R472" s="46"/>
    </row>
    <row r="473" spans="2:18" s="18" customFormat="1" ht="16.5" hidden="1" customHeight="1">
      <c r="B473" s="10">
        <f>IF(C473="","",COUNTA($C$2:C473))</f>
        <v>472</v>
      </c>
      <c r="C473" s="30" t="s">
        <v>665</v>
      </c>
      <c r="D473" s="42" t="s">
        <v>239</v>
      </c>
      <c r="E473" s="23" t="s">
        <v>209</v>
      </c>
      <c r="F473" s="18" t="s">
        <v>650</v>
      </c>
      <c r="G473" s="47" t="s">
        <v>666</v>
      </c>
      <c r="H473" s="12">
        <v>18524900</v>
      </c>
      <c r="I473" s="18">
        <f t="shared" ca="1" si="30"/>
        <v>7</v>
      </c>
      <c r="J473" s="13" t="str">
        <f t="shared" ca="1" si="29"/>
        <v>정상</v>
      </c>
      <c r="K473" s="44"/>
      <c r="L473" s="44"/>
      <c r="M473" s="42"/>
      <c r="N473" s="10" t="s">
        <v>33</v>
      </c>
      <c r="Q473" s="46"/>
      <c r="R473" s="46"/>
    </row>
    <row r="474" spans="2:18" s="18" customFormat="1" ht="16.5" hidden="1" customHeight="1">
      <c r="B474" s="10">
        <f>IF(C474="","",COUNTA($C$2:C474))</f>
        <v>473</v>
      </c>
      <c r="C474" s="30" t="s">
        <v>665</v>
      </c>
      <c r="D474" s="42" t="s">
        <v>239</v>
      </c>
      <c r="E474" s="23" t="s">
        <v>207</v>
      </c>
      <c r="F474" s="18" t="s">
        <v>660</v>
      </c>
      <c r="G474" s="47" t="s">
        <v>666</v>
      </c>
      <c r="H474" s="12">
        <v>3547500</v>
      </c>
      <c r="I474" s="18">
        <f t="shared" ca="1" si="30"/>
        <v>7</v>
      </c>
      <c r="J474" s="13" t="str">
        <f t="shared" ca="1" si="29"/>
        <v>정상</v>
      </c>
      <c r="K474" s="44"/>
      <c r="L474" s="44"/>
      <c r="M474" s="42"/>
      <c r="N474" s="10" t="s">
        <v>33</v>
      </c>
      <c r="Q474" s="46"/>
      <c r="R474" s="46"/>
    </row>
    <row r="475" spans="2:18" s="18" customFormat="1" ht="16.5" hidden="1" customHeight="1">
      <c r="B475" s="10">
        <f>IF(C475="","",COUNTA($C$2:C475))</f>
        <v>474</v>
      </c>
      <c r="C475" s="30" t="s">
        <v>665</v>
      </c>
      <c r="D475" s="42" t="s">
        <v>239</v>
      </c>
      <c r="E475" s="23" t="s">
        <v>663</v>
      </c>
      <c r="F475" s="18" t="s">
        <v>661</v>
      </c>
      <c r="G475" s="47" t="s">
        <v>666</v>
      </c>
      <c r="H475" s="12">
        <v>5362500</v>
      </c>
      <c r="I475" s="18">
        <f t="shared" ca="1" si="30"/>
        <v>0</v>
      </c>
      <c r="J475" s="13" t="str">
        <f t="shared" ref="J475:J538" ca="1" si="31">IF(I475="","",
 IF(G475="선급금",
   IF(I475&lt;=20,"정상",IF(I475&lt;=90,"관리","장기미수")),
 IF(G475="자재",
   IF(I475&lt;=40,"정상",IF(I475&lt;=90,"관리","장기미수")),
   IF(I475&lt;=30,"정상",IF(I475&lt;=90,"관리","장기미수"))
  )
 )
)</f>
        <v>정상</v>
      </c>
      <c r="K475" s="44"/>
      <c r="L475" s="44">
        <v>46133</v>
      </c>
      <c r="M475" s="42"/>
      <c r="N475" s="10" t="s">
        <v>33</v>
      </c>
      <c r="Q475" s="46"/>
      <c r="R475" s="46"/>
    </row>
    <row r="476" spans="2:18" s="18" customFormat="1" ht="16.5" hidden="1" customHeight="1">
      <c r="B476" s="10">
        <f>IF(C476="","",COUNTA($C$2:C476))</f>
        <v>475</v>
      </c>
      <c r="C476" s="30" t="s">
        <v>665</v>
      </c>
      <c r="D476" s="42" t="s">
        <v>239</v>
      </c>
      <c r="E476" s="23" t="s">
        <v>221</v>
      </c>
      <c r="F476" s="18" t="s">
        <v>216</v>
      </c>
      <c r="G476" s="47" t="s">
        <v>666</v>
      </c>
      <c r="H476" s="12">
        <v>4472000</v>
      </c>
      <c r="I476" s="18">
        <f t="shared" ca="1" si="30"/>
        <v>7</v>
      </c>
      <c r="J476" s="13" t="str">
        <f t="shared" ca="1" si="31"/>
        <v>정상</v>
      </c>
      <c r="K476" s="44"/>
      <c r="L476" s="44"/>
      <c r="M476" s="42"/>
      <c r="N476" s="10" t="s">
        <v>33</v>
      </c>
      <c r="Q476" s="46"/>
      <c r="R476" s="46"/>
    </row>
    <row r="477" spans="2:18" s="42" customFormat="1" ht="16.5" hidden="1" customHeight="1">
      <c r="B477" s="10">
        <f>IF(C477="","",COUNTA($C$2:C477))</f>
        <v>476</v>
      </c>
      <c r="C477" s="44" t="s">
        <v>643</v>
      </c>
      <c r="D477" s="42" t="s">
        <v>670</v>
      </c>
      <c r="E477" s="43" t="s">
        <v>669</v>
      </c>
      <c r="F477" s="43" t="s">
        <v>667</v>
      </c>
      <c r="G477" s="43" t="s">
        <v>668</v>
      </c>
      <c r="H477" s="49">
        <v>14255200</v>
      </c>
      <c r="I477" s="18">
        <f t="shared" ca="1" si="30"/>
        <v>11</v>
      </c>
      <c r="J477" s="13" t="str">
        <f t="shared" ca="1" si="31"/>
        <v>정상</v>
      </c>
      <c r="K477" s="44"/>
      <c r="L477" s="44"/>
      <c r="N477" s="10" t="s">
        <v>33</v>
      </c>
      <c r="Q477" s="44"/>
      <c r="R477" s="44"/>
    </row>
    <row r="478" spans="2:18" ht="16.5" hidden="1" customHeight="1">
      <c r="B478" s="10">
        <f>IF(C478="","",COUNTA($C$2:C478))</f>
        <v>477</v>
      </c>
      <c r="C478" s="44">
        <v>46132</v>
      </c>
      <c r="D478" s="42" t="s">
        <v>670</v>
      </c>
      <c r="E478" s="50" t="s">
        <v>672</v>
      </c>
      <c r="F478" s="47" t="s">
        <v>671</v>
      </c>
      <c r="G478" s="47" t="s">
        <v>673</v>
      </c>
      <c r="H478" s="4">
        <v>35447600</v>
      </c>
      <c r="I478" s="18">
        <f t="shared" ca="1" si="30"/>
        <v>8</v>
      </c>
      <c r="J478" s="13" t="str">
        <f t="shared" ca="1" si="31"/>
        <v>정상</v>
      </c>
      <c r="N478" s="10" t="s">
        <v>33</v>
      </c>
    </row>
    <row r="479" spans="2:18" ht="16.5" hidden="1" customHeight="1">
      <c r="B479" s="10">
        <f>IF(C479="","",COUNTA($C$2:C479))</f>
        <v>478</v>
      </c>
      <c r="C479" s="30" t="s">
        <v>665</v>
      </c>
      <c r="D479" s="51" t="s">
        <v>680</v>
      </c>
      <c r="E479" s="23" t="s">
        <v>674</v>
      </c>
      <c r="F479" s="23" t="s">
        <v>675</v>
      </c>
      <c r="G479" s="47" t="s">
        <v>679</v>
      </c>
      <c r="H479" s="4">
        <v>900000</v>
      </c>
      <c r="I479" s="18">
        <f t="shared" ca="1" si="30"/>
        <v>0</v>
      </c>
      <c r="J479" s="13" t="str">
        <f t="shared" ca="1" si="31"/>
        <v>정상</v>
      </c>
      <c r="L479" s="44">
        <v>46133</v>
      </c>
      <c r="N479" s="10" t="s">
        <v>33</v>
      </c>
    </row>
    <row r="480" spans="2:18" ht="16.5" hidden="1" customHeight="1">
      <c r="B480" s="10">
        <f>IF(C480="","",COUNTA($C$2:C480))</f>
        <v>479</v>
      </c>
      <c r="C480" s="30" t="s">
        <v>665</v>
      </c>
      <c r="D480" s="51" t="s">
        <v>680</v>
      </c>
      <c r="E480" s="23" t="s">
        <v>463</v>
      </c>
      <c r="F480" s="23" t="s">
        <v>676</v>
      </c>
      <c r="G480" s="47" t="s">
        <v>679</v>
      </c>
      <c r="H480" s="4">
        <v>300800</v>
      </c>
      <c r="I480" s="18">
        <f t="shared" ca="1" si="30"/>
        <v>7</v>
      </c>
      <c r="J480" s="13" t="str">
        <f t="shared" ca="1" si="31"/>
        <v>정상</v>
      </c>
      <c r="N480" s="10" t="s">
        <v>33</v>
      </c>
    </row>
    <row r="481" spans="2:14" ht="16.5" hidden="1" customHeight="1">
      <c r="B481" s="10">
        <f>IF(C481="","",COUNTA($C$2:C481))</f>
        <v>480</v>
      </c>
      <c r="C481" s="30" t="s">
        <v>665</v>
      </c>
      <c r="D481" s="51" t="s">
        <v>680</v>
      </c>
      <c r="E481" s="23" t="s">
        <v>578</v>
      </c>
      <c r="F481" s="23" t="s">
        <v>589</v>
      </c>
      <c r="G481" s="47" t="s">
        <v>679</v>
      </c>
      <c r="H481" s="4">
        <v>4882500</v>
      </c>
      <c r="I481" s="18">
        <f t="shared" ca="1" si="30"/>
        <v>7</v>
      </c>
      <c r="J481" s="13" t="str">
        <f t="shared" ca="1" si="31"/>
        <v>정상</v>
      </c>
      <c r="N481" s="10" t="s">
        <v>33</v>
      </c>
    </row>
    <row r="482" spans="2:14" ht="16.5" hidden="1" customHeight="1">
      <c r="B482" s="10">
        <f>IF(C482="","",COUNTA($C$2:C482))</f>
        <v>481</v>
      </c>
      <c r="C482" s="30" t="s">
        <v>665</v>
      </c>
      <c r="D482" s="51" t="s">
        <v>680</v>
      </c>
      <c r="E482" s="23" t="s">
        <v>463</v>
      </c>
      <c r="F482" s="23" t="s">
        <v>677</v>
      </c>
      <c r="G482" s="47" t="s">
        <v>679</v>
      </c>
      <c r="H482" s="4">
        <v>717500</v>
      </c>
      <c r="I482" s="18">
        <f t="shared" ca="1" si="30"/>
        <v>7</v>
      </c>
      <c r="J482" s="13" t="str">
        <f t="shared" ca="1" si="31"/>
        <v>정상</v>
      </c>
      <c r="N482" s="10" t="s">
        <v>33</v>
      </c>
    </row>
    <row r="483" spans="2:14" ht="16.5" hidden="1" customHeight="1">
      <c r="B483" s="10">
        <f>IF(C483="","",COUNTA($C$2:C483))</f>
        <v>482</v>
      </c>
      <c r="C483" s="30" t="s">
        <v>665</v>
      </c>
      <c r="D483" s="51" t="s">
        <v>680</v>
      </c>
      <c r="E483" s="23" t="s">
        <v>126</v>
      </c>
      <c r="F483" s="23" t="s">
        <v>485</v>
      </c>
      <c r="G483" s="47" t="s">
        <v>679</v>
      </c>
      <c r="H483" s="4">
        <v>1836000</v>
      </c>
      <c r="I483" s="18">
        <f t="shared" ca="1" si="30"/>
        <v>7</v>
      </c>
      <c r="J483" s="13" t="str">
        <f t="shared" ca="1" si="31"/>
        <v>정상</v>
      </c>
      <c r="N483" s="10" t="s">
        <v>33</v>
      </c>
    </row>
    <row r="484" spans="2:14" ht="16.5" hidden="1" customHeight="1">
      <c r="B484" s="10">
        <f>IF(C484="","",COUNTA($C$2:C484))</f>
        <v>483</v>
      </c>
      <c r="C484" s="30" t="s">
        <v>665</v>
      </c>
      <c r="D484" s="51" t="s">
        <v>680</v>
      </c>
      <c r="E484" s="23" t="s">
        <v>39</v>
      </c>
      <c r="F484" s="23" t="s">
        <v>678</v>
      </c>
      <c r="G484" s="47" t="s">
        <v>679</v>
      </c>
      <c r="H484" s="4">
        <v>109200</v>
      </c>
      <c r="I484" s="18">
        <f t="shared" ca="1" si="30"/>
        <v>7</v>
      </c>
      <c r="J484" s="13" t="str">
        <f t="shared" ca="1" si="31"/>
        <v>정상</v>
      </c>
      <c r="N484" s="10" t="s">
        <v>33</v>
      </c>
    </row>
    <row r="485" spans="2:14" ht="16.5" hidden="1" customHeight="1">
      <c r="B485" s="10">
        <f>IF(C485="","",COUNTA($C$2:C485))</f>
        <v>484</v>
      </c>
      <c r="C485" s="30" t="s">
        <v>665</v>
      </c>
      <c r="E485" s="18" t="s">
        <v>682</v>
      </c>
      <c r="F485" s="18" t="s">
        <v>681</v>
      </c>
      <c r="G485" s="18" t="s">
        <v>684</v>
      </c>
      <c r="H485" s="4">
        <v>15432000</v>
      </c>
      <c r="I485" s="18">
        <f t="shared" ca="1" si="30"/>
        <v>7</v>
      </c>
      <c r="J485" s="13" t="str">
        <f t="shared" ca="1" si="31"/>
        <v>정상</v>
      </c>
      <c r="N485" s="10" t="s">
        <v>33</v>
      </c>
    </row>
    <row r="486" spans="2:14" ht="16.5" hidden="1" customHeight="1">
      <c r="B486" s="10">
        <f>IF(C486="","",COUNTA($C$2:C486))</f>
        <v>485</v>
      </c>
      <c r="C486" s="44" t="s">
        <v>665</v>
      </c>
      <c r="D486" s="51" t="s">
        <v>685</v>
      </c>
      <c r="E486" s="50" t="s">
        <v>686</v>
      </c>
      <c r="F486" s="50" t="s">
        <v>687</v>
      </c>
      <c r="G486" s="47" t="s">
        <v>688</v>
      </c>
      <c r="H486" s="4">
        <v>-916000</v>
      </c>
      <c r="I486" s="18">
        <f t="shared" ca="1" si="30"/>
        <v>7</v>
      </c>
      <c r="J486" s="13" t="str">
        <f t="shared" ca="1" si="31"/>
        <v>정상</v>
      </c>
      <c r="N486" s="10" t="s">
        <v>33</v>
      </c>
    </row>
    <row r="487" spans="2:14" ht="16.5" hidden="1" customHeight="1">
      <c r="B487" s="10">
        <f>IF(C487="","",COUNTA($C$2:C487))</f>
        <v>486</v>
      </c>
      <c r="C487" s="30" t="s">
        <v>713</v>
      </c>
      <c r="D487" s="51" t="s">
        <v>716</v>
      </c>
      <c r="E487" s="23" t="s">
        <v>709</v>
      </c>
      <c r="F487" s="23" t="s">
        <v>690</v>
      </c>
      <c r="G487" s="47" t="s">
        <v>715</v>
      </c>
      <c r="H487" s="25">
        <v>76300</v>
      </c>
      <c r="I487" s="18">
        <f t="shared" ca="1" si="30"/>
        <v>6</v>
      </c>
      <c r="J487" s="13" t="str">
        <f t="shared" ca="1" si="31"/>
        <v>정상</v>
      </c>
      <c r="N487" s="10" t="s">
        <v>33</v>
      </c>
    </row>
    <row r="488" spans="2:14" ht="16.5" hidden="1" customHeight="1">
      <c r="B488" s="10">
        <f>IF(C488="","",COUNTA($C$2:C488))</f>
        <v>487</v>
      </c>
      <c r="C488" s="30" t="s">
        <v>713</v>
      </c>
      <c r="D488" s="51" t="s">
        <v>716</v>
      </c>
      <c r="E488" s="23" t="s">
        <v>221</v>
      </c>
      <c r="F488" s="23" t="s">
        <v>216</v>
      </c>
      <c r="G488" s="47" t="s">
        <v>715</v>
      </c>
      <c r="H488" s="25">
        <v>1710000</v>
      </c>
      <c r="I488" s="18">
        <f t="shared" ca="1" si="30"/>
        <v>6</v>
      </c>
      <c r="J488" s="13" t="str">
        <f t="shared" ca="1" si="31"/>
        <v>정상</v>
      </c>
      <c r="N488" s="10" t="s">
        <v>33</v>
      </c>
    </row>
    <row r="489" spans="2:14" ht="16.5" hidden="1" customHeight="1">
      <c r="B489" s="10">
        <f>IF(C489="","",COUNTA($C$2:C489))</f>
        <v>488</v>
      </c>
      <c r="C489" s="30" t="s">
        <v>713</v>
      </c>
      <c r="D489" s="51" t="s">
        <v>716</v>
      </c>
      <c r="E489" s="23" t="s">
        <v>249</v>
      </c>
      <c r="F489" s="23" t="s">
        <v>536</v>
      </c>
      <c r="G489" s="47" t="s">
        <v>715</v>
      </c>
      <c r="H489" s="25">
        <v>1710000</v>
      </c>
      <c r="I489" s="18">
        <f t="shared" ca="1" si="30"/>
        <v>6</v>
      </c>
      <c r="J489" s="13" t="str">
        <f t="shared" ca="1" si="31"/>
        <v>정상</v>
      </c>
      <c r="N489" s="10" t="s">
        <v>33</v>
      </c>
    </row>
    <row r="490" spans="2:14" ht="16.5" hidden="1" customHeight="1">
      <c r="B490" s="10">
        <f>IF(C490="","",COUNTA($C$2:C490))</f>
        <v>489</v>
      </c>
      <c r="C490" s="30" t="s">
        <v>713</v>
      </c>
      <c r="D490" s="51" t="s">
        <v>716</v>
      </c>
      <c r="E490" s="23" t="s">
        <v>128</v>
      </c>
      <c r="F490" s="23" t="s">
        <v>553</v>
      </c>
      <c r="G490" s="47" t="s">
        <v>715</v>
      </c>
      <c r="H490" s="25">
        <v>1555000</v>
      </c>
      <c r="I490" s="18">
        <f t="shared" ca="1" si="30"/>
        <v>6</v>
      </c>
      <c r="J490" s="13" t="str">
        <f t="shared" ca="1" si="31"/>
        <v>정상</v>
      </c>
      <c r="N490" s="10" t="s">
        <v>33</v>
      </c>
    </row>
    <row r="491" spans="2:14" ht="16.5" hidden="1" customHeight="1">
      <c r="B491" s="10">
        <f>IF(C491="","",COUNTA($C$2:C491))</f>
        <v>490</v>
      </c>
      <c r="C491" s="30" t="s">
        <v>713</v>
      </c>
      <c r="D491" s="51" t="s">
        <v>716</v>
      </c>
      <c r="E491" s="23" t="s">
        <v>434</v>
      </c>
      <c r="F491" s="23" t="s">
        <v>489</v>
      </c>
      <c r="G491" s="47" t="s">
        <v>715</v>
      </c>
      <c r="H491" s="25">
        <v>5776000</v>
      </c>
      <c r="I491" s="18">
        <f t="shared" ca="1" si="30"/>
        <v>6</v>
      </c>
      <c r="J491" s="13" t="str">
        <f t="shared" ca="1" si="31"/>
        <v>정상</v>
      </c>
      <c r="N491" s="10" t="s">
        <v>33</v>
      </c>
    </row>
    <row r="492" spans="2:14" ht="16.5" hidden="1" customHeight="1">
      <c r="B492" s="10">
        <f>IF(C492="","",COUNTA($C$2:C492))</f>
        <v>491</v>
      </c>
      <c r="C492" s="30" t="s">
        <v>713</v>
      </c>
      <c r="D492" s="51" t="s">
        <v>716</v>
      </c>
      <c r="E492" s="23" t="s">
        <v>710</v>
      </c>
      <c r="F492" s="23" t="s">
        <v>691</v>
      </c>
      <c r="G492" s="47" t="s">
        <v>715</v>
      </c>
      <c r="H492" s="25">
        <v>612800</v>
      </c>
      <c r="I492" s="18">
        <f t="shared" ca="1" si="30"/>
        <v>6</v>
      </c>
      <c r="J492" s="13" t="str">
        <f t="shared" ca="1" si="31"/>
        <v>정상</v>
      </c>
      <c r="N492" s="10" t="s">
        <v>33</v>
      </c>
    </row>
    <row r="493" spans="2:14" ht="16.5" hidden="1" customHeight="1">
      <c r="B493" s="10">
        <f>IF(C493="","",COUNTA($C$2:C493))</f>
        <v>492</v>
      </c>
      <c r="C493" s="30" t="s">
        <v>713</v>
      </c>
      <c r="D493" s="51" t="s">
        <v>716</v>
      </c>
      <c r="E493" s="23" t="s">
        <v>366</v>
      </c>
      <c r="F493" s="23" t="s">
        <v>480</v>
      </c>
      <c r="G493" s="47" t="s">
        <v>715</v>
      </c>
      <c r="H493" s="25">
        <v>1411400</v>
      </c>
      <c r="I493" s="18">
        <f t="shared" ca="1" si="30"/>
        <v>6</v>
      </c>
      <c r="J493" s="13" t="str">
        <f t="shared" ca="1" si="31"/>
        <v>정상</v>
      </c>
      <c r="N493" s="10" t="s">
        <v>33</v>
      </c>
    </row>
    <row r="494" spans="2:14" ht="16.5" hidden="1" customHeight="1">
      <c r="B494" s="10">
        <f>IF(C494="","",COUNTA($C$2:C494))</f>
        <v>493</v>
      </c>
      <c r="C494" s="30" t="s">
        <v>713</v>
      </c>
      <c r="D494" s="51" t="s">
        <v>716</v>
      </c>
      <c r="E494" s="23" t="s">
        <v>218</v>
      </c>
      <c r="F494" s="23" t="s">
        <v>692</v>
      </c>
      <c r="G494" s="47" t="s">
        <v>715</v>
      </c>
      <c r="H494" s="25">
        <v>1005000</v>
      </c>
      <c r="I494" s="18">
        <f t="shared" ca="1" si="30"/>
        <v>6</v>
      </c>
      <c r="J494" s="13" t="str">
        <f t="shared" ca="1" si="31"/>
        <v>정상</v>
      </c>
      <c r="N494" s="10" t="s">
        <v>33</v>
      </c>
    </row>
    <row r="495" spans="2:14" ht="16.5" hidden="1" customHeight="1">
      <c r="B495" s="10">
        <f>IF(C495="","",COUNTA($C$2:C495))</f>
        <v>494</v>
      </c>
      <c r="C495" s="30" t="s">
        <v>713</v>
      </c>
      <c r="D495" s="51" t="s">
        <v>716</v>
      </c>
      <c r="E495" s="23" t="s">
        <v>126</v>
      </c>
      <c r="F495" s="23" t="s">
        <v>693</v>
      </c>
      <c r="G495" s="47" t="s">
        <v>715</v>
      </c>
      <c r="H495" s="25">
        <v>11000000</v>
      </c>
      <c r="I495" s="18">
        <f t="shared" ca="1" si="30"/>
        <v>6</v>
      </c>
      <c r="J495" s="13" t="str">
        <f t="shared" ca="1" si="31"/>
        <v>정상</v>
      </c>
      <c r="N495" s="10" t="s">
        <v>33</v>
      </c>
    </row>
    <row r="496" spans="2:14" ht="16.5" hidden="1" customHeight="1">
      <c r="B496" s="10">
        <f>IF(C496="","",COUNTA($C$2:C496))</f>
        <v>495</v>
      </c>
      <c r="C496" s="30" t="s">
        <v>713</v>
      </c>
      <c r="D496" s="51" t="s">
        <v>716</v>
      </c>
      <c r="E496" s="23" t="s">
        <v>434</v>
      </c>
      <c r="F496" s="23" t="s">
        <v>492</v>
      </c>
      <c r="G496" s="47" t="s">
        <v>715</v>
      </c>
      <c r="H496" s="25">
        <v>10922300</v>
      </c>
      <c r="I496" s="18">
        <f t="shared" ca="1" si="30"/>
        <v>6</v>
      </c>
      <c r="J496" s="13" t="str">
        <f t="shared" ca="1" si="31"/>
        <v>정상</v>
      </c>
      <c r="N496" s="10" t="s">
        <v>33</v>
      </c>
    </row>
    <row r="497" spans="2:14" ht="16.5" hidden="1" customHeight="1">
      <c r="B497" s="10">
        <f>IF(C497="","",COUNTA($C$2:C497))</f>
        <v>496</v>
      </c>
      <c r="C497" s="30" t="s">
        <v>713</v>
      </c>
      <c r="D497" s="51" t="s">
        <v>716</v>
      </c>
      <c r="E497" s="23" t="s">
        <v>207</v>
      </c>
      <c r="F497" s="23" t="s">
        <v>694</v>
      </c>
      <c r="G497" s="47" t="s">
        <v>715</v>
      </c>
      <c r="H497" s="25">
        <v>6292500</v>
      </c>
      <c r="I497" s="18">
        <f t="shared" ca="1" si="30"/>
        <v>6</v>
      </c>
      <c r="J497" s="13" t="str">
        <f t="shared" ca="1" si="31"/>
        <v>정상</v>
      </c>
      <c r="N497" s="10" t="s">
        <v>33</v>
      </c>
    </row>
    <row r="498" spans="2:14" ht="16.5" hidden="1" customHeight="1">
      <c r="B498" s="10">
        <f>IF(C498="","",COUNTA($C$2:C498))</f>
        <v>497</v>
      </c>
      <c r="C498" s="30" t="s">
        <v>713</v>
      </c>
      <c r="D498" s="51" t="s">
        <v>716</v>
      </c>
      <c r="E498" s="23" t="s">
        <v>221</v>
      </c>
      <c r="F498" s="23" t="s">
        <v>216</v>
      </c>
      <c r="G498" s="47" t="s">
        <v>715</v>
      </c>
      <c r="H498" s="25">
        <v>591200</v>
      </c>
      <c r="I498" s="18">
        <f t="shared" ca="1" si="30"/>
        <v>6</v>
      </c>
      <c r="J498" s="13" t="str">
        <f t="shared" ca="1" si="31"/>
        <v>정상</v>
      </c>
      <c r="N498" s="10" t="s">
        <v>33</v>
      </c>
    </row>
    <row r="499" spans="2:14" ht="16.5" hidden="1" customHeight="1">
      <c r="B499" s="10">
        <f>IF(C499="","",COUNTA($C$2:C499))</f>
        <v>498</v>
      </c>
      <c r="C499" s="30" t="s">
        <v>713</v>
      </c>
      <c r="D499" s="51" t="s">
        <v>716</v>
      </c>
      <c r="E499" s="23" t="s">
        <v>711</v>
      </c>
      <c r="F499" s="23" t="s">
        <v>596</v>
      </c>
      <c r="G499" s="47" t="s">
        <v>715</v>
      </c>
      <c r="H499" s="25">
        <v>2142500</v>
      </c>
      <c r="I499" s="18">
        <f t="shared" ca="1" si="30"/>
        <v>6</v>
      </c>
      <c r="J499" s="13" t="str">
        <f t="shared" ca="1" si="31"/>
        <v>정상</v>
      </c>
      <c r="N499" s="10" t="s">
        <v>33</v>
      </c>
    </row>
    <row r="500" spans="2:14" ht="16.5" hidden="1" customHeight="1">
      <c r="B500" s="10">
        <f>IF(C500="","",COUNTA($C$2:C500))</f>
        <v>499</v>
      </c>
      <c r="C500" s="30" t="s">
        <v>714</v>
      </c>
      <c r="D500" s="51" t="s">
        <v>716</v>
      </c>
      <c r="E500" s="23" t="s">
        <v>83</v>
      </c>
      <c r="F500" s="23" t="s">
        <v>695</v>
      </c>
      <c r="G500" s="47" t="s">
        <v>715</v>
      </c>
      <c r="H500" s="25">
        <v>2561000</v>
      </c>
      <c r="I500" s="18">
        <f t="shared" ca="1" si="30"/>
        <v>5</v>
      </c>
      <c r="J500" s="13" t="str">
        <f t="shared" ca="1" si="31"/>
        <v>정상</v>
      </c>
      <c r="N500" s="10" t="s">
        <v>33</v>
      </c>
    </row>
    <row r="501" spans="2:14" ht="16.5" hidden="1" customHeight="1">
      <c r="B501" s="10">
        <f>IF(C501="","",COUNTA($C$2:C501))</f>
        <v>500</v>
      </c>
      <c r="C501" s="30" t="s">
        <v>714</v>
      </c>
      <c r="D501" s="51" t="s">
        <v>716</v>
      </c>
      <c r="E501" s="23" t="s">
        <v>122</v>
      </c>
      <c r="F501" s="23" t="s">
        <v>696</v>
      </c>
      <c r="G501" s="47" t="s">
        <v>715</v>
      </c>
      <c r="H501" s="25">
        <v>15465500</v>
      </c>
      <c r="I501" s="18">
        <f t="shared" ca="1" si="30"/>
        <v>5</v>
      </c>
      <c r="J501" s="13" t="str">
        <f t="shared" ca="1" si="31"/>
        <v>정상</v>
      </c>
      <c r="N501" s="10" t="s">
        <v>33</v>
      </c>
    </row>
    <row r="502" spans="2:14" ht="16.5" hidden="1" customHeight="1">
      <c r="B502" s="10">
        <f>IF(C502="","",COUNTA($C$2:C502))</f>
        <v>501</v>
      </c>
      <c r="C502" s="30" t="s">
        <v>714</v>
      </c>
      <c r="D502" s="51" t="s">
        <v>716</v>
      </c>
      <c r="E502" s="23" t="s">
        <v>195</v>
      </c>
      <c r="F502" s="23" t="s">
        <v>697</v>
      </c>
      <c r="G502" s="47" t="s">
        <v>715</v>
      </c>
      <c r="H502" s="25">
        <v>7350000</v>
      </c>
      <c r="I502" s="18">
        <f t="shared" ca="1" si="30"/>
        <v>5</v>
      </c>
      <c r="J502" s="13" t="str">
        <f t="shared" ca="1" si="31"/>
        <v>정상</v>
      </c>
      <c r="N502" s="10" t="s">
        <v>33</v>
      </c>
    </row>
    <row r="503" spans="2:14" ht="16.5" hidden="1" customHeight="1">
      <c r="B503" s="10">
        <f>IF(C503="","",COUNTA($C$2:C503))</f>
        <v>502</v>
      </c>
      <c r="C503" s="30" t="s">
        <v>714</v>
      </c>
      <c r="D503" s="51" t="s">
        <v>716</v>
      </c>
      <c r="E503" s="23" t="s">
        <v>17</v>
      </c>
      <c r="F503" s="23" t="s">
        <v>698</v>
      </c>
      <c r="G503" s="47" t="s">
        <v>715</v>
      </c>
      <c r="H503" s="25">
        <v>4767200</v>
      </c>
      <c r="I503" s="18">
        <f t="shared" ca="1" si="30"/>
        <v>5</v>
      </c>
      <c r="J503" s="13" t="str">
        <f t="shared" ca="1" si="31"/>
        <v>정상</v>
      </c>
      <c r="N503" s="10" t="s">
        <v>33</v>
      </c>
    </row>
    <row r="504" spans="2:14" ht="16.5" hidden="1" customHeight="1">
      <c r="B504" s="10">
        <f>IF(C504="","",COUNTA($C$2:C504))</f>
        <v>503</v>
      </c>
      <c r="C504" s="30" t="s">
        <v>714</v>
      </c>
      <c r="D504" s="51" t="s">
        <v>716</v>
      </c>
      <c r="E504" s="23" t="s">
        <v>100</v>
      </c>
      <c r="F504" s="23" t="s">
        <v>699</v>
      </c>
      <c r="G504" s="47" t="s">
        <v>715</v>
      </c>
      <c r="H504" s="25">
        <v>392500</v>
      </c>
      <c r="I504" s="18">
        <f t="shared" ca="1" si="30"/>
        <v>5</v>
      </c>
      <c r="J504" s="13" t="str">
        <f t="shared" ca="1" si="31"/>
        <v>정상</v>
      </c>
      <c r="N504" s="10" t="s">
        <v>33</v>
      </c>
    </row>
    <row r="505" spans="2:14" ht="16.5" hidden="1" customHeight="1">
      <c r="B505" s="10">
        <f>IF(C505="","",COUNTA($C$2:C505))</f>
        <v>504</v>
      </c>
      <c r="C505" s="30" t="s">
        <v>714</v>
      </c>
      <c r="D505" s="51" t="s">
        <v>716</v>
      </c>
      <c r="E505" s="23" t="s">
        <v>712</v>
      </c>
      <c r="F505" s="23" t="s">
        <v>700</v>
      </c>
      <c r="G505" s="47" t="s">
        <v>715</v>
      </c>
      <c r="H505" s="25">
        <v>896000</v>
      </c>
      <c r="I505" s="18">
        <f t="shared" ca="1" si="30"/>
        <v>5</v>
      </c>
      <c r="J505" s="13" t="str">
        <f t="shared" ca="1" si="31"/>
        <v>정상</v>
      </c>
      <c r="N505" s="10" t="s">
        <v>33</v>
      </c>
    </row>
    <row r="506" spans="2:14" ht="16.5" hidden="1" customHeight="1">
      <c r="B506" s="10">
        <f>IF(C506="","",COUNTA($C$2:C506))</f>
        <v>505</v>
      </c>
      <c r="C506" s="30" t="s">
        <v>714</v>
      </c>
      <c r="D506" s="51" t="s">
        <v>716</v>
      </c>
      <c r="E506" s="23" t="s">
        <v>375</v>
      </c>
      <c r="F506" s="23" t="s">
        <v>500</v>
      </c>
      <c r="G506" s="47" t="s">
        <v>715</v>
      </c>
      <c r="H506" s="25">
        <v>6565000</v>
      </c>
      <c r="I506" s="18">
        <f t="shared" ca="1" si="30"/>
        <v>5</v>
      </c>
      <c r="J506" s="13" t="str">
        <f t="shared" ca="1" si="31"/>
        <v>정상</v>
      </c>
      <c r="N506" s="10" t="s">
        <v>33</v>
      </c>
    </row>
    <row r="507" spans="2:14" ht="16.5" hidden="1" customHeight="1">
      <c r="B507" s="10">
        <f>IF(C507="","",COUNTA($C$2:C507))</f>
        <v>506</v>
      </c>
      <c r="C507" s="30" t="s">
        <v>714</v>
      </c>
      <c r="D507" s="51" t="s">
        <v>716</v>
      </c>
      <c r="E507" s="23" t="s">
        <v>126</v>
      </c>
      <c r="F507" s="23" t="s">
        <v>485</v>
      </c>
      <c r="G507" s="47" t="s">
        <v>715</v>
      </c>
      <c r="H507" s="25">
        <v>585000</v>
      </c>
      <c r="I507" s="18">
        <f t="shared" ref="I507:I553" ca="1" si="32">IF(C507="","",IF(L507="",TODAY()-C507,L507-C507))</f>
        <v>5</v>
      </c>
      <c r="J507" s="13" t="str">
        <f t="shared" ca="1" si="31"/>
        <v>정상</v>
      </c>
      <c r="N507" s="10" t="s">
        <v>33</v>
      </c>
    </row>
    <row r="508" spans="2:14" ht="16.5" hidden="1" customHeight="1">
      <c r="B508" s="10">
        <f>IF(C508="","",COUNTA($C$2:C508))</f>
        <v>507</v>
      </c>
      <c r="C508" s="30" t="s">
        <v>714</v>
      </c>
      <c r="D508" s="51" t="s">
        <v>716</v>
      </c>
      <c r="E508" s="23" t="s">
        <v>249</v>
      </c>
      <c r="F508" s="23" t="s">
        <v>428</v>
      </c>
      <c r="G508" s="47" t="s">
        <v>715</v>
      </c>
      <c r="H508" s="25">
        <v>10737500</v>
      </c>
      <c r="I508" s="18">
        <f t="shared" ca="1" si="32"/>
        <v>5</v>
      </c>
      <c r="J508" s="13" t="str">
        <f t="shared" ca="1" si="31"/>
        <v>정상</v>
      </c>
      <c r="N508" s="10" t="s">
        <v>33</v>
      </c>
    </row>
    <row r="509" spans="2:14" ht="16.5" hidden="1" customHeight="1">
      <c r="B509" s="10">
        <f>IF(C509="","",COUNTA($C$2:C509))</f>
        <v>508</v>
      </c>
      <c r="C509" s="30" t="s">
        <v>714</v>
      </c>
      <c r="D509" s="51" t="s">
        <v>716</v>
      </c>
      <c r="E509" s="23" t="s">
        <v>221</v>
      </c>
      <c r="F509" s="23" t="s">
        <v>216</v>
      </c>
      <c r="G509" s="47" t="s">
        <v>715</v>
      </c>
      <c r="H509" s="25">
        <v>16640000</v>
      </c>
      <c r="I509" s="18">
        <f t="shared" ca="1" si="32"/>
        <v>5</v>
      </c>
      <c r="J509" s="13" t="str">
        <f t="shared" ca="1" si="31"/>
        <v>정상</v>
      </c>
      <c r="N509" s="10" t="s">
        <v>33</v>
      </c>
    </row>
    <row r="510" spans="2:14" ht="16.5" hidden="1" customHeight="1">
      <c r="B510" s="10">
        <f>IF(C510="","",COUNTA($C$2:C510))</f>
        <v>509</v>
      </c>
      <c r="C510" s="30" t="s">
        <v>714</v>
      </c>
      <c r="D510" s="51" t="s">
        <v>716</v>
      </c>
      <c r="E510" s="23" t="s">
        <v>98</v>
      </c>
      <c r="F510" s="23" t="s">
        <v>701</v>
      </c>
      <c r="G510" s="47" t="s">
        <v>715</v>
      </c>
      <c r="H510" s="25">
        <v>137300</v>
      </c>
      <c r="I510" s="18">
        <f t="shared" ca="1" si="32"/>
        <v>5</v>
      </c>
      <c r="J510" s="13" t="str">
        <f t="shared" ca="1" si="31"/>
        <v>정상</v>
      </c>
      <c r="N510" s="10" t="s">
        <v>33</v>
      </c>
    </row>
    <row r="511" spans="2:14" ht="16.5" hidden="1" customHeight="1">
      <c r="B511" s="10">
        <f>IF(C511="","",COUNTA($C$2:C511))</f>
        <v>510</v>
      </c>
      <c r="C511" s="30" t="s">
        <v>714</v>
      </c>
      <c r="D511" s="51" t="s">
        <v>716</v>
      </c>
      <c r="E511" s="23" t="s">
        <v>579</v>
      </c>
      <c r="F511" s="23" t="s">
        <v>702</v>
      </c>
      <c r="G511" s="47" t="s">
        <v>715</v>
      </c>
      <c r="H511" s="25">
        <v>1160100</v>
      </c>
      <c r="I511" s="18">
        <f t="shared" ca="1" si="32"/>
        <v>1</v>
      </c>
      <c r="J511" s="13" t="str">
        <f t="shared" ca="1" si="31"/>
        <v>정상</v>
      </c>
      <c r="L511" s="44">
        <v>46136</v>
      </c>
      <c r="N511" s="10" t="s">
        <v>33</v>
      </c>
    </row>
    <row r="512" spans="2:14" ht="16.5" hidden="1" customHeight="1">
      <c r="B512" s="10">
        <f>IF(C512="","",COUNTA($C$2:C512))</f>
        <v>511</v>
      </c>
      <c r="C512" s="30" t="s">
        <v>714</v>
      </c>
      <c r="D512" s="51" t="s">
        <v>716</v>
      </c>
      <c r="E512" s="23" t="s">
        <v>218</v>
      </c>
      <c r="F512" s="23" t="s">
        <v>703</v>
      </c>
      <c r="G512" s="47" t="s">
        <v>715</v>
      </c>
      <c r="H512" s="25">
        <v>500000</v>
      </c>
      <c r="I512" s="18">
        <f t="shared" ca="1" si="32"/>
        <v>5</v>
      </c>
      <c r="J512" s="13" t="str">
        <f t="shared" ca="1" si="31"/>
        <v>정상</v>
      </c>
      <c r="N512" s="10" t="s">
        <v>33</v>
      </c>
    </row>
    <row r="513" spans="2:14" ht="16.5" hidden="1" customHeight="1">
      <c r="B513" s="10">
        <f>IF(C513="","",COUNTA($C$2:C513))</f>
        <v>512</v>
      </c>
      <c r="C513" s="30" t="s">
        <v>714</v>
      </c>
      <c r="D513" s="51" t="s">
        <v>716</v>
      </c>
      <c r="E513" s="23" t="s">
        <v>434</v>
      </c>
      <c r="F513" s="23" t="s">
        <v>704</v>
      </c>
      <c r="G513" s="47" t="s">
        <v>715</v>
      </c>
      <c r="H513" s="25">
        <v>1592000</v>
      </c>
      <c r="I513" s="18">
        <f t="shared" ca="1" si="32"/>
        <v>5</v>
      </c>
      <c r="J513" s="13" t="str">
        <f t="shared" ca="1" si="31"/>
        <v>정상</v>
      </c>
      <c r="N513" s="10" t="s">
        <v>33</v>
      </c>
    </row>
    <row r="514" spans="2:14" ht="16.5" hidden="1" customHeight="1">
      <c r="B514" s="10">
        <f>IF(C514="","",COUNTA($C$2:C514))</f>
        <v>513</v>
      </c>
      <c r="C514" s="30" t="s">
        <v>714</v>
      </c>
      <c r="D514" s="51" t="s">
        <v>716</v>
      </c>
      <c r="E514" s="23" t="s">
        <v>120</v>
      </c>
      <c r="F514" s="23" t="s">
        <v>705</v>
      </c>
      <c r="G514" s="47" t="s">
        <v>715</v>
      </c>
      <c r="H514" s="25">
        <v>7681500</v>
      </c>
      <c r="I514" s="18">
        <f t="shared" ca="1" si="32"/>
        <v>5</v>
      </c>
      <c r="J514" s="13" t="str">
        <f t="shared" ca="1" si="31"/>
        <v>정상</v>
      </c>
      <c r="N514" s="10" t="s">
        <v>33</v>
      </c>
    </row>
    <row r="515" spans="2:14" ht="16.5" hidden="1" customHeight="1">
      <c r="B515" s="10">
        <f>IF(C515="","",COUNTA($C$2:C515))</f>
        <v>514</v>
      </c>
      <c r="C515" s="30" t="s">
        <v>714</v>
      </c>
      <c r="D515" s="51" t="s">
        <v>716</v>
      </c>
      <c r="E515" s="23" t="s">
        <v>39</v>
      </c>
      <c r="F515" s="23" t="s">
        <v>706</v>
      </c>
      <c r="G515" s="47" t="s">
        <v>715</v>
      </c>
      <c r="H515" s="25">
        <v>3597000</v>
      </c>
      <c r="I515" s="18">
        <f t="shared" ca="1" si="32"/>
        <v>5</v>
      </c>
      <c r="J515" s="13" t="str">
        <f t="shared" ca="1" si="31"/>
        <v>정상</v>
      </c>
      <c r="N515" s="10" t="s">
        <v>33</v>
      </c>
    </row>
    <row r="516" spans="2:14" ht="16.5" hidden="1" customHeight="1">
      <c r="B516" s="10">
        <f>IF(C516="","",COUNTA($C$2:C516))</f>
        <v>515</v>
      </c>
      <c r="C516" s="30" t="s">
        <v>714</v>
      </c>
      <c r="D516" s="51" t="s">
        <v>716</v>
      </c>
      <c r="E516" s="23" t="s">
        <v>126</v>
      </c>
      <c r="F516" s="23" t="s">
        <v>707</v>
      </c>
      <c r="G516" s="47" t="s">
        <v>715</v>
      </c>
      <c r="H516" s="25">
        <v>1515000</v>
      </c>
      <c r="I516" s="18">
        <f t="shared" ca="1" si="32"/>
        <v>5</v>
      </c>
      <c r="J516" s="13" t="str">
        <f t="shared" ca="1" si="31"/>
        <v>정상</v>
      </c>
      <c r="N516" s="10" t="s">
        <v>33</v>
      </c>
    </row>
    <row r="517" spans="2:14" ht="16.5" hidden="1" customHeight="1">
      <c r="B517" s="10">
        <f>IF(C517="","",COUNTA($C$2:C517))</f>
        <v>516</v>
      </c>
      <c r="C517" s="30" t="s">
        <v>714</v>
      </c>
      <c r="D517" s="51" t="s">
        <v>716</v>
      </c>
      <c r="E517" s="23" t="s">
        <v>711</v>
      </c>
      <c r="F517" s="23" t="s">
        <v>596</v>
      </c>
      <c r="G517" s="47" t="s">
        <v>715</v>
      </c>
      <c r="H517" s="25">
        <v>2122500</v>
      </c>
      <c r="I517" s="18">
        <f t="shared" ca="1" si="32"/>
        <v>5</v>
      </c>
      <c r="J517" s="13" t="str">
        <f t="shared" ca="1" si="31"/>
        <v>정상</v>
      </c>
      <c r="N517" s="10" t="s">
        <v>33</v>
      </c>
    </row>
    <row r="518" spans="2:14" ht="16.5" hidden="1" customHeight="1">
      <c r="B518" s="10">
        <f>IF(C518="","",COUNTA($C$2:C518))</f>
        <v>517</v>
      </c>
      <c r="C518" s="30" t="s">
        <v>714</v>
      </c>
      <c r="D518" s="51" t="s">
        <v>716</v>
      </c>
      <c r="E518" s="23" t="s">
        <v>662</v>
      </c>
      <c r="F518" s="23" t="s">
        <v>708</v>
      </c>
      <c r="G518" s="47" t="s">
        <v>715</v>
      </c>
      <c r="H518" s="25">
        <v>4190000</v>
      </c>
      <c r="I518" s="18">
        <f t="shared" ca="1" si="32"/>
        <v>5</v>
      </c>
      <c r="J518" s="13" t="str">
        <f t="shared" ca="1" si="31"/>
        <v>정상</v>
      </c>
      <c r="N518" s="10" t="s">
        <v>33</v>
      </c>
    </row>
    <row r="519" spans="2:14" ht="16.5" hidden="1" customHeight="1">
      <c r="B519" s="10">
        <f>IF(C519="","",COUNTA($C$2:C519))</f>
        <v>518</v>
      </c>
      <c r="C519" s="30">
        <v>46134</v>
      </c>
      <c r="D519" s="51" t="s">
        <v>719</v>
      </c>
      <c r="E519" s="48" t="s">
        <v>718</v>
      </c>
      <c r="F519" s="48" t="s">
        <v>717</v>
      </c>
      <c r="G519" s="47" t="s">
        <v>720</v>
      </c>
      <c r="H519" s="4">
        <v>972000</v>
      </c>
      <c r="I519" s="18">
        <f t="shared" ca="1" si="32"/>
        <v>6</v>
      </c>
      <c r="J519" s="13" t="str">
        <f t="shared" ca="1" si="31"/>
        <v>정상</v>
      </c>
      <c r="N519" s="10" t="s">
        <v>33</v>
      </c>
    </row>
    <row r="520" spans="2:14" ht="16.5" hidden="1" customHeight="1">
      <c r="B520" s="10">
        <f>IF(C520="","",COUNTA($C$2:C520))</f>
        <v>519</v>
      </c>
      <c r="C520" s="30">
        <v>46134</v>
      </c>
      <c r="D520" s="51" t="s">
        <v>721</v>
      </c>
      <c r="E520" s="48" t="s">
        <v>724</v>
      </c>
      <c r="F520" s="48" t="s">
        <v>726</v>
      </c>
      <c r="G520" s="47" t="s">
        <v>722</v>
      </c>
      <c r="H520" s="4">
        <v>10730000</v>
      </c>
      <c r="I520" s="18">
        <f t="shared" ca="1" si="32"/>
        <v>6</v>
      </c>
      <c r="J520" s="13" t="str">
        <f t="shared" ca="1" si="31"/>
        <v>정상</v>
      </c>
      <c r="N520" s="10" t="s">
        <v>33</v>
      </c>
    </row>
    <row r="521" spans="2:14" ht="16.5" hidden="1" customHeight="1">
      <c r="B521" s="10">
        <f>IF(C521="","",COUNTA($C$2:C521))</f>
        <v>520</v>
      </c>
      <c r="C521" s="30">
        <v>46134</v>
      </c>
      <c r="D521" s="51" t="s">
        <v>721</v>
      </c>
      <c r="E521" s="48" t="s">
        <v>725</v>
      </c>
      <c r="F521" s="48" t="s">
        <v>727</v>
      </c>
      <c r="G521" s="47" t="s">
        <v>723</v>
      </c>
      <c r="H521" s="4">
        <v>9423400</v>
      </c>
      <c r="I521" s="18">
        <f t="shared" ca="1" si="32"/>
        <v>6</v>
      </c>
      <c r="J521" s="13" t="str">
        <f t="shared" ca="1" si="31"/>
        <v>정상</v>
      </c>
      <c r="N521" s="10" t="s">
        <v>33</v>
      </c>
    </row>
    <row r="522" spans="2:14" ht="16.5" hidden="1" customHeight="1">
      <c r="B522" s="10">
        <f>IF(C522="","",COUNTA($C$2:C522))</f>
        <v>521</v>
      </c>
      <c r="C522" s="30" t="s">
        <v>732</v>
      </c>
      <c r="D522" s="51" t="s">
        <v>743</v>
      </c>
      <c r="E522" s="23" t="s">
        <v>100</v>
      </c>
      <c r="F522" s="18" t="s">
        <v>605</v>
      </c>
      <c r="G522" s="47" t="s">
        <v>742</v>
      </c>
      <c r="H522" s="25">
        <v>50550500</v>
      </c>
      <c r="I522" s="18">
        <f t="shared" ca="1" si="32"/>
        <v>4</v>
      </c>
      <c r="J522" s="13" t="str">
        <f t="shared" ca="1" si="31"/>
        <v>정상</v>
      </c>
      <c r="N522" s="10" t="s">
        <v>33</v>
      </c>
    </row>
    <row r="523" spans="2:14" ht="16.5" hidden="1" customHeight="1">
      <c r="B523" s="10">
        <f>IF(C523="","",COUNTA($C$2:C523))</f>
        <v>522</v>
      </c>
      <c r="C523" s="30" t="s">
        <v>732</v>
      </c>
      <c r="D523" s="51" t="s">
        <v>743</v>
      </c>
      <c r="E523" s="23" t="s">
        <v>729</v>
      </c>
      <c r="F523" s="18" t="s">
        <v>734</v>
      </c>
      <c r="G523" s="47" t="s">
        <v>742</v>
      </c>
      <c r="H523" s="25">
        <v>72000</v>
      </c>
      <c r="I523" s="18">
        <f t="shared" ca="1" si="32"/>
        <v>4</v>
      </c>
      <c r="J523" s="13" t="str">
        <f t="shared" ca="1" si="31"/>
        <v>정상</v>
      </c>
      <c r="N523" s="10" t="s">
        <v>33</v>
      </c>
    </row>
    <row r="524" spans="2:14" ht="16.5" hidden="1" customHeight="1">
      <c r="B524" s="10">
        <f>IF(C524="","",COUNTA($C$2:C524))</f>
        <v>523</v>
      </c>
      <c r="C524" s="30" t="s">
        <v>732</v>
      </c>
      <c r="D524" s="51" t="s">
        <v>743</v>
      </c>
      <c r="E524" s="23" t="s">
        <v>267</v>
      </c>
      <c r="F524" s="18" t="s">
        <v>735</v>
      </c>
      <c r="G524" s="47" t="s">
        <v>742</v>
      </c>
      <c r="H524" s="25">
        <v>207000</v>
      </c>
      <c r="I524" s="18">
        <f t="shared" ca="1" si="32"/>
        <v>4</v>
      </c>
      <c r="J524" s="13" t="str">
        <f t="shared" ca="1" si="31"/>
        <v>정상</v>
      </c>
      <c r="N524" s="10" t="s">
        <v>33</v>
      </c>
    </row>
    <row r="525" spans="2:14" ht="16.5" hidden="1" customHeight="1">
      <c r="B525" s="10">
        <f>IF(C525="","",COUNTA($C$2:C525))</f>
        <v>524</v>
      </c>
      <c r="C525" s="30" t="s">
        <v>732</v>
      </c>
      <c r="D525" s="51" t="s">
        <v>743</v>
      </c>
      <c r="E525" s="23" t="s">
        <v>185</v>
      </c>
      <c r="F525" s="18" t="s">
        <v>736</v>
      </c>
      <c r="G525" s="47" t="s">
        <v>742</v>
      </c>
      <c r="H525" s="25">
        <v>1314100</v>
      </c>
      <c r="I525" s="18">
        <f t="shared" ca="1" si="32"/>
        <v>0</v>
      </c>
      <c r="J525" s="13" t="str">
        <f t="shared" ca="1" si="31"/>
        <v>정상</v>
      </c>
      <c r="L525" s="44">
        <v>46136</v>
      </c>
      <c r="N525" s="10" t="s">
        <v>33</v>
      </c>
    </row>
    <row r="526" spans="2:14" ht="16.5" hidden="1" customHeight="1">
      <c r="B526" s="10">
        <f>IF(C526="","",COUNTA($C$2:C526))</f>
        <v>525</v>
      </c>
      <c r="C526" s="30" t="s">
        <v>732</v>
      </c>
      <c r="D526" s="51" t="s">
        <v>743</v>
      </c>
      <c r="E526" s="23" t="s">
        <v>584</v>
      </c>
      <c r="F526" s="18" t="s">
        <v>501</v>
      </c>
      <c r="G526" s="47" t="s">
        <v>742</v>
      </c>
      <c r="H526" s="25">
        <v>1053500</v>
      </c>
      <c r="I526" s="18">
        <f t="shared" ca="1" si="32"/>
        <v>4</v>
      </c>
      <c r="J526" s="13" t="str">
        <f t="shared" ca="1" si="31"/>
        <v>정상</v>
      </c>
      <c r="N526" s="10" t="s">
        <v>33</v>
      </c>
    </row>
    <row r="527" spans="2:14" ht="16.5" hidden="1" customHeight="1">
      <c r="B527" s="10">
        <f>IF(C527="","",COUNTA($C$2:C527))</f>
        <v>526</v>
      </c>
      <c r="C527" s="30" t="s">
        <v>732</v>
      </c>
      <c r="D527" s="51" t="s">
        <v>743</v>
      </c>
      <c r="E527" s="23" t="s">
        <v>126</v>
      </c>
      <c r="F527" s="18" t="s">
        <v>540</v>
      </c>
      <c r="G527" s="47" t="s">
        <v>742</v>
      </c>
      <c r="H527" s="25">
        <v>1625800</v>
      </c>
      <c r="I527" s="18">
        <f t="shared" ca="1" si="32"/>
        <v>4</v>
      </c>
      <c r="J527" s="13" t="str">
        <f t="shared" ca="1" si="31"/>
        <v>정상</v>
      </c>
      <c r="N527" s="10" t="s">
        <v>33</v>
      </c>
    </row>
    <row r="528" spans="2:14" ht="16.5" hidden="1" customHeight="1">
      <c r="B528" s="10">
        <f>IF(C528="","",COUNTA($C$2:C528))</f>
        <v>527</v>
      </c>
      <c r="C528" s="30" t="s">
        <v>732</v>
      </c>
      <c r="D528" s="51" t="s">
        <v>743</v>
      </c>
      <c r="E528" s="23" t="s">
        <v>730</v>
      </c>
      <c r="F528" s="18" t="s">
        <v>737</v>
      </c>
      <c r="G528" s="47" t="s">
        <v>742</v>
      </c>
      <c r="H528" s="25">
        <v>5198400</v>
      </c>
      <c r="I528" s="18">
        <f t="shared" ca="1" si="32"/>
        <v>3</v>
      </c>
      <c r="J528" s="13" t="str">
        <f t="shared" ca="1" si="31"/>
        <v>정상</v>
      </c>
      <c r="L528" s="44">
        <v>46139</v>
      </c>
      <c r="N528" s="10" t="s">
        <v>33</v>
      </c>
    </row>
    <row r="529" spans="2:14" ht="16.5" hidden="1" customHeight="1">
      <c r="B529" s="10">
        <f>IF(C529="","",COUNTA($C$2:C529))</f>
        <v>528</v>
      </c>
      <c r="C529" s="30" t="s">
        <v>732</v>
      </c>
      <c r="D529" s="51" t="s">
        <v>743</v>
      </c>
      <c r="E529" s="23" t="s">
        <v>731</v>
      </c>
      <c r="F529" s="18" t="s">
        <v>738</v>
      </c>
      <c r="G529" s="47" t="s">
        <v>742</v>
      </c>
      <c r="H529" s="25">
        <v>10059400</v>
      </c>
      <c r="I529" s="18">
        <f t="shared" ca="1" si="32"/>
        <v>4</v>
      </c>
      <c r="J529" s="13" t="str">
        <f t="shared" ca="1" si="31"/>
        <v>정상</v>
      </c>
      <c r="N529" s="10" t="s">
        <v>33</v>
      </c>
    </row>
    <row r="530" spans="2:14" ht="16.5" hidden="1" customHeight="1">
      <c r="B530" s="10">
        <f>IF(C530="","",COUNTA($C$2:C530))</f>
        <v>529</v>
      </c>
      <c r="C530" s="30" t="s">
        <v>732</v>
      </c>
      <c r="D530" s="51" t="s">
        <v>743</v>
      </c>
      <c r="E530" s="23" t="s">
        <v>105</v>
      </c>
      <c r="F530" s="18" t="s">
        <v>658</v>
      </c>
      <c r="G530" s="47" t="s">
        <v>742</v>
      </c>
      <c r="H530" s="25">
        <v>1455500</v>
      </c>
      <c r="I530" s="18">
        <f t="shared" ca="1" si="32"/>
        <v>4</v>
      </c>
      <c r="J530" s="13" t="str">
        <f t="shared" ca="1" si="31"/>
        <v>정상</v>
      </c>
      <c r="N530" s="10" t="s">
        <v>33</v>
      </c>
    </row>
    <row r="531" spans="2:14" ht="16.5" hidden="1" customHeight="1">
      <c r="B531" s="10">
        <f>IF(C531="","",COUNTA($C$2:C531))</f>
        <v>530</v>
      </c>
      <c r="C531" s="30" t="s">
        <v>732</v>
      </c>
      <c r="D531" s="51" t="s">
        <v>743</v>
      </c>
      <c r="E531" s="23" t="s">
        <v>105</v>
      </c>
      <c r="F531" s="18" t="s">
        <v>658</v>
      </c>
      <c r="G531" s="47" t="s">
        <v>742</v>
      </c>
      <c r="H531" s="25">
        <v>503200</v>
      </c>
      <c r="I531" s="18">
        <f t="shared" ca="1" si="32"/>
        <v>4</v>
      </c>
      <c r="J531" s="13" t="str">
        <f t="shared" ca="1" si="31"/>
        <v>정상</v>
      </c>
      <c r="N531" s="10" t="s">
        <v>33</v>
      </c>
    </row>
    <row r="532" spans="2:14" ht="16.5" hidden="1" customHeight="1">
      <c r="B532" s="10">
        <f>IF(C532="","",COUNTA($C$2:C532))</f>
        <v>531</v>
      </c>
      <c r="C532" s="30" t="s">
        <v>733</v>
      </c>
      <c r="D532" s="51" t="s">
        <v>743</v>
      </c>
      <c r="E532" s="23" t="s">
        <v>249</v>
      </c>
      <c r="F532" s="18" t="s">
        <v>536</v>
      </c>
      <c r="G532" s="47" t="s">
        <v>742</v>
      </c>
      <c r="H532" s="25">
        <v>13750000</v>
      </c>
      <c r="I532" s="18">
        <f t="shared" ca="1" si="32"/>
        <v>1</v>
      </c>
      <c r="J532" s="13" t="str">
        <f t="shared" ca="1" si="31"/>
        <v>정상</v>
      </c>
      <c r="N532" s="10" t="s">
        <v>33</v>
      </c>
    </row>
    <row r="533" spans="2:14" ht="16.5" hidden="1" customHeight="1">
      <c r="B533" s="10">
        <f>IF(C533="","",COUNTA($C$2:C533))</f>
        <v>532</v>
      </c>
      <c r="C533" s="30" t="s">
        <v>733</v>
      </c>
      <c r="D533" s="51" t="s">
        <v>743</v>
      </c>
      <c r="E533" s="23" t="s">
        <v>62</v>
      </c>
      <c r="F533" s="18" t="s">
        <v>739</v>
      </c>
      <c r="G533" s="47" t="s">
        <v>742</v>
      </c>
      <c r="H533" s="25">
        <v>2192900</v>
      </c>
      <c r="I533" s="18">
        <f t="shared" ca="1" si="32"/>
        <v>1</v>
      </c>
      <c r="J533" s="13" t="str">
        <f t="shared" ca="1" si="31"/>
        <v>정상</v>
      </c>
      <c r="N533" s="10" t="s">
        <v>33</v>
      </c>
    </row>
    <row r="534" spans="2:14" ht="16.5" hidden="1" customHeight="1">
      <c r="B534" s="10">
        <f>IF(C534="","",COUNTA($C$2:C534))</f>
        <v>533</v>
      </c>
      <c r="C534" s="30" t="s">
        <v>733</v>
      </c>
      <c r="D534" s="51" t="s">
        <v>743</v>
      </c>
      <c r="E534" s="23" t="s">
        <v>366</v>
      </c>
      <c r="F534" s="18" t="s">
        <v>740</v>
      </c>
      <c r="G534" s="47" t="s">
        <v>742</v>
      </c>
      <c r="H534" s="25">
        <v>2507500</v>
      </c>
      <c r="I534" s="18">
        <f t="shared" ca="1" si="32"/>
        <v>1</v>
      </c>
      <c r="J534" s="13" t="str">
        <f t="shared" ca="1" si="31"/>
        <v>정상</v>
      </c>
      <c r="N534" s="10" t="s">
        <v>33</v>
      </c>
    </row>
    <row r="535" spans="2:14" ht="16.5" hidden="1" customHeight="1">
      <c r="B535" s="10">
        <f>IF(C535="","",COUNTA($C$2:C535))</f>
        <v>534</v>
      </c>
      <c r="C535" s="30" t="s">
        <v>733</v>
      </c>
      <c r="D535" s="51" t="s">
        <v>743</v>
      </c>
      <c r="E535" s="23" t="s">
        <v>711</v>
      </c>
      <c r="F535" s="18" t="s">
        <v>741</v>
      </c>
      <c r="G535" s="47" t="s">
        <v>742</v>
      </c>
      <c r="H535" s="25">
        <v>2793000</v>
      </c>
      <c r="I535" s="18">
        <f t="shared" ca="1" si="32"/>
        <v>1</v>
      </c>
      <c r="J535" s="13" t="str">
        <f t="shared" ca="1" si="31"/>
        <v>정상</v>
      </c>
      <c r="N535" s="10" t="s">
        <v>33</v>
      </c>
    </row>
    <row r="536" spans="2:14" ht="16.5" hidden="1" customHeight="1">
      <c r="B536" s="10">
        <f>IF(C536="","",COUNTA($C$2:C536))</f>
        <v>535</v>
      </c>
      <c r="C536" s="30" t="s">
        <v>744</v>
      </c>
      <c r="D536" s="51" t="s">
        <v>639</v>
      </c>
      <c r="E536" s="23" t="s">
        <v>745</v>
      </c>
      <c r="F536" s="23" t="s">
        <v>748</v>
      </c>
      <c r="G536" s="47" t="s">
        <v>177</v>
      </c>
      <c r="H536" s="25">
        <v>232000</v>
      </c>
      <c r="I536" s="18">
        <f t="shared" ca="1" si="32"/>
        <v>0</v>
      </c>
      <c r="J536" s="13" t="str">
        <f t="shared" ca="1" si="31"/>
        <v>정상</v>
      </c>
      <c r="N536" s="10" t="s">
        <v>33</v>
      </c>
    </row>
    <row r="537" spans="2:14" ht="16.5" hidden="1" customHeight="1">
      <c r="B537" s="10">
        <f>IF(C537="","",COUNTA($C$2:C537))</f>
        <v>536</v>
      </c>
      <c r="C537" s="30" t="s">
        <v>744</v>
      </c>
      <c r="D537" s="51" t="s">
        <v>639</v>
      </c>
      <c r="E537" s="23" t="s">
        <v>579</v>
      </c>
      <c r="F537" s="23" t="s">
        <v>749</v>
      </c>
      <c r="G537" s="47" t="s">
        <v>177</v>
      </c>
      <c r="H537" s="25">
        <v>6454000</v>
      </c>
      <c r="I537" s="18">
        <f t="shared" ca="1" si="32"/>
        <v>0</v>
      </c>
      <c r="J537" s="13" t="str">
        <f t="shared" ca="1" si="31"/>
        <v>정상</v>
      </c>
      <c r="N537" s="10" t="s">
        <v>33</v>
      </c>
    </row>
    <row r="538" spans="2:14" ht="16.5" hidden="1" customHeight="1">
      <c r="B538" s="10">
        <f>IF(C538="","",COUNTA($C$2:C538))</f>
        <v>537</v>
      </c>
      <c r="C538" s="30" t="s">
        <v>744</v>
      </c>
      <c r="D538" s="51" t="s">
        <v>639</v>
      </c>
      <c r="E538" s="23" t="s">
        <v>179</v>
      </c>
      <c r="F538" s="23" t="s">
        <v>750</v>
      </c>
      <c r="G538" s="47" t="s">
        <v>177</v>
      </c>
      <c r="H538" s="25">
        <v>13014800</v>
      </c>
      <c r="I538" s="18">
        <f t="shared" ca="1" si="32"/>
        <v>0</v>
      </c>
      <c r="J538" s="13" t="str">
        <f t="shared" ca="1" si="31"/>
        <v>정상</v>
      </c>
      <c r="N538" s="10" t="s">
        <v>33</v>
      </c>
    </row>
    <row r="539" spans="2:14" ht="16.5" hidden="1" customHeight="1">
      <c r="B539" s="10">
        <f>IF(C539="","",COUNTA($C$2:C539))</f>
        <v>538</v>
      </c>
      <c r="C539" s="30" t="s">
        <v>744</v>
      </c>
      <c r="D539" s="51" t="s">
        <v>639</v>
      </c>
      <c r="E539" s="23" t="s">
        <v>395</v>
      </c>
      <c r="F539" s="23" t="s">
        <v>746</v>
      </c>
      <c r="G539" s="47" t="s">
        <v>177</v>
      </c>
      <c r="H539" s="25">
        <v>505600</v>
      </c>
      <c r="I539" s="18">
        <f t="shared" ca="1" si="32"/>
        <v>0</v>
      </c>
      <c r="J539" s="13" t="str">
        <f t="shared" ref="J539:J553" ca="1" si="33">IF(I539="","",
 IF(G539="선급금",
   IF(I539&lt;=20,"정상",IF(I539&lt;=90,"관리","장기미수")),
 IF(G539="자재",
   IF(I539&lt;=40,"정상",IF(I539&lt;=90,"관리","장기미수")),
   IF(I539&lt;=30,"정상",IF(I539&lt;=90,"관리","장기미수"))
  )
 )
)</f>
        <v>정상</v>
      </c>
      <c r="N539" s="10" t="s">
        <v>33</v>
      </c>
    </row>
    <row r="540" spans="2:14" ht="16.5" hidden="1" customHeight="1">
      <c r="B540" s="10">
        <f>IF(C540="","",COUNTA($C$2:C540))</f>
        <v>539</v>
      </c>
      <c r="C540" s="30" t="s">
        <v>744</v>
      </c>
      <c r="D540" s="51" t="s">
        <v>639</v>
      </c>
      <c r="E540" s="23" t="s">
        <v>126</v>
      </c>
      <c r="F540" s="23" t="s">
        <v>747</v>
      </c>
      <c r="G540" s="47" t="s">
        <v>177</v>
      </c>
      <c r="H540" s="25">
        <v>3082000</v>
      </c>
      <c r="I540" s="18">
        <f t="shared" ca="1" si="32"/>
        <v>0</v>
      </c>
      <c r="J540" s="13" t="str">
        <f t="shared" ca="1" si="33"/>
        <v>정상</v>
      </c>
      <c r="N540" s="10" t="s">
        <v>33</v>
      </c>
    </row>
    <row r="541" spans="2:14" ht="16.5" hidden="1" customHeight="1">
      <c r="B541" s="10">
        <f>IF(C541="","",COUNTA($C$2:C541))</f>
        <v>540</v>
      </c>
      <c r="C541" s="30" t="s">
        <v>744</v>
      </c>
      <c r="D541" s="51" t="s">
        <v>639</v>
      </c>
      <c r="E541" s="23" t="s">
        <v>126</v>
      </c>
      <c r="F541" s="23" t="s">
        <v>751</v>
      </c>
      <c r="G541" s="47" t="s">
        <v>177</v>
      </c>
      <c r="H541" s="25">
        <v>4096100</v>
      </c>
      <c r="I541" s="18">
        <f t="shared" ca="1" si="32"/>
        <v>0</v>
      </c>
      <c r="J541" s="13" t="str">
        <f t="shared" ca="1" si="33"/>
        <v>정상</v>
      </c>
      <c r="N541" s="10" t="s">
        <v>33</v>
      </c>
    </row>
    <row r="542" spans="2:14" ht="16.5" hidden="1" customHeight="1">
      <c r="B542" s="10">
        <f>IF(C542="","",COUNTA($C$2:C542))</f>
        <v>541</v>
      </c>
      <c r="C542" s="30" t="s">
        <v>733</v>
      </c>
      <c r="D542" s="51" t="s">
        <v>639</v>
      </c>
      <c r="E542" s="23" t="s">
        <v>126</v>
      </c>
      <c r="F542" s="23" t="s">
        <v>540</v>
      </c>
      <c r="G542" s="47" t="s">
        <v>177</v>
      </c>
      <c r="H542" s="4">
        <v>1627500</v>
      </c>
      <c r="I542" s="18">
        <f t="shared" ca="1" si="32"/>
        <v>1</v>
      </c>
      <c r="J542" s="13" t="str">
        <f t="shared" ca="1" si="33"/>
        <v>정상</v>
      </c>
      <c r="N542" s="10" t="s">
        <v>33</v>
      </c>
    </row>
    <row r="543" spans="2:14" ht="16.5" hidden="1" customHeight="1">
      <c r="B543" s="10">
        <f>IF(C543="","",COUNTA($C$2:C543))</f>
        <v>542</v>
      </c>
      <c r="C543" s="30" t="s">
        <v>733</v>
      </c>
      <c r="D543" s="51" t="s">
        <v>639</v>
      </c>
      <c r="E543" s="23" t="s">
        <v>126</v>
      </c>
      <c r="F543" s="23" t="s">
        <v>753</v>
      </c>
      <c r="G543" s="47" t="s">
        <v>177</v>
      </c>
      <c r="H543" s="4">
        <v>660700</v>
      </c>
      <c r="I543" s="18">
        <f t="shared" ca="1" si="32"/>
        <v>1</v>
      </c>
      <c r="J543" s="13" t="str">
        <f t="shared" ca="1" si="33"/>
        <v>정상</v>
      </c>
      <c r="N543" s="10" t="s">
        <v>33</v>
      </c>
    </row>
    <row r="544" spans="2:14" ht="16.5" hidden="1" customHeight="1">
      <c r="B544" s="10">
        <f>IF(C544="","",COUNTA($C$2:C544))</f>
        <v>543</v>
      </c>
      <c r="C544" s="30" t="s">
        <v>733</v>
      </c>
      <c r="D544" s="51" t="s">
        <v>639</v>
      </c>
      <c r="E544" s="23" t="s">
        <v>105</v>
      </c>
      <c r="F544" s="23" t="s">
        <v>754</v>
      </c>
      <c r="G544" s="47" t="s">
        <v>177</v>
      </c>
      <c r="H544" s="4">
        <v>513200</v>
      </c>
      <c r="I544" s="18">
        <f t="shared" ca="1" si="32"/>
        <v>1</v>
      </c>
      <c r="J544" s="13" t="str">
        <f t="shared" ca="1" si="33"/>
        <v>정상</v>
      </c>
      <c r="N544" s="10" t="s">
        <v>33</v>
      </c>
    </row>
    <row r="545" spans="2:14" ht="16.5" hidden="1" customHeight="1">
      <c r="B545" s="10">
        <f>IF(C545="","",COUNTA($C$2:C545))</f>
        <v>544</v>
      </c>
      <c r="C545" s="30" t="s">
        <v>733</v>
      </c>
      <c r="D545" s="51" t="s">
        <v>639</v>
      </c>
      <c r="E545" s="23" t="s">
        <v>711</v>
      </c>
      <c r="F545" s="23" t="s">
        <v>755</v>
      </c>
      <c r="G545" s="47" t="s">
        <v>177</v>
      </c>
      <c r="H545" s="4">
        <v>12079200</v>
      </c>
      <c r="I545" s="18">
        <f t="shared" ca="1" si="32"/>
        <v>1</v>
      </c>
      <c r="J545" s="13" t="str">
        <f t="shared" ca="1" si="33"/>
        <v>정상</v>
      </c>
      <c r="N545" s="10" t="s">
        <v>33</v>
      </c>
    </row>
    <row r="546" spans="2:14" ht="16.5" hidden="1" customHeight="1">
      <c r="B546" s="10">
        <f>IF(C546="","",COUNTA($C$2:C546))</f>
        <v>545</v>
      </c>
      <c r="C546" s="30" t="s">
        <v>733</v>
      </c>
      <c r="D546" s="51" t="s">
        <v>639</v>
      </c>
      <c r="E546" s="23" t="s">
        <v>580</v>
      </c>
      <c r="F546" s="23" t="s">
        <v>752</v>
      </c>
      <c r="G546" s="47" t="s">
        <v>177</v>
      </c>
      <c r="H546" s="4">
        <v>9625000</v>
      </c>
      <c r="I546" s="18">
        <f t="shared" ca="1" si="32"/>
        <v>1</v>
      </c>
      <c r="J546" s="13" t="str">
        <f t="shared" ca="1" si="33"/>
        <v>정상</v>
      </c>
      <c r="N546" s="10" t="s">
        <v>33</v>
      </c>
    </row>
    <row r="547" spans="2:14" ht="16.5" hidden="1" customHeight="1">
      <c r="B547" s="10">
        <f>IF(C547="","",COUNTA($C$2:C547))</f>
        <v>546</v>
      </c>
      <c r="C547" s="30" t="s">
        <v>733</v>
      </c>
      <c r="D547" s="51" t="s">
        <v>639</v>
      </c>
      <c r="E547" s="23" t="s">
        <v>606</v>
      </c>
      <c r="F547" s="23" t="s">
        <v>756</v>
      </c>
      <c r="G547" s="47" t="s">
        <v>177</v>
      </c>
      <c r="H547" s="4">
        <v>3462000</v>
      </c>
      <c r="I547" s="18">
        <f t="shared" ca="1" si="32"/>
        <v>0</v>
      </c>
      <c r="J547" s="13" t="str">
        <f t="shared" ca="1" si="33"/>
        <v>정상</v>
      </c>
      <c r="L547" s="44">
        <v>46139</v>
      </c>
      <c r="N547" s="10" t="s">
        <v>33</v>
      </c>
    </row>
    <row r="548" spans="2:14" ht="16.5" hidden="1" customHeight="1">
      <c r="B548" s="10">
        <f>IF(C548="","",COUNTA($C$2:C548))</f>
        <v>547</v>
      </c>
      <c r="C548" s="30" t="s">
        <v>733</v>
      </c>
      <c r="D548" s="51" t="s">
        <v>639</v>
      </c>
      <c r="E548" s="23" t="s">
        <v>507</v>
      </c>
      <c r="F548" s="23" t="s">
        <v>757</v>
      </c>
      <c r="G548" s="47" t="s">
        <v>177</v>
      </c>
      <c r="H548" s="4">
        <v>752000</v>
      </c>
      <c r="I548" s="18">
        <f t="shared" ca="1" si="32"/>
        <v>1</v>
      </c>
      <c r="J548" s="13" t="str">
        <f t="shared" ca="1" si="33"/>
        <v>정상</v>
      </c>
      <c r="N548" s="10" t="s">
        <v>33</v>
      </c>
    </row>
    <row r="549" spans="2:14" ht="16.5" hidden="1" customHeight="1">
      <c r="B549" s="10">
        <f>IF(C549="","",COUNTA($C$2:C549))</f>
        <v>548</v>
      </c>
      <c r="C549" s="30" t="s">
        <v>733</v>
      </c>
      <c r="D549" s="51" t="s">
        <v>639</v>
      </c>
      <c r="E549" s="23" t="s">
        <v>62</v>
      </c>
      <c r="F549" s="23" t="s">
        <v>758</v>
      </c>
      <c r="G549" s="47" t="s">
        <v>177</v>
      </c>
      <c r="H549" s="4">
        <v>2920800</v>
      </c>
      <c r="I549" s="18">
        <f t="shared" ca="1" si="32"/>
        <v>1</v>
      </c>
      <c r="J549" s="13" t="str">
        <f t="shared" ca="1" si="33"/>
        <v>정상</v>
      </c>
      <c r="N549" s="10" t="s">
        <v>33</v>
      </c>
    </row>
    <row r="550" spans="2:14" ht="16.5" hidden="1" customHeight="1">
      <c r="B550" s="10">
        <f>IF(C550="","",COUNTA($C$2:C550))</f>
        <v>549</v>
      </c>
      <c r="C550" s="30" t="s">
        <v>733</v>
      </c>
      <c r="D550" s="51" t="s">
        <v>762</v>
      </c>
      <c r="E550" s="48" t="s">
        <v>759</v>
      </c>
      <c r="F550" s="48" t="s">
        <v>760</v>
      </c>
      <c r="G550" s="47" t="s">
        <v>761</v>
      </c>
      <c r="H550" s="4">
        <v>24720000</v>
      </c>
      <c r="I550" s="18">
        <f t="shared" ca="1" si="32"/>
        <v>1</v>
      </c>
      <c r="J550" s="13" t="str">
        <f t="shared" ca="1" si="33"/>
        <v>정상</v>
      </c>
      <c r="N550" s="10" t="s">
        <v>33</v>
      </c>
    </row>
    <row r="551" spans="2:14" ht="16.5" hidden="1" customHeight="1">
      <c r="B551" s="10">
        <f>IF(C551="","",COUNTA($C$2:C551))</f>
        <v>550</v>
      </c>
      <c r="C551" s="30" t="s">
        <v>733</v>
      </c>
      <c r="D551" s="51" t="s">
        <v>762</v>
      </c>
      <c r="E551" s="48" t="s">
        <v>763</v>
      </c>
      <c r="F551" s="48" t="s">
        <v>764</v>
      </c>
      <c r="G551" s="47" t="s">
        <v>765</v>
      </c>
      <c r="H551" s="4">
        <v>46100000</v>
      </c>
      <c r="I551" s="18">
        <f t="shared" ca="1" si="32"/>
        <v>1</v>
      </c>
      <c r="J551" s="13" t="str">
        <f t="shared" ca="1" si="33"/>
        <v>정상</v>
      </c>
      <c r="N551" s="10" t="s">
        <v>33</v>
      </c>
    </row>
    <row r="552" spans="2:14" ht="16.5" hidden="1" customHeight="1">
      <c r="B552" s="10">
        <f>IF(C552="","",COUNTA($C$2:C552))</f>
        <v>551</v>
      </c>
      <c r="C552" s="30" t="s">
        <v>733</v>
      </c>
      <c r="D552" s="51" t="s">
        <v>762</v>
      </c>
      <c r="E552" s="48" t="s">
        <v>766</v>
      </c>
      <c r="F552" s="48" t="s">
        <v>767</v>
      </c>
      <c r="G552" s="47" t="s">
        <v>769</v>
      </c>
      <c r="H552" s="4">
        <v>3530000</v>
      </c>
      <c r="I552" s="18">
        <f t="shared" ca="1" si="32"/>
        <v>1</v>
      </c>
      <c r="J552" s="13" t="str">
        <f t="shared" ca="1" si="33"/>
        <v>정상</v>
      </c>
      <c r="N552" s="10" t="s">
        <v>33</v>
      </c>
    </row>
    <row r="553" spans="2:14" ht="16.5" hidden="1" customHeight="1">
      <c r="B553" s="10">
        <f>IF(C553="","",COUNTA($C$2:C553))</f>
        <v>552</v>
      </c>
      <c r="C553" s="30" t="s">
        <v>733</v>
      </c>
      <c r="D553" s="51" t="s">
        <v>762</v>
      </c>
      <c r="E553" s="48" t="s">
        <v>766</v>
      </c>
      <c r="F553" s="48" t="s">
        <v>768</v>
      </c>
      <c r="G553" s="47" t="s">
        <v>769</v>
      </c>
      <c r="H553" s="4">
        <v>10550000</v>
      </c>
      <c r="I553" s="18">
        <f t="shared" ca="1" si="32"/>
        <v>1</v>
      </c>
      <c r="J553" s="13" t="str">
        <f t="shared" ca="1" si="33"/>
        <v>정상</v>
      </c>
      <c r="N553" s="10" t="s">
        <v>33</v>
      </c>
    </row>
    <row r="554" spans="2:14" ht="16.5" hidden="1" customHeight="1">
      <c r="B554" s="10" t="str">
        <f>IF(C554="","",COUNTA($C$2:C554))</f>
        <v/>
      </c>
    </row>
  </sheetData>
  <autoFilter ref="A1:S554">
    <filterColumn colId="4">
      <filters>
        <filter val="로토텍다이아몬드(주)"/>
      </filters>
    </filterColumn>
  </autoFilter>
  <phoneticPr fontId="5" type="noConversion"/>
  <conditionalFormatting sqref="E3 F57:F60 E37">
    <cfRule type="expression" dxfId="126" priority="157">
      <formula>$J3="잔금"</formula>
    </cfRule>
  </conditionalFormatting>
  <conditionalFormatting sqref="E8">
    <cfRule type="expression" dxfId="125" priority="156">
      <formula>$J8="잔금"</formula>
    </cfRule>
  </conditionalFormatting>
  <conditionalFormatting sqref="E4">
    <cfRule type="expression" dxfId="124" priority="155">
      <formula>$J4="잔금"</formula>
    </cfRule>
  </conditionalFormatting>
  <conditionalFormatting sqref="E9">
    <cfRule type="expression" dxfId="123" priority="154">
      <formula>$J9="잔금"</formula>
    </cfRule>
  </conditionalFormatting>
  <conditionalFormatting sqref="E41">
    <cfRule type="expression" dxfId="122" priority="149">
      <formula>$J41="잔금"</formula>
    </cfRule>
  </conditionalFormatting>
  <conditionalFormatting sqref="E98:E99 E186:F192 H186:H192 F113 C186:C192">
    <cfRule type="expression" dxfId="121" priority="139">
      <formula>$J98="잔금"</formula>
    </cfRule>
  </conditionalFormatting>
  <conditionalFormatting sqref="F98:F99">
    <cfRule type="expression" dxfId="120" priority="138">
      <formula>$J98="잔금"</formula>
    </cfRule>
  </conditionalFormatting>
  <conditionalFormatting sqref="F104:F105">
    <cfRule type="expression" dxfId="119" priority="136">
      <formula>$J104="잔금"</formula>
    </cfRule>
  </conditionalFormatting>
  <conditionalFormatting sqref="H104:H105">
    <cfRule type="expression" dxfId="118" priority="135">
      <formula>$J104="잔금"</formula>
    </cfRule>
  </conditionalFormatting>
  <conditionalFormatting sqref="E106:E108">
    <cfRule type="expression" dxfId="117" priority="134">
      <formula>$J106="잔금"</formula>
    </cfRule>
  </conditionalFormatting>
  <conditionalFormatting sqref="F106:F108">
    <cfRule type="expression" dxfId="116" priority="133">
      <formula>$J106="잔금"</formula>
    </cfRule>
  </conditionalFormatting>
  <conditionalFormatting sqref="H106:H108">
    <cfRule type="expression" dxfId="115" priority="132">
      <formula>$J106="잔금"</formula>
    </cfRule>
  </conditionalFormatting>
  <conditionalFormatting sqref="E110">
    <cfRule type="expression" dxfId="114" priority="131">
      <formula>$J110="잔금"</formula>
    </cfRule>
  </conditionalFormatting>
  <conditionalFormatting sqref="F110">
    <cfRule type="expression" dxfId="113" priority="130">
      <formula>$J110="잔금"</formula>
    </cfRule>
  </conditionalFormatting>
  <conditionalFormatting sqref="E111:E113">
    <cfRule type="expression" dxfId="112" priority="129">
      <formula>$J111="잔금"</formula>
    </cfRule>
  </conditionalFormatting>
  <conditionalFormatting sqref="F111">
    <cfRule type="expression" dxfId="111" priority="128">
      <formula>$J111="잔금"</formula>
    </cfRule>
  </conditionalFormatting>
  <conditionalFormatting sqref="F112">
    <cfRule type="expression" dxfId="110" priority="127">
      <formula>$J112="잔금"</formula>
    </cfRule>
  </conditionalFormatting>
  <conditionalFormatting sqref="H111:H113">
    <cfRule type="expression" dxfId="109" priority="126">
      <formula>$J111="잔금"</formula>
    </cfRule>
  </conditionalFormatting>
  <conditionalFormatting sqref="C111:C113">
    <cfRule type="expression" dxfId="108" priority="125">
      <formula>$J111="잔금"</formula>
    </cfRule>
  </conditionalFormatting>
  <conditionalFormatting sqref="E117">
    <cfRule type="expression" dxfId="107" priority="124">
      <formula>$J117="잔금"</formula>
    </cfRule>
  </conditionalFormatting>
  <conditionalFormatting sqref="F117">
    <cfRule type="expression" dxfId="106" priority="123">
      <formula>$J117="잔금"</formula>
    </cfRule>
  </conditionalFormatting>
  <conditionalFormatting sqref="F142:F149">
    <cfRule type="expression" dxfId="105" priority="122">
      <formula>$J142="잔금"</formula>
    </cfRule>
  </conditionalFormatting>
  <conditionalFormatting sqref="E142:E149">
    <cfRule type="expression" dxfId="104" priority="121">
      <formula>$J142="잔금"</formula>
    </cfRule>
  </conditionalFormatting>
  <conditionalFormatting sqref="H142:H149">
    <cfRule type="expression" dxfId="103" priority="120">
      <formula>$J142="잔금"</formula>
    </cfRule>
  </conditionalFormatting>
  <conditionalFormatting sqref="E151:E157">
    <cfRule type="expression" dxfId="102" priority="118">
      <formula>$J151="잔금"</formula>
    </cfRule>
  </conditionalFormatting>
  <conditionalFormatting sqref="F151:F157">
    <cfRule type="expression" dxfId="101" priority="117">
      <formula>$J151="잔금"</formula>
    </cfRule>
  </conditionalFormatting>
  <conditionalFormatting sqref="C151:C157">
    <cfRule type="expression" dxfId="100" priority="116">
      <formula>$J151="잔금"</formula>
    </cfRule>
  </conditionalFormatting>
  <conditionalFormatting sqref="H151:H157">
    <cfRule type="expression" dxfId="99" priority="115">
      <formula>$J151="잔금"</formula>
    </cfRule>
  </conditionalFormatting>
  <conditionalFormatting sqref="C158">
    <cfRule type="expression" dxfId="98" priority="114">
      <formula>$I158="잔금"</formula>
    </cfRule>
  </conditionalFormatting>
  <conditionalFormatting sqref="F159:F162">
    <cfRule type="expression" dxfId="97" priority="113">
      <formula>$J159="잔금"</formula>
    </cfRule>
  </conditionalFormatting>
  <conditionalFormatting sqref="E159:E162">
    <cfRule type="expression" dxfId="96" priority="112">
      <formula>$J159="잔금"</formula>
    </cfRule>
  </conditionalFormatting>
  <conditionalFormatting sqref="C159:C165">
    <cfRule type="expression" dxfId="95" priority="111">
      <formula>$J159="잔금"</formula>
    </cfRule>
  </conditionalFormatting>
  <conditionalFormatting sqref="H159:H162">
    <cfRule type="expression" dxfId="94" priority="110">
      <formula>$J159="잔금"</formula>
    </cfRule>
  </conditionalFormatting>
  <conditionalFormatting sqref="F166:F178">
    <cfRule type="expression" dxfId="93" priority="109">
      <formula>$J166="잔금"</formula>
    </cfRule>
  </conditionalFormatting>
  <conditionalFormatting sqref="F179:F185">
    <cfRule type="expression" dxfId="92" priority="108">
      <formula>$J179="잔금"</formula>
    </cfRule>
  </conditionalFormatting>
  <conditionalFormatting sqref="E166:E178">
    <cfRule type="expression" dxfId="91" priority="107">
      <formula>$J166="잔금"</formula>
    </cfRule>
  </conditionalFormatting>
  <conditionalFormatting sqref="E179:E185">
    <cfRule type="expression" dxfId="90" priority="106">
      <formula>$J179="잔금"</formula>
    </cfRule>
  </conditionalFormatting>
  <conditionalFormatting sqref="C179:C185">
    <cfRule type="expression" dxfId="89" priority="104">
      <formula>$J179="잔금"</formula>
    </cfRule>
  </conditionalFormatting>
  <conditionalFormatting sqref="H166:H178">
    <cfRule type="expression" dxfId="88" priority="103">
      <formula>$J166="잔금"</formula>
    </cfRule>
  </conditionalFormatting>
  <conditionalFormatting sqref="H179:H185">
    <cfRule type="expression" dxfId="87" priority="102">
      <formula>$J179="잔금"</formula>
    </cfRule>
  </conditionalFormatting>
  <conditionalFormatting sqref="F194:F200">
    <cfRule type="expression" dxfId="86" priority="97">
      <formula>$J194="잔금"</formula>
    </cfRule>
  </conditionalFormatting>
  <conditionalFormatting sqref="E194:E200">
    <cfRule type="expression" dxfId="85" priority="96">
      <formula>$J194="잔금"</formula>
    </cfRule>
  </conditionalFormatting>
  <conditionalFormatting sqref="C194:C201">
    <cfRule type="expression" dxfId="84" priority="95">
      <formula>$J194="잔금"</formula>
    </cfRule>
  </conditionalFormatting>
  <conditionalFormatting sqref="H194:H200">
    <cfRule type="expression" dxfId="83" priority="94">
      <formula>$J194="잔금"</formula>
    </cfRule>
  </conditionalFormatting>
  <conditionalFormatting sqref="C202:C215">
    <cfRule type="expression" dxfId="82" priority="93">
      <formula>$J202="잔금"</formula>
    </cfRule>
  </conditionalFormatting>
  <conditionalFormatting sqref="F202:F215">
    <cfRule type="expression" dxfId="81" priority="92">
      <formula>$J202="잔금"</formula>
    </cfRule>
  </conditionalFormatting>
  <conditionalFormatting sqref="H202:H215">
    <cfRule type="expression" dxfId="80" priority="91">
      <formula>$J202="잔금"</formula>
    </cfRule>
  </conditionalFormatting>
  <conditionalFormatting sqref="E202:E216">
    <cfRule type="expression" dxfId="79" priority="90">
      <formula>$J202="잔금"</formula>
    </cfRule>
  </conditionalFormatting>
  <conditionalFormatting sqref="C216">
    <cfRule type="expression" dxfId="78" priority="89">
      <formula>$I216="잔금"</formula>
    </cfRule>
  </conditionalFormatting>
  <conditionalFormatting sqref="H216">
    <cfRule type="expression" dxfId="77" priority="84">
      <formula>$I216="잔금"</formula>
    </cfRule>
  </conditionalFormatting>
  <conditionalFormatting sqref="C217">
    <cfRule type="expression" dxfId="76" priority="83">
      <formula>$I217="잔금"</formula>
    </cfRule>
  </conditionalFormatting>
  <conditionalFormatting sqref="C218">
    <cfRule type="expression" dxfId="75" priority="82">
      <formula>$I218="잔금"</formula>
    </cfRule>
  </conditionalFormatting>
  <conditionalFormatting sqref="C219">
    <cfRule type="expression" dxfId="74" priority="81">
      <formula>$I219="잔금"</formula>
    </cfRule>
  </conditionalFormatting>
  <conditionalFormatting sqref="F220:F229">
    <cfRule type="expression" dxfId="73" priority="80">
      <formula>$J220="잔금"</formula>
    </cfRule>
  </conditionalFormatting>
  <conditionalFormatting sqref="F230:F243">
    <cfRule type="expression" dxfId="72" priority="79">
      <formula>$J230="잔금"</formula>
    </cfRule>
  </conditionalFormatting>
  <conditionalFormatting sqref="E220:E229">
    <cfRule type="expression" dxfId="71" priority="78">
      <formula>$J220="잔금"</formula>
    </cfRule>
  </conditionalFormatting>
  <conditionalFormatting sqref="E230:E243">
    <cfRule type="expression" dxfId="70" priority="77">
      <formula>$J230="잔금"</formula>
    </cfRule>
  </conditionalFormatting>
  <conditionalFormatting sqref="H220:H229">
    <cfRule type="expression" dxfId="69" priority="76">
      <formula>$J220="잔금"</formula>
    </cfRule>
  </conditionalFormatting>
  <conditionalFormatting sqref="H230:H243">
    <cfRule type="expression" dxfId="68" priority="75">
      <formula>$J230="잔금"</formula>
    </cfRule>
  </conditionalFormatting>
  <conditionalFormatting sqref="C245">
    <cfRule type="expression" dxfId="67" priority="74">
      <formula>$I245="잔금"</formula>
    </cfRule>
  </conditionalFormatting>
  <conditionalFormatting sqref="C246">
    <cfRule type="expression" dxfId="66" priority="73">
      <formula>$I246="잔금"</formula>
    </cfRule>
  </conditionalFormatting>
  <conditionalFormatting sqref="C247">
    <cfRule type="expression" dxfId="65" priority="72">
      <formula>$I247="잔금"</formula>
    </cfRule>
  </conditionalFormatting>
  <conditionalFormatting sqref="F248:F252">
    <cfRule type="expression" dxfId="64" priority="71">
      <formula>$J248="잔금"</formula>
    </cfRule>
  </conditionalFormatting>
  <conditionalFormatting sqref="E248:E252">
    <cfRule type="expression" dxfId="63" priority="70">
      <formula>$J248="잔금"</formula>
    </cfRule>
  </conditionalFormatting>
  <conditionalFormatting sqref="C248:C252">
    <cfRule type="expression" dxfId="62" priority="69">
      <formula>$J248="잔금"</formula>
    </cfRule>
  </conditionalFormatting>
  <conditionalFormatting sqref="H248:H252">
    <cfRule type="expression" dxfId="61" priority="68">
      <formula>$J248="잔금"</formula>
    </cfRule>
  </conditionalFormatting>
  <conditionalFormatting sqref="C253:C256">
    <cfRule type="expression" dxfId="60" priority="67">
      <formula>$I253="잔금"</formula>
    </cfRule>
  </conditionalFormatting>
  <conditionalFormatting sqref="F257:F266">
    <cfRule type="expression" dxfId="59" priority="66">
      <formula>$J257="잔금"</formula>
    </cfRule>
  </conditionalFormatting>
  <conditionalFormatting sqref="F267:F275">
    <cfRule type="expression" dxfId="58" priority="65">
      <formula>$J267="잔금"</formula>
    </cfRule>
  </conditionalFormatting>
  <conditionalFormatting sqref="C115">
    <cfRule type="expression" dxfId="57" priority="59">
      <formula>$J115="잔금"</formula>
    </cfRule>
  </conditionalFormatting>
  <conditionalFormatting sqref="C114">
    <cfRule type="expression" dxfId="56" priority="60">
      <formula>$J114="잔금"</formula>
    </cfRule>
  </conditionalFormatting>
  <conditionalFormatting sqref="C166">
    <cfRule type="expression" dxfId="55" priority="58">
      <formula>$J166="잔금"</formula>
    </cfRule>
  </conditionalFormatting>
  <conditionalFormatting sqref="C167">
    <cfRule type="expression" dxfId="54" priority="57">
      <formula>$J167="잔금"</formula>
    </cfRule>
  </conditionalFormatting>
  <conditionalFormatting sqref="C168">
    <cfRule type="expression" dxfId="53" priority="56">
      <formula>$J168="잔금"</formula>
    </cfRule>
  </conditionalFormatting>
  <conditionalFormatting sqref="C169">
    <cfRule type="expression" dxfId="52" priority="55">
      <formula>$J169="잔금"</formula>
    </cfRule>
  </conditionalFormatting>
  <conditionalFormatting sqref="C170">
    <cfRule type="expression" dxfId="51" priority="54">
      <formula>$J170="잔금"</formula>
    </cfRule>
  </conditionalFormatting>
  <conditionalFormatting sqref="C171">
    <cfRule type="expression" dxfId="50" priority="53">
      <formula>$J171="잔금"</formula>
    </cfRule>
  </conditionalFormatting>
  <conditionalFormatting sqref="C172">
    <cfRule type="expression" dxfId="49" priority="52">
      <formula>$J172="잔금"</formula>
    </cfRule>
  </conditionalFormatting>
  <conditionalFormatting sqref="C173">
    <cfRule type="expression" dxfId="48" priority="51">
      <formula>$J173="잔금"</formula>
    </cfRule>
  </conditionalFormatting>
  <conditionalFormatting sqref="C174">
    <cfRule type="expression" dxfId="47" priority="49">
      <formula>$J174="잔금"</formula>
    </cfRule>
  </conditionalFormatting>
  <conditionalFormatting sqref="C175">
    <cfRule type="expression" dxfId="46" priority="48">
      <formula>$J175="잔금"</formula>
    </cfRule>
  </conditionalFormatting>
  <conditionalFormatting sqref="C176">
    <cfRule type="expression" dxfId="45" priority="47">
      <formula>$J176="잔금"</formula>
    </cfRule>
  </conditionalFormatting>
  <conditionalFormatting sqref="C177">
    <cfRule type="expression" dxfId="44" priority="46">
      <formula>$J177="잔금"</formula>
    </cfRule>
  </conditionalFormatting>
  <conditionalFormatting sqref="C178">
    <cfRule type="expression" dxfId="43" priority="45">
      <formula>$J178="잔금"</formula>
    </cfRule>
  </conditionalFormatting>
  <conditionalFormatting sqref="H308:H309">
    <cfRule type="expression" dxfId="42" priority="39">
      <formula>$J308="잔금"</formula>
    </cfRule>
  </conditionalFormatting>
  <conditionalFormatting sqref="F289:F302">
    <cfRule type="expression" dxfId="41" priority="44">
      <formula>$J289="잔금"</formula>
    </cfRule>
  </conditionalFormatting>
  <conditionalFormatting sqref="F303:F307">
    <cfRule type="expression" dxfId="40" priority="43">
      <formula>$J303="잔금"</formula>
    </cfRule>
  </conditionalFormatting>
  <conditionalFormatting sqref="F308:F309">
    <cfRule type="expression" dxfId="39" priority="42">
      <formula>$J308="잔금"</formula>
    </cfRule>
  </conditionalFormatting>
  <conditionalFormatting sqref="H289:H302">
    <cfRule type="expression" dxfId="38" priority="41">
      <formula>$J289="잔금"</formula>
    </cfRule>
  </conditionalFormatting>
  <conditionalFormatting sqref="H303:H307">
    <cfRule type="expression" dxfId="37" priority="40">
      <formula>$J303="잔금"</formula>
    </cfRule>
  </conditionalFormatting>
  <conditionalFormatting sqref="H312:H353">
    <cfRule type="expression" dxfId="36" priority="38">
      <formula>$J312="잔금"</formula>
    </cfRule>
  </conditionalFormatting>
  <conditionalFormatting sqref="C402:C420">
    <cfRule type="expression" dxfId="35" priority="37">
      <formula>$J402="잔금"</formula>
    </cfRule>
  </conditionalFormatting>
  <conditionalFormatting sqref="F439">
    <cfRule type="expression" dxfId="34" priority="35">
      <formula>$J439="잔금"</formula>
    </cfRule>
  </conditionalFormatting>
  <conditionalFormatting sqref="F440:F447">
    <cfRule type="expression" dxfId="33" priority="34">
      <formula>$J440="잔금"</formula>
    </cfRule>
  </conditionalFormatting>
  <conditionalFormatting sqref="F448:F452">
    <cfRule type="expression" dxfId="32" priority="33">
      <formula>$J448="잔금"</formula>
    </cfRule>
  </conditionalFormatting>
  <conditionalFormatting sqref="E439">
    <cfRule type="expression" dxfId="31" priority="32">
      <formula>$J439="잔금"</formula>
    </cfRule>
  </conditionalFormatting>
  <conditionalFormatting sqref="E440:E447">
    <cfRule type="expression" dxfId="30" priority="31">
      <formula>$J440="잔금"</formula>
    </cfRule>
  </conditionalFormatting>
  <conditionalFormatting sqref="E448:E452">
    <cfRule type="expression" dxfId="29" priority="30">
      <formula>$J448="잔금"</formula>
    </cfRule>
  </conditionalFormatting>
  <conditionalFormatting sqref="C440:C447">
    <cfRule type="expression" dxfId="28" priority="29">
      <formula>$J440="잔금"</formula>
    </cfRule>
  </conditionalFormatting>
  <conditionalFormatting sqref="C448:C453">
    <cfRule type="expression" dxfId="27" priority="28">
      <formula>$J448="잔금"</formula>
    </cfRule>
  </conditionalFormatting>
  <conditionalFormatting sqref="E454:E476 E478">
    <cfRule type="expression" dxfId="26" priority="27">
      <formula>$J454="잔금"</formula>
    </cfRule>
  </conditionalFormatting>
  <conditionalFormatting sqref="C454:C476">
    <cfRule type="expression" dxfId="25" priority="26">
      <formula>$J454="잔금"</formula>
    </cfRule>
  </conditionalFormatting>
  <conditionalFormatting sqref="E479:E484 E486">
    <cfRule type="expression" dxfId="24" priority="25">
      <formula>$J479="잔금"</formula>
    </cfRule>
  </conditionalFormatting>
  <conditionalFormatting sqref="F479:F484 F486">
    <cfRule type="expression" dxfId="23" priority="24">
      <formula>$J479="잔금"</formula>
    </cfRule>
  </conditionalFormatting>
  <conditionalFormatting sqref="C479:C484">
    <cfRule type="expression" dxfId="22" priority="23">
      <formula>$J479="잔금"</formula>
    </cfRule>
  </conditionalFormatting>
  <conditionalFormatting sqref="C485">
    <cfRule type="expression" dxfId="21" priority="22">
      <formula>$J485="잔금"</formula>
    </cfRule>
  </conditionalFormatting>
  <conditionalFormatting sqref="F487:F521">
    <cfRule type="expression" dxfId="20" priority="21">
      <formula>$J487="잔금"</formula>
    </cfRule>
  </conditionalFormatting>
  <conditionalFormatting sqref="E487:E521">
    <cfRule type="expression" dxfId="19" priority="20">
      <formula>$J487="잔금"</formula>
    </cfRule>
  </conditionalFormatting>
  <conditionalFormatting sqref="C487:C521">
    <cfRule type="expression" dxfId="18" priority="19">
      <formula>$J487="잔금"</formula>
    </cfRule>
  </conditionalFormatting>
  <conditionalFormatting sqref="H487:H518">
    <cfRule type="expression" dxfId="17" priority="18">
      <formula>$J487="잔금"</formula>
    </cfRule>
  </conditionalFormatting>
  <conditionalFormatting sqref="E522:E531">
    <cfRule type="expression" dxfId="16" priority="17">
      <formula>$J522="잔금"</formula>
    </cfRule>
  </conditionalFormatting>
  <conditionalFormatting sqref="E532:E535">
    <cfRule type="expression" dxfId="15" priority="16">
      <formula>$J532="잔금"</formula>
    </cfRule>
  </conditionalFormatting>
  <conditionalFormatting sqref="C522:C531">
    <cfRule type="expression" dxfId="14" priority="15">
      <formula>$J522="잔금"</formula>
    </cfRule>
  </conditionalFormatting>
  <conditionalFormatting sqref="C532:C535">
    <cfRule type="expression" dxfId="13" priority="14">
      <formula>$J532="잔금"</formula>
    </cfRule>
  </conditionalFormatting>
  <conditionalFormatting sqref="H522:H531">
    <cfRule type="expression" dxfId="12" priority="13">
      <formula>$J522="잔금"</formula>
    </cfRule>
  </conditionalFormatting>
  <conditionalFormatting sqref="H532:H535">
    <cfRule type="expression" dxfId="11" priority="12">
      <formula>$J532="잔금"</formula>
    </cfRule>
  </conditionalFormatting>
  <conditionalFormatting sqref="C536:C541">
    <cfRule type="expression" dxfId="10" priority="11">
      <formula>$J536="잔금"</formula>
    </cfRule>
  </conditionalFormatting>
  <conditionalFormatting sqref="E536:E541">
    <cfRule type="expression" dxfId="9" priority="10">
      <formula>$J536="잔금"</formula>
    </cfRule>
  </conditionalFormatting>
  <conditionalFormatting sqref="H536:H541">
    <cfRule type="expression" dxfId="8" priority="9">
      <formula>$J536="잔금"</formula>
    </cfRule>
  </conditionalFormatting>
  <conditionalFormatting sqref="F536:F541">
    <cfRule type="expression" dxfId="7" priority="8">
      <formula>$J536="잔금"</formula>
    </cfRule>
  </conditionalFormatting>
  <conditionalFormatting sqref="C542:C549">
    <cfRule type="expression" dxfId="6" priority="7">
      <formula>$J542="잔금"</formula>
    </cfRule>
  </conditionalFormatting>
  <conditionalFormatting sqref="E542:E553">
    <cfRule type="expression" dxfId="5" priority="6">
      <formula>$J542="잔금"</formula>
    </cfRule>
  </conditionalFormatting>
  <conditionalFormatting sqref="F542:F553">
    <cfRule type="expression" dxfId="4" priority="5">
      <formula>$J542="잔금"</formula>
    </cfRule>
  </conditionalFormatting>
  <conditionalFormatting sqref="C550">
    <cfRule type="expression" dxfId="3" priority="4">
      <formula>$J550="잔금"</formula>
    </cfRule>
  </conditionalFormatting>
  <conditionalFormatting sqref="C551">
    <cfRule type="expression" dxfId="2" priority="3">
      <formula>$J551="잔금"</formula>
    </cfRule>
  </conditionalFormatting>
  <conditionalFormatting sqref="C552">
    <cfRule type="expression" dxfId="1" priority="2">
      <formula>$J552="잔금"</formula>
    </cfRule>
  </conditionalFormatting>
  <conditionalFormatting sqref="C553">
    <cfRule type="expression" dxfId="0" priority="1">
      <formula>$J553="잔금"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553">
      <formula1>"Y,N"</formula1>
    </dataValidation>
    <dataValidation type="list" allowBlank="1" sqref="D2:D438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2026-04-28T01:21:34Z</dcterms:modified>
</cp:coreProperties>
</file>