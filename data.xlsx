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D109" i="1"/>
  <c r="B109" i="1"/>
  <c r="I108" i="1"/>
  <c r="J108" i="1" s="1"/>
  <c r="D108" i="1"/>
  <c r="B108" i="1"/>
  <c r="I107" i="1"/>
  <c r="J107" i="1" s="1"/>
  <c r="D107" i="1"/>
  <c r="B107" i="1"/>
  <c r="I106" i="1"/>
  <c r="J106" i="1" s="1"/>
  <c r="D106" i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B100" i="1"/>
  <c r="I99" i="1"/>
  <c r="J99" i="1" s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<sst xmlns="http://schemas.openxmlformats.org/spreadsheetml/2006/main" count="589" uniqueCount="177">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</sst>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9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Noto Sans CJK SC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4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8" fillId="0" borderId="3" xfId="0" applyFont="1" applyFill="1" applyBorder="1" applyAlignment="1">
      <alignment vertical="center"/>
    </xf>
  </cellXfs>
  <cellStyles count="1">
    <cellStyle name="표준" xfId="0" builtinId="0"/>
  </cellStyles>
  <dxfs count="7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F13" sqref="F13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267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117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97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247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149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99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54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49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58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232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92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407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827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631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471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609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608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700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342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337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327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321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317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317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316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314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293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279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258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246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216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194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265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189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167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162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148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119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117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46066</v>
      </c>
      <c r="L43" s="11"/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106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100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97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96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93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71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65</v>
      </c>
      <c r="J50" s="13" t="str">
        <f t="shared" ca="1" si="2"/>
        <v>관리</v>
      </c>
      <c r="K50" s="11">
        <v>46081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58</v>
      </c>
      <c r="J51" s="13" t="str">
        <f t="shared" ca="1" si="2"/>
        <v>관리</v>
      </c>
      <c r="K51" s="11">
        <v>46081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57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56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51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359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224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224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175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58</v>
      </c>
      <c r="J60" s="13" t="str">
        <f t="shared" ca="1" si="5"/>
        <v>관리</v>
      </c>
      <c r="K60" s="11">
        <v>46052</v>
      </c>
      <c r="L60" s="11"/>
      <c r="M60" s="10"/>
      <c r="N60" s="10" t="s">
        <v>33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58</v>
      </c>
      <c r="J61" s="13" t="str">
        <f t="shared" ca="1" si="5"/>
        <v>관리</v>
      </c>
      <c r="K61" s="11">
        <v>46052</v>
      </c>
      <c r="L61" s="11"/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58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58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46052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55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37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36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36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36</v>
      </c>
      <c r="J69" s="13" t="str">
        <f t="shared" ca="1" si="5"/>
        <v>관리</v>
      </c>
      <c r="K69" s="11"/>
      <c r="L69" s="11"/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37</v>
      </c>
      <c r="J71" s="13" t="str">
        <f t="shared" ca="1" si="5"/>
        <v>정상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37</v>
      </c>
      <c r="J72" s="13" t="str">
        <f t="shared" ca="1" si="5"/>
        <v>정상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34</v>
      </c>
      <c r="J75" s="13" t="str">
        <f t="shared" ca="1" si="5"/>
        <v>정상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26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22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22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20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20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16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13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13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9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6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2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1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1</v>
      </c>
      <c r="J98" s="13" t="str">
        <f t="shared" ca="1" si="5"/>
        <v>정상</v>
      </c>
      <c r="K98" s="11">
        <v>46080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46027</v>
      </c>
      <c r="D99" s="10" t="s">
        <v>172</v>
      </c>
      <c r="E99" s="24" t="s">
        <v>26</v>
      </c>
      <c r="F99" s="24" t="s">
        <v>169</v>
      </c>
      <c r="G99" s="6" t="s">
        <v>173</v>
      </c>
      <c r="H99" s="4">
        <v>16130000</v>
      </c>
      <c r="I99" s="6">
        <f t="shared" ca="1" si="10"/>
        <v>37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46023</v>
      </c>
      <c r="D100" s="10" t="s">
        <v>172</v>
      </c>
      <c r="E100" s="24" t="s">
        <v>170</v>
      </c>
      <c r="F100" s="24" t="s">
        <v>171</v>
      </c>
      <c r="G100" s="6" t="s">
        <v>173</v>
      </c>
      <c r="H100" s="4">
        <v>-883400</v>
      </c>
      <c r="I100" s="6">
        <f t="shared" ca="1" si="10"/>
        <v>29</v>
      </c>
      <c r="J100" s="13" t="str">
        <f t="shared" ca="1" si="5"/>
        <v>정상</v>
      </c>
      <c r="K100" s="11"/>
      <c r="L100" s="11">
        <v>46052</v>
      </c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46052</v>
      </c>
      <c r="D101" s="10" t="str">
        <f t="shared" si="9"/>
        <v>B</v>
      </c>
      <c r="E101" s="6" t="s">
        <v>174</v>
      </c>
      <c r="F101" s="6" t="s">
        <v>175</v>
      </c>
      <c r="G101" s="6" t="s">
        <v>176</v>
      </c>
      <c r="H101" s="4">
        <v>-4337828</v>
      </c>
      <c r="I101" s="6">
        <f t="shared" ca="1" si="10"/>
        <v>12</v>
      </c>
      <c r="J101" s="13" t="str">
        <f t="shared" ca="1" si="5"/>
        <v>정상</v>
      </c>
      <c r="K101" s="11"/>
      <c r="L101" s="11"/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 t="str">
        <f>IF(C102="","",COUNTA($C$2:C102))</f>
        <v/>
      </c>
      <c r="C102" s="11"/>
      <c r="D102" s="10" t="str">
        <f t="shared" si="9"/>
        <v/>
      </c>
      <c r="H102" s="4"/>
      <c r="I102" s="6" t="str">
        <f t="shared" ca="1" si="10"/>
        <v/>
      </c>
      <c r="J102" s="13" t="str">
        <f t="shared" ca="1" si="5"/>
        <v/>
      </c>
      <c r="K102" s="11"/>
      <c r="L102" s="11"/>
      <c r="M102" s="10"/>
      <c r="N102" s="10"/>
      <c r="Q102" s="11"/>
      <c r="R102" s="11"/>
      <c r="S102" s="10"/>
    </row>
    <row r="103" spans="2:19" s="6" customFormat="1" ht="16.5" customHeight="1">
      <c r="B103" s="10" t="str">
        <f>IF(C103="","",COUNTA($C$2:C103))</f>
        <v/>
      </c>
      <c r="C103" s="11"/>
      <c r="D103" s="10" t="str">
        <f t="shared" si="9"/>
        <v/>
      </c>
      <c r="H103" s="4"/>
      <c r="I103" s="6" t="str">
        <f t="shared" ca="1" si="10"/>
        <v/>
      </c>
      <c r="J103" s="13" t="str">
        <f t="shared" ca="1" si="5"/>
        <v/>
      </c>
      <c r="K103" s="11"/>
      <c r="L103" s="11"/>
      <c r="M103" s="10"/>
      <c r="N103" s="10"/>
      <c r="Q103" s="11"/>
      <c r="R103" s="11"/>
      <c r="S103" s="10"/>
    </row>
    <row r="104" spans="2:19" s="6" customFormat="1" ht="16.5" customHeight="1">
      <c r="B104" s="10" t="str">
        <f>IF(C104="","",COUNTA($C$2:C104))</f>
        <v/>
      </c>
      <c r="C104" s="11"/>
      <c r="D104" s="10" t="str">
        <f t="shared" si="9"/>
        <v/>
      </c>
      <c r="H104" s="4"/>
      <c r="I104" s="6" t="str">
        <f t="shared" ca="1" si="10"/>
        <v/>
      </c>
      <c r="J104" s="13" t="str">
        <f t="shared" ca="1" si="5"/>
        <v/>
      </c>
      <c r="K104" s="11"/>
      <c r="L104" s="11"/>
      <c r="M104" s="10"/>
      <c r="N104" s="10"/>
      <c r="Q104" s="11"/>
      <c r="R104" s="11"/>
      <c r="S104" s="10"/>
    </row>
    <row r="105" spans="2:19" s="6" customFormat="1" ht="16.5" customHeight="1">
      <c r="B105" s="10" t="str">
        <f>IF(C105="","",COUNTA($C$2:C105))</f>
        <v/>
      </c>
      <c r="C105" s="11"/>
      <c r="D105" s="10" t="str">
        <f t="shared" si="9"/>
        <v/>
      </c>
      <c r="H105" s="4"/>
      <c r="I105" s="6" t="str">
        <f t="shared" ca="1" si="10"/>
        <v/>
      </c>
      <c r="J105" s="13" t="str">
        <f t="shared" ca="1" si="5"/>
        <v/>
      </c>
      <c r="K105" s="11"/>
      <c r="L105" s="11"/>
      <c r="M105" s="10"/>
      <c r="N105" s="10"/>
      <c r="Q105" s="11"/>
      <c r="R105" s="11"/>
      <c r="S105" s="10"/>
    </row>
    <row r="106" spans="2:19" s="6" customFormat="1" ht="16.5" customHeight="1">
      <c r="B106" s="10" t="str">
        <f>IF(C106="","",COUNTA($C$2:C106))</f>
        <v/>
      </c>
      <c r="C106" s="11"/>
      <c r="D106" s="10" t="str">
        <f t="shared" si="9"/>
        <v/>
      </c>
      <c r="H106" s="4"/>
      <c r="I106" s="6" t="str">
        <f t="shared" ca="1" si="10"/>
        <v/>
      </c>
      <c r="J106" s="13" t="str">
        <f t="shared" ca="1" si="5"/>
        <v/>
      </c>
      <c r="K106" s="11"/>
      <c r="L106" s="11"/>
      <c r="M106" s="10"/>
      <c r="N106" s="10"/>
      <c r="Q106" s="11"/>
      <c r="R106" s="11"/>
      <c r="S106" s="10"/>
    </row>
    <row r="107" spans="2:19" s="6" customFormat="1" ht="16.5" customHeight="1">
      <c r="B107" s="10" t="str">
        <f>IF(C107="","",COUNTA($C$2:C107))</f>
        <v/>
      </c>
      <c r="C107" s="11"/>
      <c r="D107" s="10" t="str">
        <f t="shared" si="9"/>
        <v/>
      </c>
      <c r="H107" s="4"/>
      <c r="I107" s="6" t="str">
        <f t="shared" ca="1" si="10"/>
        <v/>
      </c>
      <c r="J107" s="13" t="str">
        <f t="shared" ca="1" si="5"/>
        <v/>
      </c>
      <c r="K107" s="11"/>
      <c r="L107" s="11"/>
      <c r="M107" s="10"/>
      <c r="N107" s="10"/>
      <c r="Q107" s="11"/>
      <c r="R107" s="11"/>
      <c r="S107" s="10"/>
    </row>
    <row r="108" spans="2:19" s="6" customFormat="1" ht="16.5" customHeight="1">
      <c r="B108" s="10" t="str">
        <f>IF(C108="","",COUNTA($C$2:C108))</f>
        <v/>
      </c>
      <c r="C108" s="11"/>
      <c r="D108" s="10" t="str">
        <f t="shared" si="9"/>
        <v/>
      </c>
      <c r="H108" s="4"/>
      <c r="I108" s="6" t="str">
        <f t="shared" ca="1" si="10"/>
        <v/>
      </c>
      <c r="J108" s="13" t="str">
        <f t="shared" ca="1" si="5"/>
        <v/>
      </c>
      <c r="K108" s="11"/>
      <c r="L108" s="11"/>
      <c r="M108" s="10"/>
      <c r="N108" s="10"/>
      <c r="Q108" s="11"/>
      <c r="R108" s="11"/>
      <c r="S108" s="10"/>
    </row>
    <row r="109" spans="2:19" s="6" customFormat="1" ht="16.5" customHeight="1">
      <c r="B109" s="10" t="str">
        <f>IF(C109="","",COUNTA($C$2:C109))</f>
        <v/>
      </c>
      <c r="C109" s="11"/>
      <c r="D109" s="10" t="str">
        <f t="shared" si="9"/>
        <v/>
      </c>
      <c r="H109" s="4"/>
      <c r="I109" s="6" t="str">
        <f t="shared" ca="1" si="10"/>
        <v/>
      </c>
      <c r="J109" s="13" t="str">
        <f t="shared" ca="1" si="5"/>
        <v/>
      </c>
      <c r="K109" s="11"/>
      <c r="L109" s="11"/>
      <c r="M109" s="10"/>
      <c r="N109" s="10"/>
      <c r="Q109" s="11"/>
      <c r="R109" s="11"/>
      <c r="S109" s="10"/>
    </row>
    <row r="110" spans="2:19" s="6" customFormat="1" ht="16.5" customHeight="1">
      <c r="B110" s="10" t="str">
        <f>IF(C110="","",COUNTA($C$2:C110))</f>
        <v/>
      </c>
      <c r="C110" s="11"/>
      <c r="D110" s="10" t="str">
        <f t="shared" si="9"/>
        <v/>
      </c>
      <c r="H110" s="4"/>
      <c r="I110" s="6" t="str">
        <f t="shared" ca="1" si="10"/>
        <v/>
      </c>
      <c r="J110" s="13" t="str">
        <f t="shared" ca="1" si="5"/>
        <v/>
      </c>
      <c r="K110" s="11"/>
      <c r="L110" s="11"/>
      <c r="M110" s="10"/>
      <c r="N110" s="10"/>
      <c r="Q110" s="11"/>
      <c r="R110" s="11"/>
      <c r="S110" s="10"/>
    </row>
    <row r="111" spans="2:19" s="6" customFormat="1" ht="16.5" customHeight="1">
      <c r="B111" s="10" t="str">
        <f>IF(C111="","",COUNTA($C$2:C111))</f>
        <v/>
      </c>
      <c r="C111" s="11"/>
      <c r="D111" s="10" t="str">
        <f t="shared" si="9"/>
        <v/>
      </c>
      <c r="H111" s="4"/>
      <c r="I111" s="6" t="str">
        <f t="shared" ca="1" si="10"/>
        <v/>
      </c>
      <c r="J111" s="13" t="str">
        <f t="shared" ca="1" si="5"/>
        <v/>
      </c>
      <c r="K111" s="11"/>
      <c r="L111" s="11"/>
      <c r="M111" s="10"/>
      <c r="N111" s="10"/>
      <c r="Q111" s="11"/>
      <c r="R111" s="11"/>
      <c r="S111" s="10"/>
    </row>
    <row r="112" spans="2:19" s="6" customFormat="1" ht="16.5" customHeight="1">
      <c r="B112" s="10" t="str">
        <f>IF(C112="","",COUNTA($C$2:C112))</f>
        <v/>
      </c>
      <c r="C112" s="11"/>
      <c r="D112" s="10" t="str">
        <f t="shared" si="9"/>
        <v/>
      </c>
      <c r="H112" s="4"/>
      <c r="I112" s="6" t="str">
        <f t="shared" ca="1" si="10"/>
        <v/>
      </c>
      <c r="J112" s="13" t="str">
        <f t="shared" ca="1" si="5"/>
        <v/>
      </c>
      <c r="K112" s="11"/>
      <c r="L112" s="11"/>
      <c r="M112" s="10"/>
      <c r="N112" s="10"/>
      <c r="Q112" s="11"/>
      <c r="R112" s="11"/>
      <c r="S112" s="10"/>
    </row>
    <row r="113" spans="2:19" s="6" customFormat="1" ht="16.5" customHeight="1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6" priority="21">
      <formula>$J3="잔금"</formula>
    </cfRule>
  </conditionalFormatting>
  <conditionalFormatting sqref="E8">
    <cfRule type="expression" dxfId="5" priority="20">
      <formula>$J8="잔금"</formula>
    </cfRule>
  </conditionalFormatting>
  <conditionalFormatting sqref="E4">
    <cfRule type="expression" dxfId="4" priority="19">
      <formula>$J4="잔금"</formula>
    </cfRule>
  </conditionalFormatting>
  <conditionalFormatting sqref="E9">
    <cfRule type="expression" dxfId="3" priority="18">
      <formula>$J9="잔금"</formula>
    </cfRule>
  </conditionalFormatting>
  <conditionalFormatting sqref="E41 E37">
    <cfRule type="expression" dxfId="2" priority="13">
      <formula>$J37="잔금"</formula>
    </cfRule>
  </conditionalFormatting>
  <conditionalFormatting sqref="E97:E98">
    <cfRule type="expression" dxfId="1" priority="3">
      <formula>$J97="잔금"</formula>
    </cfRule>
  </conditionalFormatting>
  <conditionalFormatting sqref="F97:F98">
    <cfRule type="expression" dxfId="0" priority="2">
      <formula>$J97="잔금"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101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2026-02-11T02:42:04Z</dcterms:modified>
</cp:coreProperties>
</file>