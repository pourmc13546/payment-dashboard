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B141" i="1"/>
  <c r="I140" i="1"/>
  <c r="J140" i="1" s="1"/>
  <c r="D140" i="1"/>
  <c r="B140" i="1"/>
  <c r="I139" i="1"/>
  <c r="J139" i="1" s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<sst xmlns="http://schemas.openxmlformats.org/spreadsheetml/2006/main" count="818" uniqueCount="253">
  <si>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</si>
  <si>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</si>
  <si>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</si>
  <si>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</si>
  <si>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</si>
  <si>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</si>
  <si>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</si>
  <si>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</si>
  <si>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</si>
  <si>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</si>
  <si>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</si>
  <si>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</si>
  <si>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</si>
  <si>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</si>
  <si>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</si>
  <si>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</si>
  <si>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</si>
  <si>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</si>
  <si>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</si>
  <si>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</si>
  <si>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</si>
  <si>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</si>
  <si>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</si>
  <si>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</si>
  <si>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</si>
  <si>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</si>
  <si>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</si>
  <si>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</si>
  <si>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</si>
  <si>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</si>
  <si>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</si>
  <si>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</si>
  <si>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</si>
  <si>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</si>
  <si>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</si>
  <si>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</si>
  <si>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</si>
  <si>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</si>
  <si>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</si>
  <si>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</si>
  <si>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</si>
  <si>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</si>
  <si>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</si>
  <si>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</si>
  <si>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</si>
  <si>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</si>
  <si>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</si>
  <si>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</si>
  <si>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</si>
  <si>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</si>
  <si>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</si>
  <si>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</si>
  <si>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</si>
  <si>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</si>
  <si>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</si>
  <si>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</si>
  <si>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</si>
  <si>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</si>
  <si>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</si>
  <si>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</si>
  <si>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</si>
  <si>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</si>
  <si>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</si>
  <si>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</si>
  <si>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</si>
  <si>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</si>
  <si>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</si>
  <si>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</si>
  <si>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</si>
  <si>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</si>
  <si>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</si>
  <si>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</si>
  <si>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</si>
  <si>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</si>
  <si>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</si>
  <si>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</si>
  <si>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</si>
  <si>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</si>
  <si>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</si>
  <si>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</si>
  <si>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</si>
  <si>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</si>
  <si>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</si>
  <si>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</si>
  <si>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</si>
  <si>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</si>
  <si>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</si>
  <si>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</si>
  <si>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</si>
  <si>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</si>
  <si>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</si>
  <si>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</si>
  <si>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</si>
  <si>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</si>
  <si>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</si>
  <si>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</si>
  <si>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</si>
  <si>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</si>
  <si>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</si>
  <si>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</si>
  <si>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</si>
  <si>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</si>
  <si>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</si>
  <si>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</si>
  <si>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</si>
  <si>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</si>
  <si>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</si>
  <si>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</si>
  <si>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</si>
  <si>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</si>
  <si>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</si>
  <si>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</si>
  <si>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</si>
  <si>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</si>
  <si>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</si>
  <si>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</si>
  <si>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</si>
  <si>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</si>
  <si>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</si>
  <si>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</si>
  <si>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</si>
  <si>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</si>
  <si>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</si>
  <si>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</si>
  <si>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</si>
  <si>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</si>
  <si>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</si>
  <si>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</si>
  <si>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</si>
  <si>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</si>
  <si>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</si>
  <si>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</si>
  <si>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</si>
  <si>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</si>
  <si>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</si>
  <si>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</si>
  <si>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</si>
  <si>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</si>
  <si>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</si>
  <si>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</si>
  <si>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</si>
  <si>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</si>
  <si>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</si>
  <si>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</si>
  <si>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</si>
  <si>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</si>
  <si>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</si>
  <si>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</si>
  <si>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</si>
  <si>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</si>
  <si>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</si>
  <si>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</si>
  <si>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</si>
  <si>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</si>
  <si>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</si>
  <si>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</si>
  <si>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</si>
  <si>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</si>
  <si>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</si>
  <si>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</si>
  <si>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</si>
  <si>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</si>
  <si>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</si>
  <si>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</si>
  <si>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</si>
  <si>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</si>
  <si>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</si>
  <si>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</si>
  <si>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</si>
  <si>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</si>
  <si>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</si>
  <si>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</si>
  <si>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</si>
  <si>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</si>
  <si>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</si>
  <si>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</si>
  <si>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</si>
  <si>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</si>
  <si>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</si>
  <si>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</si>
  <si>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</si>
  <si>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</si>
  <si>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</si>
  <si>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</si>
  <si>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</si>
  <si>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</si>
  <si>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</si>
  <si>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</si>
  <si>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</si>
  <si>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</si>
  <si>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</si>
  <si>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</si>
  <si>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</si>
  <si>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</si>
  <si>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</si>
  <si>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</si>
  <si>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</si>
  <si>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</si>
  <si>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</si>
  <si>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</si>
  <si>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</si>
  <si>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</si>
  <si>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</si>
  <si>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</si>
  <si>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</si>
  <si>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</si>
  <si>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</si>
  <si>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</si>
  <si>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</si>
  <si>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</si>
  <si>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</si>
  <si>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</si>
  <si>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</si>
  <si>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</si>
  <si>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</si>
  <si>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</si>
  <si>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</si>
  <si>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</si>
  <si>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</si>
  <si>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</si>
  <si>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</si>
  <si>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</si>
  <si>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</si>
  <si>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</si>
  <si>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</si>
  <si>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</si>
  <si>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</si>
  <si>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</si>
  <si>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</si>
  <si>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</si>
  <si>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</si>
  <si>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</si>
  <si>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</si>
  <si>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</si>
  <si>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</si>
  <si>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</si>
  <si>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</si>
  <si>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</si>
  <si>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</si>
  <si>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</si>
  <si>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</si>
  <si>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</si>
  <si>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 xml:space="preserve"> 20,124,400 
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</si>
  <si>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</si>
  <si>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</si>
  <si>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</si>
  <si>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해운대센텀트루엘1단지직영건</t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</si>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</sst>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  <numFmt numFmtId="181" formatCode="_-* #,##0_-;\-* #,##0_-;_-* &quot;-&quot;_-;_-@_-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181" fontId="8" fillId="0" borderId="0" applyFont="0" applyFill="0" applyBorder="0" applyAlignment="0" applyProtection="0">
      <alignment vertical="center"/>
    </xf>
  </cellStyleXfs>
  <cellXfs count="6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26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7"/>
  <sheetViews>
    <sheetView tabSelected="1" zoomScaleNormal="100" workbookViewId="0">
      <pane xSplit="5" ySplit="1" topLeftCell="F126" activePane="bottomRight" state="frozen"/>
      <selection pane="topRight"/>
      <selection pane="bottomLeft"/>
      <selection pane="bottomRight" activeCell="L144" sqref="L144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290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140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120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270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172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122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77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72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255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115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430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850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654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494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632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631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723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365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360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350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344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340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340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339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337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316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302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281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269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239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217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288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212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190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185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171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142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140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129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123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120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119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116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46345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-258</v>
      </c>
      <c r="J49" s="13" t="str">
        <f t="shared" ca="1" si="2"/>
        <v>정상</v>
      </c>
      <c r="K49" s="11"/>
      <c r="L49" s="11"/>
      <c r="M49" s="10"/>
      <c r="N49" s="10" t="s">
        <v>201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79</v>
      </c>
      <c r="J54" s="13" t="str">
        <f t="shared" ca="1" si="2"/>
        <v>관리</v>
      </c>
      <c r="K54" s="11"/>
      <c r="L54" s="11"/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382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247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247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198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78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60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59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59</v>
      </c>
      <c r="J69" s="13" t="str">
        <f t="shared" ca="1" si="5"/>
        <v>관리</v>
      </c>
      <c r="K69" s="11"/>
      <c r="L69" s="11"/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60</v>
      </c>
      <c r="J72" s="13" t="str">
        <f t="shared" ca="1" si="5"/>
        <v>관리</v>
      </c>
      <c r="K72" s="11"/>
      <c r="L72" s="11"/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60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57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8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8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49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45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45</v>
      </c>
      <c r="J84" s="13" t="str">
        <f t="shared" ca="1" si="5"/>
        <v>관리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43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43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39</v>
      </c>
      <c r="J87" s="13" t="str">
        <f t="shared" ca="1" si="5"/>
        <v>정상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36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36</v>
      </c>
      <c r="J90" s="13" t="str">
        <f t="shared" ca="1" si="5"/>
        <v>정상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32</v>
      </c>
      <c r="J92" s="13" t="str">
        <f t="shared" ca="1" si="5"/>
        <v>정상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25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24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24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60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23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23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22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22</v>
      </c>
      <c r="J107" s="13" t="str">
        <f t="shared" ca="1" si="5"/>
        <v>정상</v>
      </c>
      <c r="K107" s="11"/>
      <c r="L107" s="11"/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22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21</v>
      </c>
      <c r="J109" s="13" t="str">
        <f t="shared" ca="1" si="5"/>
        <v>정상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20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14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11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11</v>
      </c>
      <c r="J115" s="13" t="str">
        <f t="shared" ref="J115:J148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10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9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7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7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7</v>
      </c>
      <c r="J124" s="13" t="str">
        <f t="shared" ca="1" si="11"/>
        <v>정상</v>
      </c>
      <c r="K124" s="11"/>
      <c r="L124" s="11"/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7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f>IF(C126="","",COUNTA($C$2:C126))</f>
        <v>125</v>
      </c>
      <c r="C126" s="52" t="s">
        <v>218</v>
      </c>
      <c r="D126" s="10" t="str">
        <f t="shared" si="9"/>
        <v>B</v>
      </c>
      <c r="E126" s="51" t="s">
        <v>217</v>
      </c>
      <c r="F126" s="49" t="s">
        <v>213</v>
      </c>
      <c r="G126" s="6" t="s">
        <v>176</v>
      </c>
      <c r="H126" s="50">
        <v>6520600</v>
      </c>
      <c r="I126" s="6">
        <f t="shared" ca="1" si="10"/>
        <v>7</v>
      </c>
      <c r="J126" s="13" t="str">
        <f t="shared" ca="1" si="11"/>
        <v>정상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56" t="s">
        <v>232</v>
      </c>
      <c r="D127" s="10" t="str">
        <f t="shared" si="9"/>
        <v>B</v>
      </c>
      <c r="E127" s="55" t="s">
        <v>227</v>
      </c>
      <c r="F127" s="53" t="s">
        <v>219</v>
      </c>
      <c r="G127" s="6" t="s">
        <v>176</v>
      </c>
      <c r="H127" s="54">
        <v>2330000</v>
      </c>
      <c r="I127" s="6">
        <f t="shared" ca="1" si="10"/>
        <v>3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183</v>
      </c>
      <c r="F128" s="53" t="s">
        <v>220</v>
      </c>
      <c r="G128" s="6" t="s">
        <v>176</v>
      </c>
      <c r="H128" s="54">
        <v>52200</v>
      </c>
      <c r="I128" s="6">
        <f t="shared" ca="1" si="10"/>
        <v>3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227</v>
      </c>
      <c r="F129" s="53" t="s">
        <v>221</v>
      </c>
      <c r="G129" s="6" t="s">
        <v>176</v>
      </c>
      <c r="H129" s="54">
        <v>7624000</v>
      </c>
      <c r="I129" s="6">
        <f t="shared" ca="1" si="10"/>
        <v>3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228</v>
      </c>
      <c r="F130" s="53" t="s">
        <v>222</v>
      </c>
      <c r="G130" s="6" t="s">
        <v>176</v>
      </c>
      <c r="H130" s="54">
        <v>4010000</v>
      </c>
      <c r="I130" s="6">
        <f t="shared" ca="1" si="10"/>
        <v>3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203</v>
      </c>
      <c r="F131" s="53" t="s">
        <v>223</v>
      </c>
      <c r="G131" s="6" t="s">
        <v>176</v>
      </c>
      <c r="H131" s="54">
        <v>889500</v>
      </c>
      <c r="I131" s="6">
        <f t="shared" ca="1" si="10"/>
        <v>3</v>
      </c>
      <c r="J131" s="13" t="str">
        <f t="shared" ca="1" si="11"/>
        <v>정상</v>
      </c>
      <c r="K131" s="11"/>
      <c r="L131" s="11"/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229</v>
      </c>
      <c r="F132" s="53" t="s">
        <v>224</v>
      </c>
      <c r="G132" s="6" t="s">
        <v>176</v>
      </c>
      <c r="H132" s="54">
        <v>2470000</v>
      </c>
      <c r="I132" s="6">
        <f t="shared" ca="1" si="10"/>
        <v>3</v>
      </c>
      <c r="J132" s="13" t="str">
        <f t="shared" ca="1" si="11"/>
        <v>정상</v>
      </c>
      <c r="K132" s="11"/>
      <c r="L132" s="11"/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230</v>
      </c>
      <c r="F133" s="53" t="s">
        <v>225</v>
      </c>
      <c r="G133" s="6" t="s">
        <v>176</v>
      </c>
      <c r="H133" s="54">
        <v>72937600</v>
      </c>
      <c r="I133" s="6">
        <f t="shared" ca="1" si="10"/>
        <v>3</v>
      </c>
      <c r="J133" s="13" t="str">
        <f t="shared" ca="1" si="11"/>
        <v>정상</v>
      </c>
      <c r="K133" s="11"/>
      <c r="L133" s="11"/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231</v>
      </c>
      <c r="F134" s="53" t="s">
        <v>226</v>
      </c>
      <c r="G134" s="6" t="s">
        <v>176</v>
      </c>
      <c r="H134" s="54">
        <v>5427900</v>
      </c>
      <c r="I134" s="6">
        <f t="shared" ca="1" si="10"/>
        <v>3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207</v>
      </c>
      <c r="F135" s="53" t="s">
        <v>206</v>
      </c>
      <c r="G135" s="6" t="s">
        <v>176</v>
      </c>
      <c r="H135" s="54">
        <v>4470000</v>
      </c>
      <c r="I135" s="6">
        <f t="shared" ca="1" si="10"/>
        <v>3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58">
        <v>46085</v>
      </c>
      <c r="D136" s="10" t="str">
        <f t="shared" si="9"/>
        <v>A</v>
      </c>
      <c r="E136" s="57" t="s">
        <v>233</v>
      </c>
      <c r="F136" s="57" t="s">
        <v>234</v>
      </c>
      <c r="G136" s="6" t="s">
        <v>237</v>
      </c>
      <c r="H136" s="4">
        <v>12360000</v>
      </c>
      <c r="I136" s="6">
        <f t="shared" ca="1" si="10"/>
        <v>1</v>
      </c>
      <c r="J136" s="13" t="str">
        <f t="shared" ca="1" si="11"/>
        <v>정상</v>
      </c>
      <c r="K136" s="11"/>
      <c r="L136" s="11">
        <v>46086</v>
      </c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238</v>
      </c>
      <c r="F137" s="57" t="s">
        <v>235</v>
      </c>
      <c r="G137" s="6" t="s">
        <v>237</v>
      </c>
      <c r="H137" s="59">
        <v>10474600</v>
      </c>
      <c r="I137" s="6">
        <f t="shared" ca="1" si="10"/>
        <v>2</v>
      </c>
      <c r="J137" s="13" t="str">
        <f t="shared" ca="1" si="11"/>
        <v>정상</v>
      </c>
      <c r="K137" s="11"/>
      <c r="L137" s="11"/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239</v>
      </c>
      <c r="F138" s="6" t="s">
        <v>241</v>
      </c>
      <c r="G138" s="6" t="s">
        <v>237</v>
      </c>
      <c r="H138" s="59">
        <v>9772000</v>
      </c>
      <c r="I138" s="6">
        <f t="shared" ca="1" si="10"/>
        <v>0</v>
      </c>
      <c r="J138" s="13" t="str">
        <f t="shared" ca="1" si="11"/>
        <v>정상</v>
      </c>
      <c r="K138" s="11"/>
      <c r="L138" s="11">
        <v>46085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58">
        <v>46086</v>
      </c>
      <c r="D139" s="10" t="str">
        <f t="shared" ref="D139:D202" si="12">IF(G139="","",IF(OR(G139="선급금",G139="중도금",G139="잔금"),"A",IF(G139="자재","B",IF(G139="특허료","C",""))))</f>
        <v>A</v>
      </c>
      <c r="E139" s="57" t="s">
        <v>239</v>
      </c>
      <c r="F139" s="57" t="s">
        <v>236</v>
      </c>
      <c r="G139" s="6" t="s">
        <v>240</v>
      </c>
      <c r="H139" s="61">
        <v>19544000</v>
      </c>
      <c r="I139" s="6">
        <f t="shared" ref="I139:I202" ca="1" si="13">IF(C139="","",IF(L139="",TODAY()-C139,L139-C139))</f>
        <v>1</v>
      </c>
      <c r="J139" s="13" t="str">
        <f t="shared" ca="1" si="11"/>
        <v>정상</v>
      </c>
      <c r="K139" s="11"/>
      <c r="L139" s="11"/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58">
        <v>46086</v>
      </c>
      <c r="D140" s="10" t="str">
        <f t="shared" si="12"/>
        <v>A</v>
      </c>
      <c r="E140" s="6" t="s">
        <v>245</v>
      </c>
      <c r="F140" s="6" t="s">
        <v>243</v>
      </c>
      <c r="G140" s="6" t="s">
        <v>244</v>
      </c>
      <c r="H140" s="60" t="s">
        <v>242</v>
      </c>
      <c r="I140" s="6">
        <f t="shared" ca="1" si="13"/>
        <v>1</v>
      </c>
      <c r="J140" s="13" t="str">
        <f t="shared" ca="1" si="11"/>
        <v>정상</v>
      </c>
      <c r="K140" s="11"/>
      <c r="L140" s="11"/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58">
        <v>46086</v>
      </c>
      <c r="D141" s="10" t="s">
        <v>251</v>
      </c>
      <c r="E141" s="23" t="s">
        <v>203</v>
      </c>
      <c r="F141" s="23" t="s">
        <v>204</v>
      </c>
      <c r="G141" s="6" t="s">
        <v>252</v>
      </c>
      <c r="H141" s="25">
        <v>577500</v>
      </c>
      <c r="I141" s="6">
        <f t="shared" ca="1" si="13"/>
        <v>1</v>
      </c>
      <c r="J141" s="13" t="str">
        <f t="shared" ca="1" si="11"/>
        <v>정상</v>
      </c>
      <c r="K141" s="11"/>
      <c r="L141" s="11"/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58">
        <v>46086</v>
      </c>
      <c r="D142" s="10" t="s">
        <v>251</v>
      </c>
      <c r="E142" s="23" t="s">
        <v>215</v>
      </c>
      <c r="F142" s="23" t="s">
        <v>210</v>
      </c>
      <c r="G142" s="6" t="s">
        <v>252</v>
      </c>
      <c r="H142" s="25">
        <v>226000</v>
      </c>
      <c r="I142" s="6">
        <f t="shared" ca="1" si="13"/>
        <v>1</v>
      </c>
      <c r="J142" s="13" t="str">
        <f t="shared" ca="1" si="11"/>
        <v>정상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58">
        <v>46086</v>
      </c>
      <c r="D143" s="10" t="s">
        <v>251</v>
      </c>
      <c r="E143" s="23" t="s">
        <v>26</v>
      </c>
      <c r="F143" s="23" t="s">
        <v>246</v>
      </c>
      <c r="G143" s="6" t="s">
        <v>252</v>
      </c>
      <c r="H143" s="25">
        <v>23700</v>
      </c>
      <c r="I143" s="6">
        <f t="shared" ca="1" si="13"/>
        <v>1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58">
        <v>46086</v>
      </c>
      <c r="D144" s="10" t="s">
        <v>251</v>
      </c>
      <c r="E144" s="23" t="s">
        <v>250</v>
      </c>
      <c r="F144" s="23" t="s">
        <v>247</v>
      </c>
      <c r="G144" s="6" t="s">
        <v>252</v>
      </c>
      <c r="H144" s="25">
        <v>16750</v>
      </c>
      <c r="I144" s="6">
        <f t="shared" ca="1" si="13"/>
        <v>1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58">
        <v>46086</v>
      </c>
      <c r="D145" s="10" t="s">
        <v>251</v>
      </c>
      <c r="E145" s="23" t="s">
        <v>128</v>
      </c>
      <c r="F145" s="23" t="s">
        <v>248</v>
      </c>
      <c r="G145" s="6" t="s">
        <v>252</v>
      </c>
      <c r="H145" s="25">
        <v>317960</v>
      </c>
      <c r="I145" s="6">
        <f t="shared" ca="1" si="13"/>
        <v>1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58">
        <v>46086</v>
      </c>
      <c r="D146" s="10" t="s">
        <v>251</v>
      </c>
      <c r="E146" s="23" t="s">
        <v>227</v>
      </c>
      <c r="F146" s="23" t="s">
        <v>219</v>
      </c>
      <c r="G146" s="6" t="s">
        <v>252</v>
      </c>
      <c r="H146" s="25">
        <v>550000</v>
      </c>
      <c r="I146" s="6">
        <f t="shared" ca="1" si="13"/>
        <v>1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58">
        <v>46086</v>
      </c>
      <c r="D147" s="10" t="s">
        <v>251</v>
      </c>
      <c r="E147" s="23" t="s">
        <v>227</v>
      </c>
      <c r="F147" s="23" t="s">
        <v>219</v>
      </c>
      <c r="G147" s="6" t="s">
        <v>252</v>
      </c>
      <c r="H147" s="25">
        <v>180100</v>
      </c>
      <c r="I147" s="6">
        <f t="shared" ca="1" si="13"/>
        <v>1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58">
        <v>46086</v>
      </c>
      <c r="D148" s="10" t="s">
        <v>251</v>
      </c>
      <c r="E148" s="23" t="s">
        <v>227</v>
      </c>
      <c r="F148" s="23" t="s">
        <v>249</v>
      </c>
      <c r="G148" s="6" t="s">
        <v>252</v>
      </c>
      <c r="H148" s="25">
        <v>640050</v>
      </c>
      <c r="I148" s="6">
        <f t="shared" ca="1" si="13"/>
        <v>1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ref="D203:D266" si="14">IF(G203="","",IF(OR(G203="선급금",G203="중도금",G203="잔금"),"A",IF(G203="자재","B",IF(G203="특허료","C",""))))</f>
        <v/>
      </c>
      <c r="H203" s="4"/>
      <c r="I203" s="6" t="str">
        <f t="shared" ref="I203:I266" ca="1" si="15">IF(C203="","",IF(L203="",TODAY()-C203,L203-C203))</f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si="14"/>
        <v/>
      </c>
      <c r="H204" s="4"/>
      <c r="I204" s="6" t="str">
        <f t="shared" ca="1" si="15"/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si="14"/>
        <v/>
      </c>
      <c r="H205" s="4"/>
      <c r="I205" s="6" t="str">
        <f t="shared" ca="1" si="15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/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/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ref="D267:D330" si="16">IF(G267="","",IF(OR(G267="선급금",G267="중도금",G267="잔금"),"A",IF(G267="자재","B",IF(G267="특허료","C",""))))</f>
        <v/>
      </c>
      <c r="H267" s="4"/>
      <c r="I267" s="6" t="str">
        <f t="shared" ref="I267:I330" ca="1" si="17">IF(C267="","",IF(L267="",TODAY()-C267,L267-C267))</f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si="16"/>
        <v/>
      </c>
      <c r="H268" s="4"/>
      <c r="I268" s="6" t="str">
        <f t="shared" ca="1" si="17"/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6"/>
        <v/>
      </c>
      <c r="H269" s="4"/>
      <c r="I269" s="6" t="str">
        <f t="shared" ca="1" si="17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ref="D331:D394" si="18">IF(G331="","",IF(OR(G331="선급금",G331="중도금",G331="잔금"),"A",IF(G331="자재","B",IF(G331="특허료","C",""))))</f>
        <v/>
      </c>
      <c r="H331" s="4"/>
      <c r="I331" s="6" t="str">
        <f t="shared" ref="I331:I394" ca="1" si="19">IF(C331="","",IF(L331="",TODAY()-C331,L331-C331))</f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si="18"/>
        <v/>
      </c>
      <c r="H332" s="4"/>
      <c r="I332" s="6" t="str">
        <f t="shared" ca="1" si="19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8"/>
        <v/>
      </c>
      <c r="H333" s="4"/>
      <c r="I333" s="6" t="str">
        <f t="shared" ca="1" si="19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ref="D395:D407" si="20">IF(G395="","",IF(OR(G395="선급금",G395="중도금",G395="잔금"),"A",IF(G395="자재","B",IF(G395="특허료","C",""))))</f>
        <v/>
      </c>
      <c r="H395" s="4"/>
      <c r="I395" s="6" t="str">
        <f t="shared" ref="I395:I405" ca="1" si="21">IF(C395="","",IF(L395="",TODAY()-C395,L395-C395))</f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20"/>
        <v/>
      </c>
      <c r="H396" s="4"/>
      <c r="I396" s="6" t="str">
        <f t="shared" ca="1" si="21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0"/>
        <v/>
      </c>
      <c r="H397" s="4"/>
      <c r="I397" s="6" t="str">
        <f t="shared" ca="1" si="21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0"/>
        <v/>
      </c>
      <c r="I402" s="1" t="str">
        <f t="shared" ca="1" si="21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0"/>
        <v/>
      </c>
      <c r="I403" s="1" t="str">
        <f t="shared" ca="1" si="21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0"/>
        <v/>
      </c>
      <c r="I404" s="1" t="str">
        <f t="shared" ca="1" si="21"/>
        <v/>
      </c>
      <c r="Q404" s="11"/>
      <c r="R404" s="11"/>
    </row>
    <row r="405" spans="2:19">
      <c r="B405" s="10"/>
      <c r="C405" s="11"/>
      <c r="D405" s="1" t="str">
        <f t="shared" si="20"/>
        <v/>
      </c>
      <c r="I405" s="1" t="str">
        <f t="shared" ca="1" si="21"/>
        <v/>
      </c>
      <c r="Q405" s="11"/>
      <c r="R405" s="11"/>
    </row>
    <row r="406" spans="2:19">
      <c r="B406" s="10"/>
      <c r="C406" s="11"/>
      <c r="D406" s="1" t="str">
        <f t="shared" si="20"/>
        <v/>
      </c>
      <c r="Q406" s="11"/>
      <c r="R406" s="11"/>
    </row>
    <row r="407" spans="2:19">
      <c r="B407" s="10"/>
      <c r="C407" s="11"/>
      <c r="D407" s="1" t="str">
        <f t="shared" si="20"/>
        <v/>
      </c>
      <c r="Q407" s="11"/>
      <c r="R407" s="11"/>
    </row>
  </sheetData>
  <autoFilter ref="A1:S407"/>
  <phoneticPr fontId="5" type="noConversion"/>
  <conditionalFormatting sqref="E3 F57:F60">
    <cfRule type="expression" dxfId="25" priority="38">
      <formula>$J3="잔금"</formula>
    </cfRule>
  </conditionalFormatting>
  <conditionalFormatting sqref="E8">
    <cfRule type="expression" dxfId="24" priority="37">
      <formula>$J8="잔금"</formula>
    </cfRule>
  </conditionalFormatting>
  <conditionalFormatting sqref="E4">
    <cfRule type="expression" dxfId="23" priority="36">
      <formula>$J4="잔금"</formula>
    </cfRule>
  </conditionalFormatting>
  <conditionalFormatting sqref="E9">
    <cfRule type="expression" dxfId="22" priority="35">
      <formula>$J9="잔금"</formula>
    </cfRule>
  </conditionalFormatting>
  <conditionalFormatting sqref="E41 E37">
    <cfRule type="expression" dxfId="21" priority="30">
      <formula>$J37="잔금"</formula>
    </cfRule>
  </conditionalFormatting>
  <conditionalFormatting sqref="E98:E99">
    <cfRule type="expression" dxfId="20" priority="20">
      <formula>$J98="잔금"</formula>
    </cfRule>
  </conditionalFormatting>
  <conditionalFormatting sqref="F98:F99">
    <cfRule type="expression" dxfId="19" priority="19">
      <formula>$J98="잔금"</formula>
    </cfRule>
  </conditionalFormatting>
  <conditionalFormatting sqref="F104:F105">
    <cfRule type="expression" dxfId="18" priority="17">
      <formula>$J104="잔금"</formula>
    </cfRule>
  </conditionalFormatting>
  <conditionalFormatting sqref="H104:H105">
    <cfRule type="expression" dxfId="17" priority="16">
      <formula>$J104="잔금"</formula>
    </cfRule>
  </conditionalFormatting>
  <conditionalFormatting sqref="E106:E108">
    <cfRule type="expression" dxfId="16" priority="15">
      <formula>$J106="잔금"</formula>
    </cfRule>
  </conditionalFormatting>
  <conditionalFormatting sqref="F106:F108">
    <cfRule type="expression" dxfId="15" priority="14">
      <formula>$J106="잔금"</formula>
    </cfRule>
  </conditionalFormatting>
  <conditionalFormatting sqref="H106:H108">
    <cfRule type="expression" dxfId="14" priority="13">
      <formula>$J106="잔금"</formula>
    </cfRule>
  </conditionalFormatting>
  <conditionalFormatting sqref="E110">
    <cfRule type="expression" dxfId="13" priority="12">
      <formula>$J110="잔금"</formula>
    </cfRule>
  </conditionalFormatting>
  <conditionalFormatting sqref="F110">
    <cfRule type="expression" dxfId="12" priority="11">
      <formula>$J110="잔금"</formula>
    </cfRule>
  </conditionalFormatting>
  <conditionalFormatting sqref="E111:E113">
    <cfRule type="expression" dxfId="11" priority="10">
      <formula>$J111="잔금"</formula>
    </cfRule>
  </conditionalFormatting>
  <conditionalFormatting sqref="F111 F113">
    <cfRule type="expression" dxfId="10" priority="9">
      <formula>$J111="잔금"</formula>
    </cfRule>
  </conditionalFormatting>
  <conditionalFormatting sqref="F112">
    <cfRule type="expression" dxfId="9" priority="8">
      <formula>$J112="잔금"</formula>
    </cfRule>
  </conditionalFormatting>
  <conditionalFormatting sqref="H111:H113">
    <cfRule type="expression" dxfId="8" priority="7">
      <formula>$J111="잔금"</formula>
    </cfRule>
  </conditionalFormatting>
  <conditionalFormatting sqref="C111:C113">
    <cfRule type="expression" dxfId="7" priority="6">
      <formula>$J111="잔금"</formula>
    </cfRule>
  </conditionalFormatting>
  <conditionalFormatting sqref="E117">
    <cfRule type="expression" dxfId="6" priority="5">
      <formula>$J117="잔금"</formula>
    </cfRule>
  </conditionalFormatting>
  <conditionalFormatting sqref="F117">
    <cfRule type="expression" dxfId="5" priority="4">
      <formula>$J117="잔금"</formula>
    </cfRule>
  </conditionalFormatting>
  <conditionalFormatting sqref="F141:F148">
    <cfRule type="expression" dxfId="4" priority="3">
      <formula>$J141="잔금"</formula>
    </cfRule>
  </conditionalFormatting>
  <conditionalFormatting sqref="E141:E148">
    <cfRule type="expression" dxfId="3" priority="2">
      <formula>$J141="잔금"</formula>
    </cfRule>
  </conditionalFormatting>
  <conditionalFormatting sqref="H141:H148">
    <cfRule type="expression" dxfId="0" priority="1">
      <formula>$J141="잔금"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148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2026-03-06T09:42:08Z</dcterms:modified>
</cp:coreProperties>
</file>