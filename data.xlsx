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data!$A$1:$S$409</definedName>
    <definedName name="_xlnm._FilterDatabase">data!$A$1:$S$409</definedName>
  </definedNames>
  <calcPr calcId="162913"/>
</workbook>
</file>

<file path=xl/calcChain.xml><?xml version="1.0" encoding="utf-8"?>
<calcChain xmlns="http://schemas.openxmlformats.org/spreadsheetml/2006/main">
  <c r="B49" i="1" l="1"/>
  <c r="D49" i="1"/>
  <c r="I49" i="1"/>
  <c r="J49" i="1" s="1"/>
  <c r="I94" i="1" l="1"/>
  <c r="I95" i="1"/>
  <c r="D409" i="1" l="1"/>
  <c r="D408" i="1"/>
  <c r="I407" i="1"/>
  <c r="D407" i="1"/>
  <c r="I406" i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D275" i="1"/>
  <c r="I274" i="1"/>
  <c r="D274" i="1"/>
  <c r="I273" i="1"/>
  <c r="D273" i="1"/>
  <c r="I272" i="1"/>
  <c r="D272" i="1"/>
  <c r="I271" i="1"/>
  <c r="D271" i="1"/>
  <c r="I270" i="1"/>
  <c r="D270" i="1"/>
  <c r="I269" i="1"/>
  <c r="D269" i="1"/>
  <c r="I268" i="1"/>
  <c r="D268" i="1"/>
  <c r="I267" i="1"/>
  <c r="D267" i="1"/>
  <c r="I266" i="1"/>
  <c r="D266" i="1"/>
  <c r="I265" i="1"/>
  <c r="D265" i="1"/>
  <c r="I264" i="1"/>
  <c r="D264" i="1"/>
  <c r="I263" i="1"/>
  <c r="D263" i="1"/>
  <c r="I262" i="1"/>
  <c r="D262" i="1"/>
  <c r="I261" i="1"/>
  <c r="D261" i="1"/>
  <c r="I260" i="1"/>
  <c r="D260" i="1"/>
  <c r="I259" i="1"/>
  <c r="D259" i="1"/>
  <c r="I258" i="1"/>
  <c r="D258" i="1"/>
  <c r="I257" i="1"/>
  <c r="D257" i="1"/>
  <c r="I256" i="1"/>
  <c r="D256" i="1"/>
  <c r="I255" i="1"/>
  <c r="D255" i="1"/>
  <c r="I254" i="1"/>
  <c r="D254" i="1"/>
  <c r="I253" i="1"/>
  <c r="D253" i="1"/>
  <c r="I252" i="1"/>
  <c r="D252" i="1"/>
  <c r="I251" i="1"/>
  <c r="D251" i="1"/>
  <c r="I250" i="1"/>
  <c r="D250" i="1"/>
  <c r="I249" i="1"/>
  <c r="D249" i="1"/>
  <c r="I248" i="1"/>
  <c r="D248" i="1"/>
  <c r="I247" i="1"/>
  <c r="D247" i="1"/>
  <c r="I246" i="1"/>
  <c r="D246" i="1"/>
  <c r="I245" i="1"/>
  <c r="D245" i="1"/>
  <c r="I244" i="1"/>
  <c r="D244" i="1"/>
  <c r="I243" i="1"/>
  <c r="D243" i="1"/>
  <c r="I242" i="1"/>
  <c r="D242" i="1"/>
  <c r="I241" i="1"/>
  <c r="D241" i="1"/>
  <c r="I240" i="1"/>
  <c r="D240" i="1"/>
  <c r="I239" i="1"/>
  <c r="D239" i="1"/>
  <c r="I238" i="1"/>
  <c r="D238" i="1"/>
  <c r="I237" i="1"/>
  <c r="D237" i="1"/>
  <c r="I236" i="1"/>
  <c r="D236" i="1"/>
  <c r="I235" i="1"/>
  <c r="D235" i="1"/>
  <c r="I234" i="1"/>
  <c r="D234" i="1"/>
  <c r="I233" i="1"/>
  <c r="D233" i="1"/>
  <c r="I232" i="1"/>
  <c r="D232" i="1"/>
  <c r="I231" i="1"/>
  <c r="D231" i="1"/>
  <c r="I230" i="1"/>
  <c r="D230" i="1"/>
  <c r="I229" i="1"/>
  <c r="D229" i="1"/>
  <c r="I228" i="1"/>
  <c r="D228" i="1"/>
  <c r="I227" i="1"/>
  <c r="D227" i="1"/>
  <c r="I226" i="1"/>
  <c r="D226" i="1"/>
  <c r="I225" i="1"/>
  <c r="D225" i="1"/>
  <c r="I224" i="1"/>
  <c r="D224" i="1"/>
  <c r="I223" i="1"/>
  <c r="D223" i="1"/>
  <c r="I222" i="1"/>
  <c r="D222" i="1"/>
  <c r="I221" i="1"/>
  <c r="D221" i="1"/>
  <c r="I220" i="1"/>
  <c r="D220" i="1"/>
  <c r="I219" i="1"/>
  <c r="D219" i="1"/>
  <c r="I218" i="1"/>
  <c r="D218" i="1"/>
  <c r="I217" i="1"/>
  <c r="D217" i="1"/>
  <c r="I216" i="1"/>
  <c r="D216" i="1"/>
  <c r="I215" i="1"/>
  <c r="D215" i="1"/>
  <c r="I214" i="1"/>
  <c r="D214" i="1"/>
  <c r="I213" i="1"/>
  <c r="D213" i="1"/>
  <c r="I212" i="1"/>
  <c r="D212" i="1"/>
  <c r="B212" i="1"/>
  <c r="I211" i="1"/>
  <c r="D211" i="1"/>
  <c r="B211" i="1"/>
  <c r="I210" i="1"/>
  <c r="D210" i="1"/>
  <c r="B210" i="1"/>
  <c r="I209" i="1"/>
  <c r="D209" i="1"/>
  <c r="B209" i="1"/>
  <c r="I208" i="1"/>
  <c r="D208" i="1"/>
  <c r="B208" i="1"/>
  <c r="I207" i="1"/>
  <c r="D207" i="1"/>
  <c r="B207" i="1"/>
  <c r="I206" i="1"/>
  <c r="D206" i="1"/>
  <c r="B206" i="1"/>
  <c r="I205" i="1"/>
  <c r="D205" i="1"/>
  <c r="B205" i="1"/>
  <c r="I204" i="1"/>
  <c r="D204" i="1"/>
  <c r="B204" i="1"/>
  <c r="I203" i="1"/>
  <c r="D203" i="1"/>
  <c r="B203" i="1"/>
  <c r="I202" i="1"/>
  <c r="D202" i="1"/>
  <c r="B202" i="1"/>
  <c r="I201" i="1"/>
  <c r="D201" i="1"/>
  <c r="B201" i="1"/>
  <c r="I200" i="1"/>
  <c r="D200" i="1"/>
  <c r="B200" i="1"/>
  <c r="I199" i="1"/>
  <c r="D199" i="1"/>
  <c r="B199" i="1"/>
  <c r="I198" i="1"/>
  <c r="D198" i="1"/>
  <c r="B198" i="1"/>
  <c r="I197" i="1"/>
  <c r="D197" i="1"/>
  <c r="B197" i="1"/>
  <c r="I196" i="1"/>
  <c r="D196" i="1"/>
  <c r="B196" i="1"/>
  <c r="I195" i="1"/>
  <c r="D195" i="1"/>
  <c r="B195" i="1"/>
  <c r="I194" i="1"/>
  <c r="D194" i="1"/>
  <c r="B194" i="1"/>
  <c r="I193" i="1"/>
  <c r="D193" i="1"/>
  <c r="B193" i="1"/>
  <c r="I192" i="1"/>
  <c r="D192" i="1"/>
  <c r="B192" i="1"/>
  <c r="I191" i="1"/>
  <c r="D191" i="1"/>
  <c r="B191" i="1"/>
  <c r="I190" i="1"/>
  <c r="D190" i="1"/>
  <c r="B190" i="1"/>
  <c r="I189" i="1"/>
  <c r="D189" i="1"/>
  <c r="B189" i="1"/>
  <c r="I188" i="1"/>
  <c r="D188" i="1"/>
  <c r="B188" i="1"/>
  <c r="I187" i="1"/>
  <c r="D187" i="1"/>
  <c r="B187" i="1"/>
  <c r="I186" i="1"/>
  <c r="D186" i="1"/>
  <c r="B186" i="1"/>
  <c r="I185" i="1"/>
  <c r="D185" i="1"/>
  <c r="B185" i="1"/>
  <c r="I184" i="1"/>
  <c r="D184" i="1"/>
  <c r="B184" i="1"/>
  <c r="I183" i="1"/>
  <c r="D183" i="1"/>
  <c r="B183" i="1"/>
  <c r="I182" i="1"/>
  <c r="D182" i="1"/>
  <c r="B182" i="1"/>
  <c r="I181" i="1"/>
  <c r="D181" i="1"/>
  <c r="B181" i="1"/>
  <c r="I180" i="1"/>
  <c r="D180" i="1"/>
  <c r="B180" i="1"/>
  <c r="I179" i="1"/>
  <c r="D179" i="1"/>
  <c r="B179" i="1"/>
  <c r="I178" i="1"/>
  <c r="D178" i="1"/>
  <c r="B178" i="1"/>
  <c r="I177" i="1"/>
  <c r="D177" i="1"/>
  <c r="B177" i="1"/>
  <c r="I176" i="1"/>
  <c r="D176" i="1"/>
  <c r="B176" i="1"/>
  <c r="I175" i="1"/>
  <c r="D175" i="1"/>
  <c r="B175" i="1"/>
  <c r="I174" i="1"/>
  <c r="D174" i="1"/>
  <c r="B174" i="1"/>
  <c r="I173" i="1"/>
  <c r="D173" i="1"/>
  <c r="B173" i="1"/>
  <c r="I172" i="1"/>
  <c r="D172" i="1"/>
  <c r="B172" i="1"/>
  <c r="I171" i="1"/>
  <c r="D171" i="1"/>
  <c r="B171" i="1"/>
  <c r="I170" i="1"/>
  <c r="D170" i="1"/>
  <c r="B170" i="1"/>
  <c r="I169" i="1"/>
  <c r="D169" i="1"/>
  <c r="B169" i="1"/>
  <c r="I168" i="1"/>
  <c r="D168" i="1"/>
  <c r="B168" i="1"/>
  <c r="I167" i="1"/>
  <c r="D167" i="1"/>
  <c r="B167" i="1"/>
  <c r="I166" i="1"/>
  <c r="D166" i="1"/>
  <c r="B166" i="1"/>
  <c r="I165" i="1"/>
  <c r="D165" i="1"/>
  <c r="B165" i="1"/>
  <c r="I164" i="1"/>
  <c r="D164" i="1"/>
  <c r="B164" i="1"/>
  <c r="I163" i="1"/>
  <c r="D163" i="1"/>
  <c r="B163" i="1"/>
  <c r="I162" i="1"/>
  <c r="D162" i="1"/>
  <c r="B162" i="1"/>
  <c r="I161" i="1"/>
  <c r="D161" i="1"/>
  <c r="B161" i="1"/>
  <c r="I160" i="1"/>
  <c r="D160" i="1"/>
  <c r="B160" i="1"/>
  <c r="I159" i="1"/>
  <c r="D159" i="1"/>
  <c r="B159" i="1"/>
  <c r="I158" i="1"/>
  <c r="D158" i="1"/>
  <c r="B158" i="1"/>
  <c r="I157" i="1"/>
  <c r="D157" i="1"/>
  <c r="B157" i="1"/>
  <c r="I156" i="1"/>
  <c r="D156" i="1"/>
  <c r="B156" i="1"/>
  <c r="I155" i="1"/>
  <c r="D155" i="1"/>
  <c r="B155" i="1"/>
  <c r="I154" i="1"/>
  <c r="D154" i="1"/>
  <c r="B154" i="1"/>
  <c r="I153" i="1"/>
  <c r="D153" i="1"/>
  <c r="B153" i="1"/>
  <c r="I152" i="1"/>
  <c r="D152" i="1"/>
  <c r="B152" i="1"/>
  <c r="I151" i="1"/>
  <c r="D151" i="1"/>
  <c r="B151" i="1"/>
  <c r="I150" i="1"/>
  <c r="D150" i="1"/>
  <c r="B150" i="1"/>
  <c r="I149" i="1"/>
  <c r="D149" i="1"/>
  <c r="B149" i="1"/>
  <c r="I148" i="1"/>
  <c r="D148" i="1"/>
  <c r="B148" i="1"/>
  <c r="I147" i="1"/>
  <c r="D147" i="1"/>
  <c r="B147" i="1"/>
  <c r="I146" i="1"/>
  <c r="D146" i="1"/>
  <c r="B146" i="1"/>
  <c r="I145" i="1"/>
  <c r="D145" i="1"/>
  <c r="B145" i="1"/>
  <c r="I144" i="1"/>
  <c r="D144" i="1"/>
  <c r="B144" i="1"/>
  <c r="I143" i="1"/>
  <c r="D143" i="1"/>
  <c r="B143" i="1"/>
  <c r="I142" i="1"/>
  <c r="D142" i="1"/>
  <c r="B142" i="1"/>
  <c r="I141" i="1"/>
  <c r="D141" i="1"/>
  <c r="B141" i="1"/>
  <c r="I140" i="1"/>
  <c r="D140" i="1"/>
  <c r="B140" i="1"/>
  <c r="I139" i="1"/>
  <c r="D139" i="1"/>
  <c r="B139" i="1"/>
  <c r="I138" i="1"/>
  <c r="D138" i="1"/>
  <c r="B138" i="1"/>
  <c r="I137" i="1"/>
  <c r="D137" i="1"/>
  <c r="B137" i="1"/>
  <c r="I136" i="1"/>
  <c r="D136" i="1"/>
  <c r="B136" i="1"/>
  <c r="I135" i="1"/>
  <c r="D135" i="1"/>
  <c r="B135" i="1"/>
  <c r="I134" i="1"/>
  <c r="D134" i="1"/>
  <c r="B134" i="1"/>
  <c r="I133" i="1"/>
  <c r="D133" i="1"/>
  <c r="B133" i="1"/>
  <c r="I132" i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6" i="1"/>
  <c r="J126" i="1" s="1"/>
  <c r="D126" i="1"/>
  <c r="B126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<sst xmlns="http://schemas.openxmlformats.org/spreadsheetml/2006/main" count="665" uniqueCount="202">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</sst>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3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2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</cellXfs>
  <cellStyles count="12">
    <cellStyle name="Excel Built-in Comma [0]" xfId="8"/>
    <cellStyle name="백분율 2" xfId="2"/>
    <cellStyle name="백분율 3" xfId="10"/>
    <cellStyle name="쉼표 [0] 118 2 7 16" xfId="3"/>
    <cellStyle name="쉼표 [0] 2" xfId="4"/>
    <cellStyle name="쉼표 [0] 3" xfId="9"/>
    <cellStyle name="쉼표 [0] 4" xfId="11"/>
    <cellStyle name="표준" xfId="0" builtinId="0"/>
    <cellStyle name="표준 118 2 7 16" xfId="5"/>
    <cellStyle name="표준 125" xfId="6"/>
    <cellStyle name="표준 2" xfId="7"/>
    <cellStyle name="표준 3" xfId="1"/>
  </cellStyles>
  <dxfs count="19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9"/>
  <sheetViews>
    <sheetView tabSelected="1" zoomScaleNormal="100" workbookViewId="0">
      <pane xSplit="5" ySplit="1" topLeftCell="F99" activePane="bottomRight" state="frozen"/>
      <selection pane="topRight"/>
      <selection pane="bottomLeft"/>
      <selection pane="bottomRight" activeCell="L108" sqref="L108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280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130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/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110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260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162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112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67</v>
      </c>
      <c r="J9" s="13" t="str">
        <f t="shared" ca="1" si="2"/>
        <v>관리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62</v>
      </c>
      <c r="J10" s="13" t="str">
        <f t="shared" ca="1" si="2"/>
        <v>관리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/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245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105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420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840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644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484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622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621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713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355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350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340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334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330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330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329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327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306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292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271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259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229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207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278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202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180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175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161</v>
      </c>
      <c r="J40" s="13" t="str">
        <f t="shared" ca="1" si="2"/>
        <v>장기미수</v>
      </c>
      <c r="K40" s="11">
        <v>46063</v>
      </c>
      <c r="L40" s="11"/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132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130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119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113</v>
      </c>
      <c r="J45" s="13" t="str">
        <f t="shared" ca="1" si="2"/>
        <v>장기미수</v>
      </c>
      <c r="K45" s="11">
        <v>46066</v>
      </c>
      <c r="L45" s="11"/>
      <c r="M45" s="10"/>
      <c r="N45" s="10" t="s">
        <v>33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110</v>
      </c>
      <c r="J46" s="13" t="str">
        <f t="shared" ca="1" si="2"/>
        <v>장기미수</v>
      </c>
      <c r="K46" s="11">
        <v>46066</v>
      </c>
      <c r="L46" s="11"/>
      <c r="M46" s="10"/>
      <c r="N46" s="10" t="s">
        <v>33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109</v>
      </c>
      <c r="J47" s="13" t="str">
        <f t="shared" ca="1" si="2"/>
        <v>장기미수</v>
      </c>
      <c r="K47" s="11">
        <v>46063</v>
      </c>
      <c r="L47" s="11"/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106</v>
      </c>
      <c r="J48" s="13" t="str">
        <f t="shared" ca="1" si="2"/>
        <v>장기미수</v>
      </c>
      <c r="K48" s="11">
        <v>46063</v>
      </c>
      <c r="L48" s="11"/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46345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-268</v>
      </c>
      <c r="J49" s="13" t="str">
        <f t="shared" ca="1" si="2"/>
        <v>정상</v>
      </c>
      <c r="K49" s="11"/>
      <c r="L49" s="11"/>
      <c r="M49" s="10"/>
      <c r="N49" s="10" t="s">
        <v>201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84</v>
      </c>
      <c r="J50" s="13" t="str">
        <f t="shared" ca="1" si="2"/>
        <v>관리</v>
      </c>
      <c r="K50" s="11">
        <v>46080</v>
      </c>
      <c r="L50" s="11"/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78</v>
      </c>
      <c r="J51" s="13" t="str">
        <f t="shared" ca="1" si="2"/>
        <v>관리</v>
      </c>
      <c r="K51" s="11">
        <v>46080</v>
      </c>
      <c r="L51" s="11"/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71</v>
      </c>
      <c r="J52" s="13" t="str">
        <f t="shared" ca="1" si="2"/>
        <v>관리</v>
      </c>
      <c r="K52" s="11">
        <v>46080</v>
      </c>
      <c r="L52" s="11"/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70</v>
      </c>
      <c r="J53" s="13" t="str">
        <f t="shared" ca="1" si="2"/>
        <v>관리</v>
      </c>
      <c r="K53" s="11">
        <v>46080</v>
      </c>
      <c r="L53" s="11"/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69</v>
      </c>
      <c r="J54" s="13" t="str">
        <f t="shared" ca="1" si="2"/>
        <v>관리</v>
      </c>
      <c r="K54" s="11"/>
      <c r="L54" s="11"/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64</v>
      </c>
      <c r="J56" s="13" t="str">
        <f t="shared" ca="1" si="2"/>
        <v>관리</v>
      </c>
      <c r="K56" s="11">
        <v>46080</v>
      </c>
      <c r="L56" s="11"/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372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237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237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188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71</v>
      </c>
      <c r="J63" s="13" t="str">
        <f t="shared" ca="1" si="5"/>
        <v>관리</v>
      </c>
      <c r="K63" s="11">
        <v>46087</v>
      </c>
      <c r="L63" s="11"/>
      <c r="M63" s="10"/>
      <c r="N63" s="10" t="s">
        <v>33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71</v>
      </c>
      <c r="J64" s="13" t="str">
        <f t="shared" ca="1" si="5"/>
        <v>관리</v>
      </c>
      <c r="K64" s="11">
        <v>46087</v>
      </c>
      <c r="L64" s="11"/>
      <c r="M64" s="10"/>
      <c r="N64" s="10" t="s">
        <v>33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68</v>
      </c>
      <c r="J66" s="13" t="str">
        <f t="shared" ca="1" si="5"/>
        <v>관리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50</v>
      </c>
      <c r="J67" s="13" t="str">
        <f t="shared" ca="1" si="5"/>
        <v>관리</v>
      </c>
      <c r="K67" s="11"/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49</v>
      </c>
      <c r="J68" s="13" t="str">
        <f t="shared" ca="1" si="5"/>
        <v>관리</v>
      </c>
      <c r="K68" s="11"/>
      <c r="L68" s="11"/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49</v>
      </c>
      <c r="J69" s="13" t="str">
        <f t="shared" ca="1" si="5"/>
        <v>관리</v>
      </c>
      <c r="K69" s="11"/>
      <c r="L69" s="11"/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50</v>
      </c>
      <c r="J72" s="13" t="str">
        <f t="shared" ca="1" si="5"/>
        <v>관리</v>
      </c>
      <c r="K72" s="11"/>
      <c r="L72" s="11"/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50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47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40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39</v>
      </c>
      <c r="J81" s="13" t="str">
        <f t="shared" ca="1" si="5"/>
        <v>정상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35</v>
      </c>
      <c r="J83" s="13" t="str">
        <f t="shared" ca="1" si="5"/>
        <v>정상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35</v>
      </c>
      <c r="J84" s="13" t="str">
        <f t="shared" ca="1" si="5"/>
        <v>정상</v>
      </c>
      <c r="K84" s="11"/>
      <c r="L84" s="11"/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33</v>
      </c>
      <c r="J85" s="13" t="str">
        <f t="shared" ca="1" si="5"/>
        <v>정상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33</v>
      </c>
      <c r="J86" s="13" t="str">
        <f t="shared" ca="1" si="5"/>
        <v>정상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29</v>
      </c>
      <c r="J87" s="13" t="str">
        <f t="shared" ca="1" si="5"/>
        <v>정상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26</v>
      </c>
      <c r="J89" s="13" t="str">
        <f t="shared" ca="1" si="5"/>
        <v>정상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26</v>
      </c>
      <c r="J90" s="13" t="str">
        <f t="shared" ca="1" si="5"/>
        <v>정상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22</v>
      </c>
      <c r="J92" s="13" t="str">
        <f t="shared" ca="1" si="5"/>
        <v>정상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19</v>
      </c>
      <c r="J95" s="13" t="str">
        <f t="shared" ca="1" si="5"/>
        <v>정상</v>
      </c>
      <c r="K95" s="11"/>
      <c r="L95" s="11"/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15</v>
      </c>
      <c r="J96" s="13" t="str">
        <f t="shared" ca="1" si="5"/>
        <v>정상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14</v>
      </c>
      <c r="J98" s="13" t="str">
        <f t="shared" ca="1" si="5"/>
        <v>정상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14</v>
      </c>
      <c r="J99" s="13" t="str">
        <f t="shared" ca="1" si="5"/>
        <v>정상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50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13</v>
      </c>
      <c r="J104" s="13" t="str">
        <f t="shared" ca="1" si="5"/>
        <v>정상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13</v>
      </c>
      <c r="J105" s="13" t="str">
        <f t="shared" ca="1" si="5"/>
        <v>정상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12</v>
      </c>
      <c r="J106" s="13" t="str">
        <f t="shared" ca="1" si="5"/>
        <v>정상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12</v>
      </c>
      <c r="J107" s="13" t="str">
        <f t="shared" ca="1" si="5"/>
        <v>정상</v>
      </c>
      <c r="K107" s="11"/>
      <c r="L107" s="11">
        <v>46077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12</v>
      </c>
      <c r="J108" s="13" t="str">
        <f t="shared" ca="1" si="5"/>
        <v>정상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11</v>
      </c>
      <c r="J109" s="13" t="str">
        <f t="shared" ca="1" si="5"/>
        <v>정상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10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4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1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1</v>
      </c>
      <c r="J115" s="13" t="str">
        <f t="shared" ref="J115:J131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0</v>
      </c>
      <c r="J116" s="13" t="str">
        <f t="shared" ca="1" si="11"/>
        <v>정상</v>
      </c>
      <c r="K116" s="11"/>
      <c r="L116" s="11"/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 t="str">
        <f>IF(C117="","",COUNTA($C$2:C117))</f>
        <v/>
      </c>
      <c r="C117" s="11"/>
      <c r="D117" s="10" t="str">
        <f t="shared" si="9"/>
        <v/>
      </c>
      <c r="H117" s="4"/>
      <c r="I117" s="6" t="str">
        <f t="shared" ca="1" si="10"/>
        <v/>
      </c>
      <c r="J117" s="13" t="str">
        <f t="shared" ca="1" si="11"/>
        <v/>
      </c>
      <c r="K117" s="11"/>
      <c r="L117" s="11"/>
      <c r="M117" s="10"/>
      <c r="N117" s="10"/>
      <c r="Q117" s="11"/>
      <c r="R117" s="11"/>
      <c r="S117" s="10"/>
    </row>
    <row r="118" spans="2:19" s="6" customFormat="1" ht="16.5" customHeight="1">
      <c r="B118" s="10" t="str">
        <f>IF(C118="","",COUNTA($C$2:C118))</f>
        <v/>
      </c>
      <c r="C118" s="11"/>
      <c r="D118" s="10" t="str">
        <f t="shared" si="9"/>
        <v/>
      </c>
      <c r="H118" s="4"/>
      <c r="I118" s="6" t="str">
        <f t="shared" ca="1" si="10"/>
        <v/>
      </c>
      <c r="J118" s="13" t="str">
        <f t="shared" ca="1" si="11"/>
        <v/>
      </c>
      <c r="K118" s="11"/>
      <c r="L118" s="11"/>
      <c r="M118" s="10"/>
      <c r="N118" s="10"/>
      <c r="Q118" s="11"/>
      <c r="R118" s="11"/>
      <c r="S118" s="10"/>
    </row>
    <row r="119" spans="2:19" s="6" customFormat="1" ht="16.5" customHeight="1">
      <c r="B119" s="10" t="str">
        <f>IF(C119="","",COUNTA($C$2:C119))</f>
        <v/>
      </c>
      <c r="C119" s="11"/>
      <c r="D119" s="10" t="str">
        <f t="shared" si="9"/>
        <v/>
      </c>
      <c r="H119" s="4"/>
      <c r="I119" s="6" t="str">
        <f t="shared" ca="1" si="10"/>
        <v/>
      </c>
      <c r="J119" s="13" t="str">
        <f t="shared" ca="1" si="11"/>
        <v/>
      </c>
      <c r="K119" s="11"/>
      <c r="L119" s="11"/>
      <c r="M119" s="10"/>
      <c r="N119" s="10"/>
      <c r="Q119" s="11"/>
      <c r="R119" s="11"/>
      <c r="S119" s="10"/>
    </row>
    <row r="120" spans="2:19" s="6" customFormat="1" ht="16.5" customHeight="1">
      <c r="B120" s="10" t="str">
        <f>IF(C120="","",COUNTA($C$2:C120))</f>
        <v/>
      </c>
      <c r="C120" s="11"/>
      <c r="D120" s="10" t="str">
        <f t="shared" si="9"/>
        <v/>
      </c>
      <c r="H120" s="4"/>
      <c r="I120" s="6" t="str">
        <f t="shared" ca="1" si="10"/>
        <v/>
      </c>
      <c r="J120" s="13" t="str">
        <f t="shared" ca="1" si="11"/>
        <v/>
      </c>
      <c r="K120" s="11"/>
      <c r="L120" s="11"/>
      <c r="M120" s="10"/>
      <c r="N120" s="10"/>
      <c r="Q120" s="11"/>
      <c r="R120" s="11"/>
      <c r="S120" s="10"/>
    </row>
    <row r="121" spans="2:19" s="6" customFormat="1" ht="16.5" customHeight="1">
      <c r="B121" s="10" t="str">
        <f>IF(C121="","",COUNTA($C$2:C121))</f>
        <v/>
      </c>
      <c r="C121" s="11"/>
      <c r="D121" s="10" t="str">
        <f t="shared" si="9"/>
        <v/>
      </c>
      <c r="H121" s="4"/>
      <c r="I121" s="6" t="str">
        <f t="shared" ca="1" si="10"/>
        <v/>
      </c>
      <c r="J121" s="13" t="str">
        <f t="shared" ca="1" si="11"/>
        <v/>
      </c>
      <c r="K121" s="11"/>
      <c r="L121" s="11"/>
      <c r="M121" s="10"/>
      <c r="N121" s="10"/>
      <c r="Q121" s="11"/>
      <c r="R121" s="11"/>
      <c r="S121" s="10"/>
    </row>
    <row r="122" spans="2:19" s="6" customFormat="1" ht="16.5" customHeight="1">
      <c r="B122" s="10" t="str">
        <f>IF(C122="","",COUNTA($C$2:C122))</f>
        <v/>
      </c>
      <c r="C122" s="11"/>
      <c r="D122" s="10" t="str">
        <f t="shared" si="9"/>
        <v/>
      </c>
      <c r="H122" s="4"/>
      <c r="I122" s="6" t="str">
        <f t="shared" ca="1" si="10"/>
        <v/>
      </c>
      <c r="J122" s="13" t="str">
        <f t="shared" ca="1" si="11"/>
        <v/>
      </c>
      <c r="K122" s="11"/>
      <c r="L122" s="11"/>
      <c r="M122" s="10"/>
      <c r="N122" s="10"/>
      <c r="Q122" s="11"/>
      <c r="R122" s="11"/>
      <c r="S122" s="10"/>
    </row>
    <row r="123" spans="2:19" s="6" customFormat="1" ht="16.5" customHeight="1">
      <c r="B123" s="10" t="str">
        <f>IF(C123="","",COUNTA($C$2:C123))</f>
        <v/>
      </c>
      <c r="C123" s="11"/>
      <c r="D123" s="10" t="str">
        <f t="shared" si="9"/>
        <v/>
      </c>
      <c r="H123" s="4"/>
      <c r="I123" s="6" t="str">
        <f t="shared" ca="1" si="10"/>
        <v/>
      </c>
      <c r="J123" s="13" t="str">
        <f t="shared" ca="1" si="11"/>
        <v/>
      </c>
      <c r="K123" s="11"/>
      <c r="L123" s="11"/>
      <c r="M123" s="10"/>
      <c r="N123" s="10"/>
      <c r="Q123" s="11"/>
      <c r="R123" s="11"/>
      <c r="S123" s="10"/>
    </row>
    <row r="124" spans="2:19" s="6" customFormat="1" ht="16.5" customHeight="1">
      <c r="B124" s="10" t="str">
        <f>IF(C124="","",COUNTA($C$2:C124))</f>
        <v/>
      </c>
      <c r="C124" s="11"/>
      <c r="D124" s="10" t="str">
        <f t="shared" si="9"/>
        <v/>
      </c>
      <c r="H124" s="4"/>
      <c r="I124" s="6" t="str">
        <f t="shared" ca="1" si="10"/>
        <v/>
      </c>
      <c r="J124" s="13" t="str">
        <f t="shared" ca="1" si="11"/>
        <v/>
      </c>
      <c r="K124" s="11"/>
      <c r="L124" s="11"/>
      <c r="M124" s="10"/>
      <c r="N124" s="10"/>
      <c r="Q124" s="11"/>
      <c r="R124" s="11"/>
      <c r="S124" s="10"/>
    </row>
    <row r="125" spans="2:19" s="6" customFormat="1" ht="16.5" customHeight="1">
      <c r="B125" s="10" t="str">
        <f>IF(C125="","",COUNTA($C$2:C125))</f>
        <v/>
      </c>
      <c r="C125" s="11"/>
      <c r="D125" s="10" t="str">
        <f t="shared" si="9"/>
        <v/>
      </c>
      <c r="H125" s="4"/>
      <c r="I125" s="6" t="str">
        <f t="shared" ca="1" si="10"/>
        <v/>
      </c>
      <c r="J125" s="13" t="str">
        <f t="shared" ca="1" si="11"/>
        <v/>
      </c>
      <c r="K125" s="11"/>
      <c r="L125" s="11"/>
      <c r="M125" s="10"/>
      <c r="N125" s="10"/>
      <c r="Q125" s="11"/>
      <c r="R125" s="11"/>
      <c r="S125" s="10"/>
    </row>
    <row r="126" spans="2:19" s="6" customFormat="1" ht="16.5" customHeight="1">
      <c r="B126" s="10" t="str">
        <f>IF(C126="","",COUNTA($C$2:C126))</f>
        <v/>
      </c>
      <c r="C126" s="11"/>
      <c r="D126" s="10" t="str">
        <f t="shared" si="9"/>
        <v/>
      </c>
      <c r="H126" s="4"/>
      <c r="I126" s="6" t="str">
        <f t="shared" ca="1" si="10"/>
        <v/>
      </c>
      <c r="J126" s="13" t="str">
        <f t="shared" ca="1" si="11"/>
        <v/>
      </c>
      <c r="K126" s="11"/>
      <c r="L126" s="11"/>
      <c r="M126" s="10"/>
      <c r="N126" s="10"/>
      <c r="Q126" s="11"/>
      <c r="R126" s="11"/>
      <c r="S126" s="10"/>
    </row>
    <row r="127" spans="2:19" s="6" customFormat="1" ht="16.5" customHeight="1">
      <c r="B127" s="10" t="str">
        <f>IF(C127="","",COUNTA($C$2:C127))</f>
        <v/>
      </c>
      <c r="C127" s="11"/>
      <c r="D127" s="10" t="str">
        <f t="shared" si="9"/>
        <v/>
      </c>
      <c r="H127" s="4"/>
      <c r="I127" s="6" t="str">
        <f t="shared" ca="1" si="10"/>
        <v/>
      </c>
      <c r="J127" s="13" t="str">
        <f t="shared" ca="1" si="11"/>
        <v/>
      </c>
      <c r="K127" s="11"/>
      <c r="L127" s="11"/>
      <c r="M127" s="10"/>
      <c r="N127" s="10"/>
      <c r="Q127" s="11"/>
      <c r="R127" s="11"/>
      <c r="S127" s="10"/>
    </row>
    <row r="128" spans="2:19" s="6" customFormat="1" ht="16.5" customHeight="1">
      <c r="B128" s="10" t="str">
        <f>IF(C128="","",COUNTA($C$2:C128))</f>
        <v/>
      </c>
      <c r="C128" s="11"/>
      <c r="D128" s="10" t="str">
        <f t="shared" si="9"/>
        <v/>
      </c>
      <c r="H128" s="4"/>
      <c r="I128" s="6" t="str">
        <f t="shared" ca="1" si="10"/>
        <v/>
      </c>
      <c r="J128" s="13" t="str">
        <f t="shared" ca="1" si="11"/>
        <v/>
      </c>
      <c r="K128" s="11"/>
      <c r="L128" s="11"/>
      <c r="M128" s="10"/>
      <c r="N128" s="10"/>
      <c r="Q128" s="11"/>
      <c r="R128" s="11"/>
      <c r="S128" s="10"/>
    </row>
    <row r="129" spans="2:19" s="6" customFormat="1" ht="16.5" customHeight="1">
      <c r="B129" s="10" t="str">
        <f>IF(C129="","",COUNTA($C$2:C129))</f>
        <v/>
      </c>
      <c r="C129" s="11"/>
      <c r="D129" s="10" t="str">
        <f t="shared" si="9"/>
        <v/>
      </c>
      <c r="H129" s="4"/>
      <c r="I129" s="6" t="str">
        <f t="shared" ca="1" si="10"/>
        <v/>
      </c>
      <c r="J129" s="13" t="str">
        <f t="shared" ca="1" si="11"/>
        <v/>
      </c>
      <c r="K129" s="11"/>
      <c r="L129" s="11"/>
      <c r="M129" s="10"/>
      <c r="N129" s="10"/>
      <c r="Q129" s="11"/>
      <c r="R129" s="11"/>
      <c r="S129" s="10"/>
    </row>
    <row r="130" spans="2:19" s="6" customFormat="1" ht="16.5" customHeight="1">
      <c r="B130" s="10" t="str">
        <f>IF(C130="","",COUNTA($C$2:C130))</f>
        <v/>
      </c>
      <c r="C130" s="11"/>
      <c r="D130" s="10" t="str">
        <f t="shared" si="9"/>
        <v/>
      </c>
      <c r="H130" s="4"/>
      <c r="I130" s="6" t="str">
        <f t="shared" ca="1" si="10"/>
        <v/>
      </c>
      <c r="J130" s="13" t="str">
        <f t="shared" ca="1" si="11"/>
        <v/>
      </c>
      <c r="K130" s="11"/>
      <c r="L130" s="11"/>
      <c r="M130" s="10"/>
      <c r="N130" s="10"/>
      <c r="Q130" s="11"/>
      <c r="R130" s="11"/>
      <c r="S130" s="10"/>
    </row>
    <row r="131" spans="2:19" s="6" customFormat="1" ht="16.5" customHeight="1">
      <c r="B131" s="10" t="str">
        <f>IF(C131="","",COUNTA($C$2:C131))</f>
        <v/>
      </c>
      <c r="C131" s="11"/>
      <c r="D131" s="10" t="str">
        <f t="shared" si="9"/>
        <v/>
      </c>
      <c r="H131" s="4"/>
      <c r="I131" s="6" t="str">
        <f t="shared" ca="1" si="10"/>
        <v/>
      </c>
      <c r="J131" s="13" t="str">
        <f t="shared" ca="1" si="11"/>
        <v/>
      </c>
      <c r="K131" s="11"/>
      <c r="L131" s="11"/>
      <c r="M131" s="10"/>
      <c r="N131" s="10"/>
      <c r="Q131" s="11"/>
      <c r="R131" s="11"/>
      <c r="S131" s="10"/>
    </row>
    <row r="132" spans="2:19" s="6" customFormat="1" ht="16.5" customHeight="1">
      <c r="B132" s="10" t="str">
        <f>IF(C132="","",COUNTA($C$2:C132))</f>
        <v/>
      </c>
      <c r="C132" s="11"/>
      <c r="D132" s="10" t="str">
        <f t="shared" si="9"/>
        <v/>
      </c>
      <c r="H132" s="4"/>
      <c r="I132" s="6" t="str">
        <f t="shared" ca="1" si="10"/>
        <v/>
      </c>
      <c r="J132" s="13"/>
      <c r="K132" s="11"/>
      <c r="L132" s="11"/>
      <c r="M132" s="10"/>
      <c r="N132" s="10"/>
      <c r="Q132" s="11"/>
      <c r="R132" s="11"/>
      <c r="S132" s="10"/>
    </row>
    <row r="133" spans="2:19" s="6" customFormat="1" ht="16.5" customHeight="1">
      <c r="B133" s="10" t="str">
        <f>IF(C133="","",COUNTA($C$2:C133))</f>
        <v/>
      </c>
      <c r="C133" s="11"/>
      <c r="D133" s="10" t="str">
        <f t="shared" si="9"/>
        <v/>
      </c>
      <c r="H133" s="4"/>
      <c r="I133" s="6" t="str">
        <f t="shared" ca="1" si="10"/>
        <v/>
      </c>
      <c r="J133" s="13"/>
      <c r="K133" s="11"/>
      <c r="L133" s="11"/>
      <c r="M133" s="10"/>
      <c r="N133" s="10"/>
      <c r="Q133" s="11"/>
      <c r="R133" s="11"/>
      <c r="S133" s="10"/>
    </row>
    <row r="134" spans="2:19" s="6" customFormat="1" ht="16.5" customHeight="1">
      <c r="B134" s="10" t="str">
        <f>IF(C134="","",COUNTA($C$2:C134))</f>
        <v/>
      </c>
      <c r="C134" s="11"/>
      <c r="D134" s="10" t="str">
        <f t="shared" si="9"/>
        <v/>
      </c>
      <c r="H134" s="4"/>
      <c r="I134" s="6" t="str">
        <f t="shared" ca="1" si="10"/>
        <v/>
      </c>
      <c r="J134" s="13"/>
      <c r="K134" s="11"/>
      <c r="L134" s="11"/>
      <c r="M134" s="10"/>
      <c r="N134" s="10"/>
      <c r="Q134" s="11"/>
      <c r="R134" s="11"/>
      <c r="S134" s="10"/>
    </row>
    <row r="135" spans="2:19" s="6" customFormat="1" ht="16.5" customHeight="1">
      <c r="B135" s="10" t="str">
        <f>IF(C135="","",COUNTA($C$2:C135))</f>
        <v/>
      </c>
      <c r="C135" s="11"/>
      <c r="D135" s="10" t="str">
        <f t="shared" si="9"/>
        <v/>
      </c>
      <c r="H135" s="4"/>
      <c r="I135" s="6" t="str">
        <f t="shared" ca="1" si="10"/>
        <v/>
      </c>
      <c r="J135" s="13"/>
      <c r="K135" s="11"/>
      <c r="L135" s="11"/>
      <c r="M135" s="10"/>
      <c r="N135" s="10"/>
      <c r="Q135" s="11"/>
      <c r="R135" s="11"/>
      <c r="S135" s="10"/>
    </row>
    <row r="136" spans="2:19" s="6" customFormat="1" ht="16.5" customHeight="1">
      <c r="B136" s="10" t="str">
        <f>IF(C136="","",COUNTA($C$2:C136))</f>
        <v/>
      </c>
      <c r="C136" s="11"/>
      <c r="D136" s="10" t="str">
        <f t="shared" si="9"/>
        <v/>
      </c>
      <c r="H136" s="4"/>
      <c r="I136" s="6" t="str">
        <f t="shared" ca="1" si="10"/>
        <v/>
      </c>
      <c r="J136" s="13"/>
      <c r="K136" s="11"/>
      <c r="L136" s="11"/>
      <c r="M136" s="10"/>
      <c r="N136" s="10"/>
      <c r="Q136" s="11"/>
      <c r="R136" s="11"/>
      <c r="S136" s="10"/>
    </row>
    <row r="137" spans="2:19" s="6" customFormat="1" ht="16.5" customHeight="1">
      <c r="B137" s="10" t="str">
        <f>IF(C137="","",COUNTA($C$2:C137))</f>
        <v/>
      </c>
      <c r="C137" s="11"/>
      <c r="D137" s="10" t="str">
        <f t="shared" si="9"/>
        <v/>
      </c>
      <c r="H137" s="4"/>
      <c r="I137" s="6" t="str">
        <f t="shared" ca="1" si="10"/>
        <v/>
      </c>
      <c r="J137" s="13"/>
      <c r="K137" s="11"/>
      <c r="L137" s="11"/>
      <c r="M137" s="10"/>
      <c r="N137" s="10"/>
      <c r="Q137" s="11"/>
      <c r="R137" s="11"/>
      <c r="S137" s="10"/>
    </row>
    <row r="138" spans="2:19" s="6" customFormat="1" ht="16.5" customHeight="1">
      <c r="B138" s="10" t="str">
        <f>IF(C138="","",COUNTA($C$2:C138))</f>
        <v/>
      </c>
      <c r="C138" s="11"/>
      <c r="D138" s="10" t="str">
        <f t="shared" si="9"/>
        <v/>
      </c>
      <c r="H138" s="4"/>
      <c r="I138" s="6" t="str">
        <f t="shared" ca="1" si="10"/>
        <v/>
      </c>
      <c r="J138" s="13"/>
      <c r="K138" s="11"/>
      <c r="L138" s="11"/>
      <c r="M138" s="10"/>
      <c r="N138" s="10"/>
      <c r="Q138" s="11"/>
      <c r="R138" s="11"/>
      <c r="S138" s="10"/>
    </row>
    <row r="139" spans="2:19" s="6" customFormat="1" ht="16.5" customHeight="1">
      <c r="B139" s="10" t="str">
        <f>IF(C139="","",COUNTA($C$2:C139))</f>
        <v/>
      </c>
      <c r="C139" s="11"/>
      <c r="D139" s="10" t="str">
        <f t="shared" si="9"/>
        <v/>
      </c>
      <c r="H139" s="4"/>
      <c r="I139" s="6" t="str">
        <f t="shared" ca="1" si="10"/>
        <v/>
      </c>
      <c r="J139" s="13"/>
      <c r="K139" s="11"/>
      <c r="L139" s="11"/>
      <c r="M139" s="10"/>
      <c r="N139" s="10"/>
      <c r="Q139" s="11"/>
      <c r="R139" s="11"/>
      <c r="S139" s="10"/>
    </row>
    <row r="140" spans="2:19" s="6" customFormat="1" ht="16.5" customHeight="1">
      <c r="B140" s="10" t="str">
        <f>IF(C140="","",COUNTA($C$2:C140))</f>
        <v/>
      </c>
      <c r="C140" s="11"/>
      <c r="D140" s="10" t="str">
        <f t="shared" si="9"/>
        <v/>
      </c>
      <c r="H140" s="4"/>
      <c r="I140" s="6" t="str">
        <f t="shared" ca="1" si="10"/>
        <v/>
      </c>
      <c r="J140" s="13"/>
      <c r="K140" s="11"/>
      <c r="L140" s="11"/>
      <c r="M140" s="10"/>
      <c r="N140" s="10"/>
      <c r="Q140" s="11"/>
      <c r="R140" s="11"/>
      <c r="S140" s="10"/>
    </row>
    <row r="141" spans="2:19" s="6" customFormat="1" ht="16.5" customHeight="1">
      <c r="B141" s="10" t="str">
        <f>IF(C141="","",COUNTA($C$2:C141))</f>
        <v/>
      </c>
      <c r="C141" s="11"/>
      <c r="D141" s="10" t="str">
        <f t="shared" ref="D141:D204" si="12">IF(G141="","",IF(OR(G141="선급금",G141="중도금",G141="잔금"),"A",IF(G141="자재","B",IF(G141="특허료","C",""))))</f>
        <v/>
      </c>
      <c r="H141" s="4"/>
      <c r="I141" s="6" t="str">
        <f t="shared" ref="I141:I204" ca="1" si="13">IF(C141="","",IF(L141="",TODAY()-C141,L141-C141))</f>
        <v/>
      </c>
      <c r="J141" s="13"/>
      <c r="K141" s="11"/>
      <c r="L141" s="11"/>
      <c r="M141" s="10"/>
      <c r="N141" s="10"/>
      <c r="Q141" s="11"/>
      <c r="R141" s="11"/>
      <c r="S141" s="10"/>
    </row>
    <row r="142" spans="2:19" s="6" customFormat="1" ht="16.5" customHeight="1">
      <c r="B142" s="10" t="str">
        <f>IF(C142="","",COUNTA($C$2:C142))</f>
        <v/>
      </c>
      <c r="C142" s="11"/>
      <c r="D142" s="10" t="str">
        <f t="shared" si="12"/>
        <v/>
      </c>
      <c r="H142" s="4"/>
      <c r="I142" s="6" t="str">
        <f t="shared" ca="1" si="13"/>
        <v/>
      </c>
      <c r="J142" s="13"/>
      <c r="K142" s="11"/>
      <c r="L142" s="11"/>
      <c r="M142" s="10"/>
      <c r="N142" s="10"/>
      <c r="Q142" s="11"/>
      <c r="R142" s="11"/>
      <c r="S142" s="10"/>
    </row>
    <row r="143" spans="2:19" s="6" customFormat="1" ht="16.5" customHeight="1">
      <c r="B143" s="10" t="str">
        <f>IF(C143="","",COUNTA($C$2:C143))</f>
        <v/>
      </c>
      <c r="C143" s="11"/>
      <c r="D143" s="10" t="str">
        <f t="shared" si="12"/>
        <v/>
      </c>
      <c r="H143" s="4"/>
      <c r="I143" s="6" t="str">
        <f t="shared" ca="1" si="13"/>
        <v/>
      </c>
      <c r="J143" s="13"/>
      <c r="K143" s="11"/>
      <c r="L143" s="11"/>
      <c r="M143" s="10"/>
      <c r="N143" s="10"/>
      <c r="Q143" s="11"/>
      <c r="R143" s="11"/>
      <c r="S143" s="10"/>
    </row>
    <row r="144" spans="2:19" s="6" customFormat="1" ht="16.5" customHeight="1">
      <c r="B144" s="10" t="str">
        <f>IF(C144="","",COUNTA($C$2:C144))</f>
        <v/>
      </c>
      <c r="C144" s="11"/>
      <c r="D144" s="10" t="str">
        <f t="shared" si="12"/>
        <v/>
      </c>
      <c r="H144" s="4"/>
      <c r="I144" s="6" t="str">
        <f t="shared" ca="1" si="13"/>
        <v/>
      </c>
      <c r="J144" s="13"/>
      <c r="K144" s="11"/>
      <c r="L144" s="11"/>
      <c r="M144" s="10"/>
      <c r="N144" s="10"/>
      <c r="Q144" s="11"/>
      <c r="R144" s="11"/>
      <c r="S144" s="10"/>
    </row>
    <row r="145" spans="2:19" s="6" customFormat="1" ht="16.5" customHeight="1">
      <c r="B145" s="10" t="str">
        <f>IF(C145="","",COUNTA($C$2:C145))</f>
        <v/>
      </c>
      <c r="C145" s="11"/>
      <c r="D145" s="10" t="str">
        <f t="shared" si="12"/>
        <v/>
      </c>
      <c r="H145" s="4"/>
      <c r="I145" s="6" t="str">
        <f t="shared" ca="1" si="13"/>
        <v/>
      </c>
      <c r="J145" s="13"/>
      <c r="K145" s="11"/>
      <c r="L145" s="11"/>
      <c r="M145" s="10"/>
      <c r="N145" s="10"/>
      <c r="Q145" s="11"/>
      <c r="R145" s="11"/>
      <c r="S145" s="10"/>
    </row>
    <row r="146" spans="2:19" s="6" customFormat="1" ht="16.5" customHeight="1">
      <c r="B146" s="10" t="str">
        <f>IF(C146="","",COUNTA($C$2:C146))</f>
        <v/>
      </c>
      <c r="C146" s="11"/>
      <c r="D146" s="10" t="str">
        <f t="shared" si="12"/>
        <v/>
      </c>
      <c r="H146" s="4"/>
      <c r="I146" s="6" t="str">
        <f t="shared" ca="1" si="13"/>
        <v/>
      </c>
      <c r="J146" s="13"/>
      <c r="K146" s="11"/>
      <c r="L146" s="11"/>
      <c r="M146" s="10"/>
      <c r="N146" s="10"/>
      <c r="Q146" s="11"/>
      <c r="R146" s="11"/>
      <c r="S146" s="10"/>
    </row>
    <row r="147" spans="2:19" s="6" customFormat="1" ht="16.5" customHeight="1">
      <c r="B147" s="10" t="str">
        <f>IF(C147="","",COUNTA($C$2:C147))</f>
        <v/>
      </c>
      <c r="C147" s="11"/>
      <c r="D147" s="10" t="str">
        <f t="shared" si="12"/>
        <v/>
      </c>
      <c r="H147" s="4"/>
      <c r="I147" s="6" t="str">
        <f t="shared" ca="1" si="13"/>
        <v/>
      </c>
      <c r="J147" s="13"/>
      <c r="K147" s="11"/>
      <c r="L147" s="11"/>
      <c r="M147" s="10"/>
      <c r="N147" s="10"/>
      <c r="Q147" s="11"/>
      <c r="R147" s="11"/>
      <c r="S147" s="10"/>
    </row>
    <row r="148" spans="2:19" s="6" customFormat="1" ht="16.5" customHeight="1">
      <c r="B148" s="10" t="str">
        <f>IF(C148="","",COUNTA($C$2:C148))</f>
        <v/>
      </c>
      <c r="C148" s="11"/>
      <c r="D148" s="10" t="str">
        <f t="shared" si="12"/>
        <v/>
      </c>
      <c r="H148" s="4"/>
      <c r="I148" s="6" t="str">
        <f t="shared" ca="1" si="13"/>
        <v/>
      </c>
      <c r="J148" s="13"/>
      <c r="K148" s="11"/>
      <c r="L148" s="11"/>
      <c r="M148" s="10"/>
      <c r="N148" s="10"/>
      <c r="Q148" s="11"/>
      <c r="R148" s="11"/>
      <c r="S148" s="10"/>
    </row>
    <row r="149" spans="2:19" s="6" customFormat="1" ht="16.5" customHeight="1">
      <c r="B149" s="10" t="str">
        <f>IF(C149="","",COUNTA($C$2:C149))</f>
        <v/>
      </c>
      <c r="C149" s="11"/>
      <c r="D149" s="10" t="str">
        <f t="shared" si="12"/>
        <v/>
      </c>
      <c r="H149" s="4"/>
      <c r="I149" s="6" t="str">
        <f t="shared" ca="1" si="13"/>
        <v/>
      </c>
      <c r="J149" s="13"/>
      <c r="K149" s="11"/>
      <c r="L149" s="11"/>
      <c r="M149" s="10"/>
      <c r="N149" s="10"/>
      <c r="Q149" s="11"/>
      <c r="R149" s="11"/>
      <c r="S149" s="10"/>
    </row>
    <row r="150" spans="2:19" s="6" customFormat="1" ht="16.5" customHeight="1">
      <c r="B150" s="10" t="str">
        <f>IF(C150="","",COUNTA($C$2:C150))</f>
        <v/>
      </c>
      <c r="C150" s="11"/>
      <c r="D150" s="10" t="str">
        <f t="shared" si="12"/>
        <v/>
      </c>
      <c r="H150" s="4"/>
      <c r="I150" s="6" t="str">
        <f t="shared" ca="1" si="13"/>
        <v/>
      </c>
      <c r="J150" s="13"/>
      <c r="K150" s="11"/>
      <c r="L150" s="11"/>
      <c r="M150" s="10"/>
      <c r="N150" s="10"/>
      <c r="Q150" s="11"/>
      <c r="R150" s="11"/>
      <c r="S150" s="10"/>
    </row>
    <row r="151" spans="2:19" s="6" customFormat="1" ht="16.5" customHeight="1">
      <c r="B151" s="10" t="str">
        <f>IF(C151="","",COUNTA($C$2:C151))</f>
        <v/>
      </c>
      <c r="C151" s="11"/>
      <c r="D151" s="10" t="str">
        <f t="shared" si="12"/>
        <v/>
      </c>
      <c r="H151" s="4"/>
      <c r="I151" s="6" t="str">
        <f t="shared" ca="1" si="13"/>
        <v/>
      </c>
      <c r="J151" s="13"/>
      <c r="K151" s="11"/>
      <c r="L151" s="11"/>
      <c r="M151" s="10"/>
      <c r="N151" s="10"/>
      <c r="Q151" s="11"/>
      <c r="R151" s="11"/>
      <c r="S151" s="10"/>
    </row>
    <row r="152" spans="2:19" s="6" customFormat="1" ht="16.5" customHeight="1">
      <c r="B152" s="10" t="str">
        <f>IF(C152="","",COUNTA($C$2:C152))</f>
        <v/>
      </c>
      <c r="C152" s="11"/>
      <c r="D152" s="10" t="str">
        <f t="shared" si="12"/>
        <v/>
      </c>
      <c r="H152" s="4"/>
      <c r="I152" s="6" t="str">
        <f t="shared" ca="1" si="13"/>
        <v/>
      </c>
      <c r="J152" s="13"/>
      <c r="K152" s="11"/>
      <c r="L152" s="11"/>
      <c r="M152" s="10"/>
      <c r="N152" s="10"/>
      <c r="Q152" s="11"/>
      <c r="R152" s="11"/>
      <c r="S152" s="10"/>
    </row>
    <row r="153" spans="2:19" s="6" customFormat="1" ht="16.5" customHeight="1">
      <c r="B153" s="10" t="str">
        <f>IF(C153="","",COUNTA($C$2:C153))</f>
        <v/>
      </c>
      <c r="C153" s="11"/>
      <c r="D153" s="10" t="str">
        <f t="shared" si="12"/>
        <v/>
      </c>
      <c r="H153" s="4"/>
      <c r="I153" s="6" t="str">
        <f t="shared" ca="1" si="13"/>
        <v/>
      </c>
      <c r="J153" s="13"/>
      <c r="K153" s="11"/>
      <c r="L153" s="11"/>
      <c r="M153" s="10"/>
      <c r="N153" s="10"/>
      <c r="Q153" s="11"/>
      <c r="R153" s="11"/>
      <c r="S153" s="10"/>
    </row>
    <row r="154" spans="2:19" s="6" customFormat="1" ht="16.5" customHeight="1">
      <c r="B154" s="10" t="str">
        <f>IF(C154="","",COUNTA($C$2:C154))</f>
        <v/>
      </c>
      <c r="C154" s="11"/>
      <c r="D154" s="10" t="str">
        <f t="shared" si="12"/>
        <v/>
      </c>
      <c r="H154" s="4"/>
      <c r="I154" s="6" t="str">
        <f t="shared" ca="1" si="13"/>
        <v/>
      </c>
      <c r="J154" s="13"/>
      <c r="K154" s="11"/>
      <c r="L154" s="11"/>
      <c r="M154" s="10"/>
      <c r="N154" s="10"/>
      <c r="Q154" s="11"/>
      <c r="R154" s="11"/>
      <c r="S154" s="10"/>
    </row>
    <row r="155" spans="2:19" s="6" customFormat="1" ht="16.5" customHeight="1">
      <c r="B155" s="10" t="str">
        <f>IF(C155="","",COUNTA($C$2:C155))</f>
        <v/>
      </c>
      <c r="C155" s="11"/>
      <c r="D155" s="10" t="str">
        <f t="shared" si="12"/>
        <v/>
      </c>
      <c r="H155" s="4"/>
      <c r="I155" s="6" t="str">
        <f t="shared" ca="1" si="13"/>
        <v/>
      </c>
      <c r="J155" s="13"/>
      <c r="K155" s="11"/>
      <c r="L155" s="11"/>
      <c r="M155" s="10"/>
      <c r="N155" s="10"/>
      <c r="Q155" s="11"/>
      <c r="R155" s="11"/>
      <c r="S155" s="10"/>
    </row>
    <row r="156" spans="2:19" s="6" customFormat="1" ht="16.5" customHeight="1">
      <c r="B156" s="10" t="str">
        <f>IF(C156="","",COUNTA($C$2:C156))</f>
        <v/>
      </c>
      <c r="C156" s="11"/>
      <c r="D156" s="10" t="str">
        <f t="shared" si="12"/>
        <v/>
      </c>
      <c r="H156" s="4"/>
      <c r="I156" s="6" t="str">
        <f t="shared" ca="1" si="13"/>
        <v/>
      </c>
      <c r="J156" s="13"/>
      <c r="K156" s="11"/>
      <c r="L156" s="11"/>
      <c r="M156" s="10"/>
      <c r="N156" s="10"/>
      <c r="Q156" s="11"/>
      <c r="R156" s="11"/>
      <c r="S156" s="10"/>
    </row>
    <row r="157" spans="2:19" s="6" customFormat="1" ht="16.5" customHeight="1">
      <c r="B157" s="10" t="str">
        <f>IF(C157="","",COUNTA($C$2:C157))</f>
        <v/>
      </c>
      <c r="C157" s="11"/>
      <c r="D157" s="10" t="str">
        <f t="shared" si="12"/>
        <v/>
      </c>
      <c r="H157" s="4"/>
      <c r="I157" s="6" t="str">
        <f t="shared" ca="1" si="13"/>
        <v/>
      </c>
      <c r="J157" s="13"/>
      <c r="K157" s="11"/>
      <c r="L157" s="11"/>
      <c r="M157" s="10"/>
      <c r="N157" s="10"/>
      <c r="Q157" s="11"/>
      <c r="R157" s="11"/>
      <c r="S157" s="10"/>
    </row>
    <row r="158" spans="2:19" s="6" customFormat="1" ht="16.5" customHeight="1">
      <c r="B158" s="10" t="str">
        <f>IF(C158="","",COUNTA($C$2:C158))</f>
        <v/>
      </c>
      <c r="C158" s="11"/>
      <c r="D158" s="10" t="str">
        <f t="shared" si="12"/>
        <v/>
      </c>
      <c r="H158" s="4"/>
      <c r="I158" s="6" t="str">
        <f t="shared" ca="1" si="13"/>
        <v/>
      </c>
      <c r="J158" s="13"/>
      <c r="K158" s="11"/>
      <c r="L158" s="11"/>
      <c r="M158" s="10"/>
      <c r="N158" s="10"/>
      <c r="Q158" s="11"/>
      <c r="R158" s="11"/>
      <c r="S158" s="10"/>
    </row>
    <row r="159" spans="2:19" s="6" customFormat="1" ht="16.5" customHeight="1">
      <c r="B159" s="10" t="str">
        <f>IF(C159="","",COUNTA($C$2:C159))</f>
        <v/>
      </c>
      <c r="C159" s="11"/>
      <c r="D159" s="10" t="str">
        <f t="shared" si="12"/>
        <v/>
      </c>
      <c r="H159" s="4"/>
      <c r="I159" s="6" t="str">
        <f t="shared" ca="1" si="13"/>
        <v/>
      </c>
      <c r="J159" s="13"/>
      <c r="K159" s="11"/>
      <c r="L159" s="11"/>
      <c r="M159" s="10"/>
      <c r="N159" s="10"/>
      <c r="Q159" s="11"/>
      <c r="R159" s="11"/>
      <c r="S159" s="10"/>
    </row>
    <row r="160" spans="2:19" s="6" customFormat="1" ht="16.5" customHeight="1">
      <c r="B160" s="10" t="str">
        <f>IF(C160="","",COUNTA($C$2:C160))</f>
        <v/>
      </c>
      <c r="C160" s="11"/>
      <c r="D160" s="10" t="str">
        <f t="shared" si="12"/>
        <v/>
      </c>
      <c r="H160" s="4"/>
      <c r="I160" s="6" t="str">
        <f t="shared" ca="1" si="13"/>
        <v/>
      </c>
      <c r="J160" s="13"/>
      <c r="K160" s="11"/>
      <c r="L160" s="11"/>
      <c r="M160" s="10"/>
      <c r="N160" s="10"/>
      <c r="Q160" s="11"/>
      <c r="R160" s="11"/>
      <c r="S160" s="10"/>
    </row>
    <row r="161" spans="2:19" s="6" customFormat="1" ht="16.5" customHeight="1">
      <c r="B161" s="10" t="str">
        <f>IF(C161="","",COUNTA($C$2:C161))</f>
        <v/>
      </c>
      <c r="C161" s="11"/>
      <c r="D161" s="10" t="str">
        <f t="shared" si="12"/>
        <v/>
      </c>
      <c r="H161" s="4"/>
      <c r="I161" s="6" t="str">
        <f t="shared" ca="1" si="13"/>
        <v/>
      </c>
      <c r="J161" s="13"/>
      <c r="K161" s="11"/>
      <c r="L161" s="11"/>
      <c r="M161" s="10"/>
      <c r="N161" s="10"/>
      <c r="Q161" s="11"/>
      <c r="R161" s="11"/>
      <c r="S161" s="10"/>
    </row>
    <row r="162" spans="2:19" s="6" customFormat="1" ht="16.5" customHeight="1">
      <c r="B162" s="10" t="str">
        <f>IF(C162="","",COUNTA($C$2:C162))</f>
        <v/>
      </c>
      <c r="C162" s="11"/>
      <c r="D162" s="10" t="str">
        <f t="shared" si="12"/>
        <v/>
      </c>
      <c r="H162" s="4"/>
      <c r="I162" s="6" t="str">
        <f t="shared" ca="1" si="13"/>
        <v/>
      </c>
      <c r="J162" s="13"/>
      <c r="K162" s="11"/>
      <c r="L162" s="11"/>
      <c r="M162" s="10"/>
      <c r="N162" s="10"/>
      <c r="Q162" s="11"/>
      <c r="R162" s="11"/>
      <c r="S162" s="10"/>
    </row>
    <row r="163" spans="2:19" s="6" customFormat="1" ht="16.5" customHeight="1">
      <c r="B163" s="10" t="str">
        <f>IF(C163="","",COUNTA($C$2:C163))</f>
        <v/>
      </c>
      <c r="C163" s="11"/>
      <c r="D163" s="10" t="str">
        <f t="shared" si="12"/>
        <v/>
      </c>
      <c r="H163" s="4"/>
      <c r="I163" s="6" t="str">
        <f t="shared" ca="1" si="13"/>
        <v/>
      </c>
      <c r="J163" s="13"/>
      <c r="K163" s="11"/>
      <c r="L163" s="11"/>
      <c r="M163" s="10"/>
      <c r="N163" s="10"/>
      <c r="Q163" s="11"/>
      <c r="R163" s="11"/>
      <c r="S163" s="10"/>
    </row>
    <row r="164" spans="2:19" s="6" customFormat="1" ht="16.5" customHeight="1">
      <c r="B164" s="10" t="str">
        <f>IF(C164="","",COUNTA($C$2:C164))</f>
        <v/>
      </c>
      <c r="C164" s="11"/>
      <c r="D164" s="10" t="str">
        <f t="shared" si="12"/>
        <v/>
      </c>
      <c r="H164" s="4"/>
      <c r="I164" s="6" t="str">
        <f t="shared" ca="1" si="13"/>
        <v/>
      </c>
      <c r="J164" s="13"/>
      <c r="K164" s="11"/>
      <c r="L164" s="11"/>
      <c r="M164" s="10"/>
      <c r="N164" s="10"/>
      <c r="Q164" s="11"/>
      <c r="R164" s="11"/>
      <c r="S164" s="10"/>
    </row>
    <row r="165" spans="2:19" s="6" customFormat="1" ht="16.5" customHeight="1">
      <c r="B165" s="10" t="str">
        <f>IF(C165="","",COUNTA($C$2:C165))</f>
        <v/>
      </c>
      <c r="C165" s="11"/>
      <c r="D165" s="10" t="str">
        <f t="shared" si="12"/>
        <v/>
      </c>
      <c r="H165" s="4"/>
      <c r="I165" s="6" t="str">
        <f t="shared" ca="1" si="13"/>
        <v/>
      </c>
      <c r="J165" s="13"/>
      <c r="K165" s="11"/>
      <c r="L165" s="11"/>
      <c r="M165" s="10"/>
      <c r="N165" s="10"/>
      <c r="Q165" s="11"/>
      <c r="R165" s="11"/>
      <c r="S165" s="10"/>
    </row>
    <row r="166" spans="2:19" s="6" customFormat="1" ht="16.5" customHeight="1">
      <c r="B166" s="10" t="str">
        <f>IF(C166="","",COUNTA($C$2:C166))</f>
        <v/>
      </c>
      <c r="C166" s="11"/>
      <c r="D166" s="10" t="str">
        <f t="shared" si="12"/>
        <v/>
      </c>
      <c r="H166" s="4"/>
      <c r="I166" s="6" t="str">
        <f t="shared" ca="1" si="13"/>
        <v/>
      </c>
      <c r="J166" s="13"/>
      <c r="K166" s="11"/>
      <c r="L166" s="11"/>
      <c r="M166" s="10"/>
      <c r="N166" s="10"/>
      <c r="Q166" s="11"/>
      <c r="R166" s="11"/>
      <c r="S166" s="10"/>
    </row>
    <row r="167" spans="2:19" s="6" customFormat="1" ht="16.5" customHeight="1">
      <c r="B167" s="10" t="str">
        <f>IF(C167="","",COUNTA($C$2:C167))</f>
        <v/>
      </c>
      <c r="C167" s="11"/>
      <c r="D167" s="10" t="str">
        <f t="shared" si="12"/>
        <v/>
      </c>
      <c r="H167" s="4"/>
      <c r="I167" s="6" t="str">
        <f t="shared" ca="1" si="13"/>
        <v/>
      </c>
      <c r="J167" s="13"/>
      <c r="K167" s="11"/>
      <c r="L167" s="11"/>
      <c r="M167" s="10"/>
      <c r="N167" s="10"/>
      <c r="Q167" s="11"/>
      <c r="R167" s="11"/>
      <c r="S167" s="10"/>
    </row>
    <row r="168" spans="2:19" s="6" customFormat="1" ht="16.5" customHeight="1">
      <c r="B168" s="10" t="str">
        <f>IF(C168="","",COUNTA($C$2:C168))</f>
        <v/>
      </c>
      <c r="C168" s="11"/>
      <c r="D168" s="10" t="str">
        <f t="shared" si="12"/>
        <v/>
      </c>
      <c r="H168" s="4"/>
      <c r="I168" s="6" t="str">
        <f t="shared" ca="1" si="13"/>
        <v/>
      </c>
      <c r="J168" s="13"/>
      <c r="K168" s="11"/>
      <c r="L168" s="11"/>
      <c r="M168" s="10"/>
      <c r="N168" s="10"/>
      <c r="Q168" s="11"/>
      <c r="R168" s="11"/>
      <c r="S168" s="10"/>
    </row>
    <row r="169" spans="2:19" s="6" customFormat="1" ht="16.5" customHeight="1">
      <c r="B169" s="10" t="str">
        <f>IF(C169="","",COUNTA($C$2:C169))</f>
        <v/>
      </c>
      <c r="C169" s="11"/>
      <c r="D169" s="10" t="str">
        <f t="shared" si="12"/>
        <v/>
      </c>
      <c r="H169" s="4"/>
      <c r="I169" s="6" t="str">
        <f t="shared" ca="1" si="13"/>
        <v/>
      </c>
      <c r="J169" s="13"/>
      <c r="K169" s="11"/>
      <c r="L169" s="11"/>
      <c r="M169" s="10"/>
      <c r="N169" s="10"/>
      <c r="Q169" s="11"/>
      <c r="R169" s="11"/>
      <c r="S169" s="10"/>
    </row>
    <row r="170" spans="2:19" s="6" customFormat="1" ht="16.5" customHeight="1">
      <c r="B170" s="10" t="str">
        <f>IF(C170="","",COUNTA($C$2:C170))</f>
        <v/>
      </c>
      <c r="C170" s="11"/>
      <c r="D170" s="10" t="str">
        <f t="shared" si="12"/>
        <v/>
      </c>
      <c r="H170" s="4"/>
      <c r="I170" s="6" t="str">
        <f t="shared" ca="1" si="13"/>
        <v/>
      </c>
      <c r="J170" s="13"/>
      <c r="K170" s="11"/>
      <c r="L170" s="11"/>
      <c r="M170" s="10"/>
      <c r="N170" s="10"/>
      <c r="Q170" s="11"/>
      <c r="R170" s="11"/>
      <c r="S170" s="10"/>
    </row>
    <row r="171" spans="2:19" s="6" customFormat="1" ht="16.5" customHeight="1">
      <c r="B171" s="10" t="str">
        <f>IF(C171="","",COUNTA($C$2:C171))</f>
        <v/>
      </c>
      <c r="C171" s="11"/>
      <c r="D171" s="10" t="str">
        <f t="shared" si="12"/>
        <v/>
      </c>
      <c r="H171" s="4"/>
      <c r="I171" s="6" t="str">
        <f t="shared" ca="1" si="13"/>
        <v/>
      </c>
      <c r="J171" s="13"/>
      <c r="K171" s="11"/>
      <c r="L171" s="11"/>
      <c r="M171" s="10"/>
      <c r="N171" s="10"/>
      <c r="Q171" s="11"/>
      <c r="R171" s="11"/>
      <c r="S171" s="10"/>
    </row>
    <row r="172" spans="2:19" s="6" customFormat="1" ht="16.5" customHeight="1">
      <c r="B172" s="10" t="str">
        <f>IF(C172="","",COUNTA($C$2:C172))</f>
        <v/>
      </c>
      <c r="C172" s="11"/>
      <c r="D172" s="10" t="str">
        <f t="shared" si="12"/>
        <v/>
      </c>
      <c r="H172" s="4"/>
      <c r="I172" s="6" t="str">
        <f t="shared" ca="1" si="13"/>
        <v/>
      </c>
      <c r="J172" s="13"/>
      <c r="K172" s="11"/>
      <c r="L172" s="11"/>
      <c r="M172" s="10"/>
      <c r="N172" s="10"/>
      <c r="Q172" s="11"/>
      <c r="R172" s="11"/>
      <c r="S172" s="10"/>
    </row>
    <row r="173" spans="2:19" s="6" customFormat="1" ht="16.5" customHeight="1">
      <c r="B173" s="10" t="str">
        <f>IF(C173="","",COUNTA($C$2:C173))</f>
        <v/>
      </c>
      <c r="C173" s="11"/>
      <c r="D173" s="10" t="str">
        <f t="shared" si="12"/>
        <v/>
      </c>
      <c r="H173" s="4"/>
      <c r="I173" s="6" t="str">
        <f t="shared" ca="1" si="13"/>
        <v/>
      </c>
      <c r="J173" s="13"/>
      <c r="K173" s="11"/>
      <c r="L173" s="11"/>
      <c r="M173" s="10"/>
      <c r="N173" s="10"/>
      <c r="Q173" s="11"/>
      <c r="R173" s="11"/>
      <c r="S173" s="10"/>
    </row>
    <row r="174" spans="2:19" s="6" customFormat="1" ht="16.5" customHeight="1">
      <c r="B174" s="10" t="str">
        <f>IF(C174="","",COUNTA($C$2:C174))</f>
        <v/>
      </c>
      <c r="C174" s="11"/>
      <c r="D174" s="10" t="str">
        <f t="shared" si="12"/>
        <v/>
      </c>
      <c r="H174" s="4"/>
      <c r="I174" s="6" t="str">
        <f t="shared" ca="1" si="13"/>
        <v/>
      </c>
      <c r="J174" s="13"/>
      <c r="K174" s="11"/>
      <c r="L174" s="11"/>
      <c r="M174" s="10"/>
      <c r="N174" s="10"/>
      <c r="Q174" s="11"/>
      <c r="R174" s="11"/>
      <c r="S174" s="10"/>
    </row>
    <row r="175" spans="2:19" s="6" customFormat="1" ht="16.5" customHeight="1">
      <c r="B175" s="10" t="str">
        <f>IF(C175="","",COUNTA($C$2:C175))</f>
        <v/>
      </c>
      <c r="C175" s="11"/>
      <c r="D175" s="10" t="str">
        <f t="shared" si="12"/>
        <v/>
      </c>
      <c r="H175" s="4"/>
      <c r="I175" s="6" t="str">
        <f t="shared" ca="1" si="13"/>
        <v/>
      </c>
      <c r="J175" s="13"/>
      <c r="K175" s="11"/>
      <c r="L175" s="11"/>
      <c r="M175" s="10"/>
      <c r="N175" s="10"/>
      <c r="Q175" s="11"/>
      <c r="R175" s="11"/>
      <c r="S175" s="10"/>
    </row>
    <row r="176" spans="2:19" s="6" customFormat="1" ht="16.5" customHeight="1">
      <c r="B176" s="10" t="str">
        <f>IF(C176="","",COUNTA($C$2:C176))</f>
        <v/>
      </c>
      <c r="C176" s="11"/>
      <c r="D176" s="10" t="str">
        <f t="shared" si="12"/>
        <v/>
      </c>
      <c r="H176" s="4"/>
      <c r="I176" s="6" t="str">
        <f t="shared" ca="1" si="13"/>
        <v/>
      </c>
      <c r="J176" s="13"/>
      <c r="K176" s="11"/>
      <c r="L176" s="11"/>
      <c r="M176" s="10"/>
      <c r="N176" s="10"/>
      <c r="Q176" s="11"/>
      <c r="R176" s="11"/>
      <c r="S176" s="10"/>
    </row>
    <row r="177" spans="2:19" s="6" customFormat="1" ht="16.5" customHeight="1">
      <c r="B177" s="10" t="str">
        <f>IF(C177="","",COUNTA($C$2:C177))</f>
        <v/>
      </c>
      <c r="C177" s="11"/>
      <c r="D177" s="10" t="str">
        <f t="shared" si="12"/>
        <v/>
      </c>
      <c r="H177" s="4"/>
      <c r="I177" s="6" t="str">
        <f t="shared" ca="1" si="13"/>
        <v/>
      </c>
      <c r="J177" s="13"/>
      <c r="K177" s="11"/>
      <c r="L177" s="11"/>
      <c r="M177" s="10"/>
      <c r="N177" s="10"/>
      <c r="Q177" s="11"/>
      <c r="R177" s="11"/>
      <c r="S177" s="10"/>
    </row>
    <row r="178" spans="2:19" s="6" customFormat="1" ht="16.5" customHeight="1">
      <c r="B178" s="10" t="str">
        <f>IF(C178="","",COUNTA($C$2:C178))</f>
        <v/>
      </c>
      <c r="C178" s="11"/>
      <c r="D178" s="10" t="str">
        <f t="shared" si="12"/>
        <v/>
      </c>
      <c r="H178" s="4"/>
      <c r="I178" s="6" t="str">
        <f t="shared" ca="1" si="13"/>
        <v/>
      </c>
      <c r="J178" s="13"/>
      <c r="K178" s="11"/>
      <c r="L178" s="11"/>
      <c r="M178" s="10"/>
      <c r="N178" s="10"/>
      <c r="Q178" s="11"/>
      <c r="R178" s="11"/>
      <c r="S178" s="10"/>
    </row>
    <row r="179" spans="2:19" s="6" customFormat="1" ht="16.5" customHeight="1">
      <c r="B179" s="10" t="str">
        <f>IF(C179="","",COUNTA($C$2:C179))</f>
        <v/>
      </c>
      <c r="C179" s="11"/>
      <c r="D179" s="10" t="str">
        <f t="shared" si="12"/>
        <v/>
      </c>
      <c r="H179" s="4"/>
      <c r="I179" s="6" t="str">
        <f t="shared" ca="1" si="13"/>
        <v/>
      </c>
      <c r="J179" s="13"/>
      <c r="K179" s="11"/>
      <c r="L179" s="11"/>
      <c r="M179" s="10"/>
      <c r="N179" s="10"/>
      <c r="Q179" s="11"/>
      <c r="R179" s="11"/>
      <c r="S179" s="10"/>
    </row>
    <row r="180" spans="2:19" s="6" customFormat="1" ht="16.5" customHeight="1">
      <c r="B180" s="10" t="str">
        <f>IF(C180="","",COUNTA($C$2:C180))</f>
        <v/>
      </c>
      <c r="C180" s="11"/>
      <c r="D180" s="10" t="str">
        <f t="shared" si="12"/>
        <v/>
      </c>
      <c r="H180" s="4"/>
      <c r="I180" s="6" t="str">
        <f t="shared" ca="1" si="13"/>
        <v/>
      </c>
      <c r="J180" s="13"/>
      <c r="K180" s="11"/>
      <c r="L180" s="11"/>
      <c r="M180" s="10"/>
      <c r="N180" s="10"/>
      <c r="Q180" s="11"/>
      <c r="R180" s="11"/>
      <c r="S180" s="10"/>
    </row>
    <row r="181" spans="2:19" s="6" customFormat="1" ht="16.5" customHeight="1">
      <c r="B181" s="10" t="str">
        <f>IF(C181="","",COUNTA($C$2:C181))</f>
        <v/>
      </c>
      <c r="C181" s="11"/>
      <c r="D181" s="10" t="str">
        <f t="shared" si="12"/>
        <v/>
      </c>
      <c r="H181" s="4"/>
      <c r="I181" s="6" t="str">
        <f t="shared" ca="1" si="13"/>
        <v/>
      </c>
      <c r="J181" s="13"/>
      <c r="K181" s="11"/>
      <c r="L181" s="11"/>
      <c r="M181" s="10"/>
      <c r="N181" s="10"/>
      <c r="Q181" s="11"/>
      <c r="R181" s="11"/>
      <c r="S181" s="10"/>
    </row>
    <row r="182" spans="2:19" s="6" customFormat="1" ht="16.5" customHeight="1">
      <c r="B182" s="10" t="str">
        <f>IF(C182="","",COUNTA($C$2:C182))</f>
        <v/>
      </c>
      <c r="C182" s="11"/>
      <c r="D182" s="10" t="str">
        <f t="shared" si="12"/>
        <v/>
      </c>
      <c r="H182" s="4"/>
      <c r="I182" s="6" t="str">
        <f t="shared" ca="1" si="13"/>
        <v/>
      </c>
      <c r="J182" s="13"/>
      <c r="K182" s="11"/>
      <c r="L182" s="11"/>
      <c r="M182" s="10"/>
      <c r="N182" s="10"/>
      <c r="Q182" s="11"/>
      <c r="R182" s="11"/>
      <c r="S182" s="10"/>
    </row>
    <row r="183" spans="2:19" s="6" customFormat="1" ht="16.5" customHeight="1">
      <c r="B183" s="10" t="str">
        <f>IF(C183="","",COUNTA($C$2:C183))</f>
        <v/>
      </c>
      <c r="C183" s="11"/>
      <c r="D183" s="10" t="str">
        <f t="shared" si="12"/>
        <v/>
      </c>
      <c r="H183" s="4"/>
      <c r="I183" s="6" t="str">
        <f t="shared" ca="1" si="13"/>
        <v/>
      </c>
      <c r="J183" s="13"/>
      <c r="K183" s="11"/>
      <c r="L183" s="11"/>
      <c r="M183" s="10"/>
      <c r="N183" s="10"/>
      <c r="Q183" s="11"/>
      <c r="R183" s="11"/>
      <c r="S183" s="10"/>
    </row>
    <row r="184" spans="2:19" s="6" customFormat="1" ht="16.5" customHeight="1">
      <c r="B184" s="10" t="str">
        <f>IF(C184="","",COUNTA($C$2:C184))</f>
        <v/>
      </c>
      <c r="C184" s="11"/>
      <c r="D184" s="10" t="str">
        <f t="shared" si="12"/>
        <v/>
      </c>
      <c r="H184" s="4"/>
      <c r="I184" s="6" t="str">
        <f t="shared" ca="1" si="13"/>
        <v/>
      </c>
      <c r="J184" s="13"/>
      <c r="K184" s="11"/>
      <c r="L184" s="11"/>
      <c r="M184" s="10"/>
      <c r="N184" s="10"/>
      <c r="Q184" s="11"/>
      <c r="R184" s="11"/>
      <c r="S184" s="10"/>
    </row>
    <row r="185" spans="2:19" s="6" customFormat="1" ht="16.5" customHeight="1">
      <c r="B185" s="10" t="str">
        <f>IF(C185="","",COUNTA($C$2:C185))</f>
        <v/>
      </c>
      <c r="C185" s="11"/>
      <c r="D185" s="10" t="str">
        <f t="shared" si="12"/>
        <v/>
      </c>
      <c r="H185" s="4"/>
      <c r="I185" s="6" t="str">
        <f t="shared" ca="1" si="13"/>
        <v/>
      </c>
      <c r="J185" s="13"/>
      <c r="K185" s="11"/>
      <c r="L185" s="11"/>
      <c r="M185" s="10"/>
      <c r="N185" s="10"/>
      <c r="Q185" s="11"/>
      <c r="R185" s="11"/>
      <c r="S185" s="10"/>
    </row>
    <row r="186" spans="2:19" s="6" customFormat="1" ht="16.5" customHeight="1">
      <c r="B186" s="10" t="str">
        <f>IF(C186="","",COUNTA($C$2:C186))</f>
        <v/>
      </c>
      <c r="C186" s="11"/>
      <c r="D186" s="10" t="str">
        <f t="shared" si="12"/>
        <v/>
      </c>
      <c r="H186" s="4"/>
      <c r="I186" s="6" t="str">
        <f t="shared" ca="1" si="13"/>
        <v/>
      </c>
      <c r="J186" s="13"/>
      <c r="K186" s="11"/>
      <c r="L186" s="11"/>
      <c r="M186" s="10"/>
      <c r="N186" s="10"/>
      <c r="Q186" s="11"/>
      <c r="R186" s="11"/>
      <c r="S186" s="10"/>
    </row>
    <row r="187" spans="2:19" s="6" customFormat="1" ht="16.5" customHeight="1">
      <c r="B187" s="10" t="str">
        <f>IF(C187="","",COUNTA($C$2:C187))</f>
        <v/>
      </c>
      <c r="C187" s="11"/>
      <c r="D187" s="10" t="str">
        <f t="shared" si="12"/>
        <v/>
      </c>
      <c r="H187" s="4"/>
      <c r="I187" s="6" t="str">
        <f t="shared" ca="1" si="13"/>
        <v/>
      </c>
      <c r="J187" s="13"/>
      <c r="K187" s="11"/>
      <c r="L187" s="11"/>
      <c r="M187" s="10"/>
      <c r="N187" s="10"/>
      <c r="Q187" s="11"/>
      <c r="R187" s="11"/>
      <c r="S187" s="10"/>
    </row>
    <row r="188" spans="2:19" s="6" customFormat="1" ht="16.5" customHeight="1">
      <c r="B188" s="10" t="str">
        <f>IF(C188="","",COUNTA($C$2:C188))</f>
        <v/>
      </c>
      <c r="C188" s="11"/>
      <c r="D188" s="10" t="str">
        <f t="shared" si="12"/>
        <v/>
      </c>
      <c r="H188" s="4"/>
      <c r="I188" s="6" t="str">
        <f t="shared" ca="1" si="13"/>
        <v/>
      </c>
      <c r="J188" s="13"/>
      <c r="K188" s="11"/>
      <c r="L188" s="11"/>
      <c r="M188" s="10"/>
      <c r="N188" s="10"/>
      <c r="Q188" s="11"/>
      <c r="R188" s="11"/>
      <c r="S188" s="10"/>
    </row>
    <row r="189" spans="2:19" s="6" customFormat="1" ht="16.5" customHeight="1">
      <c r="B189" s="10" t="str">
        <f>IF(C189="","",COUNTA($C$2:C189))</f>
        <v/>
      </c>
      <c r="C189" s="11"/>
      <c r="D189" s="10" t="str">
        <f t="shared" si="12"/>
        <v/>
      </c>
      <c r="H189" s="4"/>
      <c r="I189" s="6" t="str">
        <f t="shared" ca="1" si="13"/>
        <v/>
      </c>
      <c r="J189" s="13"/>
      <c r="K189" s="11"/>
      <c r="L189" s="11"/>
      <c r="M189" s="10"/>
      <c r="N189" s="10"/>
      <c r="Q189" s="11"/>
      <c r="R189" s="11"/>
      <c r="S189" s="10"/>
    </row>
    <row r="190" spans="2:19" s="6" customFormat="1" ht="16.5" customHeight="1">
      <c r="B190" s="10" t="str">
        <f>IF(C190="","",COUNTA($C$2:C190))</f>
        <v/>
      </c>
      <c r="C190" s="11"/>
      <c r="D190" s="10" t="str">
        <f t="shared" si="12"/>
        <v/>
      </c>
      <c r="H190" s="4"/>
      <c r="I190" s="6" t="str">
        <f t="shared" ca="1" si="13"/>
        <v/>
      </c>
      <c r="J190" s="13"/>
      <c r="K190" s="11"/>
      <c r="L190" s="11"/>
      <c r="M190" s="10"/>
      <c r="N190" s="10"/>
      <c r="Q190" s="11"/>
      <c r="R190" s="11"/>
      <c r="S190" s="10"/>
    </row>
    <row r="191" spans="2:19" s="6" customFormat="1" ht="16.5" customHeight="1">
      <c r="B191" s="10" t="str">
        <f>IF(C191="","",COUNTA($C$2:C191))</f>
        <v/>
      </c>
      <c r="C191" s="11"/>
      <c r="D191" s="10" t="str">
        <f t="shared" si="12"/>
        <v/>
      </c>
      <c r="H191" s="4"/>
      <c r="I191" s="6" t="str">
        <f t="shared" ca="1" si="13"/>
        <v/>
      </c>
      <c r="J191" s="13"/>
      <c r="K191" s="11"/>
      <c r="L191" s="11"/>
      <c r="M191" s="10"/>
      <c r="N191" s="10"/>
      <c r="Q191" s="11"/>
      <c r="R191" s="11"/>
      <c r="S191" s="10"/>
    </row>
    <row r="192" spans="2:19" s="6" customFormat="1" ht="16.5" customHeight="1">
      <c r="B192" s="10" t="str">
        <f>IF(C192="","",COUNTA($C$2:C192))</f>
        <v/>
      </c>
      <c r="C192" s="11"/>
      <c r="D192" s="10" t="str">
        <f t="shared" si="12"/>
        <v/>
      </c>
      <c r="H192" s="4"/>
      <c r="I192" s="6" t="str">
        <f t="shared" ca="1" si="13"/>
        <v/>
      </c>
      <c r="J192" s="13"/>
      <c r="K192" s="11"/>
      <c r="L192" s="11"/>
      <c r="M192" s="10"/>
      <c r="N192" s="10"/>
      <c r="Q192" s="11"/>
      <c r="R192" s="11"/>
      <c r="S192" s="10"/>
    </row>
    <row r="193" spans="2:19" s="6" customFormat="1" ht="16.5" customHeight="1">
      <c r="B193" s="10" t="str">
        <f>IF(C193="","",COUNTA($C$2:C193))</f>
        <v/>
      </c>
      <c r="C193" s="11"/>
      <c r="D193" s="10" t="str">
        <f t="shared" si="12"/>
        <v/>
      </c>
      <c r="H193" s="4"/>
      <c r="I193" s="6" t="str">
        <f t="shared" ca="1" si="13"/>
        <v/>
      </c>
      <c r="J193" s="13"/>
      <c r="K193" s="11"/>
      <c r="L193" s="11"/>
      <c r="M193" s="10"/>
      <c r="N193" s="10"/>
      <c r="Q193" s="11"/>
      <c r="R193" s="11"/>
      <c r="S193" s="10"/>
    </row>
    <row r="194" spans="2:19" s="6" customFormat="1" ht="16.5" customHeight="1">
      <c r="B194" s="10" t="str">
        <f>IF(C194="","",COUNTA($C$2:C194))</f>
        <v/>
      </c>
      <c r="C194" s="11"/>
      <c r="D194" s="10" t="str">
        <f t="shared" si="12"/>
        <v/>
      </c>
      <c r="H194" s="4"/>
      <c r="I194" s="6" t="str">
        <f t="shared" ca="1" si="13"/>
        <v/>
      </c>
      <c r="J194" s="13"/>
      <c r="K194" s="11"/>
      <c r="L194" s="11"/>
      <c r="M194" s="10"/>
      <c r="N194" s="10"/>
      <c r="Q194" s="11"/>
      <c r="R194" s="11"/>
      <c r="S194" s="10"/>
    </row>
    <row r="195" spans="2:19" s="6" customFormat="1" ht="16.5" customHeight="1">
      <c r="B195" s="10" t="str">
        <f>IF(C195="","",COUNTA($C$2:C195))</f>
        <v/>
      </c>
      <c r="C195" s="11"/>
      <c r="D195" s="10" t="str">
        <f t="shared" si="12"/>
        <v/>
      </c>
      <c r="H195" s="4"/>
      <c r="I195" s="6" t="str">
        <f t="shared" ca="1" si="13"/>
        <v/>
      </c>
      <c r="J195" s="13"/>
      <c r="K195" s="11"/>
      <c r="L195" s="11"/>
      <c r="M195" s="10"/>
      <c r="N195" s="10"/>
      <c r="Q195" s="11"/>
      <c r="R195" s="11"/>
      <c r="S195" s="10"/>
    </row>
    <row r="196" spans="2:19" s="6" customFormat="1" ht="16.5" customHeight="1">
      <c r="B196" s="10" t="str">
        <f>IF(C196="","",COUNTA($C$2:C196))</f>
        <v/>
      </c>
      <c r="C196" s="11"/>
      <c r="D196" s="10" t="str">
        <f t="shared" si="12"/>
        <v/>
      </c>
      <c r="H196" s="4"/>
      <c r="I196" s="6" t="str">
        <f t="shared" ca="1" si="13"/>
        <v/>
      </c>
      <c r="J196" s="13"/>
      <c r="K196" s="11"/>
      <c r="L196" s="11"/>
      <c r="M196" s="10"/>
      <c r="N196" s="10"/>
      <c r="Q196" s="11"/>
      <c r="R196" s="11"/>
      <c r="S196" s="10"/>
    </row>
    <row r="197" spans="2:19" s="6" customFormat="1" ht="16.5" customHeight="1">
      <c r="B197" s="10" t="str">
        <f>IF(C197="","",COUNTA($C$2:C197))</f>
        <v/>
      </c>
      <c r="C197" s="11"/>
      <c r="D197" s="10" t="str">
        <f t="shared" si="12"/>
        <v/>
      </c>
      <c r="H197" s="4"/>
      <c r="I197" s="6" t="str">
        <f t="shared" ca="1" si="13"/>
        <v/>
      </c>
      <c r="J197" s="13"/>
      <c r="K197" s="11"/>
      <c r="L197" s="11"/>
      <c r="M197" s="10"/>
      <c r="N197" s="10"/>
      <c r="Q197" s="11"/>
      <c r="R197" s="11"/>
      <c r="S197" s="10"/>
    </row>
    <row r="198" spans="2:19" s="6" customFormat="1" ht="16.5" customHeight="1">
      <c r="B198" s="10" t="str">
        <f>IF(C198="","",COUNTA($C$2:C198))</f>
        <v/>
      </c>
      <c r="C198" s="11"/>
      <c r="D198" s="10" t="str">
        <f t="shared" si="12"/>
        <v/>
      </c>
      <c r="H198" s="4"/>
      <c r="I198" s="6" t="str">
        <f t="shared" ca="1" si="13"/>
        <v/>
      </c>
      <c r="J198" s="13"/>
      <c r="K198" s="11"/>
      <c r="L198" s="11"/>
      <c r="M198" s="10"/>
      <c r="N198" s="10"/>
      <c r="Q198" s="11"/>
      <c r="R198" s="11"/>
      <c r="S198" s="10"/>
    </row>
    <row r="199" spans="2:19" s="6" customFormat="1" ht="16.5" customHeight="1">
      <c r="B199" s="10" t="str">
        <f>IF(C199="","",COUNTA($C$2:C199))</f>
        <v/>
      </c>
      <c r="C199" s="11"/>
      <c r="D199" s="10" t="str">
        <f t="shared" si="12"/>
        <v/>
      </c>
      <c r="H199" s="4"/>
      <c r="I199" s="6" t="str">
        <f t="shared" ca="1" si="13"/>
        <v/>
      </c>
      <c r="J199" s="13"/>
      <c r="K199" s="11"/>
      <c r="L199" s="11"/>
      <c r="M199" s="10"/>
      <c r="N199" s="10"/>
      <c r="Q199" s="11"/>
      <c r="R199" s="11"/>
      <c r="S199" s="10"/>
    </row>
    <row r="200" spans="2:19" s="6" customFormat="1" ht="16.5" customHeight="1">
      <c r="B200" s="10" t="str">
        <f>IF(C200="","",COUNTA($C$2:C200))</f>
        <v/>
      </c>
      <c r="C200" s="11"/>
      <c r="D200" s="10" t="str">
        <f t="shared" si="12"/>
        <v/>
      </c>
      <c r="H200" s="4"/>
      <c r="I200" s="6" t="str">
        <f t="shared" ca="1" si="13"/>
        <v/>
      </c>
      <c r="J200" s="13"/>
      <c r="K200" s="11"/>
      <c r="L200" s="11"/>
      <c r="M200" s="10"/>
      <c r="N200" s="10"/>
      <c r="Q200" s="11"/>
      <c r="R200" s="11"/>
      <c r="S200" s="10"/>
    </row>
    <row r="201" spans="2:19" s="6" customFormat="1" ht="16.5" customHeight="1">
      <c r="B201" s="10" t="str">
        <f>IF(C201="","",COUNTA($C$2:C201))</f>
        <v/>
      </c>
      <c r="C201" s="11"/>
      <c r="D201" s="10" t="str">
        <f t="shared" si="12"/>
        <v/>
      </c>
      <c r="H201" s="4"/>
      <c r="I201" s="6" t="str">
        <f t="shared" ca="1" si="13"/>
        <v/>
      </c>
      <c r="J201" s="13"/>
      <c r="K201" s="11"/>
      <c r="L201" s="11"/>
      <c r="M201" s="10"/>
      <c r="N201" s="10"/>
      <c r="Q201" s="11"/>
      <c r="R201" s="11"/>
      <c r="S201" s="10"/>
    </row>
    <row r="202" spans="2:19" s="6" customFormat="1" ht="16.5" customHeight="1">
      <c r="B202" s="10" t="str">
        <f>IF(C202="","",COUNTA($C$2:C202))</f>
        <v/>
      </c>
      <c r="C202" s="11"/>
      <c r="D202" s="10" t="str">
        <f t="shared" si="12"/>
        <v/>
      </c>
      <c r="H202" s="4"/>
      <c r="I202" s="6" t="str">
        <f t="shared" ca="1" si="13"/>
        <v/>
      </c>
      <c r="J202" s="13"/>
      <c r="K202" s="11"/>
      <c r="L202" s="11"/>
      <c r="M202" s="10"/>
      <c r="N202" s="10"/>
      <c r="Q202" s="11"/>
      <c r="R202" s="11"/>
      <c r="S202" s="10"/>
    </row>
    <row r="203" spans="2:19" s="6" customFormat="1" ht="16.5" customHeight="1">
      <c r="B203" s="10" t="str">
        <f>IF(C203="","",COUNTA($C$2:C203))</f>
        <v/>
      </c>
      <c r="C203" s="11"/>
      <c r="D203" s="10" t="str">
        <f t="shared" si="12"/>
        <v/>
      </c>
      <c r="H203" s="4"/>
      <c r="I203" s="6" t="str">
        <f t="shared" ca="1" si="13"/>
        <v/>
      </c>
      <c r="J203" s="13"/>
      <c r="K203" s="11"/>
      <c r="L203" s="11"/>
      <c r="M203" s="10"/>
      <c r="N203" s="10"/>
      <c r="Q203" s="11"/>
      <c r="R203" s="11"/>
      <c r="S203" s="10"/>
    </row>
    <row r="204" spans="2:19" s="6" customFormat="1" ht="16.5" customHeight="1">
      <c r="B204" s="10" t="str">
        <f>IF(C204="","",COUNTA($C$2:C204))</f>
        <v/>
      </c>
      <c r="C204" s="11"/>
      <c r="D204" s="10" t="str">
        <f t="shared" si="12"/>
        <v/>
      </c>
      <c r="H204" s="4"/>
      <c r="I204" s="6" t="str">
        <f t="shared" ca="1" si="13"/>
        <v/>
      </c>
      <c r="J204" s="13"/>
      <c r="K204" s="11"/>
      <c r="L204" s="11"/>
      <c r="M204" s="10"/>
      <c r="N204" s="10"/>
      <c r="Q204" s="11"/>
      <c r="R204" s="11"/>
      <c r="S204" s="10"/>
    </row>
    <row r="205" spans="2:19" s="6" customFormat="1" ht="16.5" customHeight="1">
      <c r="B205" s="10" t="str">
        <f>IF(C205="","",COUNTA($C$2:C205))</f>
        <v/>
      </c>
      <c r="C205" s="11"/>
      <c r="D205" s="10" t="str">
        <f t="shared" ref="D205:D268" si="14">IF(G205="","",IF(OR(G205="선급금",G205="중도금",G205="잔금"),"A",IF(G205="자재","B",IF(G205="특허료","C",""))))</f>
        <v/>
      </c>
      <c r="H205" s="4"/>
      <c r="I205" s="6" t="str">
        <f t="shared" ref="I205:I268" ca="1" si="15">IF(C205="","",IF(L205="",TODAY()-C205,L205-C205))</f>
        <v/>
      </c>
      <c r="J205" s="13"/>
      <c r="K205" s="11"/>
      <c r="L205" s="11"/>
      <c r="M205" s="10"/>
      <c r="N205" s="10"/>
      <c r="Q205" s="11"/>
      <c r="R205" s="11"/>
      <c r="S205" s="10"/>
    </row>
    <row r="206" spans="2:19" s="6" customFormat="1" ht="16.5" customHeight="1">
      <c r="B206" s="10" t="str">
        <f>IF(C206="","",COUNTA($C$2:C206))</f>
        <v/>
      </c>
      <c r="C206" s="11"/>
      <c r="D206" s="10" t="str">
        <f t="shared" si="14"/>
        <v/>
      </c>
      <c r="H206" s="4"/>
      <c r="I206" s="6" t="str">
        <f t="shared" ca="1" si="15"/>
        <v/>
      </c>
      <c r="J206" s="13"/>
      <c r="K206" s="11"/>
      <c r="L206" s="11"/>
      <c r="M206" s="10"/>
      <c r="N206" s="10"/>
      <c r="Q206" s="11"/>
      <c r="R206" s="11"/>
      <c r="S206" s="10"/>
    </row>
    <row r="207" spans="2:19" s="6" customFormat="1" ht="16.5" customHeight="1">
      <c r="B207" s="10" t="str">
        <f>IF(C207="","",COUNTA($C$2:C207))</f>
        <v/>
      </c>
      <c r="C207" s="11"/>
      <c r="D207" s="10" t="str">
        <f t="shared" si="14"/>
        <v/>
      </c>
      <c r="H207" s="4"/>
      <c r="I207" s="6" t="str">
        <f t="shared" ca="1" si="15"/>
        <v/>
      </c>
      <c r="J207" s="13"/>
      <c r="K207" s="11"/>
      <c r="L207" s="11"/>
      <c r="M207" s="10"/>
      <c r="N207" s="10"/>
      <c r="Q207" s="11"/>
      <c r="R207" s="11"/>
      <c r="S207" s="10"/>
    </row>
    <row r="208" spans="2:19" s="6" customFormat="1" ht="16.5" customHeight="1">
      <c r="B208" s="10" t="str">
        <f>IF(C208="","",COUNTA($C$2:C208))</f>
        <v/>
      </c>
      <c r="C208" s="11"/>
      <c r="D208" s="10" t="str">
        <f t="shared" si="14"/>
        <v/>
      </c>
      <c r="H208" s="4"/>
      <c r="I208" s="6" t="str">
        <f t="shared" ca="1" si="15"/>
        <v/>
      </c>
      <c r="J208" s="13"/>
      <c r="K208" s="11"/>
      <c r="L208" s="11"/>
      <c r="M208" s="10"/>
      <c r="N208" s="10"/>
      <c r="Q208" s="11"/>
      <c r="R208" s="11"/>
      <c r="S208" s="10"/>
    </row>
    <row r="209" spans="2:19" s="6" customFormat="1" ht="16.5" customHeight="1">
      <c r="B209" s="10" t="str">
        <f>IF(C209="","",COUNTA($C$2:C209))</f>
        <v/>
      </c>
      <c r="C209" s="11"/>
      <c r="D209" s="10" t="str">
        <f t="shared" si="14"/>
        <v/>
      </c>
      <c r="H209" s="4"/>
      <c r="I209" s="6" t="str">
        <f t="shared" ca="1" si="15"/>
        <v/>
      </c>
      <c r="J209" s="13"/>
      <c r="K209" s="11"/>
      <c r="L209" s="11"/>
      <c r="M209" s="10"/>
      <c r="N209" s="10"/>
      <c r="Q209" s="11"/>
      <c r="R209" s="11"/>
      <c r="S209" s="10"/>
    </row>
    <row r="210" spans="2:19" s="6" customFormat="1" ht="16.5" customHeight="1">
      <c r="B210" s="10" t="str">
        <f>IF(C210="","",COUNTA($C$2:C210))</f>
        <v/>
      </c>
      <c r="C210" s="11"/>
      <c r="D210" s="10" t="str">
        <f t="shared" si="14"/>
        <v/>
      </c>
      <c r="H210" s="4"/>
      <c r="I210" s="6" t="str">
        <f t="shared" ca="1" si="15"/>
        <v/>
      </c>
      <c r="J210" s="13"/>
      <c r="K210" s="11"/>
      <c r="L210" s="11"/>
      <c r="M210" s="10"/>
      <c r="N210" s="10"/>
      <c r="Q210" s="11"/>
      <c r="R210" s="11"/>
      <c r="S210" s="10"/>
    </row>
    <row r="211" spans="2:19" s="6" customFormat="1" ht="16.5" customHeight="1">
      <c r="B211" s="10" t="str">
        <f>IF(C211="","",COUNTA($C$2:C211))</f>
        <v/>
      </c>
      <c r="C211" s="11"/>
      <c r="D211" s="10" t="str">
        <f t="shared" si="14"/>
        <v/>
      </c>
      <c r="H211" s="4"/>
      <c r="I211" s="6" t="str">
        <f t="shared" ca="1" si="15"/>
        <v/>
      </c>
      <c r="J211" s="13"/>
      <c r="K211" s="11"/>
      <c r="L211" s="11"/>
      <c r="M211" s="10"/>
      <c r="N211" s="10"/>
      <c r="Q211" s="11"/>
      <c r="R211" s="11"/>
      <c r="S211" s="10"/>
    </row>
    <row r="212" spans="2:19" s="6" customFormat="1" ht="16.5" customHeight="1">
      <c r="B212" s="10" t="str">
        <f>IF(C212="","",COUNTA($C$2:C212))</f>
        <v/>
      </c>
      <c r="C212" s="11"/>
      <c r="D212" s="10" t="str">
        <f t="shared" si="14"/>
        <v/>
      </c>
      <c r="H212" s="4"/>
      <c r="I212" s="6" t="str">
        <f t="shared" ca="1" si="15"/>
        <v/>
      </c>
      <c r="J212" s="13"/>
      <c r="K212" s="11"/>
      <c r="L212" s="11"/>
      <c r="M212" s="10"/>
      <c r="N212" s="10"/>
      <c r="Q212" s="11"/>
      <c r="R212" s="11"/>
      <c r="S212" s="10"/>
    </row>
    <row r="213" spans="2:19" s="6" customFormat="1" ht="16.5" customHeight="1">
      <c r="B213" s="10"/>
      <c r="C213" s="11"/>
      <c r="D213" s="10" t="str">
        <f t="shared" si="14"/>
        <v/>
      </c>
      <c r="H213" s="4"/>
      <c r="I213" s="6" t="str">
        <f t="shared" ca="1" si="15"/>
        <v/>
      </c>
      <c r="J213" s="13"/>
      <c r="K213" s="11"/>
      <c r="L213" s="11"/>
      <c r="M213" s="10"/>
      <c r="N213" s="10"/>
      <c r="Q213" s="11"/>
      <c r="R213" s="11"/>
      <c r="S213" s="10"/>
    </row>
    <row r="214" spans="2:19" s="6" customFormat="1" ht="16.5" customHeight="1">
      <c r="B214" s="10"/>
      <c r="C214" s="11"/>
      <c r="D214" s="10" t="str">
        <f t="shared" si="14"/>
        <v/>
      </c>
      <c r="H214" s="4"/>
      <c r="I214" s="6" t="str">
        <f t="shared" ca="1" si="15"/>
        <v/>
      </c>
      <c r="J214" s="13"/>
      <c r="K214" s="11"/>
      <c r="L214" s="11"/>
      <c r="M214" s="10"/>
      <c r="N214" s="10"/>
      <c r="Q214" s="11"/>
      <c r="R214" s="11"/>
      <c r="S214" s="10"/>
    </row>
    <row r="215" spans="2:19" s="6" customFormat="1" ht="16.5" customHeight="1">
      <c r="B215" s="10"/>
      <c r="C215" s="11"/>
      <c r="D215" s="10" t="str">
        <f t="shared" si="14"/>
        <v/>
      </c>
      <c r="H215" s="4"/>
      <c r="I215" s="6" t="str">
        <f t="shared" ca="1" si="15"/>
        <v/>
      </c>
      <c r="J215" s="13"/>
      <c r="K215" s="11"/>
      <c r="L215" s="11"/>
      <c r="M215" s="10"/>
      <c r="N215" s="10"/>
      <c r="Q215" s="11"/>
      <c r="R215" s="11"/>
      <c r="S215" s="10"/>
    </row>
    <row r="216" spans="2:19" s="6" customFormat="1" ht="16.5" customHeight="1">
      <c r="B216" s="10"/>
      <c r="C216" s="11"/>
      <c r="D216" s="10" t="str">
        <f t="shared" si="14"/>
        <v/>
      </c>
      <c r="H216" s="4"/>
      <c r="I216" s="6" t="str">
        <f t="shared" ca="1" si="15"/>
        <v/>
      </c>
      <c r="J216" s="13"/>
      <c r="K216" s="11"/>
      <c r="L216" s="11"/>
      <c r="M216" s="10"/>
      <c r="N216" s="10"/>
      <c r="Q216" s="11"/>
      <c r="R216" s="11"/>
      <c r="S216" s="10"/>
    </row>
    <row r="217" spans="2:19" s="6" customFormat="1" ht="16.5" customHeight="1">
      <c r="B217" s="10"/>
      <c r="C217" s="11"/>
      <c r="D217" s="10" t="str">
        <f t="shared" si="14"/>
        <v/>
      </c>
      <c r="H217" s="4"/>
      <c r="I217" s="6" t="str">
        <f t="shared" ca="1" si="15"/>
        <v/>
      </c>
      <c r="J217" s="13"/>
      <c r="K217" s="11"/>
      <c r="L217" s="11"/>
      <c r="M217" s="10"/>
      <c r="N217" s="10"/>
      <c r="Q217" s="11"/>
      <c r="R217" s="11"/>
      <c r="S217" s="10"/>
    </row>
    <row r="218" spans="2:19" s="6" customFormat="1" ht="16.5" customHeight="1">
      <c r="B218" s="10"/>
      <c r="C218" s="11"/>
      <c r="D218" s="10" t="str">
        <f t="shared" si="14"/>
        <v/>
      </c>
      <c r="H218" s="4"/>
      <c r="I218" s="6" t="str">
        <f t="shared" ca="1" si="15"/>
        <v/>
      </c>
      <c r="J218" s="13"/>
      <c r="K218" s="11"/>
      <c r="L218" s="11"/>
      <c r="M218" s="10"/>
      <c r="N218" s="10"/>
      <c r="Q218" s="11"/>
      <c r="R218" s="11"/>
      <c r="S218" s="10"/>
    </row>
    <row r="219" spans="2:19" s="6" customFormat="1" ht="16.5" customHeight="1">
      <c r="B219" s="10"/>
      <c r="C219" s="11"/>
      <c r="D219" s="10" t="str">
        <f t="shared" si="14"/>
        <v/>
      </c>
      <c r="H219" s="4"/>
      <c r="I219" s="6" t="str">
        <f t="shared" ca="1" si="15"/>
        <v/>
      </c>
      <c r="J219" s="13"/>
      <c r="K219" s="11"/>
      <c r="L219" s="11"/>
      <c r="M219" s="10"/>
      <c r="N219" s="10"/>
      <c r="Q219" s="11"/>
      <c r="R219" s="11"/>
      <c r="S219" s="10"/>
    </row>
    <row r="220" spans="2:19" s="6" customFormat="1" ht="16.5" customHeight="1">
      <c r="B220" s="10"/>
      <c r="C220" s="11"/>
      <c r="D220" s="10" t="str">
        <f t="shared" si="14"/>
        <v/>
      </c>
      <c r="H220" s="4"/>
      <c r="I220" s="6" t="str">
        <f t="shared" ca="1" si="15"/>
        <v/>
      </c>
      <c r="J220" s="13"/>
      <c r="K220" s="11"/>
      <c r="L220" s="11"/>
      <c r="M220" s="10"/>
      <c r="N220" s="10"/>
      <c r="Q220" s="11"/>
      <c r="R220" s="11"/>
      <c r="S220" s="10"/>
    </row>
    <row r="221" spans="2:19" s="6" customFormat="1" ht="16.5" customHeight="1">
      <c r="B221" s="10"/>
      <c r="C221" s="11"/>
      <c r="D221" s="10" t="str">
        <f t="shared" si="14"/>
        <v/>
      </c>
      <c r="H221" s="4"/>
      <c r="I221" s="6" t="str">
        <f t="shared" ca="1" si="15"/>
        <v/>
      </c>
      <c r="J221" s="13"/>
      <c r="K221" s="11"/>
      <c r="L221" s="11"/>
      <c r="M221" s="10"/>
      <c r="N221" s="10"/>
      <c r="Q221" s="11"/>
      <c r="R221" s="11"/>
      <c r="S221" s="10"/>
    </row>
    <row r="222" spans="2:19" s="6" customFormat="1" ht="16.5" customHeight="1">
      <c r="B222" s="10"/>
      <c r="C222" s="11"/>
      <c r="D222" s="10" t="str">
        <f t="shared" si="14"/>
        <v/>
      </c>
      <c r="H222" s="4"/>
      <c r="I222" s="6" t="str">
        <f t="shared" ca="1" si="15"/>
        <v/>
      </c>
      <c r="J222" s="13"/>
      <c r="K222" s="11"/>
      <c r="L222" s="11"/>
      <c r="M222" s="10"/>
      <c r="N222" s="10"/>
      <c r="Q222" s="11"/>
      <c r="R222" s="11"/>
      <c r="S222" s="10"/>
    </row>
    <row r="223" spans="2:19" s="6" customFormat="1" ht="16.5" customHeight="1">
      <c r="B223" s="10"/>
      <c r="C223" s="11"/>
      <c r="D223" s="10" t="str">
        <f t="shared" si="14"/>
        <v/>
      </c>
      <c r="H223" s="4"/>
      <c r="I223" s="6" t="str">
        <f t="shared" ca="1" si="15"/>
        <v/>
      </c>
      <c r="J223" s="13"/>
      <c r="K223" s="11"/>
      <c r="L223" s="11"/>
      <c r="M223" s="10"/>
      <c r="N223" s="10"/>
      <c r="Q223" s="11"/>
      <c r="R223" s="11"/>
      <c r="S223" s="10"/>
    </row>
    <row r="224" spans="2:19" s="6" customFormat="1" ht="16.5" customHeight="1">
      <c r="B224" s="10"/>
      <c r="C224" s="11"/>
      <c r="D224" s="10" t="str">
        <f t="shared" si="14"/>
        <v/>
      </c>
      <c r="H224" s="4"/>
      <c r="I224" s="6" t="str">
        <f t="shared" ca="1" si="15"/>
        <v/>
      </c>
      <c r="J224" s="13"/>
      <c r="K224" s="11"/>
      <c r="L224" s="11"/>
      <c r="M224" s="10"/>
      <c r="N224" s="10"/>
      <c r="Q224" s="11"/>
      <c r="R224" s="11"/>
      <c r="S224" s="10"/>
    </row>
    <row r="225" spans="2:19" s="6" customFormat="1" ht="16.5" customHeight="1">
      <c r="B225" s="10"/>
      <c r="C225" s="11"/>
      <c r="D225" s="10" t="str">
        <f t="shared" si="14"/>
        <v/>
      </c>
      <c r="H225" s="4"/>
      <c r="I225" s="6" t="str">
        <f t="shared" ca="1" si="15"/>
        <v/>
      </c>
      <c r="J225" s="13"/>
      <c r="K225" s="11"/>
      <c r="L225" s="11"/>
      <c r="M225" s="10"/>
      <c r="N225" s="10"/>
      <c r="Q225" s="11"/>
      <c r="R225" s="11"/>
      <c r="S225" s="10"/>
    </row>
    <row r="226" spans="2:19" s="6" customFormat="1" ht="16.5" customHeight="1">
      <c r="B226" s="10"/>
      <c r="C226" s="11"/>
      <c r="D226" s="10" t="str">
        <f t="shared" si="14"/>
        <v/>
      </c>
      <c r="H226" s="4"/>
      <c r="I226" s="6" t="str">
        <f t="shared" ca="1" si="15"/>
        <v/>
      </c>
      <c r="J226" s="13"/>
      <c r="K226" s="11"/>
      <c r="L226" s="11"/>
      <c r="M226" s="10"/>
      <c r="N226" s="10"/>
      <c r="Q226" s="11"/>
      <c r="R226" s="11"/>
      <c r="S226" s="10"/>
    </row>
    <row r="227" spans="2:19" s="6" customFormat="1" ht="16.5" customHeight="1">
      <c r="B227" s="10"/>
      <c r="C227" s="11"/>
      <c r="D227" s="10" t="str">
        <f t="shared" si="14"/>
        <v/>
      </c>
      <c r="H227" s="4"/>
      <c r="I227" s="6" t="str">
        <f t="shared" ca="1" si="15"/>
        <v/>
      </c>
      <c r="J227" s="13"/>
      <c r="K227" s="11"/>
      <c r="L227" s="11"/>
      <c r="M227" s="10"/>
      <c r="N227" s="10"/>
      <c r="Q227" s="11"/>
      <c r="R227" s="11"/>
      <c r="S227" s="10"/>
    </row>
    <row r="228" spans="2:19" s="6" customFormat="1" ht="16.5" customHeight="1">
      <c r="B228" s="10"/>
      <c r="C228" s="11"/>
      <c r="D228" s="10" t="str">
        <f t="shared" si="14"/>
        <v/>
      </c>
      <c r="H228" s="4"/>
      <c r="I228" s="6" t="str">
        <f t="shared" ca="1" si="15"/>
        <v/>
      </c>
      <c r="J228" s="13"/>
      <c r="K228" s="11"/>
      <c r="L228" s="11"/>
      <c r="M228" s="10"/>
      <c r="N228" s="10"/>
      <c r="Q228" s="11"/>
      <c r="R228" s="11"/>
      <c r="S228" s="10"/>
    </row>
    <row r="229" spans="2:19" s="6" customFormat="1" ht="16.5" customHeight="1">
      <c r="B229" s="10"/>
      <c r="C229" s="11"/>
      <c r="D229" s="10" t="str">
        <f t="shared" si="14"/>
        <v/>
      </c>
      <c r="H229" s="4"/>
      <c r="I229" s="6" t="str">
        <f t="shared" ca="1" si="15"/>
        <v/>
      </c>
      <c r="J229" s="13"/>
      <c r="K229" s="11"/>
      <c r="L229" s="11"/>
      <c r="M229" s="10"/>
      <c r="N229" s="10"/>
      <c r="Q229" s="11"/>
      <c r="R229" s="11"/>
      <c r="S229" s="10"/>
    </row>
    <row r="230" spans="2:19" s="6" customFormat="1" ht="16.5" customHeight="1">
      <c r="B230" s="10"/>
      <c r="C230" s="11"/>
      <c r="D230" s="10" t="str">
        <f t="shared" si="14"/>
        <v/>
      </c>
      <c r="H230" s="4"/>
      <c r="I230" s="6" t="str">
        <f t="shared" ca="1" si="15"/>
        <v/>
      </c>
      <c r="J230" s="13"/>
      <c r="K230" s="11"/>
      <c r="L230" s="11"/>
      <c r="M230" s="10"/>
      <c r="N230" s="10"/>
      <c r="Q230" s="11"/>
      <c r="R230" s="11"/>
      <c r="S230" s="10"/>
    </row>
    <row r="231" spans="2:19" s="6" customFormat="1" ht="16.5" customHeight="1">
      <c r="B231" s="10"/>
      <c r="C231" s="11"/>
      <c r="D231" s="10" t="str">
        <f t="shared" si="14"/>
        <v/>
      </c>
      <c r="H231" s="4"/>
      <c r="I231" s="6" t="str">
        <f t="shared" ca="1" si="15"/>
        <v/>
      </c>
      <c r="J231" s="13"/>
      <c r="K231" s="11"/>
      <c r="L231" s="11"/>
      <c r="M231" s="10"/>
      <c r="N231" s="10"/>
      <c r="Q231" s="11"/>
      <c r="R231" s="11"/>
      <c r="S231" s="10"/>
    </row>
    <row r="232" spans="2:19" s="6" customFormat="1" ht="16.5" customHeight="1">
      <c r="B232" s="10"/>
      <c r="C232" s="11"/>
      <c r="D232" s="10" t="str">
        <f t="shared" si="14"/>
        <v/>
      </c>
      <c r="H232" s="4"/>
      <c r="I232" s="6" t="str">
        <f t="shared" ca="1" si="15"/>
        <v/>
      </c>
      <c r="J232" s="13"/>
      <c r="K232" s="11"/>
      <c r="L232" s="11"/>
      <c r="M232" s="10"/>
      <c r="N232" s="10"/>
      <c r="Q232" s="11"/>
      <c r="R232" s="11"/>
      <c r="S232" s="10"/>
    </row>
    <row r="233" spans="2:19" s="6" customFormat="1" ht="16.5" customHeight="1">
      <c r="B233" s="10"/>
      <c r="C233" s="11"/>
      <c r="D233" s="10" t="str">
        <f t="shared" si="14"/>
        <v/>
      </c>
      <c r="H233" s="4"/>
      <c r="I233" s="6" t="str">
        <f t="shared" ca="1" si="15"/>
        <v/>
      </c>
      <c r="J233" s="13"/>
      <c r="K233" s="11"/>
      <c r="L233" s="11"/>
      <c r="M233" s="10"/>
      <c r="N233" s="10"/>
      <c r="Q233" s="11"/>
      <c r="R233" s="11"/>
      <c r="S233" s="10"/>
    </row>
    <row r="234" spans="2:19" s="6" customFormat="1" ht="16.5" customHeight="1">
      <c r="B234" s="10"/>
      <c r="C234" s="11"/>
      <c r="D234" s="10" t="str">
        <f t="shared" si="14"/>
        <v/>
      </c>
      <c r="H234" s="4"/>
      <c r="I234" s="6" t="str">
        <f t="shared" ca="1" si="15"/>
        <v/>
      </c>
      <c r="J234" s="13"/>
      <c r="K234" s="11"/>
      <c r="L234" s="11"/>
      <c r="M234" s="10"/>
      <c r="N234" s="10"/>
      <c r="Q234" s="11"/>
      <c r="R234" s="11"/>
      <c r="S234" s="10"/>
    </row>
    <row r="235" spans="2:19" s="6" customFormat="1" ht="16.5" customHeight="1">
      <c r="B235" s="10"/>
      <c r="C235" s="11"/>
      <c r="D235" s="10" t="str">
        <f t="shared" si="14"/>
        <v/>
      </c>
      <c r="H235" s="4"/>
      <c r="I235" s="6" t="str">
        <f t="shared" ca="1" si="15"/>
        <v/>
      </c>
      <c r="J235" s="13"/>
      <c r="K235" s="11"/>
      <c r="L235" s="11"/>
      <c r="M235" s="10"/>
      <c r="N235" s="10"/>
      <c r="Q235" s="11"/>
      <c r="R235" s="11"/>
      <c r="S235" s="10"/>
    </row>
    <row r="236" spans="2:19" s="6" customFormat="1" ht="16.5" customHeight="1">
      <c r="B236" s="10"/>
      <c r="C236" s="11"/>
      <c r="D236" s="10" t="str">
        <f t="shared" si="14"/>
        <v/>
      </c>
      <c r="H236" s="4"/>
      <c r="I236" s="6" t="str">
        <f t="shared" ca="1" si="15"/>
        <v/>
      </c>
      <c r="J236" s="13"/>
      <c r="K236" s="11"/>
      <c r="L236" s="11"/>
      <c r="M236" s="10"/>
      <c r="N236" s="10"/>
      <c r="Q236" s="11"/>
      <c r="R236" s="11"/>
      <c r="S236" s="10"/>
    </row>
    <row r="237" spans="2:19" s="6" customFormat="1" ht="16.5" customHeight="1">
      <c r="B237" s="10"/>
      <c r="C237" s="11"/>
      <c r="D237" s="10" t="str">
        <f t="shared" si="14"/>
        <v/>
      </c>
      <c r="H237" s="4"/>
      <c r="I237" s="6" t="str">
        <f t="shared" ca="1" si="15"/>
        <v/>
      </c>
      <c r="J237" s="13"/>
      <c r="K237" s="11"/>
      <c r="L237" s="11"/>
      <c r="M237" s="10"/>
      <c r="N237" s="10"/>
      <c r="Q237" s="11"/>
      <c r="R237" s="11"/>
      <c r="S237" s="10"/>
    </row>
    <row r="238" spans="2:19" s="6" customFormat="1" ht="16.5" customHeight="1">
      <c r="B238" s="10"/>
      <c r="C238" s="11"/>
      <c r="D238" s="10" t="str">
        <f t="shared" si="14"/>
        <v/>
      </c>
      <c r="H238" s="4"/>
      <c r="I238" s="6" t="str">
        <f t="shared" ca="1" si="15"/>
        <v/>
      </c>
      <c r="J238" s="13"/>
      <c r="K238" s="11"/>
      <c r="L238" s="11"/>
      <c r="M238" s="10"/>
      <c r="N238" s="10"/>
      <c r="Q238" s="11"/>
      <c r="R238" s="11"/>
      <c r="S238" s="10"/>
    </row>
    <row r="239" spans="2:19" s="6" customFormat="1" ht="16.5" customHeight="1">
      <c r="B239" s="10"/>
      <c r="C239" s="11"/>
      <c r="D239" s="10" t="str">
        <f t="shared" si="14"/>
        <v/>
      </c>
      <c r="H239" s="4"/>
      <c r="I239" s="6" t="str">
        <f t="shared" ca="1" si="15"/>
        <v/>
      </c>
      <c r="J239" s="13"/>
      <c r="K239" s="11"/>
      <c r="L239" s="11"/>
      <c r="M239" s="10"/>
      <c r="N239" s="10"/>
      <c r="Q239" s="11"/>
      <c r="R239" s="11"/>
      <c r="S239" s="10"/>
    </row>
    <row r="240" spans="2:19" s="6" customFormat="1" ht="16.5" customHeight="1">
      <c r="B240" s="10"/>
      <c r="C240" s="11"/>
      <c r="D240" s="10" t="str">
        <f t="shared" si="14"/>
        <v/>
      </c>
      <c r="H240" s="4"/>
      <c r="I240" s="6" t="str">
        <f t="shared" ca="1" si="15"/>
        <v/>
      </c>
      <c r="J240" s="13"/>
      <c r="K240" s="11"/>
      <c r="L240" s="11"/>
      <c r="M240" s="10"/>
      <c r="N240" s="10"/>
      <c r="Q240" s="11"/>
      <c r="R240" s="11"/>
      <c r="S240" s="10"/>
    </row>
    <row r="241" spans="2:19" s="6" customFormat="1" ht="16.5" customHeight="1">
      <c r="B241" s="10"/>
      <c r="C241" s="11"/>
      <c r="D241" s="10" t="str">
        <f t="shared" si="14"/>
        <v/>
      </c>
      <c r="H241" s="4"/>
      <c r="I241" s="6" t="str">
        <f t="shared" ca="1" si="15"/>
        <v/>
      </c>
      <c r="J241" s="13"/>
      <c r="K241" s="11"/>
      <c r="L241" s="11"/>
      <c r="M241" s="10"/>
      <c r="N241" s="10"/>
      <c r="Q241" s="11"/>
      <c r="R241" s="11"/>
      <c r="S241" s="10"/>
    </row>
    <row r="242" spans="2:19" s="6" customFormat="1" ht="16.5" customHeight="1">
      <c r="B242" s="10"/>
      <c r="C242" s="11"/>
      <c r="D242" s="10" t="str">
        <f t="shared" si="14"/>
        <v/>
      </c>
      <c r="H242" s="4"/>
      <c r="I242" s="6" t="str">
        <f t="shared" ca="1" si="15"/>
        <v/>
      </c>
      <c r="J242" s="13"/>
      <c r="K242" s="11"/>
      <c r="L242" s="11"/>
      <c r="M242" s="10"/>
      <c r="N242" s="10"/>
      <c r="Q242" s="11"/>
      <c r="R242" s="11"/>
      <c r="S242" s="10"/>
    </row>
    <row r="243" spans="2:19" s="6" customFormat="1" ht="16.5" customHeight="1">
      <c r="B243" s="10"/>
      <c r="C243" s="11"/>
      <c r="D243" s="10" t="str">
        <f t="shared" si="14"/>
        <v/>
      </c>
      <c r="H243" s="4"/>
      <c r="I243" s="6" t="str">
        <f t="shared" ca="1" si="15"/>
        <v/>
      </c>
      <c r="J243" s="13"/>
      <c r="K243" s="11"/>
      <c r="L243" s="11"/>
      <c r="M243" s="10"/>
      <c r="N243" s="10"/>
      <c r="Q243" s="11"/>
      <c r="R243" s="11"/>
      <c r="S243" s="10"/>
    </row>
    <row r="244" spans="2:19" s="6" customFormat="1" ht="16.5" customHeight="1">
      <c r="B244" s="10"/>
      <c r="C244" s="11"/>
      <c r="D244" s="10" t="str">
        <f t="shared" si="14"/>
        <v/>
      </c>
      <c r="H244" s="4"/>
      <c r="I244" s="6" t="str">
        <f t="shared" ca="1" si="15"/>
        <v/>
      </c>
      <c r="J244" s="13"/>
      <c r="K244" s="11"/>
      <c r="L244" s="11"/>
      <c r="M244" s="10"/>
      <c r="N244" s="10"/>
      <c r="Q244" s="11"/>
      <c r="R244" s="11"/>
      <c r="S244" s="10"/>
    </row>
    <row r="245" spans="2:19" s="6" customFormat="1" ht="16.5" customHeight="1">
      <c r="B245" s="10"/>
      <c r="C245" s="11"/>
      <c r="D245" s="10" t="str">
        <f t="shared" si="14"/>
        <v/>
      </c>
      <c r="H245" s="4"/>
      <c r="I245" s="6" t="str">
        <f t="shared" ca="1" si="15"/>
        <v/>
      </c>
      <c r="J245" s="13"/>
      <c r="K245" s="11"/>
      <c r="L245" s="11"/>
      <c r="M245" s="10"/>
      <c r="N245" s="10"/>
      <c r="Q245" s="11"/>
      <c r="R245" s="11"/>
      <c r="S245" s="10"/>
    </row>
    <row r="246" spans="2:19" s="6" customFormat="1" ht="16.5" customHeight="1">
      <c r="B246" s="10"/>
      <c r="C246" s="11"/>
      <c r="D246" s="10" t="str">
        <f t="shared" si="14"/>
        <v/>
      </c>
      <c r="H246" s="4"/>
      <c r="I246" s="6" t="str">
        <f t="shared" ca="1" si="15"/>
        <v/>
      </c>
      <c r="J246" s="13"/>
      <c r="K246" s="11"/>
      <c r="L246" s="11"/>
      <c r="M246" s="10"/>
      <c r="N246" s="10"/>
      <c r="Q246" s="11"/>
      <c r="R246" s="11"/>
      <c r="S246" s="10"/>
    </row>
    <row r="247" spans="2:19" s="6" customFormat="1" ht="16.5" customHeight="1">
      <c r="B247" s="10"/>
      <c r="C247" s="11"/>
      <c r="D247" s="10" t="str">
        <f t="shared" si="14"/>
        <v/>
      </c>
      <c r="H247" s="4"/>
      <c r="I247" s="6" t="str">
        <f t="shared" ca="1" si="15"/>
        <v/>
      </c>
      <c r="J247" s="13"/>
      <c r="K247" s="11"/>
      <c r="L247" s="11"/>
      <c r="M247" s="10"/>
      <c r="N247" s="10"/>
      <c r="Q247" s="11"/>
      <c r="R247" s="11"/>
      <c r="S247" s="10"/>
    </row>
    <row r="248" spans="2:19" s="6" customFormat="1" ht="16.5" customHeight="1">
      <c r="B248" s="10"/>
      <c r="C248" s="11"/>
      <c r="D248" s="10" t="str">
        <f t="shared" si="14"/>
        <v/>
      </c>
      <c r="H248" s="4"/>
      <c r="I248" s="6" t="str">
        <f t="shared" ca="1" si="15"/>
        <v/>
      </c>
      <c r="J248" s="13"/>
      <c r="K248" s="11"/>
      <c r="L248" s="11"/>
      <c r="M248" s="10"/>
      <c r="N248" s="10"/>
      <c r="Q248" s="11"/>
      <c r="R248" s="11"/>
      <c r="S248" s="10"/>
    </row>
    <row r="249" spans="2:19" s="6" customFormat="1" ht="16.5" customHeight="1">
      <c r="B249" s="10"/>
      <c r="C249" s="11"/>
      <c r="D249" s="10" t="str">
        <f t="shared" si="14"/>
        <v/>
      </c>
      <c r="H249" s="4"/>
      <c r="I249" s="6" t="str">
        <f t="shared" ca="1" si="15"/>
        <v/>
      </c>
      <c r="J249" s="13"/>
      <c r="K249" s="11"/>
      <c r="L249" s="11"/>
      <c r="M249" s="10"/>
      <c r="N249" s="10"/>
      <c r="Q249" s="11"/>
      <c r="R249" s="11"/>
      <c r="S249" s="10"/>
    </row>
    <row r="250" spans="2:19" s="6" customFormat="1" ht="16.5" customHeight="1">
      <c r="B250" s="10"/>
      <c r="C250" s="11"/>
      <c r="D250" s="10" t="str">
        <f t="shared" si="14"/>
        <v/>
      </c>
      <c r="H250" s="4"/>
      <c r="I250" s="6" t="str">
        <f t="shared" ca="1" si="15"/>
        <v/>
      </c>
      <c r="J250" s="13"/>
      <c r="K250" s="11"/>
      <c r="L250" s="11"/>
      <c r="M250" s="10"/>
      <c r="N250" s="10"/>
      <c r="Q250" s="11"/>
      <c r="R250" s="11"/>
      <c r="S250" s="10"/>
    </row>
    <row r="251" spans="2:19" s="6" customFormat="1" ht="16.5" customHeight="1">
      <c r="B251" s="10"/>
      <c r="C251" s="11"/>
      <c r="D251" s="10" t="str">
        <f t="shared" si="14"/>
        <v/>
      </c>
      <c r="H251" s="4"/>
      <c r="I251" s="6" t="str">
        <f t="shared" ca="1" si="15"/>
        <v/>
      </c>
      <c r="J251" s="13"/>
      <c r="K251" s="11"/>
      <c r="L251" s="11"/>
      <c r="M251" s="10"/>
      <c r="N251" s="10"/>
      <c r="Q251" s="11"/>
      <c r="R251" s="11"/>
      <c r="S251" s="10"/>
    </row>
    <row r="252" spans="2:19" s="6" customFormat="1" ht="16.5" customHeight="1">
      <c r="B252" s="10"/>
      <c r="C252" s="11"/>
      <c r="D252" s="10" t="str">
        <f t="shared" si="14"/>
        <v/>
      </c>
      <c r="H252" s="4"/>
      <c r="I252" s="6" t="str">
        <f t="shared" ca="1" si="15"/>
        <v/>
      </c>
      <c r="J252" s="13"/>
      <c r="K252" s="11"/>
      <c r="L252" s="11"/>
      <c r="M252" s="10"/>
      <c r="N252" s="10"/>
      <c r="Q252" s="11"/>
      <c r="R252" s="11"/>
      <c r="S252" s="10"/>
    </row>
    <row r="253" spans="2:19" s="6" customFormat="1" ht="16.5" customHeight="1">
      <c r="B253" s="10"/>
      <c r="C253" s="11"/>
      <c r="D253" s="10" t="str">
        <f t="shared" si="14"/>
        <v/>
      </c>
      <c r="H253" s="4"/>
      <c r="I253" s="6" t="str">
        <f t="shared" ca="1" si="15"/>
        <v/>
      </c>
      <c r="J253" s="13"/>
      <c r="K253" s="11"/>
      <c r="L253" s="11"/>
      <c r="M253" s="10"/>
      <c r="N253" s="10"/>
      <c r="Q253" s="11"/>
      <c r="R253" s="11"/>
      <c r="S253" s="10"/>
    </row>
    <row r="254" spans="2:19" s="6" customFormat="1" ht="16.5" customHeight="1">
      <c r="B254" s="10"/>
      <c r="C254" s="11"/>
      <c r="D254" s="10" t="str">
        <f t="shared" si="14"/>
        <v/>
      </c>
      <c r="H254" s="4"/>
      <c r="I254" s="6" t="str">
        <f t="shared" ca="1" si="15"/>
        <v/>
      </c>
      <c r="J254" s="13"/>
      <c r="K254" s="11"/>
      <c r="L254" s="11"/>
      <c r="M254" s="10"/>
      <c r="N254" s="10"/>
      <c r="Q254" s="11"/>
      <c r="R254" s="11"/>
      <c r="S254" s="10"/>
    </row>
    <row r="255" spans="2:19" s="6" customFormat="1" ht="16.5" customHeight="1">
      <c r="B255" s="10"/>
      <c r="C255" s="11"/>
      <c r="D255" s="10" t="str">
        <f t="shared" si="14"/>
        <v/>
      </c>
      <c r="H255" s="4"/>
      <c r="I255" s="6" t="str">
        <f t="shared" ca="1" si="15"/>
        <v/>
      </c>
      <c r="J255" s="13"/>
      <c r="K255" s="11"/>
      <c r="L255" s="11"/>
      <c r="M255" s="10"/>
      <c r="N255" s="10"/>
      <c r="Q255" s="11"/>
      <c r="R255" s="11"/>
      <c r="S255" s="10"/>
    </row>
    <row r="256" spans="2:19" s="6" customFormat="1" ht="16.5" customHeight="1">
      <c r="B256" s="10"/>
      <c r="C256" s="11"/>
      <c r="D256" s="10" t="str">
        <f t="shared" si="14"/>
        <v/>
      </c>
      <c r="H256" s="4"/>
      <c r="I256" s="6" t="str">
        <f t="shared" ca="1" si="15"/>
        <v/>
      </c>
      <c r="J256" s="13"/>
      <c r="K256" s="11"/>
      <c r="L256" s="11"/>
      <c r="M256" s="10"/>
      <c r="N256" s="10"/>
      <c r="Q256" s="11"/>
      <c r="R256" s="11"/>
      <c r="S256" s="10"/>
    </row>
    <row r="257" spans="2:19" s="6" customFormat="1" ht="16.5" customHeight="1">
      <c r="B257" s="10"/>
      <c r="C257" s="11"/>
      <c r="D257" s="10" t="str">
        <f t="shared" si="14"/>
        <v/>
      </c>
      <c r="H257" s="4"/>
      <c r="I257" s="6" t="str">
        <f t="shared" ca="1" si="15"/>
        <v/>
      </c>
      <c r="J257" s="13"/>
      <c r="K257" s="11"/>
      <c r="L257" s="11"/>
      <c r="M257" s="10"/>
      <c r="N257" s="10"/>
      <c r="Q257" s="11"/>
      <c r="R257" s="11"/>
      <c r="S257" s="10"/>
    </row>
    <row r="258" spans="2:19" s="6" customFormat="1" ht="16.5" customHeight="1">
      <c r="B258" s="10"/>
      <c r="C258" s="11"/>
      <c r="D258" s="10" t="str">
        <f t="shared" si="14"/>
        <v/>
      </c>
      <c r="H258" s="4"/>
      <c r="I258" s="6" t="str">
        <f t="shared" ca="1" si="15"/>
        <v/>
      </c>
      <c r="J258" s="13"/>
      <c r="K258" s="11"/>
      <c r="L258" s="11"/>
      <c r="M258" s="10"/>
      <c r="N258" s="10"/>
      <c r="Q258" s="11"/>
      <c r="R258" s="11"/>
      <c r="S258" s="10"/>
    </row>
    <row r="259" spans="2:19" s="6" customFormat="1" ht="16.5" customHeight="1">
      <c r="B259" s="10"/>
      <c r="C259" s="11"/>
      <c r="D259" s="10" t="str">
        <f t="shared" si="14"/>
        <v/>
      </c>
      <c r="H259" s="4"/>
      <c r="I259" s="6" t="str">
        <f t="shared" ca="1" si="15"/>
        <v/>
      </c>
      <c r="J259" s="13"/>
      <c r="K259" s="11"/>
      <c r="L259" s="11"/>
      <c r="M259" s="10"/>
      <c r="N259" s="10"/>
      <c r="Q259" s="11"/>
      <c r="R259" s="11"/>
      <c r="S259" s="10"/>
    </row>
    <row r="260" spans="2:19" s="6" customFormat="1" ht="16.5" customHeight="1">
      <c r="B260" s="10"/>
      <c r="C260" s="11"/>
      <c r="D260" s="10" t="str">
        <f t="shared" si="14"/>
        <v/>
      </c>
      <c r="H260" s="4"/>
      <c r="I260" s="6" t="str">
        <f t="shared" ca="1" si="15"/>
        <v/>
      </c>
      <c r="J260" s="13"/>
      <c r="K260" s="11"/>
      <c r="L260" s="11"/>
      <c r="M260" s="10"/>
      <c r="N260" s="10"/>
      <c r="Q260" s="11"/>
      <c r="R260" s="11"/>
      <c r="S260" s="10"/>
    </row>
    <row r="261" spans="2:19" s="6" customFormat="1" ht="16.5" customHeight="1">
      <c r="B261" s="10"/>
      <c r="C261" s="11"/>
      <c r="D261" s="10" t="str">
        <f t="shared" si="14"/>
        <v/>
      </c>
      <c r="H261" s="4"/>
      <c r="I261" s="6" t="str">
        <f t="shared" ca="1" si="15"/>
        <v/>
      </c>
      <c r="J261" s="13"/>
      <c r="K261" s="11"/>
      <c r="L261" s="11"/>
      <c r="M261" s="10"/>
      <c r="N261" s="10"/>
      <c r="Q261" s="11"/>
      <c r="R261" s="11"/>
      <c r="S261" s="10"/>
    </row>
    <row r="262" spans="2:19" s="6" customFormat="1" ht="16.5" customHeight="1">
      <c r="B262" s="10"/>
      <c r="C262" s="11"/>
      <c r="D262" s="10" t="str">
        <f t="shared" si="14"/>
        <v/>
      </c>
      <c r="H262" s="4"/>
      <c r="I262" s="6" t="str">
        <f t="shared" ca="1" si="15"/>
        <v/>
      </c>
      <c r="J262" s="13"/>
      <c r="K262" s="11"/>
      <c r="L262" s="11"/>
      <c r="M262" s="10"/>
      <c r="N262" s="10"/>
      <c r="Q262" s="11"/>
      <c r="R262" s="11"/>
      <c r="S262" s="10"/>
    </row>
    <row r="263" spans="2:19" s="6" customFormat="1" ht="16.5" customHeight="1">
      <c r="B263" s="10"/>
      <c r="C263" s="11"/>
      <c r="D263" s="10" t="str">
        <f t="shared" si="14"/>
        <v/>
      </c>
      <c r="H263" s="4"/>
      <c r="I263" s="6" t="str">
        <f t="shared" ca="1" si="15"/>
        <v/>
      </c>
      <c r="J263" s="13"/>
      <c r="K263" s="11"/>
      <c r="L263" s="11"/>
      <c r="M263" s="10"/>
      <c r="N263" s="10"/>
      <c r="Q263" s="11"/>
      <c r="R263" s="11"/>
      <c r="S263" s="10"/>
    </row>
    <row r="264" spans="2:19" s="6" customFormat="1" ht="16.5" customHeight="1">
      <c r="B264" s="10"/>
      <c r="C264" s="11"/>
      <c r="D264" s="10" t="str">
        <f t="shared" si="14"/>
        <v/>
      </c>
      <c r="H264" s="4"/>
      <c r="I264" s="6" t="str">
        <f t="shared" ca="1" si="15"/>
        <v/>
      </c>
      <c r="J264" s="13"/>
      <c r="K264" s="11"/>
      <c r="L264" s="11"/>
      <c r="M264" s="10"/>
      <c r="N264" s="10"/>
      <c r="Q264" s="11"/>
      <c r="R264" s="11"/>
      <c r="S264" s="10"/>
    </row>
    <row r="265" spans="2:19" s="6" customFormat="1" ht="16.5" customHeight="1">
      <c r="B265" s="10"/>
      <c r="C265" s="11"/>
      <c r="D265" s="10" t="str">
        <f t="shared" si="14"/>
        <v/>
      </c>
      <c r="H265" s="4"/>
      <c r="I265" s="6" t="str">
        <f t="shared" ca="1" si="15"/>
        <v/>
      </c>
      <c r="J265" s="13"/>
      <c r="K265" s="11"/>
      <c r="L265" s="11"/>
      <c r="M265" s="10"/>
      <c r="N265" s="10"/>
      <c r="Q265" s="11"/>
      <c r="R265" s="11"/>
      <c r="S265" s="10"/>
    </row>
    <row r="266" spans="2:19" s="6" customFormat="1" ht="16.5" customHeight="1">
      <c r="B266" s="10"/>
      <c r="C266" s="11"/>
      <c r="D266" s="10" t="str">
        <f t="shared" si="14"/>
        <v/>
      </c>
      <c r="H266" s="4"/>
      <c r="I266" s="6" t="str">
        <f t="shared" ca="1" si="15"/>
        <v/>
      </c>
      <c r="J266" s="13"/>
      <c r="K266" s="11"/>
      <c r="L266" s="11"/>
      <c r="M266" s="10"/>
      <c r="N266" s="10"/>
      <c r="Q266" s="11"/>
      <c r="R266" s="11"/>
      <c r="S266" s="10"/>
    </row>
    <row r="267" spans="2:19" s="6" customFormat="1" ht="16.5" customHeight="1">
      <c r="B267" s="10"/>
      <c r="C267" s="11"/>
      <c r="D267" s="10" t="str">
        <f t="shared" si="14"/>
        <v/>
      </c>
      <c r="H267" s="4"/>
      <c r="I267" s="6" t="str">
        <f t="shared" ca="1" si="15"/>
        <v/>
      </c>
      <c r="J267" s="13"/>
      <c r="K267" s="11"/>
      <c r="L267" s="11"/>
      <c r="M267" s="10"/>
      <c r="N267" s="10"/>
      <c r="Q267" s="11"/>
      <c r="R267" s="11"/>
      <c r="S267" s="10"/>
    </row>
    <row r="268" spans="2:19" s="6" customFormat="1" ht="16.5" customHeight="1">
      <c r="B268" s="10"/>
      <c r="C268" s="11"/>
      <c r="D268" s="10" t="str">
        <f t="shared" si="14"/>
        <v/>
      </c>
      <c r="H268" s="4"/>
      <c r="I268" s="6" t="str">
        <f t="shared" ca="1" si="15"/>
        <v/>
      </c>
      <c r="J268" s="13"/>
      <c r="K268" s="11"/>
      <c r="L268" s="11"/>
      <c r="M268" s="10"/>
      <c r="N268" s="10"/>
      <c r="Q268" s="11"/>
      <c r="R268" s="11"/>
      <c r="S268" s="10"/>
    </row>
    <row r="269" spans="2:19" s="6" customFormat="1" ht="16.5" customHeight="1">
      <c r="B269" s="10"/>
      <c r="C269" s="11"/>
      <c r="D269" s="10" t="str">
        <f t="shared" ref="D269:D332" si="16">IF(G269="","",IF(OR(G269="선급금",G269="중도금",G269="잔금"),"A",IF(G269="자재","B",IF(G269="특허료","C",""))))</f>
        <v/>
      </c>
      <c r="H269" s="4"/>
      <c r="I269" s="6" t="str">
        <f t="shared" ref="I269:I332" ca="1" si="17">IF(C269="","",IF(L269="",TODAY()-C269,L269-C269))</f>
        <v/>
      </c>
      <c r="J269" s="13"/>
      <c r="K269" s="11"/>
      <c r="L269" s="11"/>
      <c r="M269" s="10"/>
      <c r="N269" s="10"/>
      <c r="Q269" s="11"/>
      <c r="R269" s="11"/>
      <c r="S269" s="10"/>
    </row>
    <row r="270" spans="2:19" s="6" customFormat="1" ht="16.5" customHeight="1">
      <c r="B270" s="10"/>
      <c r="C270" s="11"/>
      <c r="D270" s="10" t="str">
        <f t="shared" si="16"/>
        <v/>
      </c>
      <c r="H270" s="4"/>
      <c r="I270" s="6" t="str">
        <f t="shared" ca="1" si="17"/>
        <v/>
      </c>
      <c r="J270" s="13"/>
      <c r="K270" s="11"/>
      <c r="L270" s="11"/>
      <c r="M270" s="10"/>
      <c r="N270" s="10"/>
      <c r="Q270" s="11"/>
      <c r="R270" s="11"/>
      <c r="S270" s="10"/>
    </row>
    <row r="271" spans="2:19" s="6" customFormat="1" ht="16.5" customHeight="1">
      <c r="B271" s="10"/>
      <c r="C271" s="11"/>
      <c r="D271" s="10" t="str">
        <f t="shared" si="16"/>
        <v/>
      </c>
      <c r="H271" s="4"/>
      <c r="I271" s="6" t="str">
        <f t="shared" ca="1" si="17"/>
        <v/>
      </c>
      <c r="J271" s="13"/>
      <c r="K271" s="11"/>
      <c r="L271" s="11"/>
      <c r="M271" s="10"/>
      <c r="N271" s="10"/>
      <c r="Q271" s="11"/>
      <c r="R271" s="11"/>
      <c r="S271" s="10"/>
    </row>
    <row r="272" spans="2:19" s="6" customFormat="1" ht="16.5" customHeight="1">
      <c r="B272" s="10"/>
      <c r="C272" s="11"/>
      <c r="D272" s="10" t="str">
        <f t="shared" si="16"/>
        <v/>
      </c>
      <c r="H272" s="4"/>
      <c r="I272" s="6" t="str">
        <f t="shared" ca="1" si="17"/>
        <v/>
      </c>
      <c r="J272" s="13"/>
      <c r="K272" s="11"/>
      <c r="L272" s="11"/>
      <c r="M272" s="10"/>
      <c r="N272" s="10"/>
      <c r="Q272" s="11"/>
      <c r="R272" s="11"/>
      <c r="S272" s="10"/>
    </row>
    <row r="273" spans="2:19" s="6" customFormat="1" ht="16.5" customHeight="1">
      <c r="B273" s="10"/>
      <c r="C273" s="11"/>
      <c r="D273" s="10" t="str">
        <f t="shared" si="16"/>
        <v/>
      </c>
      <c r="H273" s="4"/>
      <c r="I273" s="6" t="str">
        <f t="shared" ca="1" si="17"/>
        <v/>
      </c>
      <c r="J273" s="13"/>
      <c r="K273" s="11"/>
      <c r="L273" s="11"/>
      <c r="M273" s="10"/>
      <c r="N273" s="10"/>
      <c r="Q273" s="11"/>
      <c r="R273" s="11"/>
      <c r="S273" s="10"/>
    </row>
    <row r="274" spans="2:19" s="6" customFormat="1" ht="16.5" customHeight="1">
      <c r="B274" s="10"/>
      <c r="C274" s="11"/>
      <c r="D274" s="10" t="str">
        <f t="shared" si="16"/>
        <v/>
      </c>
      <c r="H274" s="4"/>
      <c r="I274" s="6" t="str">
        <f t="shared" ca="1" si="17"/>
        <v/>
      </c>
      <c r="J274" s="13"/>
      <c r="K274" s="11"/>
      <c r="L274" s="11"/>
      <c r="M274" s="10"/>
      <c r="N274" s="10"/>
      <c r="Q274" s="11"/>
      <c r="R274" s="11"/>
      <c r="S274" s="10"/>
    </row>
    <row r="275" spans="2:19" s="6" customFormat="1" ht="16.5" customHeight="1">
      <c r="B275" s="10"/>
      <c r="C275" s="11"/>
      <c r="D275" s="10" t="str">
        <f t="shared" si="16"/>
        <v/>
      </c>
      <c r="H275" s="4"/>
      <c r="I275" s="6" t="str">
        <f t="shared" ca="1" si="17"/>
        <v/>
      </c>
      <c r="J275" s="13"/>
      <c r="K275" s="11"/>
      <c r="L275" s="11"/>
      <c r="M275" s="10"/>
      <c r="N275" s="10"/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6"/>
        <v/>
      </c>
      <c r="H276" s="4"/>
      <c r="I276" s="6" t="str">
        <f t="shared" ca="1" si="17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6"/>
        <v/>
      </c>
      <c r="H277" s="4"/>
      <c r="I277" s="6" t="str">
        <f t="shared" ca="1" si="17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6"/>
        <v/>
      </c>
      <c r="H278" s="4"/>
      <c r="I278" s="6" t="str">
        <f t="shared" ca="1" si="17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6"/>
        <v/>
      </c>
      <c r="H279" s="4"/>
      <c r="I279" s="6" t="str">
        <f t="shared" ca="1" si="17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6"/>
        <v/>
      </c>
      <c r="H280" s="4"/>
      <c r="I280" s="6" t="str">
        <f t="shared" ca="1" si="17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6"/>
        <v/>
      </c>
      <c r="H281" s="4"/>
      <c r="I281" s="6" t="str">
        <f t="shared" ca="1" si="17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6"/>
        <v/>
      </c>
      <c r="H282" s="4"/>
      <c r="I282" s="6" t="str">
        <f t="shared" ca="1" si="17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6"/>
        <v/>
      </c>
      <c r="H283" s="4"/>
      <c r="I283" s="6" t="str">
        <f t="shared" ca="1" si="17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6"/>
        <v/>
      </c>
      <c r="H284" s="4"/>
      <c r="I284" s="6" t="str">
        <f t="shared" ca="1" si="17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6"/>
        <v/>
      </c>
      <c r="H285" s="4"/>
      <c r="I285" s="6" t="str">
        <f t="shared" ca="1" si="17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6"/>
        <v/>
      </c>
      <c r="H286" s="4"/>
      <c r="I286" s="6" t="str">
        <f t="shared" ca="1" si="17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6"/>
        <v/>
      </c>
      <c r="H287" s="4"/>
      <c r="I287" s="6" t="str">
        <f t="shared" ca="1" si="17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6"/>
        <v/>
      </c>
      <c r="H288" s="4"/>
      <c r="I288" s="6" t="str">
        <f t="shared" ca="1" si="17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6"/>
        <v/>
      </c>
      <c r="H289" s="4"/>
      <c r="I289" s="6" t="str">
        <f t="shared" ca="1" si="17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6"/>
        <v/>
      </c>
      <c r="H290" s="4"/>
      <c r="I290" s="6" t="str">
        <f t="shared" ca="1" si="17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6"/>
        <v/>
      </c>
      <c r="H291" s="4"/>
      <c r="I291" s="6" t="str">
        <f t="shared" ca="1" si="17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6"/>
        <v/>
      </c>
      <c r="H292" s="4"/>
      <c r="I292" s="6" t="str">
        <f t="shared" ca="1" si="17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6"/>
        <v/>
      </c>
      <c r="H293" s="4"/>
      <c r="I293" s="6" t="str">
        <f t="shared" ca="1" si="17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6"/>
        <v/>
      </c>
      <c r="H294" s="4"/>
      <c r="I294" s="6" t="str">
        <f t="shared" ca="1" si="17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6"/>
        <v/>
      </c>
      <c r="H295" s="4"/>
      <c r="I295" s="6" t="str">
        <f t="shared" ca="1" si="17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6"/>
        <v/>
      </c>
      <c r="H296" s="4"/>
      <c r="I296" s="6" t="str">
        <f t="shared" ca="1" si="17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6"/>
        <v/>
      </c>
      <c r="H297" s="4"/>
      <c r="I297" s="6" t="str">
        <f t="shared" ca="1" si="17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6"/>
        <v/>
      </c>
      <c r="H298" s="4"/>
      <c r="I298" s="6" t="str">
        <f t="shared" ca="1" si="17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6"/>
        <v/>
      </c>
      <c r="H299" s="4"/>
      <c r="I299" s="6" t="str">
        <f t="shared" ca="1" si="17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6"/>
        <v/>
      </c>
      <c r="H300" s="4"/>
      <c r="I300" s="6" t="str">
        <f t="shared" ca="1" si="17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6"/>
        <v/>
      </c>
      <c r="H301" s="4"/>
      <c r="I301" s="6" t="str">
        <f t="shared" ca="1" si="17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6"/>
        <v/>
      </c>
      <c r="H302" s="4"/>
      <c r="I302" s="6" t="str">
        <f t="shared" ca="1" si="17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6"/>
        <v/>
      </c>
      <c r="H303" s="4"/>
      <c r="I303" s="6" t="str">
        <f t="shared" ca="1" si="17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6"/>
        <v/>
      </c>
      <c r="H304" s="4"/>
      <c r="I304" s="6" t="str">
        <f t="shared" ca="1" si="17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6"/>
        <v/>
      </c>
      <c r="H305" s="4"/>
      <c r="I305" s="6" t="str">
        <f t="shared" ca="1" si="17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6"/>
        <v/>
      </c>
      <c r="H306" s="4"/>
      <c r="I306" s="6" t="str">
        <f t="shared" ca="1" si="17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6"/>
        <v/>
      </c>
      <c r="H307" s="4"/>
      <c r="I307" s="6" t="str">
        <f t="shared" ca="1" si="17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6"/>
        <v/>
      </c>
      <c r="H308" s="4"/>
      <c r="I308" s="6" t="str">
        <f t="shared" ca="1" si="17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6"/>
        <v/>
      </c>
      <c r="H309" s="4"/>
      <c r="I309" s="6" t="str">
        <f t="shared" ca="1" si="17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6"/>
        <v/>
      </c>
      <c r="H310" s="4"/>
      <c r="I310" s="6" t="str">
        <f t="shared" ca="1" si="17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6"/>
        <v/>
      </c>
      <c r="H311" s="4"/>
      <c r="I311" s="6" t="str">
        <f t="shared" ca="1" si="17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6"/>
        <v/>
      </c>
      <c r="H312" s="4"/>
      <c r="I312" s="6" t="str">
        <f t="shared" ca="1" si="17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6"/>
        <v/>
      </c>
      <c r="H313" s="4"/>
      <c r="I313" s="6" t="str">
        <f t="shared" ca="1" si="17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6"/>
        <v/>
      </c>
      <c r="H314" s="4"/>
      <c r="I314" s="6" t="str">
        <f t="shared" ca="1" si="17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6"/>
        <v/>
      </c>
      <c r="H315" s="4"/>
      <c r="I315" s="6" t="str">
        <f t="shared" ca="1" si="17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6"/>
        <v/>
      </c>
      <c r="H316" s="4"/>
      <c r="I316" s="6" t="str">
        <f t="shared" ca="1" si="17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6"/>
        <v/>
      </c>
      <c r="H317" s="4"/>
      <c r="I317" s="6" t="str">
        <f t="shared" ca="1" si="17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6"/>
        <v/>
      </c>
      <c r="H318" s="4"/>
      <c r="I318" s="6" t="str">
        <f t="shared" ca="1" si="17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6"/>
        <v/>
      </c>
      <c r="H319" s="4"/>
      <c r="I319" s="6" t="str">
        <f t="shared" ca="1" si="17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6"/>
        <v/>
      </c>
      <c r="H320" s="4"/>
      <c r="I320" s="6" t="str">
        <f t="shared" ca="1" si="17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6"/>
        <v/>
      </c>
      <c r="H321" s="4"/>
      <c r="I321" s="6" t="str">
        <f t="shared" ca="1" si="17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6"/>
        <v/>
      </c>
      <c r="H322" s="4"/>
      <c r="I322" s="6" t="str">
        <f t="shared" ca="1" si="17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6"/>
        <v/>
      </c>
      <c r="H323" s="4"/>
      <c r="I323" s="6" t="str">
        <f t="shared" ca="1" si="17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6"/>
        <v/>
      </c>
      <c r="H324" s="4"/>
      <c r="I324" s="6" t="str">
        <f t="shared" ca="1" si="17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6"/>
        <v/>
      </c>
      <c r="H325" s="4"/>
      <c r="I325" s="6" t="str">
        <f t="shared" ca="1" si="17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6"/>
        <v/>
      </c>
      <c r="H326" s="4"/>
      <c r="I326" s="6" t="str">
        <f t="shared" ca="1" si="17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6"/>
        <v/>
      </c>
      <c r="H327" s="4"/>
      <c r="I327" s="6" t="str">
        <f t="shared" ca="1" si="17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6"/>
        <v/>
      </c>
      <c r="H328" s="4"/>
      <c r="I328" s="6" t="str">
        <f t="shared" ca="1" si="17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6"/>
        <v/>
      </c>
      <c r="H329" s="4"/>
      <c r="I329" s="6" t="str">
        <f t="shared" ca="1" si="17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6"/>
        <v/>
      </c>
      <c r="H330" s="4"/>
      <c r="I330" s="6" t="str">
        <f t="shared" ca="1" si="17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si="16"/>
        <v/>
      </c>
      <c r="H331" s="4"/>
      <c r="I331" s="6" t="str">
        <f t="shared" ca="1" si="17"/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si="16"/>
        <v/>
      </c>
      <c r="H332" s="4"/>
      <c r="I332" s="6" t="str">
        <f t="shared" ca="1" si="17"/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ref="D333:D396" si="18">IF(G333="","",IF(OR(G333="선급금",G333="중도금",G333="잔금"),"A",IF(G333="자재","B",IF(G333="특허료","C",""))))</f>
        <v/>
      </c>
      <c r="H333" s="4"/>
      <c r="I333" s="6" t="str">
        <f t="shared" ref="I333:I396" ca="1" si="19">IF(C333="","",IF(L333="",TODAY()-C333,L333-C333))</f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18"/>
        <v/>
      </c>
      <c r="H334" s="4"/>
      <c r="I334" s="6" t="str">
        <f t="shared" ca="1" si="19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18"/>
        <v/>
      </c>
      <c r="H335" s="4"/>
      <c r="I335" s="6" t="str">
        <f t="shared" ca="1" si="19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18"/>
        <v/>
      </c>
      <c r="H336" s="4"/>
      <c r="I336" s="6" t="str">
        <f t="shared" ca="1" si="19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18"/>
        <v/>
      </c>
      <c r="H337" s="4"/>
      <c r="I337" s="6" t="str">
        <f t="shared" ca="1" si="19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18"/>
        <v/>
      </c>
      <c r="H338" s="4"/>
      <c r="I338" s="6" t="str">
        <f t="shared" ca="1" si="19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18"/>
        <v/>
      </c>
      <c r="H339" s="4"/>
      <c r="I339" s="6" t="str">
        <f t="shared" ca="1" si="19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18"/>
        <v/>
      </c>
      <c r="H340" s="4"/>
      <c r="I340" s="6" t="str">
        <f t="shared" ca="1" si="19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18"/>
        <v/>
      </c>
      <c r="H341" s="4"/>
      <c r="I341" s="6" t="str">
        <f t="shared" ca="1" si="19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18"/>
        <v/>
      </c>
      <c r="H342" s="4"/>
      <c r="I342" s="6" t="str">
        <f t="shared" ca="1" si="19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18"/>
        <v/>
      </c>
      <c r="H343" s="4"/>
      <c r="I343" s="6" t="str">
        <f t="shared" ca="1" si="19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18"/>
        <v/>
      </c>
      <c r="H344" s="4"/>
      <c r="I344" s="6" t="str">
        <f t="shared" ca="1" si="19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18"/>
        <v/>
      </c>
      <c r="H345" s="4"/>
      <c r="I345" s="6" t="str">
        <f t="shared" ca="1" si="19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18"/>
        <v/>
      </c>
      <c r="H346" s="4"/>
      <c r="I346" s="6" t="str">
        <f t="shared" ca="1" si="19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18"/>
        <v/>
      </c>
      <c r="H347" s="4"/>
      <c r="I347" s="6" t="str">
        <f t="shared" ca="1" si="19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18"/>
        <v/>
      </c>
      <c r="H348" s="4"/>
      <c r="I348" s="6" t="str">
        <f t="shared" ca="1" si="19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18"/>
        <v/>
      </c>
      <c r="H349" s="4"/>
      <c r="I349" s="6" t="str">
        <f t="shared" ca="1" si="19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18"/>
        <v/>
      </c>
      <c r="H350" s="4"/>
      <c r="I350" s="6" t="str">
        <f t="shared" ca="1" si="19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18"/>
        <v/>
      </c>
      <c r="H351" s="4"/>
      <c r="I351" s="6" t="str">
        <f t="shared" ca="1" si="19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18"/>
        <v/>
      </c>
      <c r="H352" s="4"/>
      <c r="I352" s="6" t="str">
        <f t="shared" ca="1" si="19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18"/>
        <v/>
      </c>
      <c r="H353" s="4"/>
      <c r="I353" s="6" t="str">
        <f t="shared" ca="1" si="19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18"/>
        <v/>
      </c>
      <c r="H354" s="4"/>
      <c r="I354" s="6" t="str">
        <f t="shared" ca="1" si="19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18"/>
        <v/>
      </c>
      <c r="H355" s="4"/>
      <c r="I355" s="6" t="str">
        <f t="shared" ca="1" si="19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18"/>
        <v/>
      </c>
      <c r="H356" s="4"/>
      <c r="I356" s="6" t="str">
        <f t="shared" ca="1" si="19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18"/>
        <v/>
      </c>
      <c r="H357" s="4"/>
      <c r="I357" s="6" t="str">
        <f t="shared" ca="1" si="19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18"/>
        <v/>
      </c>
      <c r="H358" s="4"/>
      <c r="I358" s="6" t="str">
        <f t="shared" ca="1" si="19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18"/>
        <v/>
      </c>
      <c r="H359" s="4"/>
      <c r="I359" s="6" t="str">
        <f t="shared" ca="1" si="19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18"/>
        <v/>
      </c>
      <c r="H360" s="4"/>
      <c r="I360" s="6" t="str">
        <f t="shared" ca="1" si="19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18"/>
        <v/>
      </c>
      <c r="H361" s="4"/>
      <c r="I361" s="6" t="str">
        <f t="shared" ca="1" si="19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18"/>
        <v/>
      </c>
      <c r="H362" s="4"/>
      <c r="I362" s="6" t="str">
        <f t="shared" ca="1" si="19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18"/>
        <v/>
      </c>
      <c r="H363" s="4"/>
      <c r="I363" s="6" t="str">
        <f t="shared" ca="1" si="19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18"/>
        <v/>
      </c>
      <c r="H364" s="4"/>
      <c r="I364" s="6" t="str">
        <f t="shared" ca="1" si="19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18"/>
        <v/>
      </c>
      <c r="H365" s="4"/>
      <c r="I365" s="6" t="str">
        <f t="shared" ca="1" si="19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18"/>
        <v/>
      </c>
      <c r="H366" s="4"/>
      <c r="I366" s="6" t="str">
        <f t="shared" ca="1" si="19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18"/>
        <v/>
      </c>
      <c r="H367" s="4"/>
      <c r="I367" s="6" t="str">
        <f t="shared" ca="1" si="19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18"/>
        <v/>
      </c>
      <c r="H368" s="4"/>
      <c r="I368" s="6" t="str">
        <f t="shared" ca="1" si="19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18"/>
        <v/>
      </c>
      <c r="H369" s="4"/>
      <c r="I369" s="6" t="str">
        <f t="shared" ca="1" si="19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18"/>
        <v/>
      </c>
      <c r="H370" s="4"/>
      <c r="I370" s="6" t="str">
        <f t="shared" ca="1" si="19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18"/>
        <v/>
      </c>
      <c r="H371" s="4"/>
      <c r="I371" s="6" t="str">
        <f t="shared" ca="1" si="19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18"/>
        <v/>
      </c>
      <c r="H372" s="4"/>
      <c r="I372" s="6" t="str">
        <f t="shared" ca="1" si="19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18"/>
        <v/>
      </c>
      <c r="H373" s="4"/>
      <c r="I373" s="6" t="str">
        <f t="shared" ca="1" si="19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18"/>
        <v/>
      </c>
      <c r="H374" s="4"/>
      <c r="I374" s="6" t="str">
        <f t="shared" ca="1" si="19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18"/>
        <v/>
      </c>
      <c r="H375" s="4"/>
      <c r="I375" s="6" t="str">
        <f t="shared" ca="1" si="19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18"/>
        <v/>
      </c>
      <c r="H376" s="4"/>
      <c r="I376" s="6" t="str">
        <f t="shared" ca="1" si="19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18"/>
        <v/>
      </c>
      <c r="H377" s="4"/>
      <c r="I377" s="6" t="str">
        <f t="shared" ca="1" si="19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18"/>
        <v/>
      </c>
      <c r="H378" s="4"/>
      <c r="I378" s="6" t="str">
        <f t="shared" ca="1" si="19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18"/>
        <v/>
      </c>
      <c r="H379" s="4"/>
      <c r="I379" s="6" t="str">
        <f t="shared" ca="1" si="19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18"/>
        <v/>
      </c>
      <c r="H380" s="4"/>
      <c r="I380" s="6" t="str">
        <f t="shared" ca="1" si="19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18"/>
        <v/>
      </c>
      <c r="H381" s="4"/>
      <c r="I381" s="6" t="str">
        <f t="shared" ca="1" si="19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18"/>
        <v/>
      </c>
      <c r="H382" s="4"/>
      <c r="I382" s="6" t="str">
        <f t="shared" ca="1" si="19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18"/>
        <v/>
      </c>
      <c r="H383" s="4"/>
      <c r="I383" s="6" t="str">
        <f t="shared" ca="1" si="19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18"/>
        <v/>
      </c>
      <c r="H384" s="4"/>
      <c r="I384" s="6" t="str">
        <f t="shared" ca="1" si="19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18"/>
        <v/>
      </c>
      <c r="H385" s="4"/>
      <c r="I385" s="6" t="str">
        <f t="shared" ca="1" si="19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18"/>
        <v/>
      </c>
      <c r="H386" s="4"/>
      <c r="I386" s="6" t="str">
        <f t="shared" ca="1" si="19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18"/>
        <v/>
      </c>
      <c r="H387" s="4"/>
      <c r="I387" s="6" t="str">
        <f t="shared" ca="1" si="19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18"/>
        <v/>
      </c>
      <c r="H388" s="4"/>
      <c r="I388" s="6" t="str">
        <f t="shared" ca="1" si="19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18"/>
        <v/>
      </c>
      <c r="H389" s="4"/>
      <c r="I389" s="6" t="str">
        <f t="shared" ca="1" si="19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18"/>
        <v/>
      </c>
      <c r="H390" s="4"/>
      <c r="I390" s="6" t="str">
        <f t="shared" ca="1" si="19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18"/>
        <v/>
      </c>
      <c r="H391" s="4"/>
      <c r="I391" s="6" t="str">
        <f t="shared" ca="1" si="19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18"/>
        <v/>
      </c>
      <c r="H392" s="4"/>
      <c r="I392" s="6" t="str">
        <f t="shared" ca="1" si="19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18"/>
        <v/>
      </c>
      <c r="H393" s="4"/>
      <c r="I393" s="6" t="str">
        <f t="shared" ca="1" si="19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18"/>
        <v/>
      </c>
      <c r="H394" s="4"/>
      <c r="I394" s="6" t="str">
        <f t="shared" ca="1" si="19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si="18"/>
        <v/>
      </c>
      <c r="H395" s="4"/>
      <c r="I395" s="6" t="str">
        <f t="shared" ca="1" si="19"/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si="18"/>
        <v/>
      </c>
      <c r="H396" s="4"/>
      <c r="I396" s="6" t="str">
        <f t="shared" ca="1" si="19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ref="D397:D409" si="20">IF(G397="","",IF(OR(G397="선급금",G397="중도금",G397="잔금"),"A",IF(G397="자재","B",IF(G397="특허료","C",""))))</f>
        <v/>
      </c>
      <c r="H397" s="4"/>
      <c r="I397" s="6" t="str">
        <f t="shared" ref="I397:I407" ca="1" si="21">IF(C397="","",IF(L397="",TODAY()-C397,L397-C397))</f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0"/>
        <v/>
      </c>
      <c r="H398" s="4"/>
      <c r="I398" s="6" t="str">
        <f t="shared" ca="1" si="21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0"/>
        <v/>
      </c>
      <c r="H399" s="4"/>
      <c r="I399" s="6" t="str">
        <f t="shared" ca="1" si="21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0"/>
        <v/>
      </c>
      <c r="H400" s="4"/>
      <c r="I400" s="6" t="str">
        <f t="shared" ca="1" si="21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0"/>
        <v/>
      </c>
      <c r="H401" s="4"/>
      <c r="I401" s="6" t="str">
        <f t="shared" ca="1" si="21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 s="6" customFormat="1" ht="16.5" customHeight="1">
      <c r="B402" s="10"/>
      <c r="C402" s="11"/>
      <c r="D402" s="10" t="str">
        <f t="shared" si="20"/>
        <v/>
      </c>
      <c r="H402" s="4"/>
      <c r="I402" s="6" t="str">
        <f t="shared" ca="1" si="21"/>
        <v/>
      </c>
      <c r="J402" s="13"/>
      <c r="K402" s="11"/>
      <c r="L402" s="11"/>
      <c r="M402" s="10"/>
      <c r="N402" s="10"/>
      <c r="Q402" s="11"/>
      <c r="R402" s="11"/>
      <c r="S402" s="10"/>
    </row>
    <row r="403" spans="2:19" s="6" customFormat="1" ht="16.5" customHeight="1">
      <c r="B403" s="10"/>
      <c r="C403" s="11"/>
      <c r="D403" s="10" t="str">
        <f t="shared" si="20"/>
        <v/>
      </c>
      <c r="H403" s="4"/>
      <c r="I403" s="6" t="str">
        <f t="shared" ca="1" si="21"/>
        <v/>
      </c>
      <c r="J403" s="13"/>
      <c r="K403" s="11"/>
      <c r="L403" s="11"/>
      <c r="M403" s="10"/>
      <c r="N403" s="10"/>
      <c r="Q403" s="11"/>
      <c r="R403" s="11"/>
      <c r="S403" s="10"/>
    </row>
    <row r="404" spans="2:19">
      <c r="B404" s="10"/>
      <c r="C404" s="11"/>
      <c r="D404" s="1" t="str">
        <f t="shared" si="20"/>
        <v/>
      </c>
      <c r="I404" s="1" t="str">
        <f t="shared" ca="1" si="21"/>
        <v/>
      </c>
      <c r="K404" s="11"/>
      <c r="L404" s="11"/>
      <c r="Q404" s="11"/>
      <c r="R404" s="11"/>
    </row>
    <row r="405" spans="2:19">
      <c r="B405" s="10"/>
      <c r="C405" s="11"/>
      <c r="D405" s="1" t="str">
        <f t="shared" si="20"/>
        <v/>
      </c>
      <c r="I405" s="1" t="str">
        <f t="shared" ca="1" si="21"/>
        <v/>
      </c>
      <c r="K405" s="11"/>
      <c r="L405" s="11"/>
      <c r="Q405" s="11"/>
      <c r="R405" s="11"/>
    </row>
    <row r="406" spans="2:19">
      <c r="B406" s="10"/>
      <c r="C406" s="11"/>
      <c r="D406" s="1" t="str">
        <f t="shared" si="20"/>
        <v/>
      </c>
      <c r="I406" s="1" t="str">
        <f t="shared" ca="1" si="21"/>
        <v/>
      </c>
      <c r="Q406" s="11"/>
      <c r="R406" s="11"/>
    </row>
    <row r="407" spans="2:19">
      <c r="B407" s="10"/>
      <c r="C407" s="11"/>
      <c r="D407" s="1" t="str">
        <f t="shared" si="20"/>
        <v/>
      </c>
      <c r="I407" s="1" t="str">
        <f t="shared" ca="1" si="21"/>
        <v/>
      </c>
      <c r="Q407" s="11"/>
      <c r="R407" s="11"/>
    </row>
    <row r="408" spans="2:19">
      <c r="B408" s="10"/>
      <c r="C408" s="11"/>
      <c r="D408" s="1" t="str">
        <f t="shared" si="20"/>
        <v/>
      </c>
      <c r="Q408" s="11"/>
      <c r="R408" s="11"/>
    </row>
    <row r="409" spans="2:19">
      <c r="B409" s="10"/>
      <c r="C409" s="11"/>
      <c r="D409" s="1" t="str">
        <f t="shared" si="20"/>
        <v/>
      </c>
      <c r="Q409" s="11"/>
      <c r="R409" s="11"/>
    </row>
  </sheetData>
  <autoFilter ref="A1:S409"/>
  <phoneticPr fontId="5" type="noConversion"/>
  <conditionalFormatting sqref="E3 F57:F60">
    <cfRule type="expression" dxfId="18" priority="33">
      <formula>$J3="잔금"</formula>
    </cfRule>
  </conditionalFormatting>
  <conditionalFormatting sqref="E8">
    <cfRule type="expression" dxfId="17" priority="32">
      <formula>$J8="잔금"</formula>
    </cfRule>
  </conditionalFormatting>
  <conditionalFormatting sqref="E4">
    <cfRule type="expression" dxfId="16" priority="31">
      <formula>$J4="잔금"</formula>
    </cfRule>
  </conditionalFormatting>
  <conditionalFormatting sqref="E9">
    <cfRule type="expression" dxfId="15" priority="30">
      <formula>$J9="잔금"</formula>
    </cfRule>
  </conditionalFormatting>
  <conditionalFormatting sqref="E41 E37">
    <cfRule type="expression" dxfId="14" priority="25">
      <formula>$J37="잔금"</formula>
    </cfRule>
  </conditionalFormatting>
  <conditionalFormatting sqref="E98:E99">
    <cfRule type="expression" dxfId="13" priority="15">
      <formula>$J98="잔금"</formula>
    </cfRule>
  </conditionalFormatting>
  <conditionalFormatting sqref="F98:F99">
    <cfRule type="expression" dxfId="12" priority="14">
      <formula>$J98="잔금"</formula>
    </cfRule>
  </conditionalFormatting>
  <conditionalFormatting sqref="F104:F105">
    <cfRule type="expression" dxfId="11" priority="12">
      <formula>$J104="잔금"</formula>
    </cfRule>
  </conditionalFormatting>
  <conditionalFormatting sqref="H104:H105">
    <cfRule type="expression" dxfId="10" priority="11">
      <formula>$J104="잔금"</formula>
    </cfRule>
  </conditionalFormatting>
  <conditionalFormatting sqref="E106:E108">
    <cfRule type="expression" dxfId="9" priority="10">
      <formula>$J106="잔금"</formula>
    </cfRule>
  </conditionalFormatting>
  <conditionalFormatting sqref="F106:F108">
    <cfRule type="expression" dxfId="8" priority="9">
      <formula>$J106="잔금"</formula>
    </cfRule>
  </conditionalFormatting>
  <conditionalFormatting sqref="H106:H108">
    <cfRule type="expression" dxfId="7" priority="8">
      <formula>$J106="잔금"</formula>
    </cfRule>
  </conditionalFormatting>
  <conditionalFormatting sqref="E110">
    <cfRule type="expression" dxfId="6" priority="7">
      <formula>$J110="잔금"</formula>
    </cfRule>
  </conditionalFormatting>
  <conditionalFormatting sqref="F110">
    <cfRule type="expression" dxfId="5" priority="6">
      <formula>$J110="잔금"</formula>
    </cfRule>
  </conditionalFormatting>
  <conditionalFormatting sqref="E111:E113">
    <cfRule type="expression" dxfId="4" priority="5">
      <formula>$J111="잔금"</formula>
    </cfRule>
  </conditionalFormatting>
  <conditionalFormatting sqref="F111 F113">
    <cfRule type="expression" dxfId="3" priority="4">
      <formula>$J111="잔금"</formula>
    </cfRule>
  </conditionalFormatting>
  <conditionalFormatting sqref="F112">
    <cfRule type="expression" dxfId="2" priority="3">
      <formula>$J112="잔금"</formula>
    </cfRule>
  </conditionalFormatting>
  <conditionalFormatting sqref="H111:H113">
    <cfRule type="expression" dxfId="1" priority="2">
      <formula>$J111="잔금"</formula>
    </cfRule>
  </conditionalFormatting>
  <conditionalFormatting sqref="C111:C113">
    <cfRule type="expression" dxfId="0" priority="1">
      <formula>$J111="잔금"</formula>
    </cfRule>
  </conditionalFormatting>
  <dataValidations count="3">
    <dataValidation type="list" allowBlank="1" sqref="D2:D409">
      <formula1>"A,B,C"</formula1>
    </dataValidation>
    <dataValidation type="list" allowBlank="1" sqref="G2:G71">
      <formula1>"선급금,중도금,잔금,자재,특허료"</formula1>
    </dataValidation>
    <dataValidation type="list" allowBlank="1" sqref="N2:N116">
      <formula1>"Y,N"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2026-02-24T02:09:38Z</dcterms:modified>
</cp:coreProperties>
</file>