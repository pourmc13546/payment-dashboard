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<sst xmlns="http://schemas.openxmlformats.org/spreadsheetml/2006/main" count="871" uniqueCount="268">
  <si>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</si>
  <si>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</si>
  <si>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</si>
  <si>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</si>
  <si>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</si>
  <si>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</si>
  <si>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</si>
  <si>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</si>
  <si>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</si>
  <si>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</si>
  <si>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</si>
  <si>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</si>
  <si>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</si>
  <si>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</si>
  <si>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</si>
  <si>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</si>
  <si>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</si>
  <si>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</si>
  <si>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</si>
  <si>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</si>
  <si>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</si>
  <si>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</si>
  <si>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</si>
  <si>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</si>
  <si>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</si>
  <si>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</si>
  <si>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</si>
  <si>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</si>
  <si>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</si>
  <si>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</si>
  <si>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</si>
  <si>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</si>
  <si>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</si>
  <si>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</si>
  <si>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</si>
  <si>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</si>
  <si>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</si>
  <si>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</si>
  <si>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</si>
  <si>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</si>
  <si>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</si>
  <si>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</si>
  <si>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</si>
  <si>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</si>
  <si>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</si>
  <si>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</si>
  <si>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</si>
  <si>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</si>
  <si>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</si>
  <si>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</si>
  <si>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</si>
  <si>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</si>
  <si>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</si>
  <si>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</si>
  <si>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</si>
  <si>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</si>
  <si>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</si>
  <si>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</si>
  <si>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</si>
  <si>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</si>
  <si>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</si>
  <si>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</si>
  <si>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</si>
  <si>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</si>
  <si>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</si>
  <si>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</si>
  <si>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</si>
  <si>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</si>
  <si>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</si>
  <si>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</si>
  <si>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</si>
  <si>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</si>
  <si>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</si>
  <si>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</si>
  <si>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</si>
  <si>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</si>
  <si>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</si>
  <si>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</si>
  <si>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</si>
  <si>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</si>
  <si>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</si>
  <si>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</si>
  <si>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</si>
  <si>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</si>
  <si>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</si>
  <si>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</si>
  <si>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</si>
  <si>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</si>
  <si>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</si>
  <si>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</si>
  <si>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</si>
  <si>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</si>
  <si>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</si>
  <si>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</si>
  <si>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</si>
  <si>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</si>
  <si>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</si>
  <si>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</si>
  <si>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</si>
  <si>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</si>
  <si>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</si>
  <si>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</si>
  <si>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</si>
  <si>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</si>
  <si>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</si>
  <si>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</si>
  <si>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</si>
  <si>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</si>
  <si>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</si>
  <si>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</si>
  <si>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</si>
  <si>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</si>
  <si>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</si>
  <si>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</si>
  <si>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</si>
  <si>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</si>
  <si>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</si>
  <si>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</si>
  <si>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</si>
  <si>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</si>
  <si>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</si>
  <si>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</si>
  <si>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</si>
  <si>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</si>
  <si>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</si>
  <si>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</si>
  <si>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</si>
  <si>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</si>
  <si>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</si>
  <si>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</si>
  <si>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</si>
  <si>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</si>
  <si>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</si>
  <si>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</si>
  <si>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</si>
  <si>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</si>
  <si>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</si>
  <si>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</si>
  <si>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</si>
  <si>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</si>
  <si>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</si>
  <si>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</si>
  <si>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</si>
  <si>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</si>
  <si>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</si>
  <si>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</si>
  <si>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</si>
  <si>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</si>
  <si>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</si>
  <si>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</si>
  <si>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</si>
  <si>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</si>
  <si>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</si>
  <si>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</si>
  <si>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</si>
  <si>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</si>
  <si>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</si>
  <si>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</si>
  <si>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</si>
  <si>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</si>
  <si>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</si>
  <si>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</si>
  <si>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</si>
  <si>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</si>
  <si>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</si>
  <si>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</si>
  <si>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</si>
  <si>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</si>
  <si>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</si>
  <si>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</si>
  <si>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</si>
  <si>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</si>
  <si>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</si>
  <si>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</si>
  <si>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</si>
  <si>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</si>
  <si>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</si>
  <si>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</si>
  <si>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</si>
  <si>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</si>
  <si>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</si>
  <si>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</si>
  <si>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</si>
  <si>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</si>
  <si>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</si>
  <si>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</si>
  <si>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</si>
  <si>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</si>
  <si>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</si>
  <si>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</si>
  <si>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</si>
  <si>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</si>
  <si>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</si>
  <si>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</si>
  <si>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</si>
  <si>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</si>
  <si>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</si>
  <si>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</si>
  <si>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</si>
  <si>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</si>
  <si>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</si>
  <si>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</si>
  <si>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</si>
  <si>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</si>
  <si>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</si>
  <si>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</si>
  <si>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</si>
  <si>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</si>
  <si>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</si>
  <si>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</si>
  <si>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</si>
  <si>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</si>
  <si>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</si>
  <si>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</si>
  <si>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</si>
  <si>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</si>
  <si>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</si>
  <si>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</si>
  <si>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</si>
  <si>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</si>
  <si>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</si>
  <si>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</si>
  <si>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</si>
  <si>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</si>
  <si>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</si>
  <si>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</si>
  <si>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</si>
  <si>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</si>
  <si>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</si>
  <si>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</si>
  <si>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</si>
  <si>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</si>
  <si>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</si>
  <si>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</si>
  <si>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</si>
  <si>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</si>
  <si>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</si>
  <si>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</si>
  <si>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</si>
  <si>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</si>
  <si>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</si>
  <si>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</si>
  <si>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 xml:space="preserve"> 20,124,400 
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</si>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</sst>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2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34" activePane="bottomRight" state="frozen"/>
      <selection pane="topRight"/>
      <selection pane="bottomLeft"/>
      <selection pane="bottomRight" activeCell="L154" sqref="L154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293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143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123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273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175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125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80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75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258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118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433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853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657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497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635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634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726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368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363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353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347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343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343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342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340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319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305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284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272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242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220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291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215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193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188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174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145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143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132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126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123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122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119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-255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82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385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250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250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201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81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63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62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62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63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63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60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52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48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48</v>
      </c>
      <c r="J84" s="13" t="str">
        <f t="shared" ca="1" si="5"/>
        <v>관리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46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46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42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39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39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35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28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27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27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63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26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26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25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25</v>
      </c>
      <c r="J107" s="13" t="str">
        <f t="shared" ca="1" si="5"/>
        <v>정상</v>
      </c>
      <c r="K107" s="11"/>
      <c r="L107" s="11"/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25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24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23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17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14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14</v>
      </c>
      <c r="J115" s="13" t="str">
        <f t="shared" ref="J115:J157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13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12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10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10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10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10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254</v>
      </c>
      <c r="E126" s="55" t="s">
        <v>252</v>
      </c>
      <c r="F126" s="55" t="s">
        <v>253</v>
      </c>
      <c r="G126" s="6" t="s">
        <v>255</v>
      </c>
      <c r="H126" s="54">
        <v>9036000</v>
      </c>
      <c r="J126" s="13" t="s">
        <v>256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10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6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6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6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6</v>
      </c>
      <c r="J131" s="13" t="str">
        <f t="shared" ca="1" si="11"/>
        <v>정상</v>
      </c>
      <c r="K131" s="11"/>
      <c r="L131" s="11"/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6</v>
      </c>
      <c r="J132" s="13" t="str">
        <f t="shared" ca="1" si="11"/>
        <v>정상</v>
      </c>
      <c r="K132" s="11"/>
      <c r="L132" s="11"/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6</v>
      </c>
      <c r="J133" s="13" t="str">
        <f t="shared" ca="1" si="11"/>
        <v>정상</v>
      </c>
      <c r="K133" s="11"/>
      <c r="L133" s="11"/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6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6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6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10474600</v>
      </c>
      <c r="I138" s="6">
        <f t="shared" ca="1" si="10"/>
        <v>5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/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245</v>
      </c>
      <c r="F141" s="6" t="s">
        <v>243</v>
      </c>
      <c r="G141" s="6" t="s">
        <v>244</v>
      </c>
      <c r="H141" s="60" t="s">
        <v>242</v>
      </c>
      <c r="I141" s="6">
        <f t="shared" ca="1" si="13"/>
        <v>4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250</v>
      </c>
      <c r="E142" s="23" t="s">
        <v>203</v>
      </c>
      <c r="F142" s="23" t="s">
        <v>204</v>
      </c>
      <c r="G142" s="6" t="s">
        <v>251</v>
      </c>
      <c r="H142" s="25">
        <v>577500</v>
      </c>
      <c r="I142" s="6">
        <f t="shared" ca="1" si="13"/>
        <v>4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250</v>
      </c>
      <c r="E143" s="23" t="s">
        <v>215</v>
      </c>
      <c r="F143" s="23" t="s">
        <v>210</v>
      </c>
      <c r="G143" s="6" t="s">
        <v>251</v>
      </c>
      <c r="H143" s="25">
        <v>226000</v>
      </c>
      <c r="I143" s="6">
        <f t="shared" ca="1" si="13"/>
        <v>4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250</v>
      </c>
      <c r="E144" s="23" t="s">
        <v>26</v>
      </c>
      <c r="F144" s="23" t="s">
        <v>259</v>
      </c>
      <c r="G144" s="6" t="s">
        <v>251</v>
      </c>
      <c r="H144" s="25">
        <v>237000</v>
      </c>
      <c r="I144" s="6">
        <f t="shared" ca="1" si="13"/>
        <v>4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250</v>
      </c>
      <c r="E145" s="23" t="s">
        <v>249</v>
      </c>
      <c r="F145" s="23" t="s">
        <v>246</v>
      </c>
      <c r="G145" s="6" t="s">
        <v>251</v>
      </c>
      <c r="H145" s="25">
        <v>167500</v>
      </c>
      <c r="I145" s="6">
        <f t="shared" ca="1" si="13"/>
        <v>4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250</v>
      </c>
      <c r="E146" s="23" t="s">
        <v>128</v>
      </c>
      <c r="F146" s="23" t="s">
        <v>247</v>
      </c>
      <c r="G146" s="6" t="s">
        <v>251</v>
      </c>
      <c r="H146" s="25">
        <v>3179600</v>
      </c>
      <c r="I146" s="6">
        <f t="shared" ca="1" si="13"/>
        <v>4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250</v>
      </c>
      <c r="E147" s="23" t="s">
        <v>227</v>
      </c>
      <c r="F147" s="23" t="s">
        <v>219</v>
      </c>
      <c r="G147" s="6" t="s">
        <v>251</v>
      </c>
      <c r="H147" s="25">
        <v>5500000</v>
      </c>
      <c r="I147" s="6">
        <f t="shared" ca="1" si="13"/>
        <v>4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250</v>
      </c>
      <c r="E148" s="23" t="s">
        <v>227</v>
      </c>
      <c r="F148" s="23" t="s">
        <v>219</v>
      </c>
      <c r="G148" s="6" t="s">
        <v>251</v>
      </c>
      <c r="H148" s="25">
        <v>1801000</v>
      </c>
      <c r="I148" s="6">
        <f t="shared" ca="1" si="13"/>
        <v>4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250</v>
      </c>
      <c r="E149" s="23" t="s">
        <v>227</v>
      </c>
      <c r="F149" s="23" t="s">
        <v>248</v>
      </c>
      <c r="G149" s="6" t="s">
        <v>251</v>
      </c>
      <c r="H149" s="25">
        <v>6400500</v>
      </c>
      <c r="I149" s="6">
        <f ca="1">IF(C149="","",IF(L149="",TODAY()-C149,L149-C149))</f>
        <v>4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254</v>
      </c>
      <c r="E150" s="6" t="s">
        <v>258</v>
      </c>
      <c r="F150" s="6" t="s">
        <v>257</v>
      </c>
      <c r="G150" s="6" t="s">
        <v>237</v>
      </c>
      <c r="H150" s="4">
        <v>5358400</v>
      </c>
      <c r="I150" s="6">
        <f ca="1">IF(C150="","",IF(L150="",TODAY()-C150,L150-C150))</f>
        <v>3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266</v>
      </c>
      <c r="D151" s="10" t="s">
        <v>182</v>
      </c>
      <c r="E151" s="23" t="s">
        <v>126</v>
      </c>
      <c r="F151" s="23" t="s">
        <v>261</v>
      </c>
      <c r="G151" s="6" t="s">
        <v>267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266</v>
      </c>
      <c r="D152" s="10" t="s">
        <v>182</v>
      </c>
      <c r="E152" s="23" t="s">
        <v>203</v>
      </c>
      <c r="F152" s="23" t="s">
        <v>262</v>
      </c>
      <c r="G152" s="6" t="s">
        <v>267</v>
      </c>
      <c r="H152" s="25">
        <v>3230000</v>
      </c>
      <c r="I152" s="6">
        <f t="shared" ca="1" si="13"/>
        <v>3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266</v>
      </c>
      <c r="D153" s="10" t="s">
        <v>182</v>
      </c>
      <c r="E153" s="23" t="s">
        <v>130</v>
      </c>
      <c r="F153" s="23" t="s">
        <v>263</v>
      </c>
      <c r="G153" s="6" t="s">
        <v>267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266</v>
      </c>
      <c r="D154" s="10" t="s">
        <v>182</v>
      </c>
      <c r="E154" s="23" t="s">
        <v>260</v>
      </c>
      <c r="F154" s="23" t="s">
        <v>264</v>
      </c>
      <c r="G154" s="6" t="s">
        <v>267</v>
      </c>
      <c r="H154" s="25">
        <v>9140500</v>
      </c>
      <c r="I154" s="6">
        <f t="shared" ca="1" si="13"/>
        <v>3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266</v>
      </c>
      <c r="D155" s="10" t="s">
        <v>182</v>
      </c>
      <c r="E155" s="23" t="s">
        <v>228</v>
      </c>
      <c r="F155" s="23" t="s">
        <v>222</v>
      </c>
      <c r="G155" s="6" t="s">
        <v>267</v>
      </c>
      <c r="H155" s="25">
        <v>16695000</v>
      </c>
      <c r="I155" s="6">
        <f t="shared" ca="1" si="13"/>
        <v>3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266</v>
      </c>
      <c r="D156" s="10" t="s">
        <v>182</v>
      </c>
      <c r="E156" s="23" t="s">
        <v>228</v>
      </c>
      <c r="F156" s="23" t="s">
        <v>222</v>
      </c>
      <c r="G156" s="6" t="s">
        <v>267</v>
      </c>
      <c r="H156" s="25">
        <v>1870000</v>
      </c>
      <c r="I156" s="6">
        <f t="shared" ca="1" si="13"/>
        <v>3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266</v>
      </c>
      <c r="D157" s="10" t="s">
        <v>182</v>
      </c>
      <c r="E157" s="23" t="s">
        <v>82</v>
      </c>
      <c r="F157" s="23" t="s">
        <v>265</v>
      </c>
      <c r="G157" s="6" t="s">
        <v>267</v>
      </c>
      <c r="H157" s="25">
        <v>12478000</v>
      </c>
      <c r="I157" s="6">
        <f t="shared" ca="1" si="13"/>
        <v>3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28" priority="43">
      <formula>$J3="잔금"</formula>
    </cfRule>
  </conditionalFormatting>
  <conditionalFormatting sqref="E8">
    <cfRule type="expression" dxfId="27" priority="42">
      <formula>$J8="잔금"</formula>
    </cfRule>
  </conditionalFormatting>
  <conditionalFormatting sqref="E4">
    <cfRule type="expression" dxfId="26" priority="41">
      <formula>$J4="잔금"</formula>
    </cfRule>
  </conditionalFormatting>
  <conditionalFormatting sqref="E9">
    <cfRule type="expression" dxfId="25" priority="40">
      <formula>$J9="잔금"</formula>
    </cfRule>
  </conditionalFormatting>
  <conditionalFormatting sqref="E41 E37">
    <cfRule type="expression" dxfId="24" priority="35">
      <formula>$J37="잔금"</formula>
    </cfRule>
  </conditionalFormatting>
  <conditionalFormatting sqref="E98:E99">
    <cfRule type="expression" dxfId="23" priority="25">
      <formula>$J98="잔금"</formula>
    </cfRule>
  </conditionalFormatting>
  <conditionalFormatting sqref="F98:F99">
    <cfRule type="expression" dxfId="22" priority="24">
      <formula>$J98="잔금"</formula>
    </cfRule>
  </conditionalFormatting>
  <conditionalFormatting sqref="F104:F105">
    <cfRule type="expression" dxfId="21" priority="22">
      <formula>$J104="잔금"</formula>
    </cfRule>
  </conditionalFormatting>
  <conditionalFormatting sqref="H104:H105">
    <cfRule type="expression" dxfId="20" priority="21">
      <formula>$J104="잔금"</formula>
    </cfRule>
  </conditionalFormatting>
  <conditionalFormatting sqref="E106:E108">
    <cfRule type="expression" dxfId="19" priority="20">
      <formula>$J106="잔금"</formula>
    </cfRule>
  </conditionalFormatting>
  <conditionalFormatting sqref="F106:F108">
    <cfRule type="expression" dxfId="18" priority="19">
      <formula>$J106="잔금"</formula>
    </cfRule>
  </conditionalFormatting>
  <conditionalFormatting sqref="H106:H108">
    <cfRule type="expression" dxfId="17" priority="18">
      <formula>$J106="잔금"</formula>
    </cfRule>
  </conditionalFormatting>
  <conditionalFormatting sqref="E110">
    <cfRule type="expression" dxfId="16" priority="17">
      <formula>$J110="잔금"</formula>
    </cfRule>
  </conditionalFormatting>
  <conditionalFormatting sqref="F110">
    <cfRule type="expression" dxfId="15" priority="16">
      <formula>$J110="잔금"</formula>
    </cfRule>
  </conditionalFormatting>
  <conditionalFormatting sqref="E111:E113">
    <cfRule type="expression" dxfId="14" priority="15">
      <formula>$J111="잔금"</formula>
    </cfRule>
  </conditionalFormatting>
  <conditionalFormatting sqref="F111 F113">
    <cfRule type="expression" dxfId="13" priority="14">
      <formula>$J111="잔금"</formula>
    </cfRule>
  </conditionalFormatting>
  <conditionalFormatting sqref="F112">
    <cfRule type="expression" dxfId="12" priority="13">
      <formula>$J112="잔금"</formula>
    </cfRule>
  </conditionalFormatting>
  <conditionalFormatting sqref="H111:H113">
    <cfRule type="expression" dxfId="11" priority="12">
      <formula>$J111="잔금"</formula>
    </cfRule>
  </conditionalFormatting>
  <conditionalFormatting sqref="C111:C113">
    <cfRule type="expression" dxfId="10" priority="11">
      <formula>$J111="잔금"</formula>
    </cfRule>
  </conditionalFormatting>
  <conditionalFormatting sqref="E117">
    <cfRule type="expression" dxfId="9" priority="10">
      <formula>$J117="잔금"</formula>
    </cfRule>
  </conditionalFormatting>
  <conditionalFormatting sqref="F117">
    <cfRule type="expression" dxfId="8" priority="9">
      <formula>$J117="잔금"</formula>
    </cfRule>
  </conditionalFormatting>
  <conditionalFormatting sqref="F142:F149">
    <cfRule type="expression" dxfId="7" priority="8">
      <formula>$J142="잔금"</formula>
    </cfRule>
  </conditionalFormatting>
  <conditionalFormatting sqref="E142:E149">
    <cfRule type="expression" dxfId="6" priority="7">
      <formula>$J142="잔금"</formula>
    </cfRule>
  </conditionalFormatting>
  <conditionalFormatting sqref="H142:H149">
    <cfRule type="expression" dxfId="5" priority="6">
      <formula>$J142="잔금"</formula>
    </cfRule>
  </conditionalFormatting>
  <conditionalFormatting sqref="E151:E157">
    <cfRule type="expression" dxfId="3" priority="4">
      <formula>$J151="잔금"</formula>
    </cfRule>
  </conditionalFormatting>
  <conditionalFormatting sqref="F151:F157">
    <cfRule type="expression" dxfId="2" priority="3">
      <formula>$J151="잔금"</formula>
    </cfRule>
  </conditionalFormatting>
  <conditionalFormatting sqref="C151:C157">
    <cfRule type="expression" dxfId="1" priority="2">
      <formula>$J151="잔금"</formula>
    </cfRule>
  </conditionalFormatting>
  <conditionalFormatting sqref="H151:H157">
    <cfRule type="expression" dxfId="0" priority="1">
      <formula>$J151="잔금"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57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2026-03-09T02:17:07Z</dcterms:modified>
</cp:coreProperties>
</file>