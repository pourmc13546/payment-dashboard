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data!$A$1:$S$409</definedName>
    <definedName name="_xlnm._FilterDatabase">data!$A$1:$S$409</definedName>
  </definedNames>
  <calcPr calcId="162913"/>
</workbook>
</file>

<file path=xl/calcChain.xml><?xml version="1.0" encoding="utf-8"?>
<calcChain xmlns="http://schemas.openxmlformats.org/spreadsheetml/2006/main">
  <c r="B49" i="1" l="1"/>
  <c r="D49" i="1"/>
  <c r="I49" i="1"/>
  <c r="J49" i="1" s="1"/>
  <c r="I94" i="1" l="1"/>
  <c r="I95" i="1"/>
  <c r="D409" i="1" l="1"/>
  <c r="D408" i="1"/>
  <c r="I407" i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B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<sst xmlns="http://schemas.openxmlformats.org/spreadsheetml/2006/main" count="665" uniqueCount="202">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</sst>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3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2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</cellXfs>
  <cellStyles count="12">
    <cellStyle name="Excel Built-in Comma [0]" xfId="8"/>
    <cellStyle name="백분율 2" xfId="2"/>
    <cellStyle name="백분율 3" xfId="10"/>
    <cellStyle name="쉼표 [0] 118 2 7 16" xfId="3"/>
    <cellStyle name="쉼표 [0] 2" xfId="4"/>
    <cellStyle name="쉼표 [0] 3" xfId="9"/>
    <cellStyle name="쉼표 [0] 4" xfId="11"/>
    <cellStyle name="표준" xfId="0" builtinId="0"/>
    <cellStyle name="표준 118 2 7 16" xfId="5"/>
    <cellStyle name="표준 125" xfId="6"/>
    <cellStyle name="표준 2" xfId="7"/>
    <cellStyle name="표준 3" xfId="1"/>
  </cellStyles>
  <dxfs count="19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99" activePane="bottomRight" state="frozen"/>
      <selection pane="topRight"/>
      <selection pane="bottomLeft"/>
      <selection pane="bottomRight" activeCell="L125" sqref="L125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280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130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110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260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162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112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67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62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/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245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105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420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840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644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484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622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621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713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355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350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340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334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330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330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329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327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306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292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271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259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229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207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278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202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180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175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161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132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130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119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113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110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109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106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46345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-268</v>
      </c>
      <c r="J49" s="13" t="str">
        <f t="shared" ca="1" si="2"/>
        <v>정상</v>
      </c>
      <c r="K49" s="11"/>
      <c r="L49" s="11"/>
      <c r="M49" s="10"/>
      <c r="N49" s="10" t="s">
        <v>201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84</v>
      </c>
      <c r="J50" s="13" t="str">
        <f t="shared" ca="1" si="2"/>
        <v>관리</v>
      </c>
      <c r="K50" s="11">
        <v>46080</v>
      </c>
      <c r="L50" s="11"/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78</v>
      </c>
      <c r="J51" s="13" t="str">
        <f t="shared" ca="1" si="2"/>
        <v>관리</v>
      </c>
      <c r="K51" s="11">
        <v>46080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71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70</v>
      </c>
      <c r="J53" s="13" t="str">
        <f t="shared" ca="1" si="2"/>
        <v>관리</v>
      </c>
      <c r="K53" s="11">
        <v>46080</v>
      </c>
      <c r="L53" s="11"/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69</v>
      </c>
      <c r="J54" s="13" t="str">
        <f t="shared" ca="1" si="2"/>
        <v>관리</v>
      </c>
      <c r="K54" s="11"/>
      <c r="L54" s="11"/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64</v>
      </c>
      <c r="J56" s="13" t="str">
        <f t="shared" ca="1" si="2"/>
        <v>관리</v>
      </c>
      <c r="K56" s="11">
        <v>46080</v>
      </c>
      <c r="L56" s="11"/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372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237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237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188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71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71</v>
      </c>
      <c r="J64" s="13" t="str">
        <f t="shared" ca="1" si="5"/>
        <v>관리</v>
      </c>
      <c r="K64" s="11">
        <v>46087</v>
      </c>
      <c r="L64" s="11"/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68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50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49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49</v>
      </c>
      <c r="J69" s="13" t="str">
        <f t="shared" ca="1" si="5"/>
        <v>관리</v>
      </c>
      <c r="K69" s="11"/>
      <c r="L69" s="11"/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50</v>
      </c>
      <c r="J72" s="13" t="str">
        <f t="shared" ca="1" si="5"/>
        <v>관리</v>
      </c>
      <c r="K72" s="11"/>
      <c r="L72" s="11"/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50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47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40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39</v>
      </c>
      <c r="J81" s="13" t="str">
        <f t="shared" ca="1" si="5"/>
        <v>정상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35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35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33</v>
      </c>
      <c r="J85" s="13" t="str">
        <f t="shared" ca="1" si="5"/>
        <v>정상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33</v>
      </c>
      <c r="J86" s="13" t="str">
        <f t="shared" ca="1" si="5"/>
        <v>정상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29</v>
      </c>
      <c r="J87" s="13" t="str">
        <f t="shared" ca="1" si="5"/>
        <v>정상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26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26</v>
      </c>
      <c r="J90" s="13" t="str">
        <f t="shared" ca="1" si="5"/>
        <v>정상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22</v>
      </c>
      <c r="J92" s="13" t="str">
        <f t="shared" ca="1" si="5"/>
        <v>정상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19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15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14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14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50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13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13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12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12</v>
      </c>
      <c r="J107" s="13" t="str">
        <f t="shared" ca="1" si="5"/>
        <v>정상</v>
      </c>
      <c r="K107" s="11"/>
      <c r="L107" s="11"/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12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11</v>
      </c>
      <c r="J109" s="13" t="str">
        <f t="shared" ca="1" si="5"/>
        <v>정상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10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4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1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1</v>
      </c>
      <c r="J115" s="13" t="str">
        <f t="shared" ref="J115:J131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0</v>
      </c>
      <c r="J116" s="13" t="str">
        <f t="shared" ca="1" si="11"/>
        <v>정상</v>
      </c>
      <c r="K116" s="11"/>
      <c r="L116" s="11"/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 t="str">
        <f>IF(C117="","",COUNTA($C$2:C117))</f>
        <v/>
      </c>
      <c r="C117" s="11"/>
      <c r="D117" s="10" t="str">
        <f t="shared" si="9"/>
        <v/>
      </c>
      <c r="H117" s="4"/>
      <c r="I117" s="6" t="str">
        <f t="shared" ca="1" si="10"/>
        <v/>
      </c>
      <c r="J117" s="13" t="str">
        <f t="shared" ca="1" si="11"/>
        <v/>
      </c>
      <c r="K117" s="11"/>
      <c r="L117" s="11"/>
      <c r="M117" s="10"/>
      <c r="N117" s="10"/>
      <c r="Q117" s="11"/>
      <c r="R117" s="11"/>
      <c r="S117" s="10"/>
    </row>
    <row r="118" spans="2:19" s="6" customFormat="1" ht="16.5" customHeight="1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 t="str">
        <f t="shared" ca="1" si="11"/>
        <v/>
      </c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>
      <c r="B140" s="10" t="str">
        <f>IF(C140="","",COUNTA($C$2:C140))</f>
        <v/>
      </c>
      <c r="C140" s="11"/>
      <c r="D140" s="10" t="str">
        <f t="shared" si="9"/>
        <v/>
      </c>
      <c r="H140" s="4"/>
      <c r="I140" s="6" t="str">
        <f t="shared" ca="1" si="10"/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>
      <c r="B141" s="10" t="str">
        <f>IF(C141="","",COUNTA($C$2:C141))</f>
        <v/>
      </c>
      <c r="C141" s="11"/>
      <c r="D141" s="10" t="str">
        <f t="shared" ref="D141:D204" si="12">IF(G141="","",IF(OR(G141="선급금",G141="중도금",G141="잔금"),"A",IF(G141="자재","B",IF(G141="특허료","C",""))))</f>
        <v/>
      </c>
      <c r="H141" s="4"/>
      <c r="I141" s="6" t="str">
        <f t="shared" ref="I141:I204" ca="1" si="13">IF(C141="","",IF(L141="",TODAY()-C141,L141-C141))</f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si="12"/>
        <v/>
      </c>
      <c r="H204" s="4"/>
      <c r="I204" s="6" t="str">
        <f t="shared" ca="1" si="13"/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ref="D205:D268" si="14">IF(G205="","",IF(OR(G205="선급금",G205="중도금",G205="잔금"),"A",IF(G205="자재","B",IF(G205="특허료","C",""))))</f>
        <v/>
      </c>
      <c r="H205" s="4"/>
      <c r="I205" s="6" t="str">
        <f t="shared" ref="I205:I268" ca="1" si="15">IF(C205="","",IF(L205="",TODAY()-C205,L205-C205))</f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 t="str">
        <f>IF(C212="","",COUNTA($C$2:C212))</f>
        <v/>
      </c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4"/>
        <v/>
      </c>
      <c r="H268" s="4"/>
      <c r="I268" s="6" t="str">
        <f t="shared" ca="1" si="15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ref="D269:D332" si="16">IF(G269="","",IF(OR(G269="선급금",G269="중도금",G269="잔금"),"A",IF(G269="자재","B",IF(G269="특허료","C",""))))</f>
        <v/>
      </c>
      <c r="H269" s="4"/>
      <c r="I269" s="6" t="str">
        <f t="shared" ref="I269:I332" ca="1" si="17">IF(C269="","",IF(L269="",TODAY()-C269,L269-C269))</f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16"/>
        <v/>
      </c>
      <c r="H332" s="4"/>
      <c r="I332" s="6" t="str">
        <f t="shared" ca="1" si="17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ref="D333:D396" si="18">IF(G333="","",IF(OR(G333="선급금",G333="중도금",G333="잔금"),"A",IF(G333="자재","B",IF(G333="특허료","C",""))))</f>
        <v/>
      </c>
      <c r="H333" s="4"/>
      <c r="I333" s="6" t="str">
        <f t="shared" ref="I333:I396" ca="1" si="19">IF(C333="","",IF(L333="",TODAY()-C333,L333-C333))</f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18"/>
        <v/>
      </c>
      <c r="H396" s="4"/>
      <c r="I396" s="6" t="str">
        <f t="shared" ca="1" si="19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ref="D397:D409" si="20">IF(G397="","",IF(OR(G397="선급금",G397="중도금",G397="잔금"),"A",IF(G397="자재","B",IF(G397="특허료","C",""))))</f>
        <v/>
      </c>
      <c r="H397" s="4"/>
      <c r="I397" s="6" t="str">
        <f t="shared" ref="I397:I407" ca="1" si="21">IF(C397="","",IF(L397="",TODAY()-C397,L397-C397))</f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s="6" customFormat="1" ht="16.5" customHeight="1">
      <c r="B403" s="10"/>
      <c r="C403" s="11"/>
      <c r="D403" s="10" t="str">
        <f t="shared" si="20"/>
        <v/>
      </c>
      <c r="H403" s="4"/>
      <c r="I403" s="6" t="str">
        <f t="shared" ca="1" si="21"/>
        <v/>
      </c>
      <c r="J403" s="13"/>
      <c r="K403" s="11"/>
      <c r="L403" s="11"/>
      <c r="M403" s="10"/>
      <c r="N403" s="10"/>
      <c r="Q403" s="11"/>
      <c r="R403" s="11"/>
      <c r="S403" s="10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K405" s="11"/>
      <c r="L405" s="11"/>
      <c r="Q405" s="11"/>
      <c r="R405" s="11"/>
    </row>
    <row r="406" spans="2:19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>
      <c r="B407" s="10"/>
      <c r="C407" s="11"/>
      <c r="D407" s="1" t="str">
        <f t="shared" si="20"/>
        <v/>
      </c>
      <c r="I407" s="1" t="str">
        <f t="shared" ca="1" si="21"/>
        <v/>
      </c>
      <c r="Q407" s="11"/>
      <c r="R407" s="11"/>
    </row>
    <row r="408" spans="2:19">
      <c r="B408" s="10"/>
      <c r="C408" s="11"/>
      <c r="D408" s="1" t="str">
        <f t="shared" si="20"/>
        <v/>
      </c>
      <c r="Q408" s="11"/>
      <c r="R408" s="11"/>
    </row>
    <row r="409" spans="2:19">
      <c r="B409" s="10"/>
      <c r="C409" s="11"/>
      <c r="D409" s="1" t="str">
        <f t="shared" si="20"/>
        <v/>
      </c>
      <c r="Q409" s="11"/>
      <c r="R409" s="11"/>
    </row>
  </sheetData>
  <autoFilter ref="A1:S409"/>
  <phoneticPr fontId="5" type="noConversion"/>
  <conditionalFormatting sqref="E3 F57:F60">
    <cfRule type="expression" dxfId="18" priority="33">
      <formula>$J3="잔금"</formula>
    </cfRule>
  </conditionalFormatting>
  <conditionalFormatting sqref="E8">
    <cfRule type="expression" dxfId="17" priority="32">
      <formula>$J8="잔금"</formula>
    </cfRule>
  </conditionalFormatting>
  <conditionalFormatting sqref="E4">
    <cfRule type="expression" dxfId="16" priority="31">
      <formula>$J4="잔금"</formula>
    </cfRule>
  </conditionalFormatting>
  <conditionalFormatting sqref="E9">
    <cfRule type="expression" dxfId="15" priority="30">
      <formula>$J9="잔금"</formula>
    </cfRule>
  </conditionalFormatting>
  <conditionalFormatting sqref="E41 E37">
    <cfRule type="expression" dxfId="14" priority="25">
      <formula>$J37="잔금"</formula>
    </cfRule>
  </conditionalFormatting>
  <conditionalFormatting sqref="E98:E99">
    <cfRule type="expression" dxfId="13" priority="15">
      <formula>$J98="잔금"</formula>
    </cfRule>
  </conditionalFormatting>
  <conditionalFormatting sqref="F98:F99">
    <cfRule type="expression" dxfId="12" priority="14">
      <formula>$J98="잔금"</formula>
    </cfRule>
  </conditionalFormatting>
  <conditionalFormatting sqref="F104:F105">
    <cfRule type="expression" dxfId="11" priority="12">
      <formula>$J104="잔금"</formula>
    </cfRule>
  </conditionalFormatting>
  <conditionalFormatting sqref="H104:H105">
    <cfRule type="expression" dxfId="10" priority="11">
      <formula>$J104="잔금"</formula>
    </cfRule>
  </conditionalFormatting>
  <conditionalFormatting sqref="E106:E108">
    <cfRule type="expression" dxfId="9" priority="10">
      <formula>$J106="잔금"</formula>
    </cfRule>
  </conditionalFormatting>
  <conditionalFormatting sqref="F106:F108">
    <cfRule type="expression" dxfId="8" priority="9">
      <formula>$J106="잔금"</formula>
    </cfRule>
  </conditionalFormatting>
  <conditionalFormatting sqref="H106:H108">
    <cfRule type="expression" dxfId="7" priority="8">
      <formula>$J106="잔금"</formula>
    </cfRule>
  </conditionalFormatting>
  <conditionalFormatting sqref="E110">
    <cfRule type="expression" dxfId="6" priority="7">
      <formula>$J110="잔금"</formula>
    </cfRule>
  </conditionalFormatting>
  <conditionalFormatting sqref="F110">
    <cfRule type="expression" dxfId="5" priority="6">
      <formula>$J110="잔금"</formula>
    </cfRule>
  </conditionalFormatting>
  <conditionalFormatting sqref="E111:E113">
    <cfRule type="expression" dxfId="4" priority="5">
      <formula>$J111="잔금"</formula>
    </cfRule>
  </conditionalFormatting>
  <conditionalFormatting sqref="F111 F113">
    <cfRule type="expression" dxfId="3" priority="4">
      <formula>$J111="잔금"</formula>
    </cfRule>
  </conditionalFormatting>
  <conditionalFormatting sqref="F112">
    <cfRule type="expression" dxfId="2" priority="3">
      <formula>$J112="잔금"</formula>
    </cfRule>
  </conditionalFormatting>
  <conditionalFormatting sqref="H111:H113">
    <cfRule type="expression" dxfId="1" priority="2">
      <formula>$J111="잔금"</formula>
    </cfRule>
  </conditionalFormatting>
  <conditionalFormatting sqref="C111:C113">
    <cfRule type="expression" dxfId="0" priority="1">
      <formula>$J111="잔금"</formula>
    </cfRule>
  </conditionalFormatting>
  <dataValidations count="3">
    <dataValidation type="list" allowBlank="1" sqref="D2:D409">
      <formula1>"A,B,C"</formula1>
    </dataValidation>
    <dataValidation type="list" allowBlank="1" sqref="G2:G71">
      <formula1>"선급금,중도금,잔금,자재,특허료"</formula1>
    </dataValidation>
    <dataValidation type="list" allowBlank="1" sqref="N2:N116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2026-02-24T02:10:46Z</dcterms:modified>
</cp:coreProperties>
</file>