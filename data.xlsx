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data!$A$1:$S$486</definedName>
    <definedName name="_xlnm._FilterDatabase">data!$A$1:$S$402</definedName>
  </definedNames>
  <calcPr calcId="162913"/>
</workbook>
</file>

<file path=xl/calcChain.xml><?xml version="1.0" encoding="utf-8"?>
<calcChain xmlns="http://schemas.openxmlformats.org/spreadsheetml/2006/main">
  <c r="I487" i="1" l="1"/>
  <c r="J487" i="1" s="1"/>
  <c r="B487" i="1"/>
  <c r="I486" i="1"/>
  <c r="J486" i="1" s="1"/>
  <c r="B486" i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B480" i="1"/>
  <c r="B481" i="1"/>
  <c r="B482" i="1"/>
  <c r="B483" i="1"/>
  <c r="B484" i="1"/>
  <c r="B485" i="1"/>
  <c r="B337" i="1"/>
  <c r="I337" i="1"/>
  <c r="J337" i="1" s="1"/>
  <c r="H8" i="1" l="1"/>
  <c r="I478" i="1"/>
  <c r="J478" i="1" s="1"/>
  <c r="I479" i="1"/>
  <c r="J479" i="1" s="1"/>
  <c r="B478" i="1"/>
  <c r="B479" i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I477" i="1"/>
  <c r="J477" i="1" s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I453" i="1" l="1"/>
  <c r="J453" i="1" s="1"/>
  <c r="I454" i="1"/>
  <c r="J454" i="1" s="1"/>
  <c r="B454" i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I452" i="1"/>
  <c r="J452" i="1" s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I311" i="1" l="1"/>
  <c r="J311" i="1" s="1"/>
  <c r="B311" i="1"/>
  <c r="I436" i="1" l="1"/>
  <c r="J436" i="1" s="1"/>
  <c r="I437" i="1"/>
  <c r="J437" i="1" s="1"/>
  <c r="I438" i="1"/>
  <c r="J438" i="1" s="1"/>
  <c r="I439" i="1"/>
  <c r="J439" i="1" s="1"/>
  <c r="B436" i="1"/>
  <c r="B437" i="1"/>
  <c r="B438" i="1"/>
  <c r="B439" i="1"/>
  <c r="B435" i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B425" i="1"/>
  <c r="B426" i="1"/>
  <c r="B427" i="1"/>
  <c r="B428" i="1"/>
  <c r="B429" i="1"/>
  <c r="B430" i="1"/>
  <c r="B431" i="1"/>
  <c r="B432" i="1"/>
  <c r="B433" i="1"/>
  <c r="B434" i="1"/>
  <c r="I421" i="1" l="1"/>
  <c r="J421" i="1" s="1"/>
  <c r="I422" i="1"/>
  <c r="J422" i="1" s="1"/>
  <c r="I423" i="1"/>
  <c r="J423" i="1" s="1"/>
  <c r="I424" i="1"/>
  <c r="J424" i="1" s="1"/>
  <c r="D417" i="1"/>
  <c r="D418" i="1"/>
  <c r="D419" i="1"/>
  <c r="D420" i="1"/>
  <c r="B421" i="1"/>
  <c r="B422" i="1"/>
  <c r="B423" i="1"/>
  <c r="B424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<sst xmlns="http://schemas.openxmlformats.org/spreadsheetml/2006/main" count="2545" uniqueCount="689">
  <si>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</si>
  <si>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</si>
  <si>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</si>
  <si>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</si>
  <si>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</si>
  <si>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</si>
  <si>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</si>
  <si>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</si>
  <si>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</si>
  <si>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</si>
  <si>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</si>
  <si>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</si>
  <si>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</si>
  <si>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</si>
  <si>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</si>
  <si>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</si>
  <si>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</si>
  <si>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</si>
  <si>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</si>
  <si>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</si>
  <si>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</si>
  <si>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</si>
  <si>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</si>
  <si>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</si>
  <si>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</si>
  <si>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</si>
  <si>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</si>
  <si>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</si>
  <si>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</si>
  <si>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</si>
  <si>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</si>
  <si>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</si>
  <si>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</si>
  <si>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</si>
  <si>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</si>
  <si>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</si>
  <si>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</si>
  <si>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</si>
  <si>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</si>
  <si>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</si>
  <si>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</si>
  <si>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</si>
  <si>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</si>
  <si>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</si>
  <si>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</si>
  <si>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</si>
  <si>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</si>
  <si>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</si>
  <si>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</si>
  <si>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</si>
  <si>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</si>
  <si>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</si>
  <si>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</si>
  <si>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</si>
  <si>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</si>
  <si>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</si>
  <si>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</si>
  <si>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</si>
  <si>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</si>
  <si>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</si>
  <si>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</si>
  <si>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</si>
  <si>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</si>
  <si>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</si>
  <si>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</si>
  <si>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</si>
  <si>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</si>
  <si>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</si>
  <si>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</si>
  <si>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</si>
  <si>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</si>
  <si>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</si>
  <si>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</si>
  <si>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</si>
  <si>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</si>
  <si>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</si>
  <si>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</si>
  <si>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</si>
  <si>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</si>
  <si>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</si>
  <si>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</si>
  <si>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</si>
  <si>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</si>
  <si>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</si>
  <si>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</si>
  <si>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</si>
  <si>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</si>
  <si>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</si>
  <si>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</si>
  <si>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</si>
  <si>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</si>
  <si>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</si>
  <si>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</si>
  <si>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</si>
  <si>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</si>
  <si>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</si>
  <si>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</si>
  <si>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</si>
  <si>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</si>
  <si>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</si>
  <si>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</si>
  <si>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</si>
  <si>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</si>
  <si>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</si>
  <si>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</si>
  <si>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</si>
  <si>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</si>
  <si>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</si>
  <si>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</si>
  <si>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</si>
  <si>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</si>
  <si>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</si>
  <si>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</si>
  <si>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</si>
  <si>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</si>
  <si>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</si>
  <si>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</si>
  <si>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</si>
  <si>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</si>
  <si>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</si>
  <si>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</si>
  <si>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</si>
  <si>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</si>
  <si>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</si>
  <si>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</si>
  <si>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</si>
  <si>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</si>
  <si>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</si>
  <si>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</si>
  <si>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</si>
  <si>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</si>
  <si>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</si>
  <si>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</si>
  <si>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</si>
  <si>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</si>
  <si>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</si>
  <si>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</si>
  <si>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</si>
  <si>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</si>
  <si>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</si>
  <si>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</si>
  <si>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</si>
  <si>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</si>
  <si>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</si>
  <si>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</si>
  <si>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</si>
  <si>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</si>
  <si>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</si>
  <si>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</si>
  <si>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</si>
  <si>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</si>
  <si>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</si>
  <si>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</si>
  <si>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</si>
  <si>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</si>
  <si>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</si>
  <si>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</si>
  <si>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</si>
  <si>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</si>
  <si>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</si>
  <si>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</si>
  <si>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</si>
  <si>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</si>
  <si>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</si>
  <si>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</si>
  <si>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</si>
  <si>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</si>
  <si>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</si>
  <si>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</si>
  <si>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</si>
  <si>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</si>
  <si>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</si>
  <si>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</si>
  <si>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</si>
  <si>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</si>
  <si>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</si>
  <si>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</si>
  <si>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</si>
  <si>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</si>
  <si>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</si>
  <si>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</si>
  <si>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</si>
  <si>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</si>
  <si>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</si>
  <si>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</si>
  <si>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</si>
  <si>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</si>
  <si>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</si>
  <si>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</si>
  <si>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</si>
  <si>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</si>
  <si>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</si>
  <si>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</si>
  <si>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</si>
  <si>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</si>
  <si>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</si>
  <si>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</si>
  <si>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</si>
  <si>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</si>
  <si>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</si>
  <si>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</si>
  <si>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</si>
  <si>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</si>
  <si>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</si>
  <si>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</si>
  <si>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</si>
  <si>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</si>
  <si>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</si>
  <si>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</si>
  <si>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</si>
  <si>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</si>
  <si>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</si>
  <si>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</si>
  <si>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</si>
  <si>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</si>
  <si>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</si>
  <si>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</si>
  <si>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</si>
  <si>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</si>
  <si>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</si>
  <si>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</si>
  <si>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</si>
  <si>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</si>
  <si>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</si>
  <si>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</si>
  <si>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</si>
  <si>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</si>
  <si>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</si>
  <si>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</si>
  <si>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</si>
  <si>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</si>
  <si>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</si>
  <si>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</si>
  <si>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</si>
  <si>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</si>
  <si>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</si>
  <si>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</si>
  <si>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</si>
  <si>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</si>
  <si>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</si>
  <si>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</si>
  <si>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</si>
  <si>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</si>
  <si>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</si>
  <si>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</si>
  <si>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</si>
  <si>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</si>
  <si>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</si>
  <si>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</si>
  <si>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</si>
  <si>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</si>
  <si>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</si>
  <si>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</si>
  <si>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</si>
  <si>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</si>
  <si>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</si>
  <si>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</si>
  <si>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</si>
  <si>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</si>
  <si>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</si>
  <si>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</si>
  <si>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</si>
  <si>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</si>
  <si>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</si>
  <si>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</si>
  <si>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</si>
  <si>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</si>
  <si>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</si>
  <si>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</si>
  <si>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</si>
  <si>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</si>
  <si>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</si>
  <si>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</si>
  <si>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</si>
  <si>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</si>
  <si>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</si>
  <si>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</si>
  <si>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</si>
  <si>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</si>
  <si>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</si>
  <si>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</si>
  <si>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</si>
  <si>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</si>
  <si>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</si>
  <si>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</si>
  <si>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</si>
  <si>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</si>
  <si>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</si>
  <si>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</si>
  <si>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</si>
  <si>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</si>
  <si>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</si>
  <si>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</si>
  <si>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</si>
  <si>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</si>
  <si>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</si>
  <si>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</si>
  <si>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</si>
  <si>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</si>
  <si>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</si>
  <si>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</si>
  <si>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</si>
  <si>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</si>
  <si>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</si>
  <si>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</si>
  <si>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</si>
  <si>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</si>
  <si>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</si>
  <si>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</si>
  <si>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</si>
  <si>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</si>
  <si>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</si>
  <si>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</si>
  <si>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</si>
  <si>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</si>
  <si>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</si>
  <si>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</si>
  <si>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</si>
  <si>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</si>
  <si>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</si>
  <si>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</si>
  <si>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</si>
  <si>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</si>
  <si>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</si>
  <si>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</si>
  <si>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</si>
  <si>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</si>
  <si>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</si>
  <si>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</si>
  <si>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</si>
  <si>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</si>
  <si>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</si>
  <si>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</si>
  <si>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</si>
  <si>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</si>
  <si>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</si>
  <si>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</si>
  <si>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</si>
  <si>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</si>
  <si>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</si>
  <si>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</si>
  <si>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</si>
  <si>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</si>
  <si>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</si>
  <si>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</si>
  <si>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</si>
  <si>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</si>
  <si>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</si>
  <si>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</si>
  <si>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</si>
  <si>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</si>
  <si>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</si>
  <si>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</si>
  <si>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</si>
  <si>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</si>
  <si>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</si>
  <si>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</si>
  <si>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</si>
  <si>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</si>
  <si>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</si>
  <si>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</si>
  <si>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</si>
  <si>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</si>
  <si>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</si>
  <si>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</si>
  <si>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</si>
  <si>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</si>
  <si>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</si>
  <si>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</si>
  <si>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</si>
  <si>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</si>
  <si>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</si>
  <si>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</si>
  <si>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</si>
  <si>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</si>
  <si>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</si>
  <si>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</si>
  <si>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</si>
  <si>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</si>
  <si>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</si>
  <si>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</si>
  <si>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</si>
  <si>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</si>
  <si>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</si>
  <si>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</si>
  <si>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</si>
  <si>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</si>
  <si>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</si>
  <si>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</si>
  <si>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</si>
  <si>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</si>
  <si>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</si>
  <si>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</si>
  <si>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</si>
  <si>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</si>
  <si>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</si>
  <si>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</si>
  <si>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</si>
  <si>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</si>
  <si>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</si>
  <si>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</si>
  <si>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</si>
  <si>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</si>
  <si>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</si>
  <si>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</si>
  <si>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</si>
  <si>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</si>
  <si>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</si>
  <si>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</si>
  <si>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</si>
  <si>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</si>
  <si>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</si>
  <si>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</si>
  <si>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</si>
  <si>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</si>
  <si>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</si>
  <si>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</si>
  <si>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</si>
  <si>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</si>
  <si>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</si>
  <si>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</si>
  <si>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</si>
  <si>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</si>
  <si>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</si>
  <si>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</si>
  <si>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</si>
  <si>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</si>
  <si>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</si>
  <si>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</si>
  <si>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</si>
  <si>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</si>
  <si>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</si>
  <si>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</si>
  <si>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</si>
  <si>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</si>
  <si>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</si>
  <si>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</si>
  <si>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</si>
  <si>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</si>
  <si>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</si>
  <si>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</si>
  <si>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</si>
  <si>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</si>
  <si>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</si>
  <si>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</si>
  <si>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</si>
  <si>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</si>
  <si>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</si>
  <si>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</si>
  <si>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</si>
  <si>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</si>
  <si>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</si>
  <si>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</si>
  <si>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</si>
  <si>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</si>
  <si>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</si>
  <si>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</si>
  <si>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</si>
  <si>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</si>
  <si>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</si>
  <si>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</si>
  <si>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</si>
  <si>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</si>
  <si>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</si>
  <si>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</si>
  <si>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</si>
  <si>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</si>
  <si>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</si>
  <si>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</si>
  <si>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</si>
  <si>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</si>
  <si>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</si>
  <si>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</si>
  <si>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</si>
  <si>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</si>
  <si>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</si>
  <si>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</si>
  <si>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</si>
  <si>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</si>
  <si>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</si>
  <si>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</si>
  <si>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</si>
  <si>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</si>
  <si>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</si>
  <si>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</si>
  <si>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</si>
  <si>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</si>
  <si>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</si>
  <si>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</si>
  <si>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</si>
  <si>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</si>
  <si>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</si>
  <si>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</si>
  <si>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</si>
  <si>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</si>
  <si>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</si>
  <si>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</si>
  <si>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</si>
  <si>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</si>
  <si>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</si>
  <si>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</si>
  <si>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</si>
  <si>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</si>
  <si>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</si>
  <si>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</si>
  <si>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</si>
  <si>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</si>
  <si>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</si>
  <si>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</si>
  <si>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</si>
  <si>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</si>
  <si>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</si>
  <si>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</si>
  <si>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</si>
  <si>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</si>
  <si>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</si>
  <si>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</si>
  <si>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</si>
  <si>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</si>
  <si>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</si>
  <si>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</si>
  <si>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</si>
  <si>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</si>
  <si>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</si>
  <si>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</si>
  <si>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</si>
  <si>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</si>
  <si>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</si>
  <si>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</si>
  <si>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</si>
  <si>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</si>
  <si>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</si>
  <si>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</si>
  <si>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</si>
  <si>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</si>
  <si>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</si>
  <si>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</si>
  <si>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</si>
  <si>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</si>
  <si>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</si>
  <si>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</si>
  <si>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</si>
  <si>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</si>
  <si>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</si>
  <si>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</si>
  <si>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</si>
  <si>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</si>
  <si>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</si>
  <si>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</si>
  <si>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</si>
  <si>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</si>
  <si>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</si>
  <si>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</si>
  <si>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</si>
  <si>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</si>
  <si>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</si>
  <si>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</si>
  <si>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</si>
  <si>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</si>
  <si>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</si>
  <si>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</si>
  <si>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</si>
  <si>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</si>
  <si>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</si>
  <si>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</si>
  <si>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</si>
  <si>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</si>
  <si>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</si>
  <si>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</si>
  <si>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</si>
  <si>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</si>
  <si>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</si>
  <si>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</si>
  <si>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</si>
  <si>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</si>
  <si>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</si>
  <si>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</si>
  <si>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</si>
  <si>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</si>
  <si>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</si>
  <si>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</si>
  <si>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</si>
  <si>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</si>
  <si>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</si>
  <si>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</si>
  <si>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</si>
  <si>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</si>
  <si>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</si>
  <si>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</si>
  <si>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</si>
  <si>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</si>
  <si>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</si>
  <si>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</si>
  <si>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</si>
  <si>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</si>
  <si>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</si>
  <si>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</si>
  <si>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</si>
  <si>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</si>
  <si>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</si>
  <si>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</si>
  <si>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</si>
  <si>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</si>
  <si>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</si>
  <si>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</si>
  <si>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</si>
  <si>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</si>
  <si>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</si>
  <si>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</si>
  <si>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</si>
  <si>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</si>
  <si>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</si>
  <si>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</si>
  <si>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</si>
  <si>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</si>
  <si>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</si>
  <si>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</si>
  <si>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</si>
  <si>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</si>
  <si>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</si>
  <si>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</si>
  <si>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</si>
  <si>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</si>
  <si>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</si>
  <si>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</si>
  <si>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</si>
  <si>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무주상록아파트</t>
    <phoneticPr fontId="12" type="noConversion"/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</si>
  <si>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</si>
  <si>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</si>
  <si>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</si>
  <si>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</si>
  <si>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</si>
  <si>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</si>
  <si>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</si>
  <si>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</si>
  <si>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</si>
  <si>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</si>
  <si>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</si>
  <si>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</si>
  <si>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</si>
  <si>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</si>
  <si>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</si>
  <si>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</si>
  <si>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</si>
  <si>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</si>
  <si>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</si>
  <si>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</si>
  <si>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</si>
  <si>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</si>
  <si>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</si>
  <si>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</si>
  <si>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</si>
  <si>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</si>
  <si>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</si>
  <si>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</si>
  <si>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</si>
  <si>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</si>
  <si>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</si>
  <si>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</si>
  <si>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</si>
  <si>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</si>
  <si>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</si>
  <si>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</si>
  <si>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</si>
  <si>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</si>
  <si>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</si>
  <si>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</si>
  <si>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</si>
  <si>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</si>
  <si>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</si>
  <si>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</si>
  <si>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</si>
  <si>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</si>
  <si>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</si>
  <si>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</si>
  <si>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</si>
  <si>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</si>
  <si>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</si>
  <si>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</si>
  <si>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</si>
  <si>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</si>
  <si>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</si>
  <si>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</si>
  <si>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</si>
  <si>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</si>
  <si>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A</t>
    <phoneticPr fontId="5" type="noConversion"/>
  </si>
  <si>
    <t>여름건설(주)</t>
    <phoneticPr fontId="5" type="noConversion"/>
  </si>
  <si>
    <t>원불교안암교당</t>
    <phoneticPr fontId="5" type="noConversion"/>
  </si>
  <si>
    <t>잔금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</si>
</sst>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10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87"/>
  <sheetViews>
    <sheetView tabSelected="1" zoomScaleNormal="100" workbookViewId="0">
      <pane xSplit="5" ySplit="1" topLeftCell="F470" activePane="bottomRight" state="frozen"/>
      <selection pane="topRight"/>
      <selection pane="bottomLeft"/>
      <selection pane="bottomRight" activeCell="L491" sqref="L49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337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167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317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219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f>91762800-45454545</f>
        <v>46308255</v>
      </c>
      <c r="I8" s="12">
        <f t="shared" ca="1" si="1"/>
        <v>169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124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119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302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162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477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897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701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541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679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678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770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412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407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397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391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387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387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386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384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363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349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328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316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286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264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335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259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237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232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189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187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176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429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294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294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245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96</v>
      </c>
      <c r="J81" s="13" t="str">
        <f t="shared" ca="1" si="7"/>
        <v>장기미수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72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71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683</v>
      </c>
      <c r="H100" s="4">
        <v>16130000</v>
      </c>
      <c r="I100" s="6">
        <f t="shared" ca="1" si="10"/>
        <v>107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70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70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69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69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68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67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56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54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54</v>
      </c>
      <c r="J123" s="13" t="str">
        <f t="shared" ca="1" si="11"/>
        <v>관리</v>
      </c>
      <c r="K123" s="11">
        <v>46142</v>
      </c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54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50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50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48</v>
      </c>
      <c r="J143" s="13" t="str">
        <f t="shared" ca="1" si="13"/>
        <v>관리</v>
      </c>
      <c r="K143" s="11">
        <v>46142</v>
      </c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48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48</v>
      </c>
      <c r="J146" s="13" t="str">
        <f t="shared" ca="1" si="13"/>
        <v>관리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48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48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48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47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44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44</v>
      </c>
      <c r="J161" s="13" t="str">
        <f t="shared" ca="1" si="15"/>
        <v>관리</v>
      </c>
      <c r="K161" s="11">
        <v>46142</v>
      </c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43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43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43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43</v>
      </c>
      <c r="J173" s="13" t="str">
        <f t="shared" ca="1" si="15"/>
        <v>관리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43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43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43</v>
      </c>
      <c r="J177" s="13" t="str">
        <f t="shared" ca="1" si="15"/>
        <v>관리</v>
      </c>
      <c r="K177" s="11">
        <v>46142</v>
      </c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42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42</v>
      </c>
      <c r="J182" s="13" t="str">
        <f t="shared" ca="1" si="15"/>
        <v>관리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42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42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42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41</v>
      </c>
      <c r="J187" s="13" t="str">
        <f t="shared" ca="1" si="15"/>
        <v>관리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41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41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41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41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40</v>
      </c>
      <c r="J194" s="13" t="str">
        <f t="shared" ca="1" si="17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40</v>
      </c>
      <c r="J195" s="13" t="str">
        <f t="shared" ca="1" si="17"/>
        <v>정상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40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40</v>
      </c>
      <c r="J198" s="13" t="str">
        <f t="shared" ca="1" si="17"/>
        <v>정상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40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36</v>
      </c>
      <c r="J202" s="13" t="str">
        <f t="shared" ca="1" si="17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36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36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36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36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36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36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36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36</v>
      </c>
      <c r="J212" s="13" t="str">
        <f t="shared" ca="1" si="17"/>
        <v>정상</v>
      </c>
      <c r="K212" s="11">
        <v>46142</v>
      </c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36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36</v>
      </c>
      <c r="J214" s="13" t="str">
        <f t="shared" ca="1" si="17"/>
        <v>정상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36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35</v>
      </c>
      <c r="J221" s="13" t="str">
        <f t="shared" ca="1" si="17"/>
        <v>정상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35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35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35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35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34</v>
      </c>
      <c r="J230" s="13" t="str">
        <f t="shared" ca="1" si="19"/>
        <v>정상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34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34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34</v>
      </c>
      <c r="J235" s="13" t="str">
        <f t="shared" ca="1" si="19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34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34</v>
      </c>
      <c r="J241" s="13" t="str">
        <f t="shared" ca="1" si="19"/>
        <v>정상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34</v>
      </c>
      <c r="J243" s="13" t="str">
        <f t="shared" ca="1" si="19"/>
        <v>정상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33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33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30</v>
      </c>
      <c r="J257" s="13" t="str">
        <f t="shared" ca="1" si="21"/>
        <v>정상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30</v>
      </c>
      <c r="J259" s="13" t="str">
        <f t="shared" ca="1" si="21"/>
        <v>정상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30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30</v>
      </c>
      <c r="J262" s="13" t="str">
        <f t="shared" ca="1" si="21"/>
        <v>정상</v>
      </c>
      <c r="K262" s="11">
        <v>46142</v>
      </c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30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30</v>
      </c>
      <c r="J267" s="13" t="str">
        <f t="shared" ca="1" si="21"/>
        <v>정상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29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29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29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29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29</v>
      </c>
      <c r="J272" s="13" t="str">
        <f t="shared" ca="1" si="21"/>
        <v>정상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29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29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27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28</v>
      </c>
      <c r="J279" s="13" t="str">
        <f t="shared" ca="1" si="21"/>
        <v>정상</v>
      </c>
      <c r="K279" s="11"/>
      <c r="L279" s="11"/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28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28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28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28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28</v>
      </c>
      <c r="J285" s="13" t="str">
        <f t="shared" ca="1" si="21"/>
        <v>정상</v>
      </c>
      <c r="K285" s="11">
        <v>46142</v>
      </c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28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28</v>
      </c>
      <c r="J287" s="13" t="str">
        <f t="shared" ca="1" si="23"/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28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27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27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27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27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27</v>
      </c>
      <c r="J294" s="13" t="str">
        <f t="shared" ca="1" si="23"/>
        <v>정상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69</v>
      </c>
      <c r="F295" s="23" t="s">
        <v>444</v>
      </c>
      <c r="G295" s="6" t="s">
        <v>458</v>
      </c>
      <c r="H295" s="25">
        <v>427500</v>
      </c>
      <c r="I295" s="6">
        <f t="shared" ca="1" si="20"/>
        <v>27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27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27</v>
      </c>
      <c r="J298" s="13" t="str">
        <f t="shared" ca="1" si="23"/>
        <v>정상</v>
      </c>
      <c r="K298" s="11"/>
      <c r="L298" s="11"/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27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27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27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26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26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26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26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23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19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19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19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19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19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19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19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19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19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19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19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19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19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19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19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19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19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19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16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16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16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16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16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16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16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16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16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16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16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16</v>
      </c>
      <c r="J350" s="13" t="str">
        <f t="shared" ref="J350:J412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16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16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16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16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21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16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19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19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20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16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15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14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14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14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14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14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14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14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14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43" ca="1" si="27">IF(C382="","",IF(L382="",TODAY()-C382,L382-C382))</f>
        <v>14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13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13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13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13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13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557</v>
      </c>
      <c r="G391" s="6" t="s">
        <v>565</v>
      </c>
      <c r="H391" s="12">
        <v>963200</v>
      </c>
      <c r="I391" s="6">
        <f t="shared" ca="1" si="27"/>
        <v>13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13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12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12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12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tr">
        <f t="shared" ref="D396:D420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12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12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8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8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46"/>
      <c r="R403" s="46"/>
    </row>
    <row r="404" spans="2:18" s="18" customFormat="1" ht="16.5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375</v>
      </c>
      <c r="F404" s="18" t="s">
        <v>500</v>
      </c>
      <c r="G404" s="6" t="s">
        <v>598</v>
      </c>
      <c r="H404" s="12">
        <v>23634000</v>
      </c>
      <c r="I404" s="18">
        <f t="shared" ca="1" si="27"/>
        <v>8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46"/>
      <c r="R404" s="46"/>
    </row>
    <row r="405" spans="2:18" s="18" customFormat="1" ht="16.5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578</v>
      </c>
      <c r="F405" s="18" t="s">
        <v>589</v>
      </c>
      <c r="G405" s="6" t="s">
        <v>598</v>
      </c>
      <c r="H405" s="12">
        <v>7826000</v>
      </c>
      <c r="I405" s="18">
        <f t="shared" ca="1" si="27"/>
        <v>1</v>
      </c>
      <c r="J405" s="13" t="str">
        <f t="shared" ca="1" si="25"/>
        <v>정상</v>
      </c>
      <c r="K405" s="44"/>
      <c r="L405" s="44">
        <v>46127</v>
      </c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579</v>
      </c>
      <c r="F406" s="18" t="s">
        <v>590</v>
      </c>
      <c r="G406" s="6" t="s">
        <v>598</v>
      </c>
      <c r="H406" s="12">
        <v>13317700</v>
      </c>
      <c r="I406" s="18">
        <f t="shared" ca="1" si="27"/>
        <v>8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45" t="s">
        <v>587</v>
      </c>
      <c r="D407" s="42" t="str">
        <f t="shared" si="28"/>
        <v>B</v>
      </c>
      <c r="E407" s="18" t="s">
        <v>249</v>
      </c>
      <c r="F407" s="18" t="s">
        <v>428</v>
      </c>
      <c r="G407" s="6" t="s">
        <v>598</v>
      </c>
      <c r="H407" s="12">
        <v>44522500</v>
      </c>
      <c r="I407" s="18">
        <f t="shared" ca="1" si="27"/>
        <v>9</v>
      </c>
      <c r="J407" s="13" t="str">
        <f t="shared" ca="1" si="25"/>
        <v>정상</v>
      </c>
      <c r="K407" s="44"/>
      <c r="L407" s="44"/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580</v>
      </c>
      <c r="F408" s="18" t="s">
        <v>591</v>
      </c>
      <c r="G408" s="6" t="s">
        <v>598</v>
      </c>
      <c r="H408" s="12">
        <v>10572000</v>
      </c>
      <c r="I408" s="18">
        <f t="shared" ca="1" si="27"/>
        <v>1</v>
      </c>
      <c r="J408" s="13" t="str">
        <f t="shared" ca="1" si="25"/>
        <v>정상</v>
      </c>
      <c r="K408" s="44"/>
      <c r="L408" s="44">
        <v>46126</v>
      </c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581</v>
      </c>
      <c r="F409" s="18" t="s">
        <v>211</v>
      </c>
      <c r="G409" s="6" t="s">
        <v>598</v>
      </c>
      <c r="H409" s="12">
        <v>280000</v>
      </c>
      <c r="I409" s="18">
        <f t="shared" ca="1" si="27"/>
        <v>0</v>
      </c>
      <c r="J409" s="13" t="str">
        <f t="shared" ca="1" si="25"/>
        <v>정상</v>
      </c>
      <c r="K409" s="44"/>
      <c r="L409" s="44">
        <v>46125</v>
      </c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395</v>
      </c>
      <c r="F410" s="18" t="s">
        <v>477</v>
      </c>
      <c r="G410" s="6" t="s">
        <v>598</v>
      </c>
      <c r="H410" s="12">
        <v>7665000</v>
      </c>
      <c r="I410" s="18">
        <f t="shared" ca="1" si="27"/>
        <v>9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582</v>
      </c>
      <c r="F411" s="18" t="s">
        <v>592</v>
      </c>
      <c r="G411" s="6" t="s">
        <v>598</v>
      </c>
      <c r="H411" s="12">
        <v>481100</v>
      </c>
      <c r="I411" s="18">
        <f t="shared" ca="1" si="27"/>
        <v>9</v>
      </c>
      <c r="J411" s="13" t="str">
        <f t="shared" ca="1" si="25"/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434</v>
      </c>
      <c r="F412" s="18" t="s">
        <v>432</v>
      </c>
      <c r="G412" s="6" t="s">
        <v>598</v>
      </c>
      <c r="H412" s="12">
        <v>3109500</v>
      </c>
      <c r="I412" s="18">
        <f t="shared" ca="1" si="27"/>
        <v>9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583</v>
      </c>
      <c r="F413" s="18" t="s">
        <v>588</v>
      </c>
      <c r="G413" s="6" t="s">
        <v>598</v>
      </c>
      <c r="H413" s="12">
        <v>399900</v>
      </c>
      <c r="I413" s="18">
        <f t="shared" ca="1" si="27"/>
        <v>9</v>
      </c>
      <c r="J413" s="13" t="str">
        <f t="shared" ref="J413:J475" ca="1" si="29">IF(I413="","",
 IF(G413="선급금",
   IF(I413&lt;=20,"정상",IF(I413&lt;=90,"관리","장기미수")),
 IF(G413="자재",
   IF(I413&lt;=40,"정상",IF(I413&lt;=90,"관리","장기미수")),
   IF(I413&lt;=30,"정상",IF(I413&lt;=90,"관리","장기미수"))
  )
 )
)</f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584</v>
      </c>
      <c r="F414" s="18" t="s">
        <v>593</v>
      </c>
      <c r="G414" s="6" t="s">
        <v>598</v>
      </c>
      <c r="H414" s="12">
        <v>4678300</v>
      </c>
      <c r="I414" s="18">
        <f t="shared" ca="1" si="27"/>
        <v>9</v>
      </c>
      <c r="J414" s="13" t="str">
        <f t="shared" ca="1" si="29"/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584</v>
      </c>
      <c r="F415" s="18" t="s">
        <v>594</v>
      </c>
      <c r="G415" s="6" t="s">
        <v>598</v>
      </c>
      <c r="H415" s="12">
        <v>941200</v>
      </c>
      <c r="I415" s="18">
        <f t="shared" ca="1" si="27"/>
        <v>9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128</v>
      </c>
      <c r="F416" s="18" t="s">
        <v>129</v>
      </c>
      <c r="G416" s="6" t="s">
        <v>598</v>
      </c>
      <c r="H416" s="12">
        <v>1885800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>IF(G417="","",IF(OR(G417="선급금",G417="중도금",G417="잔금"),"A",IF(G417="자재","B",IF(G417="특허료","C",""))))</f>
        <v>B</v>
      </c>
      <c r="E417" s="18" t="s">
        <v>39</v>
      </c>
      <c r="F417" s="18" t="s">
        <v>595</v>
      </c>
      <c r="G417" s="6" t="s">
        <v>598</v>
      </c>
      <c r="H417" s="12">
        <v>332400</v>
      </c>
      <c r="I417" s="18">
        <f t="shared" ca="1" si="27"/>
        <v>9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585</v>
      </c>
      <c r="F418" s="18" t="s">
        <v>596</v>
      </c>
      <c r="G418" s="6" t="s">
        <v>598</v>
      </c>
      <c r="H418" s="12">
        <v>1254000</v>
      </c>
      <c r="I418" s="18">
        <f t="shared" ca="1" si="27"/>
        <v>1</v>
      </c>
      <c r="J418" s="13" t="str">
        <f t="shared" ca="1" si="29"/>
        <v>정상</v>
      </c>
      <c r="K418" s="44"/>
      <c r="L418" s="44">
        <v>46126</v>
      </c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30" t="s">
        <v>587</v>
      </c>
      <c r="D419" s="42" t="str">
        <f t="shared" si="28"/>
        <v>B</v>
      </c>
      <c r="E419" s="18" t="s">
        <v>83</v>
      </c>
      <c r="F419" s="18" t="s">
        <v>493</v>
      </c>
      <c r="G419" s="6" t="s">
        <v>598</v>
      </c>
      <c r="H419" s="12">
        <v>7680000</v>
      </c>
      <c r="I419" s="18">
        <f t="shared" ca="1" si="27"/>
        <v>9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195</v>
      </c>
      <c r="F420" s="18" t="s">
        <v>597</v>
      </c>
      <c r="G420" s="6" t="s">
        <v>598</v>
      </c>
      <c r="H420" s="12">
        <v>720200</v>
      </c>
      <c r="I420" s="18">
        <f t="shared" ca="1" si="27"/>
        <v>9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519</v>
      </c>
      <c r="F421" s="18" t="s">
        <v>272</v>
      </c>
      <c r="G421" s="18" t="s">
        <v>600</v>
      </c>
      <c r="H421" s="12">
        <v>59166000</v>
      </c>
      <c r="I421" s="18">
        <f t="shared" ca="1" si="27"/>
        <v>9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375</v>
      </c>
      <c r="F422" s="18" t="s">
        <v>372</v>
      </c>
      <c r="G422" s="18" t="s">
        <v>601</v>
      </c>
      <c r="H422" s="12">
        <v>12618800</v>
      </c>
      <c r="I422" s="18">
        <f t="shared" ca="1" si="27"/>
        <v>9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44">
        <v>46125</v>
      </c>
      <c r="D423" s="42" t="s">
        <v>243</v>
      </c>
      <c r="E423" s="18" t="s">
        <v>548</v>
      </c>
      <c r="F423" s="18" t="s">
        <v>547</v>
      </c>
      <c r="G423" s="18" t="s">
        <v>602</v>
      </c>
      <c r="H423" s="12">
        <v>12026400</v>
      </c>
      <c r="I423" s="18">
        <f t="shared" ca="1" si="27"/>
        <v>9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394</v>
      </c>
      <c r="F424" s="18" t="s">
        <v>599</v>
      </c>
      <c r="G424" s="18" t="s">
        <v>603</v>
      </c>
      <c r="H424" s="12">
        <v>5365000</v>
      </c>
      <c r="I424" s="18">
        <f t="shared" ca="1" si="27"/>
        <v>9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579</v>
      </c>
      <c r="F425" s="18" t="s">
        <v>590</v>
      </c>
      <c r="G425" s="18" t="s">
        <v>607</v>
      </c>
      <c r="H425" s="12">
        <v>15635000</v>
      </c>
      <c r="I425" s="18">
        <f t="shared" ca="1" si="27"/>
        <v>8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ht="16.5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195</v>
      </c>
      <c r="F426" s="18" t="s">
        <v>597</v>
      </c>
      <c r="G426" s="18" t="s">
        <v>607</v>
      </c>
      <c r="H426" s="4">
        <v>802000</v>
      </c>
      <c r="I426" s="18">
        <f t="shared" ca="1" si="27"/>
        <v>8</v>
      </c>
      <c r="J426" s="13" t="str">
        <f t="shared" ca="1" si="29"/>
        <v>정상</v>
      </c>
      <c r="N426" s="10" t="s">
        <v>33</v>
      </c>
    </row>
    <row r="427" spans="2:18" ht="16.5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521</v>
      </c>
      <c r="F427" s="18" t="s">
        <v>535</v>
      </c>
      <c r="G427" s="18" t="s">
        <v>607</v>
      </c>
      <c r="H427" s="4">
        <v>990000</v>
      </c>
      <c r="I427" s="18">
        <f t="shared" ca="1" si="27"/>
        <v>8</v>
      </c>
      <c r="J427" s="13" t="str">
        <f t="shared" ca="1" si="29"/>
        <v>정상</v>
      </c>
      <c r="N427" s="10" t="s">
        <v>33</v>
      </c>
    </row>
    <row r="428" spans="2:18" ht="16.5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606</v>
      </c>
      <c r="F428" s="18" t="s">
        <v>604</v>
      </c>
      <c r="G428" s="18" t="s">
        <v>607</v>
      </c>
      <c r="H428" s="4">
        <v>3592300</v>
      </c>
      <c r="I428" s="18">
        <f t="shared" ca="1" si="27"/>
        <v>0</v>
      </c>
      <c r="J428" s="13" t="str">
        <f t="shared" ca="1" si="29"/>
        <v>정상</v>
      </c>
      <c r="L428" s="44">
        <v>46126</v>
      </c>
      <c r="N428" s="10" t="s">
        <v>33</v>
      </c>
    </row>
    <row r="429" spans="2:18" ht="16.5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585</v>
      </c>
      <c r="F429" s="18" t="s">
        <v>596</v>
      </c>
      <c r="G429" s="18" t="s">
        <v>607</v>
      </c>
      <c r="H429" s="4">
        <v>11000000</v>
      </c>
      <c r="I429" s="18">
        <f t="shared" ca="1" si="27"/>
        <v>8</v>
      </c>
      <c r="J429" s="13" t="str">
        <f t="shared" ca="1" si="29"/>
        <v>정상</v>
      </c>
      <c r="N429" s="10" t="s">
        <v>33</v>
      </c>
    </row>
    <row r="430" spans="2:18" ht="16.5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100</v>
      </c>
      <c r="F430" s="18" t="s">
        <v>605</v>
      </c>
      <c r="G430" s="18" t="s">
        <v>607</v>
      </c>
      <c r="H430" s="4">
        <v>11295600</v>
      </c>
      <c r="I430" s="18">
        <f t="shared" ca="1" si="27"/>
        <v>8</v>
      </c>
      <c r="J430" s="13" t="str">
        <f t="shared" ca="1" si="29"/>
        <v>정상</v>
      </c>
      <c r="N430" s="10" t="s">
        <v>33</v>
      </c>
    </row>
    <row r="431" spans="2:18" ht="16.5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126</v>
      </c>
      <c r="F431" s="18" t="s">
        <v>479</v>
      </c>
      <c r="G431" s="18" t="s">
        <v>607</v>
      </c>
      <c r="H431" s="4">
        <v>52695000</v>
      </c>
      <c r="I431" s="18">
        <f t="shared" ca="1" si="27"/>
        <v>8</v>
      </c>
      <c r="J431" s="13" t="str">
        <f t="shared" ca="1" si="29"/>
        <v>정상</v>
      </c>
      <c r="N431" s="10" t="s">
        <v>33</v>
      </c>
    </row>
    <row r="432" spans="2:18" ht="16.5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577</v>
      </c>
      <c r="F432" s="18" t="s">
        <v>588</v>
      </c>
      <c r="G432" s="18" t="s">
        <v>607</v>
      </c>
      <c r="H432" s="4">
        <v>1217300</v>
      </c>
      <c r="I432" s="18">
        <f t="shared" ca="1" si="27"/>
        <v>8</v>
      </c>
      <c r="J432" s="13" t="str">
        <f t="shared" ca="1" si="29"/>
        <v>정상</v>
      </c>
      <c r="N432" s="10" t="s">
        <v>33</v>
      </c>
    </row>
    <row r="433" spans="2:18" ht="16.5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375</v>
      </c>
      <c r="F433" s="18" t="s">
        <v>500</v>
      </c>
      <c r="G433" s="18" t="s">
        <v>607</v>
      </c>
      <c r="H433" s="4">
        <v>23634000</v>
      </c>
      <c r="I433" s="18">
        <f t="shared" ca="1" si="27"/>
        <v>1</v>
      </c>
      <c r="J433" s="13" t="str">
        <f t="shared" ca="1" si="29"/>
        <v>정상</v>
      </c>
      <c r="L433" s="44">
        <v>46127</v>
      </c>
      <c r="N433" s="10" t="s">
        <v>33</v>
      </c>
    </row>
    <row r="434" spans="2:18" ht="16.5" customHeight="1">
      <c r="B434" s="10">
        <f>IF(C434="","",COUNTA($C$2:C434))</f>
        <v>433</v>
      </c>
      <c r="C434" s="44" t="s">
        <v>586</v>
      </c>
      <c r="D434" s="42" t="s">
        <v>178</v>
      </c>
      <c r="E434" s="18" t="s">
        <v>578</v>
      </c>
      <c r="F434" s="18" t="s">
        <v>589</v>
      </c>
      <c r="G434" s="18" t="s">
        <v>607</v>
      </c>
      <c r="H434" s="4">
        <v>7826000</v>
      </c>
      <c r="I434" s="18">
        <f t="shared" ca="1" si="27"/>
        <v>8</v>
      </c>
      <c r="J434" s="13" t="str">
        <f t="shared" ca="1" si="29"/>
        <v>정상</v>
      </c>
      <c r="N434" s="10" t="s">
        <v>33</v>
      </c>
    </row>
    <row r="435" spans="2:18" s="18" customFormat="1" ht="16.5" customHeight="1">
      <c r="B435" s="10">
        <f>IF(C435="","",COUNTA($C$2:C435))</f>
        <v>434</v>
      </c>
      <c r="C435" s="44" t="s">
        <v>586</v>
      </c>
      <c r="D435" s="42" t="s">
        <v>181</v>
      </c>
      <c r="E435" s="18" t="s">
        <v>609</v>
      </c>
      <c r="F435" s="18" t="s">
        <v>608</v>
      </c>
      <c r="G435" s="18" t="s">
        <v>610</v>
      </c>
      <c r="H435" s="12">
        <v>299600</v>
      </c>
      <c r="I435" s="18">
        <f t="shared" ca="1" si="27"/>
        <v>8</v>
      </c>
      <c r="J435" s="13" t="str">
        <f t="shared" ca="1" si="29"/>
        <v>정상</v>
      </c>
      <c r="K435" s="44"/>
      <c r="L435" s="44"/>
      <c r="M435" s="42"/>
      <c r="N435" s="10" t="s">
        <v>33</v>
      </c>
      <c r="Q435" s="46"/>
      <c r="R435" s="46"/>
    </row>
    <row r="436" spans="2:18" s="18" customFormat="1" ht="16.5" customHeight="1">
      <c r="B436" s="10">
        <f>IF(C436="","",COUNTA($C$2:C436))</f>
        <v>435</v>
      </c>
      <c r="C436" s="44" t="s">
        <v>586</v>
      </c>
      <c r="D436" s="42" t="s">
        <v>243</v>
      </c>
      <c r="E436" s="18" t="s">
        <v>618</v>
      </c>
      <c r="F436" s="18" t="s">
        <v>614</v>
      </c>
      <c r="G436" s="18" t="s">
        <v>611</v>
      </c>
      <c r="H436" s="12">
        <v>8608400</v>
      </c>
      <c r="I436" s="18">
        <f t="shared" ca="1" si="27"/>
        <v>8</v>
      </c>
      <c r="J436" s="13" t="str">
        <f t="shared" ca="1" si="29"/>
        <v>정상</v>
      </c>
      <c r="K436" s="44"/>
      <c r="L436" s="44"/>
      <c r="M436" s="42"/>
      <c r="N436" s="10" t="s">
        <v>33</v>
      </c>
      <c r="Q436" s="46"/>
      <c r="R436" s="46"/>
    </row>
    <row r="437" spans="2:18" s="18" customFormat="1" ht="16.5" customHeight="1">
      <c r="B437" s="10">
        <f>IF(C437="","",COUNTA($C$2:C437))</f>
        <v>436</v>
      </c>
      <c r="C437" s="44" t="s">
        <v>586</v>
      </c>
      <c r="D437" s="42" t="s">
        <v>243</v>
      </c>
      <c r="E437" s="18" t="s">
        <v>619</v>
      </c>
      <c r="F437" s="18" t="s">
        <v>615</v>
      </c>
      <c r="G437" s="18" t="s">
        <v>612</v>
      </c>
      <c r="H437" s="12">
        <v>70476400</v>
      </c>
      <c r="I437" s="18">
        <f t="shared" ca="1" si="27"/>
        <v>8</v>
      </c>
      <c r="J437" s="13" t="str">
        <f t="shared" ca="1" si="29"/>
        <v>정상</v>
      </c>
      <c r="K437" s="44"/>
      <c r="L437" s="44"/>
      <c r="M437" s="42"/>
      <c r="N437" s="10" t="s">
        <v>33</v>
      </c>
      <c r="Q437" s="46"/>
      <c r="R437" s="46"/>
    </row>
    <row r="438" spans="2:18" s="18" customFormat="1" ht="16.5" customHeight="1">
      <c r="B438" s="10">
        <f>IF(C438="","",COUNTA($C$2:C438))</f>
        <v>437</v>
      </c>
      <c r="C438" s="44" t="s">
        <v>586</v>
      </c>
      <c r="D438" s="42" t="s">
        <v>243</v>
      </c>
      <c r="E438" s="18" t="s">
        <v>620</v>
      </c>
      <c r="F438" s="18" t="s">
        <v>616</v>
      </c>
      <c r="G438" s="18" t="s">
        <v>611</v>
      </c>
      <c r="H438" s="12">
        <v>3657600</v>
      </c>
      <c r="I438" s="18">
        <f t="shared" ca="1" si="27"/>
        <v>8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s="18" customFormat="1" ht="16.5" customHeight="1">
      <c r="B439" s="10">
        <f>IF(C439="","",COUNTA($C$2:C439))</f>
        <v>438</v>
      </c>
      <c r="C439" s="44" t="s">
        <v>586</v>
      </c>
      <c r="D439" s="42" t="s">
        <v>243</v>
      </c>
      <c r="E439" s="18" t="s">
        <v>621</v>
      </c>
      <c r="F439" s="18" t="s">
        <v>617</v>
      </c>
      <c r="G439" s="18" t="s">
        <v>613</v>
      </c>
      <c r="H439" s="12">
        <v>4080000</v>
      </c>
      <c r="I439" s="18">
        <f t="shared" ca="1" si="27"/>
        <v>8</v>
      </c>
      <c r="J439" s="13" t="str">
        <f t="shared" ca="1" si="29"/>
        <v>정상</v>
      </c>
      <c r="K439" s="44"/>
      <c r="L439" s="44"/>
      <c r="M439" s="42"/>
      <c r="N439" s="10" t="s">
        <v>33</v>
      </c>
      <c r="Q439" s="46"/>
      <c r="R439" s="46"/>
    </row>
    <row r="440" spans="2:18" ht="16.5" customHeight="1">
      <c r="B440" s="10">
        <f>IF(C440="","",COUNTA($C$2:C440))</f>
        <v>439</v>
      </c>
      <c r="C440" s="44">
        <v>46126</v>
      </c>
      <c r="D440" s="42" t="s">
        <v>639</v>
      </c>
      <c r="E440" s="23" t="s">
        <v>579</v>
      </c>
      <c r="F440" s="23" t="s">
        <v>626</v>
      </c>
      <c r="G440" s="18" t="s">
        <v>642</v>
      </c>
      <c r="H440" s="4">
        <v>13317700</v>
      </c>
      <c r="I440" s="18">
        <f t="shared" ca="1" si="27"/>
        <v>8</v>
      </c>
      <c r="J440" s="13" t="str">
        <f t="shared" ca="1" si="29"/>
        <v>정상</v>
      </c>
      <c r="N440" s="10" t="s">
        <v>33</v>
      </c>
    </row>
    <row r="441" spans="2:18" ht="16.5" customHeight="1">
      <c r="B441" s="10">
        <f>IF(C441="","",COUNTA($C$2:C441))</f>
        <v>440</v>
      </c>
      <c r="C441" s="30" t="s">
        <v>640</v>
      </c>
      <c r="D441" s="42" t="s">
        <v>639</v>
      </c>
      <c r="E441" s="23" t="s">
        <v>585</v>
      </c>
      <c r="F441" s="23" t="s">
        <v>627</v>
      </c>
      <c r="G441" s="18" t="s">
        <v>642</v>
      </c>
      <c r="H441" s="4">
        <v>4826000</v>
      </c>
      <c r="I441" s="18">
        <f t="shared" ca="1" si="27"/>
        <v>7</v>
      </c>
      <c r="J441" s="13" t="str">
        <f t="shared" ca="1" si="29"/>
        <v>정상</v>
      </c>
      <c r="N441" s="10" t="s">
        <v>33</v>
      </c>
    </row>
    <row r="442" spans="2:18" ht="16.5" customHeight="1">
      <c r="B442" s="10">
        <f>IF(C442="","",COUNTA($C$2:C442))</f>
        <v>441</v>
      </c>
      <c r="C442" s="30" t="s">
        <v>640</v>
      </c>
      <c r="D442" s="42" t="s">
        <v>639</v>
      </c>
      <c r="E442" s="23" t="s">
        <v>249</v>
      </c>
      <c r="F442" s="23" t="s">
        <v>628</v>
      </c>
      <c r="G442" s="18" t="s">
        <v>642</v>
      </c>
      <c r="H442" s="4">
        <v>266400</v>
      </c>
      <c r="I442" s="18">
        <f t="shared" ca="1" si="27"/>
        <v>7</v>
      </c>
      <c r="J442" s="13" t="str">
        <f t="shared" ca="1" si="29"/>
        <v>정상</v>
      </c>
      <c r="N442" s="10" t="s">
        <v>33</v>
      </c>
    </row>
    <row r="443" spans="2:18" ht="16.5" customHeight="1">
      <c r="B443" s="10">
        <f>IF(C443="","",COUNTA($C$2:C443))</f>
        <v>442</v>
      </c>
      <c r="C443" s="30" t="s">
        <v>640</v>
      </c>
      <c r="D443" s="42" t="s">
        <v>639</v>
      </c>
      <c r="E443" s="23" t="s">
        <v>463</v>
      </c>
      <c r="F443" s="23" t="s">
        <v>625</v>
      </c>
      <c r="G443" s="18" t="s">
        <v>642</v>
      </c>
      <c r="H443" s="4">
        <v>1013300</v>
      </c>
      <c r="I443" s="18">
        <f t="shared" ca="1" si="27"/>
        <v>7</v>
      </c>
      <c r="J443" s="13" t="str">
        <f t="shared" ca="1" si="29"/>
        <v>정상</v>
      </c>
      <c r="N443" s="10" t="s">
        <v>33</v>
      </c>
    </row>
    <row r="444" spans="2:18" ht="16.5" customHeight="1">
      <c r="B444" s="10">
        <f>IF(C444="","",COUNTA($C$2:C444))</f>
        <v>443</v>
      </c>
      <c r="C444" s="30" t="s">
        <v>640</v>
      </c>
      <c r="D444" s="42" t="s">
        <v>639</v>
      </c>
      <c r="E444" s="23" t="s">
        <v>81</v>
      </c>
      <c r="F444" s="23" t="s">
        <v>629</v>
      </c>
      <c r="G444" s="18" t="s">
        <v>642</v>
      </c>
      <c r="H444" s="4">
        <v>449400</v>
      </c>
      <c r="I444" s="18">
        <f t="shared" ref="I444:I487" ca="1" si="30">IF(C444="","",IF(L444="",TODAY()-C444,L444-C444))</f>
        <v>7</v>
      </c>
      <c r="J444" s="13" t="str">
        <f t="shared" ca="1" si="29"/>
        <v>정상</v>
      </c>
      <c r="N444" s="10" t="s">
        <v>33</v>
      </c>
    </row>
    <row r="445" spans="2:18" ht="16.5" customHeight="1">
      <c r="B445" s="10">
        <f>IF(C445="","",COUNTA($C$2:C445))</f>
        <v>444</v>
      </c>
      <c r="C445" s="30" t="s">
        <v>640</v>
      </c>
      <c r="D445" s="42" t="s">
        <v>639</v>
      </c>
      <c r="E445" s="23" t="s">
        <v>208</v>
      </c>
      <c r="F445" s="23" t="s">
        <v>630</v>
      </c>
      <c r="G445" s="18" t="s">
        <v>642</v>
      </c>
      <c r="H445" s="4">
        <v>-7260000</v>
      </c>
      <c r="I445" s="18">
        <f t="shared" ca="1" si="30"/>
        <v>7</v>
      </c>
      <c r="J445" s="13" t="str">
        <f t="shared" ca="1" si="29"/>
        <v>정상</v>
      </c>
      <c r="N445" s="10" t="s">
        <v>33</v>
      </c>
    </row>
    <row r="446" spans="2:18" ht="16.5" customHeight="1">
      <c r="B446" s="10">
        <f>IF(C446="","",COUNTA($C$2:C446))</f>
        <v>445</v>
      </c>
      <c r="C446" s="30" t="s">
        <v>640</v>
      </c>
      <c r="D446" s="42" t="s">
        <v>639</v>
      </c>
      <c r="E446" s="23" t="s">
        <v>209</v>
      </c>
      <c r="F446" s="23" t="s">
        <v>631</v>
      </c>
      <c r="G446" s="18" t="s">
        <v>642</v>
      </c>
      <c r="H446" s="4">
        <v>10770000</v>
      </c>
      <c r="I446" s="18">
        <f t="shared" ca="1" si="30"/>
        <v>7</v>
      </c>
      <c r="J446" s="13" t="str">
        <f t="shared" ca="1" si="29"/>
        <v>정상</v>
      </c>
      <c r="N446" s="10" t="s">
        <v>33</v>
      </c>
    </row>
    <row r="447" spans="2:18" ht="16.5" customHeight="1">
      <c r="B447" s="10">
        <f>IF(C447="","",COUNTA($C$2:C447))</f>
        <v>446</v>
      </c>
      <c r="C447" s="30" t="s">
        <v>640</v>
      </c>
      <c r="D447" s="42" t="s">
        <v>639</v>
      </c>
      <c r="E447" s="23" t="s">
        <v>637</v>
      </c>
      <c r="F447" s="23" t="s">
        <v>632</v>
      </c>
      <c r="G447" s="18" t="s">
        <v>642</v>
      </c>
      <c r="H447" s="4">
        <v>46300</v>
      </c>
      <c r="I447" s="18">
        <f t="shared" ca="1" si="30"/>
        <v>7</v>
      </c>
      <c r="J447" s="13" t="str">
        <f t="shared" ca="1" si="29"/>
        <v>정상</v>
      </c>
      <c r="N447" s="10" t="s">
        <v>33</v>
      </c>
    </row>
    <row r="448" spans="2:18" ht="16.5" customHeight="1">
      <c r="B448" s="10">
        <f>IF(C448="","",COUNTA($C$2:C448))</f>
        <v>447</v>
      </c>
      <c r="C448" s="30" t="s">
        <v>640</v>
      </c>
      <c r="D448" s="42" t="s">
        <v>639</v>
      </c>
      <c r="E448" s="23" t="s">
        <v>126</v>
      </c>
      <c r="F448" s="23" t="s">
        <v>633</v>
      </c>
      <c r="G448" s="18" t="s">
        <v>642</v>
      </c>
      <c r="H448" s="4">
        <v>11690000</v>
      </c>
      <c r="I448" s="18">
        <f t="shared" ca="1" si="30"/>
        <v>7</v>
      </c>
      <c r="J448" s="13" t="str">
        <f t="shared" ca="1" si="29"/>
        <v>정상</v>
      </c>
      <c r="N448" s="10" t="s">
        <v>33</v>
      </c>
    </row>
    <row r="449" spans="2:18" ht="16.5" customHeight="1">
      <c r="B449" s="10">
        <f>IF(C449="","",COUNTA($C$2:C449))</f>
        <v>448</v>
      </c>
      <c r="C449" s="30" t="s">
        <v>641</v>
      </c>
      <c r="D449" s="42" t="s">
        <v>639</v>
      </c>
      <c r="E449" s="23" t="s">
        <v>638</v>
      </c>
      <c r="F449" s="23" t="s">
        <v>634</v>
      </c>
      <c r="G449" s="18" t="s">
        <v>642</v>
      </c>
      <c r="H449" s="4">
        <v>2000200</v>
      </c>
      <c r="I449" s="18">
        <f t="shared" ca="1" si="30"/>
        <v>0</v>
      </c>
      <c r="J449" s="13" t="str">
        <f t="shared" ca="1" si="29"/>
        <v>정상</v>
      </c>
      <c r="L449" s="44">
        <v>46128</v>
      </c>
      <c r="N449" s="10" t="s">
        <v>33</v>
      </c>
    </row>
    <row r="450" spans="2:18" ht="16.5" customHeight="1">
      <c r="B450" s="10">
        <f>IF(C450="","",COUNTA($C$2:C450))</f>
        <v>449</v>
      </c>
      <c r="C450" s="30" t="s">
        <v>641</v>
      </c>
      <c r="D450" s="42" t="s">
        <v>639</v>
      </c>
      <c r="E450" s="23" t="s">
        <v>434</v>
      </c>
      <c r="F450" s="23" t="s">
        <v>635</v>
      </c>
      <c r="G450" s="18" t="s">
        <v>642</v>
      </c>
      <c r="H450" s="4">
        <v>8651000</v>
      </c>
      <c r="I450" s="18">
        <f t="shared" ca="1" si="30"/>
        <v>6</v>
      </c>
      <c r="J450" s="13" t="str">
        <f t="shared" ca="1" si="29"/>
        <v>정상</v>
      </c>
      <c r="N450" s="10" t="s">
        <v>33</v>
      </c>
    </row>
    <row r="451" spans="2:18" ht="16.5" customHeight="1">
      <c r="B451" s="10">
        <f>IF(C451="","",COUNTA($C$2:C451))</f>
        <v>450</v>
      </c>
      <c r="C451" s="30" t="s">
        <v>641</v>
      </c>
      <c r="D451" s="42" t="s">
        <v>639</v>
      </c>
      <c r="E451" s="23" t="s">
        <v>249</v>
      </c>
      <c r="F451" s="23" t="s">
        <v>628</v>
      </c>
      <c r="G451" s="18" t="s">
        <v>642</v>
      </c>
      <c r="H451" s="4">
        <v>2110000</v>
      </c>
      <c r="I451" s="18">
        <f t="shared" ca="1" si="30"/>
        <v>6</v>
      </c>
      <c r="J451" s="13" t="str">
        <f t="shared" ca="1" si="29"/>
        <v>정상</v>
      </c>
      <c r="N451" s="10" t="s">
        <v>33</v>
      </c>
    </row>
    <row r="452" spans="2:18" ht="16.5" customHeight="1">
      <c r="B452" s="10">
        <f>IF(C452="","",COUNTA($C$2:C452))</f>
        <v>451</v>
      </c>
      <c r="C452" s="30" t="s">
        <v>641</v>
      </c>
      <c r="D452" s="42" t="s">
        <v>639</v>
      </c>
      <c r="E452" s="23" t="s">
        <v>24</v>
      </c>
      <c r="F452" s="23" t="s">
        <v>636</v>
      </c>
      <c r="G452" s="18" t="s">
        <v>642</v>
      </c>
      <c r="H452" s="4">
        <v>1006400</v>
      </c>
      <c r="I452" s="18">
        <f t="shared" ca="1" si="30"/>
        <v>6</v>
      </c>
      <c r="J452" s="13" t="str">
        <f t="shared" ca="1" si="29"/>
        <v>정상</v>
      </c>
      <c r="N452" s="10" t="s">
        <v>33</v>
      </c>
    </row>
    <row r="453" spans="2:18" s="18" customFormat="1" ht="16.5" customHeight="1">
      <c r="B453" s="10">
        <f>IF(C453="","",COUNTA($C$2:C453))</f>
        <v>452</v>
      </c>
      <c r="C453" s="30" t="s">
        <v>643</v>
      </c>
      <c r="D453" s="42" t="s">
        <v>644</v>
      </c>
      <c r="E453" s="48" t="s">
        <v>648</v>
      </c>
      <c r="F453" s="48" t="s">
        <v>647</v>
      </c>
      <c r="G453" s="18" t="s">
        <v>646</v>
      </c>
      <c r="H453" s="12">
        <v>65224000</v>
      </c>
      <c r="I453" s="18">
        <f t="shared" ca="1" si="30"/>
        <v>5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customHeight="1">
      <c r="B454" s="10">
        <f>IF(C454="","",COUNTA($C$2:C454))</f>
        <v>453</v>
      </c>
      <c r="C454" s="30">
        <v>46129</v>
      </c>
      <c r="D454" s="42" t="s">
        <v>644</v>
      </c>
      <c r="E454" s="18" t="s">
        <v>519</v>
      </c>
      <c r="F454" s="18" t="s">
        <v>645</v>
      </c>
      <c r="G454" s="47" t="s">
        <v>227</v>
      </c>
      <c r="H454" s="12">
        <v>104823750</v>
      </c>
      <c r="I454" s="18">
        <f t="shared" ca="1" si="30"/>
        <v>5</v>
      </c>
      <c r="J454" s="13" t="str">
        <f t="shared" ca="1" si="29"/>
        <v>정상</v>
      </c>
      <c r="K454" s="44"/>
      <c r="L454" s="44"/>
      <c r="M454" s="42"/>
      <c r="N454" s="10" t="s">
        <v>33</v>
      </c>
      <c r="Q454" s="46"/>
      <c r="R454" s="46"/>
    </row>
    <row r="455" spans="2:18" s="18" customFormat="1" ht="16.5" customHeight="1">
      <c r="B455" s="10">
        <f>IF(C455="","",COUNTA($C$2:C455))</f>
        <v>454</v>
      </c>
      <c r="C455" s="30" t="s">
        <v>643</v>
      </c>
      <c r="D455" s="42" t="s">
        <v>239</v>
      </c>
      <c r="E455" s="23" t="s">
        <v>206</v>
      </c>
      <c r="F455" s="18" t="s">
        <v>557</v>
      </c>
      <c r="G455" s="47" t="s">
        <v>666</v>
      </c>
      <c r="H455" s="12">
        <v>700000</v>
      </c>
      <c r="I455" s="18">
        <f t="shared" ca="1" si="30"/>
        <v>0</v>
      </c>
      <c r="J455" s="13" t="str">
        <f t="shared" ca="1" si="29"/>
        <v>정상</v>
      </c>
      <c r="K455" s="44"/>
      <c r="L455" s="44">
        <v>46129</v>
      </c>
      <c r="M455" s="42"/>
      <c r="N455" s="10" t="s">
        <v>33</v>
      </c>
      <c r="Q455" s="46"/>
      <c r="R455" s="46"/>
    </row>
    <row r="456" spans="2:18" s="18" customFormat="1" ht="16.5" customHeight="1">
      <c r="B456" s="10">
        <f>IF(C456="","",COUNTA($C$2:C456))</f>
        <v>455</v>
      </c>
      <c r="C456" s="30" t="s">
        <v>643</v>
      </c>
      <c r="D456" s="42" t="s">
        <v>239</v>
      </c>
      <c r="E456" s="23" t="s">
        <v>579</v>
      </c>
      <c r="F456" s="18" t="s">
        <v>590</v>
      </c>
      <c r="G456" s="47" t="s">
        <v>666</v>
      </c>
      <c r="H456" s="12">
        <v>12079800</v>
      </c>
      <c r="I456" s="18">
        <f t="shared" ca="1" si="30"/>
        <v>0</v>
      </c>
      <c r="J456" s="13" t="str">
        <f t="shared" ca="1" si="29"/>
        <v>정상</v>
      </c>
      <c r="K456" s="44"/>
      <c r="L456" s="44">
        <v>46129</v>
      </c>
      <c r="M456" s="42"/>
      <c r="N456" s="10" t="s">
        <v>33</v>
      </c>
      <c r="Q456" s="46"/>
      <c r="R456" s="46"/>
    </row>
    <row r="457" spans="2:18" s="18" customFormat="1" ht="16.5" customHeight="1">
      <c r="B457" s="10">
        <f>IF(C457="","",COUNTA($C$2:C457))</f>
        <v>456</v>
      </c>
      <c r="C457" s="30" t="s">
        <v>643</v>
      </c>
      <c r="D457" s="42" t="s">
        <v>239</v>
      </c>
      <c r="E457" s="23" t="s">
        <v>218</v>
      </c>
      <c r="F457" s="18" t="s">
        <v>649</v>
      </c>
      <c r="G457" s="47" t="s">
        <v>666</v>
      </c>
      <c r="H457" s="12">
        <v>167600</v>
      </c>
      <c r="I457" s="18">
        <f t="shared" ca="1" si="30"/>
        <v>5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customHeight="1">
      <c r="B458" s="10">
        <f>IF(C458="","",COUNTA($C$2:C458))</f>
        <v>457</v>
      </c>
      <c r="C458" s="30" t="s">
        <v>643</v>
      </c>
      <c r="D458" s="42" t="s">
        <v>239</v>
      </c>
      <c r="E458" s="23" t="s">
        <v>662</v>
      </c>
      <c r="F458" s="18" t="s">
        <v>211</v>
      </c>
      <c r="G458" s="47" t="s">
        <v>666</v>
      </c>
      <c r="H458" s="12">
        <v>233200</v>
      </c>
      <c r="I458" s="18">
        <f t="shared" ca="1" si="30"/>
        <v>5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customHeight="1">
      <c r="B459" s="10">
        <f>IF(C459="","",COUNTA($C$2:C459))</f>
        <v>458</v>
      </c>
      <c r="C459" s="30" t="s">
        <v>643</v>
      </c>
      <c r="D459" s="42" t="s">
        <v>239</v>
      </c>
      <c r="E459" s="23" t="s">
        <v>126</v>
      </c>
      <c r="F459" s="18" t="s">
        <v>479</v>
      </c>
      <c r="G459" s="47" t="s">
        <v>666</v>
      </c>
      <c r="H459" s="12">
        <v>1969000</v>
      </c>
      <c r="I459" s="18">
        <f t="shared" ca="1" si="30"/>
        <v>5</v>
      </c>
      <c r="J459" s="13" t="str">
        <f t="shared" ca="1" si="29"/>
        <v>정상</v>
      </c>
      <c r="K459" s="44"/>
      <c r="L459" s="44"/>
      <c r="M459" s="42"/>
      <c r="N459" s="10" t="s">
        <v>33</v>
      </c>
      <c r="Q459" s="46"/>
      <c r="R459" s="46"/>
    </row>
    <row r="460" spans="2:18" s="18" customFormat="1" ht="16.5" customHeight="1">
      <c r="B460" s="10">
        <f>IF(C460="","",COUNTA($C$2:C460))</f>
        <v>459</v>
      </c>
      <c r="C460" s="30" t="s">
        <v>664</v>
      </c>
      <c r="D460" s="42" t="s">
        <v>239</v>
      </c>
      <c r="E460" s="23" t="s">
        <v>366</v>
      </c>
      <c r="F460" s="18" t="s">
        <v>480</v>
      </c>
      <c r="G460" s="47" t="s">
        <v>666</v>
      </c>
      <c r="H460" s="12">
        <v>5047800</v>
      </c>
      <c r="I460" s="18">
        <f t="shared" ca="1" si="30"/>
        <v>2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customHeight="1">
      <c r="B461" s="10">
        <f>IF(C461="","",COUNTA($C$2:C461))</f>
        <v>460</v>
      </c>
      <c r="C461" s="30" t="s">
        <v>664</v>
      </c>
      <c r="D461" s="42" t="s">
        <v>239</v>
      </c>
      <c r="E461" s="23" t="s">
        <v>209</v>
      </c>
      <c r="F461" s="18" t="s">
        <v>650</v>
      </c>
      <c r="G461" s="47" t="s">
        <v>666</v>
      </c>
      <c r="H461" s="12">
        <v>56594600</v>
      </c>
      <c r="I461" s="18">
        <f t="shared" ca="1" si="30"/>
        <v>2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customHeight="1">
      <c r="B462" s="10">
        <f>IF(C462="","",COUNTA($C$2:C462))</f>
        <v>461</v>
      </c>
      <c r="C462" s="30" t="s">
        <v>664</v>
      </c>
      <c r="D462" s="42" t="s">
        <v>239</v>
      </c>
      <c r="E462" s="23" t="s">
        <v>209</v>
      </c>
      <c r="F462" s="18" t="s">
        <v>651</v>
      </c>
      <c r="G462" s="47" t="s">
        <v>666</v>
      </c>
      <c r="H462" s="12">
        <v>-1277000</v>
      </c>
      <c r="I462" s="18">
        <f t="shared" ca="1" si="30"/>
        <v>2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128</v>
      </c>
      <c r="F463" s="18" t="s">
        <v>652</v>
      </c>
      <c r="G463" s="47" t="s">
        <v>666</v>
      </c>
      <c r="H463" s="12">
        <v>2242500</v>
      </c>
      <c r="I463" s="18">
        <f t="shared" ca="1" si="30"/>
        <v>2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461</v>
      </c>
      <c r="F464" s="18" t="s">
        <v>653</v>
      </c>
      <c r="G464" s="47" t="s">
        <v>666</v>
      </c>
      <c r="H464" s="12">
        <v>2107200</v>
      </c>
      <c r="I464" s="18">
        <f t="shared" ca="1" si="30"/>
        <v>2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128</v>
      </c>
      <c r="F465" s="18" t="s">
        <v>654</v>
      </c>
      <c r="G465" s="47" t="s">
        <v>666</v>
      </c>
      <c r="H465" s="12">
        <v>10709900</v>
      </c>
      <c r="I465" s="18">
        <f t="shared" ca="1" si="30"/>
        <v>2</v>
      </c>
      <c r="J465" s="13" t="str">
        <f t="shared" ca="1" si="29"/>
        <v>정상</v>
      </c>
      <c r="K465" s="44"/>
      <c r="L465" s="44"/>
      <c r="M465" s="42"/>
      <c r="N465" s="10" t="s">
        <v>33</v>
      </c>
      <c r="Q465" s="46"/>
      <c r="R465" s="46"/>
    </row>
    <row r="466" spans="2:18" s="18" customFormat="1" ht="16.5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663</v>
      </c>
      <c r="F466" s="18" t="s">
        <v>655</v>
      </c>
      <c r="G466" s="47" t="s">
        <v>666</v>
      </c>
      <c r="H466" s="12">
        <v>8250000</v>
      </c>
      <c r="I466" s="18">
        <f t="shared" ca="1" si="30"/>
        <v>0</v>
      </c>
      <c r="J466" s="13" t="str">
        <f t="shared" ca="1" si="29"/>
        <v>정상</v>
      </c>
      <c r="K466" s="44"/>
      <c r="L466" s="44">
        <v>46132</v>
      </c>
      <c r="M466" s="42"/>
      <c r="N466" s="10" t="s">
        <v>33</v>
      </c>
      <c r="Q466" s="46"/>
      <c r="R466" s="46"/>
    </row>
    <row r="467" spans="2:18" s="18" customFormat="1" ht="16.5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83</v>
      </c>
      <c r="F467" s="18" t="s">
        <v>493</v>
      </c>
      <c r="G467" s="47" t="s">
        <v>666</v>
      </c>
      <c r="H467" s="12">
        <v>7032000</v>
      </c>
      <c r="I467" s="18">
        <f t="shared" ca="1" si="30"/>
        <v>2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110</v>
      </c>
      <c r="F468" s="18" t="s">
        <v>656</v>
      </c>
      <c r="G468" s="47" t="s">
        <v>666</v>
      </c>
      <c r="H468" s="12">
        <v>20070100</v>
      </c>
      <c r="I468" s="18">
        <f t="shared" ca="1" si="30"/>
        <v>2</v>
      </c>
      <c r="J468" s="13" t="str">
        <f t="shared" ca="1" si="29"/>
        <v>정상</v>
      </c>
      <c r="K468" s="44"/>
      <c r="L468" s="44"/>
      <c r="M468" s="42"/>
      <c r="N468" s="10" t="s">
        <v>33</v>
      </c>
      <c r="Q468" s="46"/>
      <c r="R468" s="46"/>
    </row>
    <row r="469" spans="2:18" s="18" customFormat="1" ht="16.5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128</v>
      </c>
      <c r="F469" s="18" t="s">
        <v>553</v>
      </c>
      <c r="G469" s="47" t="s">
        <v>666</v>
      </c>
      <c r="H469" s="12">
        <v>25734800</v>
      </c>
      <c r="I469" s="18">
        <f t="shared" ca="1" si="30"/>
        <v>2</v>
      </c>
      <c r="J469" s="13" t="str">
        <f t="shared" ca="1" si="29"/>
        <v>정상</v>
      </c>
      <c r="K469" s="44"/>
      <c r="L469" s="44"/>
      <c r="M469" s="42"/>
      <c r="N469" s="10" t="s">
        <v>33</v>
      </c>
      <c r="Q469" s="46"/>
      <c r="R469" s="46"/>
    </row>
    <row r="470" spans="2:18" s="18" customFormat="1" ht="16.5" customHeight="1">
      <c r="B470" s="10">
        <f>IF(C470="","",COUNTA($C$2:C470))</f>
        <v>469</v>
      </c>
      <c r="C470" s="30" t="s">
        <v>665</v>
      </c>
      <c r="D470" s="42" t="s">
        <v>239</v>
      </c>
      <c r="E470" s="23" t="s">
        <v>585</v>
      </c>
      <c r="F470" s="18" t="s">
        <v>657</v>
      </c>
      <c r="G470" s="47" t="s">
        <v>666</v>
      </c>
      <c r="H470" s="12">
        <v>15595200</v>
      </c>
      <c r="I470" s="18">
        <f t="shared" ca="1" si="30"/>
        <v>1</v>
      </c>
      <c r="J470" s="13" t="str">
        <f t="shared" ca="1" si="29"/>
        <v>정상</v>
      </c>
      <c r="K470" s="44"/>
      <c r="L470" s="44"/>
      <c r="M470" s="42"/>
      <c r="N470" s="10" t="s">
        <v>33</v>
      </c>
      <c r="Q470" s="46"/>
      <c r="R470" s="46"/>
    </row>
    <row r="471" spans="2:18" s="18" customFormat="1" ht="16.5" customHeight="1">
      <c r="B471" s="10">
        <f>IF(C471="","",COUNTA($C$2:C471))</f>
        <v>470</v>
      </c>
      <c r="C471" s="30" t="s">
        <v>665</v>
      </c>
      <c r="D471" s="42" t="s">
        <v>239</v>
      </c>
      <c r="E471" s="23" t="s">
        <v>126</v>
      </c>
      <c r="F471" s="18" t="s">
        <v>484</v>
      </c>
      <c r="G471" s="47" t="s">
        <v>666</v>
      </c>
      <c r="H471" s="12">
        <v>484000</v>
      </c>
      <c r="I471" s="18">
        <f t="shared" ca="1" si="30"/>
        <v>1</v>
      </c>
      <c r="J471" s="13" t="str">
        <f t="shared" ca="1" si="29"/>
        <v>정상</v>
      </c>
      <c r="K471" s="44"/>
      <c r="L471" s="44"/>
      <c r="M471" s="42"/>
      <c r="N471" s="10" t="s">
        <v>33</v>
      </c>
      <c r="Q471" s="46"/>
      <c r="R471" s="46"/>
    </row>
    <row r="472" spans="2:18" s="18" customFormat="1" ht="16.5" customHeight="1">
      <c r="B472" s="10">
        <f>IF(C472="","",COUNTA($C$2:C472))</f>
        <v>471</v>
      </c>
      <c r="C472" s="30" t="s">
        <v>665</v>
      </c>
      <c r="D472" s="42" t="s">
        <v>239</v>
      </c>
      <c r="E472" s="23" t="s">
        <v>105</v>
      </c>
      <c r="F472" s="18" t="s">
        <v>658</v>
      </c>
      <c r="G472" s="47" t="s">
        <v>666</v>
      </c>
      <c r="H472" s="12">
        <v>972200</v>
      </c>
      <c r="I472" s="18">
        <f t="shared" ca="1" si="30"/>
        <v>1</v>
      </c>
      <c r="J472" s="13" t="str">
        <f t="shared" ca="1" si="29"/>
        <v>정상</v>
      </c>
      <c r="K472" s="44"/>
      <c r="L472" s="44"/>
      <c r="M472" s="42"/>
      <c r="N472" s="10" t="s">
        <v>33</v>
      </c>
      <c r="Q472" s="46"/>
      <c r="R472" s="46"/>
    </row>
    <row r="473" spans="2:18" s="18" customFormat="1" ht="16.5" customHeight="1">
      <c r="B473" s="10">
        <f>IF(C473="","",COUNTA($C$2:C473))</f>
        <v>472</v>
      </c>
      <c r="C473" s="30" t="s">
        <v>665</v>
      </c>
      <c r="D473" s="42" t="s">
        <v>239</v>
      </c>
      <c r="E473" s="23" t="s">
        <v>579</v>
      </c>
      <c r="F473" s="18" t="s">
        <v>659</v>
      </c>
      <c r="G473" s="47" t="s">
        <v>666</v>
      </c>
      <c r="H473" s="12">
        <v>498600</v>
      </c>
      <c r="I473" s="18">
        <f t="shared" ca="1" si="30"/>
        <v>0</v>
      </c>
      <c r="J473" s="13" t="str">
        <f t="shared" ca="1" si="29"/>
        <v>정상</v>
      </c>
      <c r="K473" s="44"/>
      <c r="L473" s="44">
        <v>46133</v>
      </c>
      <c r="M473" s="42"/>
      <c r="N473" s="10" t="s">
        <v>33</v>
      </c>
      <c r="Q473" s="46"/>
      <c r="R473" s="46"/>
    </row>
    <row r="474" spans="2:18" s="18" customFormat="1" ht="16.5" customHeight="1">
      <c r="B474" s="10">
        <f>IF(C474="","",COUNTA($C$2:C474))</f>
        <v>473</v>
      </c>
      <c r="C474" s="30" t="s">
        <v>665</v>
      </c>
      <c r="D474" s="42" t="s">
        <v>239</v>
      </c>
      <c r="E474" s="23" t="s">
        <v>209</v>
      </c>
      <c r="F474" s="18" t="s">
        <v>650</v>
      </c>
      <c r="G474" s="47" t="s">
        <v>666</v>
      </c>
      <c r="H474" s="12">
        <v>18524900</v>
      </c>
      <c r="I474" s="18">
        <f t="shared" ca="1" si="30"/>
        <v>1</v>
      </c>
      <c r="J474" s="13" t="str">
        <f t="shared" ca="1" si="29"/>
        <v>정상</v>
      </c>
      <c r="K474" s="44"/>
      <c r="L474" s="44"/>
      <c r="M474" s="42"/>
      <c r="N474" s="10" t="s">
        <v>33</v>
      </c>
      <c r="Q474" s="46"/>
      <c r="R474" s="46"/>
    </row>
    <row r="475" spans="2:18" s="18" customFormat="1" ht="16.5" customHeight="1">
      <c r="B475" s="10">
        <f>IF(C475="","",COUNTA($C$2:C475))</f>
        <v>474</v>
      </c>
      <c r="C475" s="30" t="s">
        <v>665</v>
      </c>
      <c r="D475" s="42" t="s">
        <v>239</v>
      </c>
      <c r="E475" s="23" t="s">
        <v>207</v>
      </c>
      <c r="F475" s="18" t="s">
        <v>660</v>
      </c>
      <c r="G475" s="47" t="s">
        <v>666</v>
      </c>
      <c r="H475" s="12">
        <v>3547500</v>
      </c>
      <c r="I475" s="18">
        <f t="shared" ca="1" si="30"/>
        <v>1</v>
      </c>
      <c r="J475" s="13" t="str">
        <f t="shared" ca="1" si="29"/>
        <v>정상</v>
      </c>
      <c r="K475" s="44"/>
      <c r="L475" s="44"/>
      <c r="M475" s="42"/>
      <c r="N475" s="10" t="s">
        <v>33</v>
      </c>
      <c r="Q475" s="46"/>
      <c r="R475" s="46"/>
    </row>
    <row r="476" spans="2:18" s="18" customFormat="1" ht="16.5" customHeight="1">
      <c r="B476" s="10">
        <f>IF(C476="","",COUNTA($C$2:C476))</f>
        <v>475</v>
      </c>
      <c r="C476" s="30" t="s">
        <v>665</v>
      </c>
      <c r="D476" s="42" t="s">
        <v>239</v>
      </c>
      <c r="E476" s="23" t="s">
        <v>663</v>
      </c>
      <c r="F476" s="18" t="s">
        <v>661</v>
      </c>
      <c r="G476" s="47" t="s">
        <v>666</v>
      </c>
      <c r="H476" s="12">
        <v>5362500</v>
      </c>
      <c r="I476" s="18">
        <f t="shared" ca="1" si="30"/>
        <v>0</v>
      </c>
      <c r="J476" s="13" t="str">
        <f t="shared" ref="J476:J487" ca="1" si="31">IF(I476="","",
 IF(G476="선급금",
   IF(I476&lt;=20,"정상",IF(I476&lt;=90,"관리","장기미수")),
 IF(G476="자재",
   IF(I476&lt;=40,"정상",IF(I476&lt;=90,"관리","장기미수")),
   IF(I476&lt;=30,"정상",IF(I476&lt;=90,"관리","장기미수"))
  )
 )
)</f>
        <v>정상</v>
      </c>
      <c r="K476" s="44"/>
      <c r="L476" s="44">
        <v>46133</v>
      </c>
      <c r="M476" s="42"/>
      <c r="N476" s="10" t="s">
        <v>33</v>
      </c>
      <c r="Q476" s="46"/>
      <c r="R476" s="46"/>
    </row>
    <row r="477" spans="2:18" s="18" customFormat="1" ht="16.5" customHeight="1">
      <c r="B477" s="10">
        <f>IF(C477="","",COUNTA($C$2:C477))</f>
        <v>476</v>
      </c>
      <c r="C477" s="30" t="s">
        <v>665</v>
      </c>
      <c r="D477" s="42" t="s">
        <v>239</v>
      </c>
      <c r="E477" s="23" t="s">
        <v>221</v>
      </c>
      <c r="F477" s="18" t="s">
        <v>216</v>
      </c>
      <c r="G477" s="47" t="s">
        <v>666</v>
      </c>
      <c r="H477" s="12">
        <v>4472000</v>
      </c>
      <c r="I477" s="18">
        <f t="shared" ca="1" si="30"/>
        <v>1</v>
      </c>
      <c r="J477" s="13" t="str">
        <f t="shared" ca="1" si="31"/>
        <v>정상</v>
      </c>
      <c r="K477" s="44"/>
      <c r="L477" s="44"/>
      <c r="M477" s="42"/>
      <c r="N477" s="10" t="s">
        <v>33</v>
      </c>
      <c r="Q477" s="46"/>
      <c r="R477" s="46"/>
    </row>
    <row r="478" spans="2:18" s="42" customFormat="1" ht="16.5" customHeight="1">
      <c r="B478" s="10">
        <f>IF(C478="","",COUNTA($C$2:C478))</f>
        <v>477</v>
      </c>
      <c r="C478" s="44" t="s">
        <v>643</v>
      </c>
      <c r="D478" s="42" t="s">
        <v>670</v>
      </c>
      <c r="E478" s="43" t="s">
        <v>669</v>
      </c>
      <c r="F478" s="43" t="s">
        <v>667</v>
      </c>
      <c r="G478" s="43" t="s">
        <v>668</v>
      </c>
      <c r="H478" s="49">
        <v>14255200</v>
      </c>
      <c r="I478" s="18">
        <f t="shared" ca="1" si="30"/>
        <v>5</v>
      </c>
      <c r="J478" s="13" t="str">
        <f t="shared" ca="1" si="31"/>
        <v>정상</v>
      </c>
      <c r="K478" s="44"/>
      <c r="L478" s="44"/>
      <c r="N478" s="10" t="s">
        <v>33</v>
      </c>
      <c r="Q478" s="44"/>
      <c r="R478" s="44"/>
    </row>
    <row r="479" spans="2:18" ht="16.5" customHeight="1">
      <c r="B479" s="10">
        <f>IF(C479="","",COUNTA($C$2:C479))</f>
        <v>478</v>
      </c>
      <c r="C479" s="44">
        <v>46132</v>
      </c>
      <c r="D479" s="42" t="s">
        <v>670</v>
      </c>
      <c r="E479" s="50" t="s">
        <v>672</v>
      </c>
      <c r="F479" s="47" t="s">
        <v>671</v>
      </c>
      <c r="G479" s="47" t="s">
        <v>673</v>
      </c>
      <c r="H479" s="4">
        <v>35447600</v>
      </c>
      <c r="I479" s="18">
        <f t="shared" ca="1" si="30"/>
        <v>2</v>
      </c>
      <c r="J479" s="13" t="str">
        <f t="shared" ca="1" si="31"/>
        <v>정상</v>
      </c>
      <c r="N479" s="10" t="s">
        <v>33</v>
      </c>
    </row>
    <row r="480" spans="2:18" ht="16.5" customHeight="1">
      <c r="B480" s="10">
        <f>IF(C480="","",COUNTA($C$2:C480))</f>
        <v>479</v>
      </c>
      <c r="C480" s="30" t="s">
        <v>665</v>
      </c>
      <c r="D480" s="51" t="s">
        <v>680</v>
      </c>
      <c r="E480" s="23" t="s">
        <v>674</v>
      </c>
      <c r="F480" s="23" t="s">
        <v>675</v>
      </c>
      <c r="G480" s="47" t="s">
        <v>679</v>
      </c>
      <c r="H480" s="4">
        <v>900000</v>
      </c>
      <c r="I480" s="18">
        <f t="shared" ca="1" si="30"/>
        <v>0</v>
      </c>
      <c r="J480" s="13" t="str">
        <f t="shared" ca="1" si="31"/>
        <v>정상</v>
      </c>
      <c r="L480" s="44">
        <v>46133</v>
      </c>
      <c r="N480" s="10" t="s">
        <v>33</v>
      </c>
    </row>
    <row r="481" spans="2:14" ht="16.5" customHeight="1">
      <c r="B481" s="10">
        <f>IF(C481="","",COUNTA($C$2:C481))</f>
        <v>480</v>
      </c>
      <c r="C481" s="30" t="s">
        <v>665</v>
      </c>
      <c r="D481" s="51" t="s">
        <v>680</v>
      </c>
      <c r="E481" s="23" t="s">
        <v>463</v>
      </c>
      <c r="F481" s="23" t="s">
        <v>676</v>
      </c>
      <c r="G481" s="47" t="s">
        <v>679</v>
      </c>
      <c r="H481" s="4">
        <v>300800</v>
      </c>
      <c r="I481" s="18">
        <f t="shared" ca="1" si="30"/>
        <v>1</v>
      </c>
      <c r="J481" s="13" t="str">
        <f t="shared" ca="1" si="31"/>
        <v>정상</v>
      </c>
      <c r="N481" s="10" t="s">
        <v>33</v>
      </c>
    </row>
    <row r="482" spans="2:14" ht="16.5" customHeight="1">
      <c r="B482" s="10">
        <f>IF(C482="","",COUNTA($C$2:C482))</f>
        <v>481</v>
      </c>
      <c r="C482" s="30" t="s">
        <v>665</v>
      </c>
      <c r="D482" s="51" t="s">
        <v>680</v>
      </c>
      <c r="E482" s="23" t="s">
        <v>578</v>
      </c>
      <c r="F482" s="23" t="s">
        <v>589</v>
      </c>
      <c r="G482" s="47" t="s">
        <v>679</v>
      </c>
      <c r="H482" s="4">
        <v>4882500</v>
      </c>
      <c r="I482" s="18">
        <f t="shared" ca="1" si="30"/>
        <v>1</v>
      </c>
      <c r="J482" s="13" t="str">
        <f t="shared" ca="1" si="31"/>
        <v>정상</v>
      </c>
      <c r="N482" s="10" t="s">
        <v>33</v>
      </c>
    </row>
    <row r="483" spans="2:14" ht="16.5" customHeight="1">
      <c r="B483" s="10">
        <f>IF(C483="","",COUNTA($C$2:C483))</f>
        <v>482</v>
      </c>
      <c r="C483" s="30" t="s">
        <v>665</v>
      </c>
      <c r="D483" s="51" t="s">
        <v>680</v>
      </c>
      <c r="E483" s="23" t="s">
        <v>463</v>
      </c>
      <c r="F483" s="23" t="s">
        <v>677</v>
      </c>
      <c r="G483" s="47" t="s">
        <v>679</v>
      </c>
      <c r="H483" s="4">
        <v>717500</v>
      </c>
      <c r="I483" s="18">
        <f t="shared" ca="1" si="30"/>
        <v>1</v>
      </c>
      <c r="J483" s="13" t="str">
        <f t="shared" ca="1" si="31"/>
        <v>정상</v>
      </c>
      <c r="N483" s="10" t="s">
        <v>33</v>
      </c>
    </row>
    <row r="484" spans="2:14" ht="16.5" customHeight="1">
      <c r="B484" s="10">
        <f>IF(C484="","",COUNTA($C$2:C484))</f>
        <v>483</v>
      </c>
      <c r="C484" s="30" t="s">
        <v>665</v>
      </c>
      <c r="D484" s="51" t="s">
        <v>680</v>
      </c>
      <c r="E484" s="23" t="s">
        <v>126</v>
      </c>
      <c r="F484" s="23" t="s">
        <v>485</v>
      </c>
      <c r="G484" s="47" t="s">
        <v>679</v>
      </c>
      <c r="H484" s="4">
        <v>1836000</v>
      </c>
      <c r="I484" s="18">
        <f t="shared" ca="1" si="30"/>
        <v>1</v>
      </c>
      <c r="J484" s="13" t="str">
        <f t="shared" ca="1" si="31"/>
        <v>정상</v>
      </c>
      <c r="N484" s="10" t="s">
        <v>33</v>
      </c>
    </row>
    <row r="485" spans="2:14" ht="16.5" customHeight="1">
      <c r="B485" s="10">
        <f>IF(C485="","",COUNTA($C$2:C485))</f>
        <v>484</v>
      </c>
      <c r="C485" s="30" t="s">
        <v>665</v>
      </c>
      <c r="D485" s="51" t="s">
        <v>680</v>
      </c>
      <c r="E485" s="23" t="s">
        <v>39</v>
      </c>
      <c r="F485" s="23" t="s">
        <v>678</v>
      </c>
      <c r="G485" s="47" t="s">
        <v>679</v>
      </c>
      <c r="H485" s="4">
        <v>109200</v>
      </c>
      <c r="I485" s="18">
        <f t="shared" ca="1" si="30"/>
        <v>1</v>
      </c>
      <c r="J485" s="13" t="str">
        <f t="shared" ca="1" si="31"/>
        <v>정상</v>
      </c>
      <c r="N485" s="10" t="s">
        <v>33</v>
      </c>
    </row>
    <row r="486" spans="2:14" ht="16.5" customHeight="1">
      <c r="B486" s="10">
        <f>IF(C486="","",COUNTA($C$2:C486))</f>
        <v>485</v>
      </c>
      <c r="C486" s="30" t="s">
        <v>665</v>
      </c>
      <c r="E486" s="18" t="s">
        <v>682</v>
      </c>
      <c r="F486" s="18" t="s">
        <v>681</v>
      </c>
      <c r="G486" s="18" t="s">
        <v>684</v>
      </c>
      <c r="H486" s="4">
        <v>15432000</v>
      </c>
      <c r="I486" s="18">
        <f t="shared" ca="1" si="30"/>
        <v>1</v>
      </c>
      <c r="J486" s="13" t="str">
        <f t="shared" ca="1" si="31"/>
        <v>정상</v>
      </c>
      <c r="N486" s="10" t="s">
        <v>33</v>
      </c>
    </row>
    <row r="487" spans="2:14" ht="16.5" customHeight="1">
      <c r="B487" s="10">
        <f>IF(C487="","",COUNTA($C$2:C487))</f>
        <v>486</v>
      </c>
      <c r="C487" s="44" t="s">
        <v>665</v>
      </c>
      <c r="D487" s="51" t="s">
        <v>685</v>
      </c>
      <c r="E487" s="50" t="s">
        <v>686</v>
      </c>
      <c r="F487" s="50" t="s">
        <v>687</v>
      </c>
      <c r="G487" s="47" t="s">
        <v>688</v>
      </c>
      <c r="H487" s="4">
        <v>-916000</v>
      </c>
      <c r="I487" s="18">
        <f t="shared" ca="1" si="30"/>
        <v>1</v>
      </c>
      <c r="J487" s="13" t="str">
        <f t="shared" ca="1" si="31"/>
        <v>정상</v>
      </c>
      <c r="N487" s="10" t="s">
        <v>33</v>
      </c>
    </row>
  </sheetData>
  <autoFilter ref="A1:S486"/>
  <phoneticPr fontId="5" type="noConversion"/>
  <conditionalFormatting sqref="E3 F57:F60 E37">
    <cfRule type="expression" dxfId="109" priority="136">
      <formula>$J3="잔금"</formula>
    </cfRule>
  </conditionalFormatting>
  <conditionalFormatting sqref="E8">
    <cfRule type="expression" dxfId="108" priority="135">
      <formula>$J8="잔금"</formula>
    </cfRule>
  </conditionalFormatting>
  <conditionalFormatting sqref="E4">
    <cfRule type="expression" dxfId="107" priority="134">
      <formula>$J4="잔금"</formula>
    </cfRule>
  </conditionalFormatting>
  <conditionalFormatting sqref="E9">
    <cfRule type="expression" dxfId="106" priority="133">
      <formula>$J9="잔금"</formula>
    </cfRule>
  </conditionalFormatting>
  <conditionalFormatting sqref="E41">
    <cfRule type="expression" dxfId="105" priority="128">
      <formula>$J41="잔금"</formula>
    </cfRule>
  </conditionalFormatting>
  <conditionalFormatting sqref="E98:E99 E186:F192 H186:H192 F113 C186:C192">
    <cfRule type="expression" dxfId="104" priority="118">
      <formula>$J98="잔금"</formula>
    </cfRule>
  </conditionalFormatting>
  <conditionalFormatting sqref="F98:F99">
    <cfRule type="expression" dxfId="103" priority="117">
      <formula>$J98="잔금"</formula>
    </cfRule>
  </conditionalFormatting>
  <conditionalFormatting sqref="F104:F105">
    <cfRule type="expression" dxfId="102" priority="115">
      <formula>$J104="잔금"</formula>
    </cfRule>
  </conditionalFormatting>
  <conditionalFormatting sqref="H104:H105">
    <cfRule type="expression" dxfId="101" priority="114">
      <formula>$J104="잔금"</formula>
    </cfRule>
  </conditionalFormatting>
  <conditionalFormatting sqref="E106:E108">
    <cfRule type="expression" dxfId="100" priority="113">
      <formula>$J106="잔금"</formula>
    </cfRule>
  </conditionalFormatting>
  <conditionalFormatting sqref="F106:F108">
    <cfRule type="expression" dxfId="99" priority="112">
      <formula>$J106="잔금"</formula>
    </cfRule>
  </conditionalFormatting>
  <conditionalFormatting sqref="H106:H108">
    <cfRule type="expression" dxfId="98" priority="111">
      <formula>$J106="잔금"</formula>
    </cfRule>
  </conditionalFormatting>
  <conditionalFormatting sqref="E110">
    <cfRule type="expression" dxfId="97" priority="110">
      <formula>$J110="잔금"</formula>
    </cfRule>
  </conditionalFormatting>
  <conditionalFormatting sqref="F110">
    <cfRule type="expression" dxfId="96" priority="109">
      <formula>$J110="잔금"</formula>
    </cfRule>
  </conditionalFormatting>
  <conditionalFormatting sqref="E111:E113">
    <cfRule type="expression" dxfId="95" priority="108">
      <formula>$J111="잔금"</formula>
    </cfRule>
  </conditionalFormatting>
  <conditionalFormatting sqref="F111">
    <cfRule type="expression" dxfId="94" priority="107">
      <formula>$J111="잔금"</formula>
    </cfRule>
  </conditionalFormatting>
  <conditionalFormatting sqref="F112">
    <cfRule type="expression" dxfId="93" priority="106">
      <formula>$J112="잔금"</formula>
    </cfRule>
  </conditionalFormatting>
  <conditionalFormatting sqref="H111:H113">
    <cfRule type="expression" dxfId="92" priority="105">
      <formula>$J111="잔금"</formula>
    </cfRule>
  </conditionalFormatting>
  <conditionalFormatting sqref="C111:C113">
    <cfRule type="expression" dxfId="91" priority="104">
      <formula>$J111="잔금"</formula>
    </cfRule>
  </conditionalFormatting>
  <conditionalFormatting sqref="E117">
    <cfRule type="expression" dxfId="90" priority="103">
      <formula>$J117="잔금"</formula>
    </cfRule>
  </conditionalFormatting>
  <conditionalFormatting sqref="F117">
    <cfRule type="expression" dxfId="89" priority="102">
      <formula>$J117="잔금"</formula>
    </cfRule>
  </conditionalFormatting>
  <conditionalFormatting sqref="F142:F149">
    <cfRule type="expression" dxfId="88" priority="101">
      <formula>$J142="잔금"</formula>
    </cfRule>
  </conditionalFormatting>
  <conditionalFormatting sqref="E142:E149">
    <cfRule type="expression" dxfId="87" priority="100">
      <formula>$J142="잔금"</formula>
    </cfRule>
  </conditionalFormatting>
  <conditionalFormatting sqref="H142:H149">
    <cfRule type="expression" dxfId="86" priority="99">
      <formula>$J142="잔금"</formula>
    </cfRule>
  </conditionalFormatting>
  <conditionalFormatting sqref="E151:E157">
    <cfRule type="expression" dxfId="85" priority="97">
      <formula>$J151="잔금"</formula>
    </cfRule>
  </conditionalFormatting>
  <conditionalFormatting sqref="F151:F157">
    <cfRule type="expression" dxfId="84" priority="96">
      <formula>$J151="잔금"</formula>
    </cfRule>
  </conditionalFormatting>
  <conditionalFormatting sqref="C151:C157">
    <cfRule type="expression" dxfId="83" priority="95">
      <formula>$J151="잔금"</formula>
    </cfRule>
  </conditionalFormatting>
  <conditionalFormatting sqref="H151:H157">
    <cfRule type="expression" dxfId="82" priority="94">
      <formula>$J151="잔금"</formula>
    </cfRule>
  </conditionalFormatting>
  <conditionalFormatting sqref="C158">
    <cfRule type="expression" dxfId="81" priority="93">
      <formula>$I158="잔금"</formula>
    </cfRule>
  </conditionalFormatting>
  <conditionalFormatting sqref="F159:F162">
    <cfRule type="expression" dxfId="80" priority="92">
      <formula>$J159="잔금"</formula>
    </cfRule>
  </conditionalFormatting>
  <conditionalFormatting sqref="E159:E162">
    <cfRule type="expression" dxfId="79" priority="91">
      <formula>$J159="잔금"</formula>
    </cfRule>
  </conditionalFormatting>
  <conditionalFormatting sqref="C159:C165">
    <cfRule type="expression" dxfId="78" priority="90">
      <formula>$J159="잔금"</formula>
    </cfRule>
  </conditionalFormatting>
  <conditionalFormatting sqref="H159:H162">
    <cfRule type="expression" dxfId="77" priority="89">
      <formula>$J159="잔금"</formula>
    </cfRule>
  </conditionalFormatting>
  <conditionalFormatting sqref="F166:F178">
    <cfRule type="expression" dxfId="76" priority="88">
      <formula>$J166="잔금"</formula>
    </cfRule>
  </conditionalFormatting>
  <conditionalFormatting sqref="F179:F185">
    <cfRule type="expression" dxfId="75" priority="87">
      <formula>$J179="잔금"</formula>
    </cfRule>
  </conditionalFormatting>
  <conditionalFormatting sqref="E166:E178">
    <cfRule type="expression" dxfId="74" priority="86">
      <formula>$J166="잔금"</formula>
    </cfRule>
  </conditionalFormatting>
  <conditionalFormatting sqref="E179:E185">
    <cfRule type="expression" dxfId="73" priority="85">
      <formula>$J179="잔금"</formula>
    </cfRule>
  </conditionalFormatting>
  <conditionalFormatting sqref="C179:C185">
    <cfRule type="expression" dxfId="72" priority="83">
      <formula>$J179="잔금"</formula>
    </cfRule>
  </conditionalFormatting>
  <conditionalFormatting sqref="H166:H178">
    <cfRule type="expression" dxfId="71" priority="82">
      <formula>$J166="잔금"</formula>
    </cfRule>
  </conditionalFormatting>
  <conditionalFormatting sqref="H179:H185">
    <cfRule type="expression" dxfId="70" priority="81">
      <formula>$J179="잔금"</formula>
    </cfRule>
  </conditionalFormatting>
  <conditionalFormatting sqref="F194:F200">
    <cfRule type="expression" dxfId="69" priority="76">
      <formula>$J194="잔금"</formula>
    </cfRule>
  </conditionalFormatting>
  <conditionalFormatting sqref="E194:E200">
    <cfRule type="expression" dxfId="68" priority="75">
      <formula>$J194="잔금"</formula>
    </cfRule>
  </conditionalFormatting>
  <conditionalFormatting sqref="C194:C201">
    <cfRule type="expression" dxfId="67" priority="74">
      <formula>$J194="잔금"</formula>
    </cfRule>
  </conditionalFormatting>
  <conditionalFormatting sqref="H194:H200">
    <cfRule type="expression" dxfId="66" priority="73">
      <formula>$J194="잔금"</formula>
    </cfRule>
  </conditionalFormatting>
  <conditionalFormatting sqref="C202:C215">
    <cfRule type="expression" dxfId="65" priority="72">
      <formula>$J202="잔금"</formula>
    </cfRule>
  </conditionalFormatting>
  <conditionalFormatting sqref="F202:F215">
    <cfRule type="expression" dxfId="64" priority="71">
      <formula>$J202="잔금"</formula>
    </cfRule>
  </conditionalFormatting>
  <conditionalFormatting sqref="H202:H215">
    <cfRule type="expression" dxfId="63" priority="70">
      <formula>$J202="잔금"</formula>
    </cfRule>
  </conditionalFormatting>
  <conditionalFormatting sqref="E202:E216">
    <cfRule type="expression" dxfId="62" priority="69">
      <formula>$J202="잔금"</formula>
    </cfRule>
  </conditionalFormatting>
  <conditionalFormatting sqref="C216">
    <cfRule type="expression" dxfId="61" priority="68">
      <formula>$I216="잔금"</formula>
    </cfRule>
  </conditionalFormatting>
  <conditionalFormatting sqref="H216">
    <cfRule type="expression" dxfId="60" priority="63">
      <formula>$I216="잔금"</formula>
    </cfRule>
  </conditionalFormatting>
  <conditionalFormatting sqref="C217">
    <cfRule type="expression" dxfId="59" priority="62">
      <formula>$I217="잔금"</formula>
    </cfRule>
  </conditionalFormatting>
  <conditionalFormatting sqref="C218">
    <cfRule type="expression" dxfId="58" priority="61">
      <formula>$I218="잔금"</formula>
    </cfRule>
  </conditionalFormatting>
  <conditionalFormatting sqref="C219">
    <cfRule type="expression" dxfId="57" priority="60">
      <formula>$I219="잔금"</formula>
    </cfRule>
  </conditionalFormatting>
  <conditionalFormatting sqref="F220:F229">
    <cfRule type="expression" dxfId="56" priority="59">
      <formula>$J220="잔금"</formula>
    </cfRule>
  </conditionalFormatting>
  <conditionalFormatting sqref="F230:F243">
    <cfRule type="expression" dxfId="55" priority="58">
      <formula>$J230="잔금"</formula>
    </cfRule>
  </conditionalFormatting>
  <conditionalFormatting sqref="E220:E229">
    <cfRule type="expression" dxfId="54" priority="57">
      <formula>$J220="잔금"</formula>
    </cfRule>
  </conditionalFormatting>
  <conditionalFormatting sqref="E230:E243">
    <cfRule type="expression" dxfId="53" priority="56">
      <formula>$J230="잔금"</formula>
    </cfRule>
  </conditionalFormatting>
  <conditionalFormatting sqref="H220:H229">
    <cfRule type="expression" dxfId="52" priority="55">
      <formula>$J220="잔금"</formula>
    </cfRule>
  </conditionalFormatting>
  <conditionalFormatting sqref="H230:H243">
    <cfRule type="expression" dxfId="51" priority="54">
      <formula>$J230="잔금"</formula>
    </cfRule>
  </conditionalFormatting>
  <conditionalFormatting sqref="C245">
    <cfRule type="expression" dxfId="50" priority="53">
      <formula>$I245="잔금"</formula>
    </cfRule>
  </conditionalFormatting>
  <conditionalFormatting sqref="C246">
    <cfRule type="expression" dxfId="49" priority="52">
      <formula>$I246="잔금"</formula>
    </cfRule>
  </conditionalFormatting>
  <conditionalFormatting sqref="C247">
    <cfRule type="expression" dxfId="48" priority="51">
      <formula>$I247="잔금"</formula>
    </cfRule>
  </conditionalFormatting>
  <conditionalFormatting sqref="F248:F252">
    <cfRule type="expression" dxfId="47" priority="50">
      <formula>$J248="잔금"</formula>
    </cfRule>
  </conditionalFormatting>
  <conditionalFormatting sqref="E248:E252">
    <cfRule type="expression" dxfId="46" priority="49">
      <formula>$J248="잔금"</formula>
    </cfRule>
  </conditionalFormatting>
  <conditionalFormatting sqref="C248:C252">
    <cfRule type="expression" dxfId="45" priority="48">
      <formula>$J248="잔금"</formula>
    </cfRule>
  </conditionalFormatting>
  <conditionalFormatting sqref="H248:H252">
    <cfRule type="expression" dxfId="44" priority="47">
      <formula>$J248="잔금"</formula>
    </cfRule>
  </conditionalFormatting>
  <conditionalFormatting sqref="C253:C256">
    <cfRule type="expression" dxfId="43" priority="46">
      <formula>$I253="잔금"</formula>
    </cfRule>
  </conditionalFormatting>
  <conditionalFormatting sqref="F257:F266">
    <cfRule type="expression" dxfId="42" priority="45">
      <formula>$J257="잔금"</formula>
    </cfRule>
  </conditionalFormatting>
  <conditionalFormatting sqref="F267:F275">
    <cfRule type="expression" dxfId="41" priority="44">
      <formula>$J267="잔금"</formula>
    </cfRule>
  </conditionalFormatting>
  <conditionalFormatting sqref="C115">
    <cfRule type="expression" dxfId="40" priority="38">
      <formula>$J115="잔금"</formula>
    </cfRule>
  </conditionalFormatting>
  <conditionalFormatting sqref="C114">
    <cfRule type="expression" dxfId="39" priority="39">
      <formula>$J114="잔금"</formula>
    </cfRule>
  </conditionalFormatting>
  <conditionalFormatting sqref="C166">
    <cfRule type="expression" dxfId="38" priority="37">
      <formula>$J166="잔금"</formula>
    </cfRule>
  </conditionalFormatting>
  <conditionalFormatting sqref="C167">
    <cfRule type="expression" dxfId="37" priority="36">
      <formula>$J167="잔금"</formula>
    </cfRule>
  </conditionalFormatting>
  <conditionalFormatting sqref="C168">
    <cfRule type="expression" dxfId="36" priority="35">
      <formula>$J168="잔금"</formula>
    </cfRule>
  </conditionalFormatting>
  <conditionalFormatting sqref="C169">
    <cfRule type="expression" dxfId="35" priority="34">
      <formula>$J169="잔금"</formula>
    </cfRule>
  </conditionalFormatting>
  <conditionalFormatting sqref="C170">
    <cfRule type="expression" dxfId="34" priority="33">
      <formula>$J170="잔금"</formula>
    </cfRule>
  </conditionalFormatting>
  <conditionalFormatting sqref="C171">
    <cfRule type="expression" dxfId="33" priority="32">
      <formula>$J171="잔금"</formula>
    </cfRule>
  </conditionalFormatting>
  <conditionalFormatting sqref="C172">
    <cfRule type="expression" dxfId="32" priority="31">
      <formula>$J172="잔금"</formula>
    </cfRule>
  </conditionalFormatting>
  <conditionalFormatting sqref="C173">
    <cfRule type="expression" dxfId="31" priority="30">
      <formula>$J173="잔금"</formula>
    </cfRule>
  </conditionalFormatting>
  <conditionalFormatting sqref="C174">
    <cfRule type="expression" dxfId="30" priority="28">
      <formula>$J174="잔금"</formula>
    </cfRule>
  </conditionalFormatting>
  <conditionalFormatting sqref="C175">
    <cfRule type="expression" dxfId="29" priority="27">
      <formula>$J175="잔금"</formula>
    </cfRule>
  </conditionalFormatting>
  <conditionalFormatting sqref="C176">
    <cfRule type="expression" dxfId="28" priority="26">
      <formula>$J176="잔금"</formula>
    </cfRule>
  </conditionalFormatting>
  <conditionalFormatting sqref="C177">
    <cfRule type="expression" dxfId="27" priority="25">
      <formula>$J177="잔금"</formula>
    </cfRule>
  </conditionalFormatting>
  <conditionalFormatting sqref="C178">
    <cfRule type="expression" dxfId="26" priority="24">
      <formula>$J178="잔금"</formula>
    </cfRule>
  </conditionalFormatting>
  <conditionalFormatting sqref="H308:H309">
    <cfRule type="expression" dxfId="25" priority="18">
      <formula>$J308="잔금"</formula>
    </cfRule>
  </conditionalFormatting>
  <conditionalFormatting sqref="F289:F302">
    <cfRule type="expression" dxfId="24" priority="23">
      <formula>$J289="잔금"</formula>
    </cfRule>
  </conditionalFormatting>
  <conditionalFormatting sqref="F303:F307">
    <cfRule type="expression" dxfId="23" priority="22">
      <formula>$J303="잔금"</formula>
    </cfRule>
  </conditionalFormatting>
  <conditionalFormatting sqref="F308:F309">
    <cfRule type="expression" dxfId="22" priority="21">
      <formula>$J308="잔금"</formula>
    </cfRule>
  </conditionalFormatting>
  <conditionalFormatting sqref="H289:H302">
    <cfRule type="expression" dxfId="21" priority="20">
      <formula>$J289="잔금"</formula>
    </cfRule>
  </conditionalFormatting>
  <conditionalFormatting sqref="H303:H307">
    <cfRule type="expression" dxfId="20" priority="19">
      <formula>$J303="잔금"</formula>
    </cfRule>
  </conditionalFormatting>
  <conditionalFormatting sqref="H312:H353">
    <cfRule type="expression" dxfId="19" priority="17">
      <formula>$J312="잔금"</formula>
    </cfRule>
  </conditionalFormatting>
  <conditionalFormatting sqref="C402:C420">
    <cfRule type="expression" dxfId="18" priority="16">
      <formula>$J402="잔금"</formula>
    </cfRule>
  </conditionalFormatting>
  <conditionalFormatting sqref="F440">
    <cfRule type="expression" dxfId="17" priority="14">
      <formula>$J440="잔금"</formula>
    </cfRule>
  </conditionalFormatting>
  <conditionalFormatting sqref="F441:F448">
    <cfRule type="expression" dxfId="16" priority="13">
      <formula>$J441="잔금"</formula>
    </cfRule>
  </conditionalFormatting>
  <conditionalFormatting sqref="F449:F453">
    <cfRule type="expression" dxfId="15" priority="12">
      <formula>$J449="잔금"</formula>
    </cfRule>
  </conditionalFormatting>
  <conditionalFormatting sqref="E440">
    <cfRule type="expression" dxfId="14" priority="11">
      <formula>$J440="잔금"</formula>
    </cfRule>
  </conditionalFormatting>
  <conditionalFormatting sqref="E441:E448">
    <cfRule type="expression" dxfId="13" priority="10">
      <formula>$J441="잔금"</formula>
    </cfRule>
  </conditionalFormatting>
  <conditionalFormatting sqref="E449:E453">
    <cfRule type="expression" dxfId="12" priority="9">
      <formula>$J449="잔금"</formula>
    </cfRule>
  </conditionalFormatting>
  <conditionalFormatting sqref="C441:C448">
    <cfRule type="expression" dxfId="11" priority="8">
      <formula>$J441="잔금"</formula>
    </cfRule>
  </conditionalFormatting>
  <conditionalFormatting sqref="C449:C454">
    <cfRule type="expression" dxfId="10" priority="7">
      <formula>$J449="잔금"</formula>
    </cfRule>
  </conditionalFormatting>
  <conditionalFormatting sqref="E455:E477 E479">
    <cfRule type="expression" dxfId="9" priority="6">
      <formula>$J455="잔금"</formula>
    </cfRule>
  </conditionalFormatting>
  <conditionalFormatting sqref="C455:C477">
    <cfRule type="expression" dxfId="8" priority="5">
      <formula>$J455="잔금"</formula>
    </cfRule>
  </conditionalFormatting>
  <conditionalFormatting sqref="E480:E485 E487">
    <cfRule type="expression" dxfId="6" priority="4">
      <formula>$J480="잔금"</formula>
    </cfRule>
  </conditionalFormatting>
  <conditionalFormatting sqref="F480:F485 F487">
    <cfRule type="expression" dxfId="4" priority="3">
      <formula>$J480="잔금"</formula>
    </cfRule>
  </conditionalFormatting>
  <conditionalFormatting sqref="C480:C485">
    <cfRule type="expression" dxfId="2" priority="2">
      <formula>$J480="잔금"</formula>
    </cfRule>
  </conditionalFormatting>
  <conditionalFormatting sqref="C486">
    <cfRule type="expression" dxfId="0" priority="1">
      <formula>$J486="잔금"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87">
      <formula1>"Y,N"</formula1>
    </dataValidation>
    <dataValidation type="list" allowBlank="1" sqref="D2:D439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2026-04-22T07:48:39Z</dcterms:modified>
</cp:coreProperties>
</file>