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<sst xmlns="http://schemas.openxmlformats.org/spreadsheetml/2006/main" count="1087" uniqueCount="334">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</sst>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74" activePane="bottomRight" state="frozen"/>
      <selection pane="topRight"/>
      <selection pane="bottomLeft"/>
      <selection pane="bottomRight" activeCell="M198" sqref="M19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301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131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281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183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133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88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83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266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126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441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861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665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505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643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642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734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376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371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361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355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351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351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350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348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327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313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292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280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250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228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299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223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201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196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182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153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151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140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130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127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393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258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258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209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89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71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71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68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60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56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54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54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50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47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47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43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36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35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35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71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34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34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33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33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32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31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25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22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22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21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20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18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18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18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18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14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14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14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14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14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14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12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12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12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12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12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12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12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12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12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11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11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11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11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11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11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8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8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8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6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7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7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7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7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7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7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7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7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7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6</v>
      </c>
      <c r="J179" s="13" t="str">
        <f t="shared" ref="J179:J200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6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6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6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6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6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6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5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5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5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5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5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5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4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4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4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4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4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4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4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ref="D203:D266" si="15">IF(G203="","",IF(OR(G203="선급금",G203="중도금",G203="잔금"),"A",IF(G203="자재","B",IF(G203="특허료","C",""))))</f>
        <v/>
      </c>
      <c r="H203" s="4"/>
      <c r="I203" s="6" t="str">
        <f t="shared" ref="I203:I266" ca="1" si="16">IF(C203="","",IF(L203="",TODAY()-C203,L203-C203))</f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5"/>
        <v/>
      </c>
      <c r="H204" s="4"/>
      <c r="I204" s="6" t="str">
        <f t="shared" ca="1" si="16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/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7">IF(G267="","",IF(OR(G267="선급금",G267="중도금",G267="잔금"),"A",IF(G267="자재","B",IF(G267="특허료","C",""))))</f>
        <v/>
      </c>
      <c r="H267" s="4"/>
      <c r="I267" s="6" t="str">
        <f t="shared" ref="I267:I330" ca="1" si="18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7"/>
        <v/>
      </c>
      <c r="H268" s="4"/>
      <c r="I268" s="6" t="str">
        <f t="shared" ca="1" si="18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19">IF(G331="","",IF(OR(G331="선급금",G331="중도금",G331="잔금"),"A",IF(G331="자재","B",IF(G331="특허료","C",""))))</f>
        <v/>
      </c>
      <c r="H331" s="4"/>
      <c r="I331" s="6" t="str">
        <f t="shared" ref="I331:I394" ca="1" si="20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9"/>
        <v/>
      </c>
      <c r="H332" s="4"/>
      <c r="I332" s="6" t="str">
        <f t="shared" ca="1" si="20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1">IF(G395="","",IF(OR(G395="선급금",G395="중도금",G395="잔금"),"A",IF(G395="자재","B",IF(G395="특허료","C",""))))</f>
        <v/>
      </c>
      <c r="H395" s="4"/>
      <c r="I395" s="6" t="str">
        <f t="shared" ref="I395:I405" ca="1" si="22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1"/>
        <v/>
      </c>
      <c r="H396" s="4"/>
      <c r="I396" s="6" t="str">
        <f t="shared" ca="1" si="22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1"/>
        <v/>
      </c>
      <c r="I402" s="1" t="str">
        <f t="shared" ca="1" si="22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44" priority="64">
      <formula>$J3="잔금"</formula>
    </cfRule>
  </conditionalFormatting>
  <conditionalFormatting sqref="E8">
    <cfRule type="expression" dxfId="43" priority="63">
      <formula>$J8="잔금"</formula>
    </cfRule>
  </conditionalFormatting>
  <conditionalFormatting sqref="E4">
    <cfRule type="expression" dxfId="42" priority="62">
      <formula>$J4="잔금"</formula>
    </cfRule>
  </conditionalFormatting>
  <conditionalFormatting sqref="E9">
    <cfRule type="expression" dxfId="41" priority="61">
      <formula>$J9="잔금"</formula>
    </cfRule>
  </conditionalFormatting>
  <conditionalFormatting sqref="E41 E37">
    <cfRule type="expression" dxfId="40" priority="56">
      <formula>$J37="잔금"</formula>
    </cfRule>
  </conditionalFormatting>
  <conditionalFormatting sqref="E98:E99 E186:F192 H186:H192 C186:C192">
    <cfRule type="expression" dxfId="39" priority="46">
      <formula>$J98="잔금"</formula>
    </cfRule>
  </conditionalFormatting>
  <conditionalFormatting sqref="F98:F99">
    <cfRule type="expression" dxfId="38" priority="45">
      <formula>$J98="잔금"</formula>
    </cfRule>
  </conditionalFormatting>
  <conditionalFormatting sqref="F104:F105">
    <cfRule type="expression" dxfId="37" priority="43">
      <formula>$J104="잔금"</formula>
    </cfRule>
  </conditionalFormatting>
  <conditionalFormatting sqref="H104:H105">
    <cfRule type="expression" dxfId="36" priority="42">
      <formula>$J104="잔금"</formula>
    </cfRule>
  </conditionalFormatting>
  <conditionalFormatting sqref="E106:E108">
    <cfRule type="expression" dxfId="35" priority="41">
      <formula>$J106="잔금"</formula>
    </cfRule>
  </conditionalFormatting>
  <conditionalFormatting sqref="F106:F108">
    <cfRule type="expression" dxfId="34" priority="40">
      <formula>$J106="잔금"</formula>
    </cfRule>
  </conditionalFormatting>
  <conditionalFormatting sqref="H106:H108">
    <cfRule type="expression" dxfId="33" priority="39">
      <formula>$J106="잔금"</formula>
    </cfRule>
  </conditionalFormatting>
  <conditionalFormatting sqref="E110">
    <cfRule type="expression" dxfId="32" priority="38">
      <formula>$J110="잔금"</formula>
    </cfRule>
  </conditionalFormatting>
  <conditionalFormatting sqref="F110">
    <cfRule type="expression" dxfId="31" priority="37">
      <formula>$J110="잔금"</formula>
    </cfRule>
  </conditionalFormatting>
  <conditionalFormatting sqref="E111:E113">
    <cfRule type="expression" dxfId="30" priority="36">
      <formula>$J111="잔금"</formula>
    </cfRule>
  </conditionalFormatting>
  <conditionalFormatting sqref="F111 F113">
    <cfRule type="expression" dxfId="29" priority="35">
      <formula>$J111="잔금"</formula>
    </cfRule>
  </conditionalFormatting>
  <conditionalFormatting sqref="F112">
    <cfRule type="expression" dxfId="28" priority="34">
      <formula>$J112="잔금"</formula>
    </cfRule>
  </conditionalFormatting>
  <conditionalFormatting sqref="H111:H113">
    <cfRule type="expression" dxfId="27" priority="33">
      <formula>$J111="잔금"</formula>
    </cfRule>
  </conditionalFormatting>
  <conditionalFormatting sqref="C111:C113">
    <cfRule type="expression" dxfId="26" priority="32">
      <formula>$J111="잔금"</formula>
    </cfRule>
  </conditionalFormatting>
  <conditionalFormatting sqref="E117">
    <cfRule type="expression" dxfId="25" priority="31">
      <formula>$J117="잔금"</formula>
    </cfRule>
  </conditionalFormatting>
  <conditionalFormatting sqref="F117">
    <cfRule type="expression" dxfId="24" priority="30">
      <formula>$J117="잔금"</formula>
    </cfRule>
  </conditionalFormatting>
  <conditionalFormatting sqref="F142:F149">
    <cfRule type="expression" dxfId="23" priority="29">
      <formula>$J142="잔금"</formula>
    </cfRule>
  </conditionalFormatting>
  <conditionalFormatting sqref="E142:E149">
    <cfRule type="expression" dxfId="22" priority="28">
      <formula>$J142="잔금"</formula>
    </cfRule>
  </conditionalFormatting>
  <conditionalFormatting sqref="H142:H149">
    <cfRule type="expression" dxfId="21" priority="27">
      <formula>$J142="잔금"</formula>
    </cfRule>
  </conditionalFormatting>
  <conditionalFormatting sqref="E151:E157">
    <cfRule type="expression" dxfId="20" priority="25">
      <formula>$J151="잔금"</formula>
    </cfRule>
  </conditionalFormatting>
  <conditionalFormatting sqref="F151:F157">
    <cfRule type="expression" dxfId="19" priority="24">
      <formula>$J151="잔금"</formula>
    </cfRule>
  </conditionalFormatting>
  <conditionalFormatting sqref="C151:C157">
    <cfRule type="expression" dxfId="18" priority="23">
      <formula>$J151="잔금"</formula>
    </cfRule>
  </conditionalFormatting>
  <conditionalFormatting sqref="H151:H157">
    <cfRule type="expression" dxfId="17" priority="22">
      <formula>$J151="잔금"</formula>
    </cfRule>
  </conditionalFormatting>
  <conditionalFormatting sqref="C158">
    <cfRule type="expression" dxfId="16" priority="21">
      <formula>$I158="잔금"</formula>
    </cfRule>
  </conditionalFormatting>
  <conditionalFormatting sqref="F159:F162">
    <cfRule type="expression" dxfId="15" priority="20">
      <formula>$J159="잔금"</formula>
    </cfRule>
  </conditionalFormatting>
  <conditionalFormatting sqref="E159:E162">
    <cfRule type="expression" dxfId="14" priority="19">
      <formula>$J159="잔금"</formula>
    </cfRule>
  </conditionalFormatting>
  <conditionalFormatting sqref="C159:C165">
    <cfRule type="expression" dxfId="13" priority="18">
      <formula>$J159="잔금"</formula>
    </cfRule>
  </conditionalFormatting>
  <conditionalFormatting sqref="H159:H162">
    <cfRule type="expression" dxfId="12" priority="17">
      <formula>$J159="잔금"</formula>
    </cfRule>
  </conditionalFormatting>
  <conditionalFormatting sqref="F166:F178">
    <cfRule type="expression" dxfId="11" priority="16">
      <formula>$J166="잔금"</formula>
    </cfRule>
  </conditionalFormatting>
  <conditionalFormatting sqref="F179:F185">
    <cfRule type="expression" dxfId="10" priority="15">
      <formula>$J179="잔금"</formula>
    </cfRule>
  </conditionalFormatting>
  <conditionalFormatting sqref="E166:E178">
    <cfRule type="expression" dxfId="9" priority="14">
      <formula>$J166="잔금"</formula>
    </cfRule>
  </conditionalFormatting>
  <conditionalFormatting sqref="E179:E185">
    <cfRule type="expression" dxfId="8" priority="13">
      <formula>$J179="잔금"</formula>
    </cfRule>
  </conditionalFormatting>
  <conditionalFormatting sqref="C166:C178">
    <cfRule type="expression" dxfId="7" priority="12">
      <formula>$J166="잔금"</formula>
    </cfRule>
  </conditionalFormatting>
  <conditionalFormatting sqref="C179:C185">
    <cfRule type="expression" dxfId="6" priority="11">
      <formula>$J179="잔금"</formula>
    </cfRule>
  </conditionalFormatting>
  <conditionalFormatting sqref="H166:H178">
    <cfRule type="expression" dxfId="5" priority="10">
      <formula>$J166="잔금"</formula>
    </cfRule>
  </conditionalFormatting>
  <conditionalFormatting sqref="H179:H185">
    <cfRule type="expression" dxfId="4" priority="9">
      <formula>$J179="잔금"</formula>
    </cfRule>
  </conditionalFormatting>
  <conditionalFormatting sqref="F194:F200">
    <cfRule type="expression" dxfId="3" priority="4">
      <formula>$J194="잔금"</formula>
    </cfRule>
  </conditionalFormatting>
  <conditionalFormatting sqref="E194:E200">
    <cfRule type="expression" dxfId="2" priority="3">
      <formula>$J194="잔금"</formula>
    </cfRule>
  </conditionalFormatting>
  <conditionalFormatting sqref="C194:C200">
    <cfRule type="expression" dxfId="1" priority="2">
      <formula>$J194="잔금"</formula>
    </cfRule>
  </conditionalFormatting>
  <conditionalFormatting sqref="H194:H200">
    <cfRule type="expression" dxfId="0" priority="1">
      <formula>$J194="잔금"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00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2026-03-17T00:00:03Z</dcterms:modified>
</cp:coreProperties>
</file>