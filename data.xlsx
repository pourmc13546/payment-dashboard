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311" i="1" l="1"/>
  <c r="B312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<sst xmlns="http://schemas.openxmlformats.org/spreadsheetml/2006/main" count="1513" uniqueCount="475">
  <si>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</si>
  <si>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</si>
  <si>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</si>
  <si>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</si>
  <si>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</si>
  <si>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</si>
  <si>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</si>
  <si>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</si>
  <si>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</si>
  <si>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</si>
  <si>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</si>
  <si>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</si>
  <si>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</si>
  <si>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</si>
  <si>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</si>
  <si>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</si>
  <si>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</si>
  <si>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</si>
  <si>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</si>
  <si>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</si>
  <si>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</si>
  <si>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</si>
  <si>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</si>
  <si>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</si>
  <si>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</si>
  <si>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</si>
  <si>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</si>
  <si>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</si>
  <si>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</si>
  <si>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</si>
  <si>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</si>
  <si>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</si>
  <si>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</si>
  <si>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</si>
  <si>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</si>
  <si>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</si>
  <si>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</si>
  <si>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</si>
  <si>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</si>
  <si>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</si>
  <si>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</si>
  <si>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</si>
  <si>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</si>
  <si>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</si>
  <si>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</si>
  <si>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</si>
  <si>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</si>
  <si>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</si>
  <si>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</si>
  <si>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</si>
  <si>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</si>
  <si>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</si>
  <si>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</si>
  <si>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</si>
  <si>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</si>
  <si>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</si>
  <si>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</si>
  <si>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</si>
  <si>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</si>
  <si>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</si>
  <si>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</si>
  <si>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</si>
  <si>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</si>
  <si>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</si>
  <si>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</si>
  <si>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</si>
  <si>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</si>
  <si>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</si>
  <si>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</si>
  <si>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</si>
  <si>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</si>
  <si>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</si>
  <si>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</si>
  <si>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</si>
  <si>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</si>
  <si>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</si>
  <si>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</si>
  <si>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</si>
  <si>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</si>
  <si>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</si>
  <si>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</si>
  <si>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</si>
  <si>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</si>
  <si>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</si>
  <si>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</si>
  <si>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</si>
  <si>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</si>
  <si>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</si>
  <si>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</si>
  <si>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</si>
  <si>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</si>
  <si>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</si>
  <si>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</si>
  <si>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</si>
  <si>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</si>
  <si>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</si>
  <si>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</si>
  <si>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</si>
  <si>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</si>
  <si>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</si>
  <si>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</si>
  <si>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</si>
  <si>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</si>
  <si>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</si>
  <si>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</si>
  <si>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</si>
  <si>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</si>
  <si>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</si>
  <si>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</si>
  <si>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</si>
  <si>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</si>
  <si>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</si>
  <si>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</si>
  <si>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</si>
  <si>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</si>
  <si>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</si>
  <si>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</si>
  <si>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</si>
  <si>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</si>
  <si>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</si>
  <si>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</si>
  <si>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</si>
  <si>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</si>
  <si>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</si>
  <si>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</si>
  <si>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</si>
  <si>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</si>
  <si>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</si>
  <si>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</si>
  <si>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</si>
  <si>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</si>
  <si>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</si>
  <si>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</si>
  <si>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</si>
  <si>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</si>
  <si>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</si>
  <si>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</si>
  <si>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</si>
  <si>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</si>
  <si>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</si>
  <si>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</si>
  <si>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</si>
  <si>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</si>
  <si>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</si>
  <si>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</si>
  <si>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</si>
  <si>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</si>
  <si>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</si>
  <si>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</si>
  <si>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</si>
  <si>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</si>
  <si>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</si>
  <si>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</si>
  <si>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</si>
  <si>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</si>
  <si>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</si>
  <si>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</si>
  <si>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</si>
  <si>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</si>
  <si>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</si>
  <si>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</si>
  <si>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</si>
  <si>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</si>
  <si>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</si>
  <si>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</si>
  <si>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</si>
  <si>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</si>
  <si>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</si>
  <si>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</si>
  <si>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</si>
  <si>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</si>
  <si>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</si>
  <si>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</si>
  <si>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</si>
  <si>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</si>
  <si>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</si>
  <si>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</si>
  <si>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</si>
  <si>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</si>
  <si>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</si>
  <si>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</si>
  <si>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</si>
  <si>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</si>
  <si>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</si>
  <si>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</si>
  <si>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</si>
  <si>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</si>
  <si>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</si>
  <si>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</si>
  <si>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</si>
  <si>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</si>
  <si>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</si>
  <si>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</si>
  <si>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</si>
  <si>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</si>
  <si>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</si>
  <si>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</si>
  <si>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</si>
  <si>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</si>
  <si>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</si>
  <si>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</si>
  <si>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</si>
  <si>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</si>
  <si>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</si>
  <si>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</si>
  <si>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</si>
  <si>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</si>
  <si>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</si>
  <si>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</si>
  <si>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</si>
  <si>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</si>
  <si>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</si>
  <si>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</si>
  <si>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</si>
  <si>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</si>
  <si>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</si>
  <si>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</si>
  <si>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</si>
  <si>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</si>
  <si>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</si>
  <si>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</si>
  <si>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</si>
  <si>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</si>
  <si>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</si>
  <si>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</si>
  <si>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</si>
  <si>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</si>
  <si>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</si>
  <si>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</si>
  <si>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</si>
  <si>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</si>
  <si>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</si>
  <si>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</si>
  <si>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</si>
  <si>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</si>
  <si>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</si>
  <si>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</si>
  <si>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</si>
  <si>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</si>
  <si>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</si>
  <si>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</si>
  <si>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</si>
  <si>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</si>
  <si>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</si>
  <si>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</si>
  <si>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</si>
  <si>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</si>
  <si>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</si>
  <si>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</si>
  <si>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</si>
  <si>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</si>
  <si>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</si>
  <si>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</si>
  <si>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</si>
  <si>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</si>
  <si>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</si>
  <si>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</si>
  <si>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</si>
  <si>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</si>
  <si>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</si>
  <si>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</si>
  <si>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</si>
  <si>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</si>
  <si>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</si>
  <si>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</si>
  <si>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</si>
  <si>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</si>
  <si>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</si>
  <si>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</si>
  <si>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</si>
  <si>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</si>
  <si>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</si>
  <si>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</si>
  <si>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</si>
  <si>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</si>
  <si>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</si>
  <si>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</si>
  <si>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</si>
  <si>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</si>
  <si>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</si>
  <si>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</si>
  <si>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</si>
  <si>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</si>
  <si>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</si>
  <si>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</si>
  <si>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</si>
  <si>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</si>
  <si>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</si>
  <si>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</si>
  <si>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</si>
  <si>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</si>
  <si>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</si>
  <si>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</si>
  <si>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</si>
  <si>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</si>
  <si>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</si>
  <si>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</si>
  <si>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</si>
  <si>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</si>
  <si>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</si>
  <si>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</si>
  <si>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</si>
  <si>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</si>
  <si>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</si>
  <si>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</si>
  <si>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</si>
  <si>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</si>
  <si>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</si>
  <si>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</si>
  <si>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</si>
  <si>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</si>
  <si>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</si>
  <si>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</si>
  <si>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</si>
  <si>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</si>
  <si>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</si>
  <si>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</si>
  <si>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</si>
  <si>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</si>
  <si>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</si>
  <si>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</si>
  <si>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</si>
  <si>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</si>
  <si>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</si>
  <si>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</si>
  <si>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</si>
  <si>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</si>
  <si>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</si>
  <si>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</si>
  <si>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</si>
  <si>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</si>
  <si>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</si>
  <si>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</si>
  <si>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</si>
  <si>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</si>
  <si>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</si>
  <si>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</si>
  <si>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</si>
  <si>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</si>
  <si>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</si>
  <si>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</si>
  <si>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</si>
  <si>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</si>
  <si>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</si>
  <si>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</si>
  <si>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</si>
  <si>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</si>
  <si>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</si>
  <si>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</si>
  <si>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</si>
  <si>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</si>
  <si>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</si>
  <si>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</si>
  <si>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</si>
  <si>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</si>
  <si>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</si>
  <si>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</si>
  <si>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</si>
  <si>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</si>
  <si>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</si>
  <si>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</si>
  <si>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</si>
  <si>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</si>
  <si>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</si>
  <si>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</si>
  <si>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</si>
  <si>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</si>
  <si>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</si>
  <si>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</si>
  <si>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</si>
  <si>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</si>
  <si>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</si>
  <si>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</si>
  <si>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</si>
  <si>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</si>
  <si>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</si>
  <si>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</si>
  <si>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</si>
  <si>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</si>
  <si>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</si>
  <si>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</si>
  <si>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</si>
  <si>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</si>
  <si>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</si>
  <si>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</si>
  <si>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</si>
  <si>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</si>
  <si>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</si>
  <si>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</si>
  <si>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</si>
  <si>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</si>
  <si>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</si>
  <si>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</si>
  <si>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</si>
  <si>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</si>
  <si>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</si>
  <si>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</si>
  <si>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</si>
  <si>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</si>
  <si>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</si>
  <si>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</si>
  <si>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</si>
  <si>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</si>
  <si>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</si>
  <si>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</si>
  <si>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</si>
  <si>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</si>
  <si>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</si>
  <si>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</si>
  <si>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</si>
  <si>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</si>
  <si>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</si>
  <si>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</si>
  <si>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</si>
  <si>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</si>
  <si>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</si>
  <si>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</si>
  <si>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</si>
  <si>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</si>
  <si>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</si>
  <si>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</si>
  <si>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</si>
  <si>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12/31 1천만원 입금/3/25 1600만원입금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</si>
  <si>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</si>
  <si>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</si>
  <si>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</si>
  <si>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</si>
  <si>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</si>
  <si>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</si>
  <si>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</si>
  <si>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</si>
  <si>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</si>
  <si>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</si>
  <si>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</si>
  <si>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</si>
  <si>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</si>
  <si>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</si>
  <si>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</si>
  <si>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</si>
  <si>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</si>
  <si>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</si>
  <si>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</si>
  <si>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</si>
  <si>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</si>
  <si>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</si>
  <si>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</si>
  <si>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</si>
  <si>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</si>
  <si>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</si>
  <si>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</si>
  <si>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</si>
  <si>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</si>
  <si>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</si>
  <si>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</si>
  <si>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</si>
  <si>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</si>
  <si>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</si>
  <si>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</si>
  <si>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</si>
  <si>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</si>
  <si>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</si>
  <si>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</si>
  <si>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</si>
  <si>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</si>
  <si>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</si>
  <si>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</si>
  <si>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</si>
  <si>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</si>
  <si>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</si>
  <si>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</si>
  <si>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</si>
  <si>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동탄역시범한화꿈에그린프레스티지</t>
    <phoneticPr fontId="5" type="noConversion"/>
  </si>
  <si>
    <t>중도금</t>
    <phoneticPr fontId="5" type="noConversion"/>
  </si>
  <si>
    <t>㈜이음건설</t>
    <phoneticPr fontId="5" type="noConversion"/>
  </si>
  <si>
    <t>㈜석민이앤씨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</si>
</sst>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0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sqref="A1:XFD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133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317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152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152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147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297</v>
      </c>
      <c r="J6" s="13" t="str">
        <f t="shared" ca="1" si="2"/>
        <v>장기미수</v>
      </c>
      <c r="K6" s="11">
        <v>46203</v>
      </c>
      <c r="L6" s="11"/>
      <c r="M6" s="10" t="s">
        <v>152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199</v>
      </c>
      <c r="J7" s="13" t="str">
        <f t="shared" ca="1" si="2"/>
        <v>장기미수</v>
      </c>
      <c r="K7" s="11"/>
      <c r="L7" s="11"/>
      <c r="M7" s="10" t="s">
        <v>152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149</v>
      </c>
      <c r="J8" s="13" t="str">
        <f t="shared" ca="1" si="2"/>
        <v>장기미수</v>
      </c>
      <c r="K8" s="11">
        <v>46111</v>
      </c>
      <c r="L8" s="11"/>
      <c r="M8" s="10" t="s">
        <v>152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104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99</v>
      </c>
      <c r="J10" s="13" t="str">
        <f t="shared" ca="1" si="2"/>
        <v>장기미수</v>
      </c>
      <c r="K10" s="11"/>
      <c r="L10" s="11"/>
      <c r="M10" s="10" t="s">
        <v>152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163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282</v>
      </c>
      <c r="J13" s="13" t="str">
        <f t="shared" ca="1" si="2"/>
        <v>장기미수</v>
      </c>
      <c r="K13" s="11">
        <v>46203</v>
      </c>
      <c r="L13" s="11"/>
      <c r="M13" s="10" t="s">
        <v>152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142</v>
      </c>
      <c r="J14" s="13" t="str">
        <f t="shared" ca="1" si="2"/>
        <v>장기미수</v>
      </c>
      <c r="K14" s="11"/>
      <c r="L14" s="11"/>
      <c r="M14" s="10" t="s">
        <v>152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457</v>
      </c>
      <c r="J15" s="13" t="str">
        <f t="shared" ca="1" si="2"/>
        <v>장기미수</v>
      </c>
      <c r="K15" s="11"/>
      <c r="L15" s="11"/>
      <c r="M15" s="10" t="s">
        <v>152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877</v>
      </c>
      <c r="J16" s="13" t="str">
        <f t="shared" ca="1" si="2"/>
        <v>장기미수</v>
      </c>
      <c r="K16" s="11"/>
      <c r="L16" s="11"/>
      <c r="M16" s="10" t="s">
        <v>152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681</v>
      </c>
      <c r="J17" s="13" t="str">
        <f t="shared" ca="1" si="2"/>
        <v>장기미수</v>
      </c>
      <c r="K17" s="11"/>
      <c r="L17" s="11"/>
      <c r="M17" s="10" t="s">
        <v>152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521</v>
      </c>
      <c r="J18" s="13" t="str">
        <f t="shared" ca="1" si="2"/>
        <v>장기미수</v>
      </c>
      <c r="K18" s="11"/>
      <c r="L18" s="11"/>
      <c r="M18" s="10" t="s">
        <v>152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659</v>
      </c>
      <c r="J19" s="13" t="str">
        <f t="shared" ca="1" si="2"/>
        <v>장기미수</v>
      </c>
      <c r="K19" s="11"/>
      <c r="L19" s="11"/>
      <c r="M19" s="10" t="s">
        <v>152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658</v>
      </c>
      <c r="J20" s="13" t="str">
        <f t="shared" ca="1" si="2"/>
        <v>장기미수</v>
      </c>
      <c r="K20" s="11"/>
      <c r="L20" s="11"/>
      <c r="M20" s="10" t="s">
        <v>152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750</v>
      </c>
      <c r="J21" s="13" t="str">
        <f t="shared" ca="1" si="2"/>
        <v>장기미수</v>
      </c>
      <c r="K21" s="11"/>
      <c r="L21" s="11"/>
      <c r="M21" s="10" t="s">
        <v>152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392</v>
      </c>
      <c r="J22" s="13" t="str">
        <f t="shared" ca="1" si="2"/>
        <v>장기미수</v>
      </c>
      <c r="K22" s="11"/>
      <c r="L22" s="11"/>
      <c r="M22" s="10" t="s">
        <v>152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387</v>
      </c>
      <c r="J23" s="13" t="str">
        <f t="shared" ca="1" si="2"/>
        <v>장기미수</v>
      </c>
      <c r="K23" s="11"/>
      <c r="L23" s="11"/>
      <c r="M23" s="10" t="s">
        <v>152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377</v>
      </c>
      <c r="J24" s="13" t="str">
        <f t="shared" ca="1" si="2"/>
        <v>장기미수</v>
      </c>
      <c r="K24" s="11"/>
      <c r="L24" s="11"/>
      <c r="M24" s="10" t="s">
        <v>152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371</v>
      </c>
      <c r="J25" s="13" t="str">
        <f t="shared" ca="1" si="2"/>
        <v>장기미수</v>
      </c>
      <c r="K25" s="11"/>
      <c r="L25" s="11"/>
      <c r="M25" s="10" t="s">
        <v>152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367</v>
      </c>
      <c r="J26" s="13" t="str">
        <f t="shared" ca="1" si="2"/>
        <v>장기미수</v>
      </c>
      <c r="K26" s="11"/>
      <c r="L26" s="11"/>
      <c r="M26" s="10" t="s">
        <v>152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367</v>
      </c>
      <c r="J27" s="13" t="str">
        <f t="shared" ca="1" si="2"/>
        <v>장기미수</v>
      </c>
      <c r="K27" s="11"/>
      <c r="L27" s="11"/>
      <c r="M27" s="10" t="s">
        <v>152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366</v>
      </c>
      <c r="J28" s="13" t="str">
        <f t="shared" ca="1" si="2"/>
        <v>장기미수</v>
      </c>
      <c r="K28" s="11"/>
      <c r="L28" s="11"/>
      <c r="M28" s="10" t="s">
        <v>152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364</v>
      </c>
      <c r="J29" s="13" t="str">
        <f t="shared" ca="1" si="2"/>
        <v>장기미수</v>
      </c>
      <c r="K29" s="11"/>
      <c r="L29" s="11"/>
      <c r="M29" s="10" t="s">
        <v>152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343</v>
      </c>
      <c r="J30" s="13" t="str">
        <f t="shared" ca="1" si="2"/>
        <v>장기미수</v>
      </c>
      <c r="K30" s="11"/>
      <c r="L30" s="11"/>
      <c r="M30" s="10" t="s">
        <v>152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329</v>
      </c>
      <c r="J31" s="13" t="str">
        <f t="shared" ca="1" si="2"/>
        <v>장기미수</v>
      </c>
      <c r="K31" s="11"/>
      <c r="L31" s="11"/>
      <c r="M31" s="10" t="s">
        <v>152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308</v>
      </c>
      <c r="J32" s="13" t="str">
        <f t="shared" ca="1" si="2"/>
        <v>장기미수</v>
      </c>
      <c r="K32" s="11"/>
      <c r="L32" s="11"/>
      <c r="M32" s="10" t="s">
        <v>152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296</v>
      </c>
      <c r="J33" s="13" t="str">
        <f t="shared" ca="1" si="2"/>
        <v>장기미수</v>
      </c>
      <c r="K33" s="11"/>
      <c r="L33" s="11"/>
      <c r="M33" s="10" t="s">
        <v>152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266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152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244</v>
      </c>
      <c r="J35" s="13" t="str">
        <f t="shared" ca="1" si="4"/>
        <v>장기미수</v>
      </c>
      <c r="K35" s="11"/>
      <c r="L35" s="11"/>
      <c r="M35" s="10" t="s">
        <v>152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315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239</v>
      </c>
      <c r="J37" s="13" t="str">
        <f t="shared" ca="1" si="4"/>
        <v>장기미수</v>
      </c>
      <c r="K37" s="11">
        <v>46112</v>
      </c>
      <c r="L37" s="11"/>
      <c r="M37" s="10" t="s">
        <v>152</v>
      </c>
      <c r="N37" s="10" t="s">
        <v>20</v>
      </c>
      <c r="O37" s="6" t="s">
        <v>153</v>
      </c>
      <c r="P37" s="6" t="s">
        <v>155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46151936</v>
      </c>
      <c r="I38" s="12">
        <f t="shared" ca="1" si="3"/>
        <v>217</v>
      </c>
      <c r="J38" s="13" t="str">
        <f t="shared" ca="1" si="4"/>
        <v>장기미수</v>
      </c>
      <c r="K38" s="11">
        <v>46081</v>
      </c>
      <c r="L38" s="11"/>
      <c r="M38" s="10" t="s">
        <v>152</v>
      </c>
      <c r="N38" s="10" t="s">
        <v>20</v>
      </c>
      <c r="O38" s="6" t="s">
        <v>68</v>
      </c>
      <c r="P38" s="6" t="s">
        <v>422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212</v>
      </c>
      <c r="J39" s="13" t="str">
        <f t="shared" ca="1" si="4"/>
        <v>장기미수</v>
      </c>
      <c r="K39" s="11">
        <v>46081</v>
      </c>
      <c r="L39" s="11"/>
      <c r="M39" s="10" t="s">
        <v>152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169</v>
      </c>
      <c r="J41" s="13" t="str">
        <f t="shared" ca="1" si="4"/>
        <v>장기미수</v>
      </c>
      <c r="K41" s="11">
        <v>46112</v>
      </c>
      <c r="L41" s="11"/>
      <c r="M41" s="10" t="s">
        <v>152</v>
      </c>
      <c r="N41" s="10" t="s">
        <v>20</v>
      </c>
      <c r="O41" s="6" t="s">
        <v>153</v>
      </c>
      <c r="P41" s="6" t="s">
        <v>156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167</v>
      </c>
      <c r="J42" s="13" t="str">
        <f t="shared" ca="1" si="4"/>
        <v>장기미수</v>
      </c>
      <c r="K42" s="11">
        <v>46081</v>
      </c>
      <c r="L42" s="11"/>
      <c r="M42" s="10" t="s">
        <v>152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156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191</v>
      </c>
      <c r="F49" s="6" t="s">
        <v>192</v>
      </c>
      <c r="G49" s="6" t="s">
        <v>193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194</v>
      </c>
      <c r="P49" s="6" t="s">
        <v>257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162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161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161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159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153</v>
      </c>
      <c r="P54" s="6" t="s">
        <v>154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160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409</v>
      </c>
      <c r="J57" s="13" t="str">
        <f t="shared" ca="1" si="4"/>
        <v>장기미수</v>
      </c>
      <c r="K57" s="11"/>
      <c r="L57" s="11"/>
      <c r="M57" s="10" t="s">
        <v>152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274</v>
      </c>
      <c r="J58" s="13" t="str">
        <f t="shared" ca="1" si="4"/>
        <v>장기미수</v>
      </c>
      <c r="K58" s="11"/>
      <c r="L58" s="11"/>
      <c r="M58" s="10" t="s">
        <v>152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274</v>
      </c>
      <c r="J59" s="13" t="str">
        <f t="shared" ca="1" si="4"/>
        <v>장기미수</v>
      </c>
      <c r="K59" s="11"/>
      <c r="L59" s="11"/>
      <c r="M59" s="10" t="s">
        <v>152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225</v>
      </c>
      <c r="J60" s="13" t="str">
        <f t="shared" ca="1" si="4"/>
        <v>장기미수</v>
      </c>
      <c r="K60" s="11"/>
      <c r="L60" s="11"/>
      <c r="M60" s="10" t="s">
        <v>152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105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439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153</v>
      </c>
      <c r="P72" s="6" t="s">
        <v>155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108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153</v>
      </c>
      <c r="P74" s="6" t="s">
        <v>154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109</v>
      </c>
      <c r="F75" s="6" t="s">
        <v>110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111</v>
      </c>
      <c r="F76" s="6" t="s">
        <v>112</v>
      </c>
      <c r="G76" s="6" t="s">
        <v>48</v>
      </c>
      <c r="H76" s="4">
        <v>528000</v>
      </c>
      <c r="I76" s="6">
        <f t="shared" ca="1" si="6"/>
        <v>84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153</v>
      </c>
      <c r="P77" s="6" t="s">
        <v>154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153</v>
      </c>
      <c r="P78" s="6" t="s">
        <v>154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113</v>
      </c>
      <c r="F79" s="6" t="s">
        <v>114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115</v>
      </c>
      <c r="F80" s="6" t="s">
        <v>116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117</v>
      </c>
      <c r="F81" s="6" t="s">
        <v>118</v>
      </c>
      <c r="G81" s="6" t="s">
        <v>48</v>
      </c>
      <c r="H81" s="4">
        <v>280000</v>
      </c>
      <c r="I81" s="6">
        <f t="shared" ca="1" si="6"/>
        <v>76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119</v>
      </c>
      <c r="F82" s="6" t="s">
        <v>120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154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154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154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121</v>
      </c>
      <c r="F86" s="6" t="s">
        <v>122</v>
      </c>
      <c r="G86" s="6" t="s">
        <v>48</v>
      </c>
      <c r="H86" s="4">
        <v>321000</v>
      </c>
      <c r="I86" s="6">
        <f t="shared" ca="1" si="6"/>
        <v>70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154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123</v>
      </c>
      <c r="F88" s="6" t="s">
        <v>124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154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154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125</v>
      </c>
      <c r="F91" s="6" t="s">
        <v>126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127</v>
      </c>
      <c r="F92" s="6" t="s">
        <v>128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129</v>
      </c>
      <c r="F93" s="6" t="s">
        <v>130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135</v>
      </c>
      <c r="F94" s="6" t="s">
        <v>136</v>
      </c>
      <c r="G94" s="6" t="s">
        <v>139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137</v>
      </c>
      <c r="F95" s="6" t="s">
        <v>138</v>
      </c>
      <c r="G95" s="6" t="s">
        <v>139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109</v>
      </c>
      <c r="F96" s="6" t="s">
        <v>157</v>
      </c>
      <c r="G96" s="6" t="s">
        <v>48</v>
      </c>
      <c r="H96" s="4">
        <v>2627900</v>
      </c>
      <c r="I96" s="6">
        <f t="shared" ca="1" si="6"/>
        <v>52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113</v>
      </c>
      <c r="F97" s="6" t="s">
        <v>158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109</v>
      </c>
      <c r="F98" s="23" t="s">
        <v>110</v>
      </c>
      <c r="G98" s="6" t="s">
        <v>48</v>
      </c>
      <c r="H98" s="4">
        <v>216000</v>
      </c>
      <c r="I98" s="6">
        <f t="shared" ref="I98:I125" ca="1" si="10">IF(C98="","",IF(L98="",TODAY()-C98,L98-C98))</f>
        <v>51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164</v>
      </c>
      <c r="F99" s="23" t="s">
        <v>165</v>
      </c>
      <c r="G99" s="6" t="s">
        <v>48</v>
      </c>
      <c r="H99" s="4">
        <v>154300</v>
      </c>
      <c r="I99" s="6">
        <f t="shared" ca="1" si="10"/>
        <v>51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166</v>
      </c>
      <c r="G100" s="6" t="s">
        <v>439</v>
      </c>
      <c r="H100" s="4">
        <v>16130000</v>
      </c>
      <c r="I100" s="6">
        <f t="shared" ca="1" si="10"/>
        <v>87</v>
      </c>
      <c r="J100" s="13" t="str">
        <f t="shared" ca="1" si="11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169</v>
      </c>
      <c r="E101" s="24" t="s">
        <v>167</v>
      </c>
      <c r="F101" s="24" t="s">
        <v>168</v>
      </c>
      <c r="G101" s="6" t="s">
        <v>170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171</v>
      </c>
      <c r="F102" s="6" t="s">
        <v>172</v>
      </c>
      <c r="G102" s="6" t="s">
        <v>173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174</v>
      </c>
      <c r="F103" s="6" t="s">
        <v>175</v>
      </c>
      <c r="G103" s="6" t="s">
        <v>176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109</v>
      </c>
      <c r="F104" s="23" t="s">
        <v>157</v>
      </c>
      <c r="G104" s="6" t="s">
        <v>178</v>
      </c>
      <c r="H104" s="25">
        <v>1138000</v>
      </c>
      <c r="I104" s="6">
        <f t="shared" ca="1" si="10"/>
        <v>50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109</v>
      </c>
      <c r="F105" s="23" t="s">
        <v>177</v>
      </c>
      <c r="G105" s="6" t="s">
        <v>178</v>
      </c>
      <c r="H105" s="25">
        <v>11632500</v>
      </c>
      <c r="I105" s="6">
        <f t="shared" ca="1" si="10"/>
        <v>50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179</v>
      </c>
      <c r="E106" s="23" t="s">
        <v>24</v>
      </c>
      <c r="F106" s="23" t="s">
        <v>107</v>
      </c>
      <c r="G106" s="6" t="s">
        <v>178</v>
      </c>
      <c r="H106" s="25">
        <v>7390000</v>
      </c>
      <c r="I106" s="6">
        <f t="shared" ca="1" si="10"/>
        <v>49</v>
      </c>
      <c r="J106" s="13" t="str">
        <f t="shared" ca="1" si="11"/>
        <v>관리</v>
      </c>
      <c r="K106" s="11"/>
      <c r="L106" s="11"/>
      <c r="M106" s="10"/>
      <c r="N106" s="10" t="s">
        <v>20</v>
      </c>
      <c r="P106" s="6" t="s">
        <v>154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179</v>
      </c>
      <c r="E107" s="23" t="s">
        <v>180</v>
      </c>
      <c r="F107" s="23" t="s">
        <v>181</v>
      </c>
      <c r="G107" s="6" t="s">
        <v>178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179</v>
      </c>
      <c r="E108" s="23" t="s">
        <v>109</v>
      </c>
      <c r="F108" s="23" t="s">
        <v>157</v>
      </c>
      <c r="G108" s="6" t="s">
        <v>178</v>
      </c>
      <c r="H108" s="25">
        <v>1997773</v>
      </c>
      <c r="I108" s="6">
        <f t="shared" ca="1" si="10"/>
        <v>49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182</v>
      </c>
      <c r="E109" s="27" t="s">
        <v>184</v>
      </c>
      <c r="F109" s="26" t="s">
        <v>183</v>
      </c>
      <c r="G109" s="6" t="s">
        <v>439</v>
      </c>
      <c r="H109" s="28">
        <v>11000000</v>
      </c>
      <c r="I109" s="6">
        <f t="shared" ca="1" si="10"/>
        <v>48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179</v>
      </c>
      <c r="E110" s="23" t="s">
        <v>24</v>
      </c>
      <c r="F110" s="23" t="s">
        <v>107</v>
      </c>
      <c r="G110" s="6" t="s">
        <v>185</v>
      </c>
      <c r="H110" s="29">
        <v>35304000</v>
      </c>
      <c r="I110" s="6">
        <f t="shared" ca="1" si="10"/>
        <v>47</v>
      </c>
      <c r="J110" s="13" t="str">
        <f t="shared" ca="1" si="11"/>
        <v>관리</v>
      </c>
      <c r="K110" s="11"/>
      <c r="L110" s="11"/>
      <c r="M110" s="10"/>
      <c r="N110" s="10" t="s">
        <v>20</v>
      </c>
      <c r="P110" s="6" t="s">
        <v>154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186</v>
      </c>
      <c r="F111" s="23" t="s">
        <v>188</v>
      </c>
      <c r="G111" s="6" t="s">
        <v>173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189</v>
      </c>
      <c r="G112" s="6" t="s">
        <v>173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P112" s="6" t="s">
        <v>154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187</v>
      </c>
      <c r="F113" s="23" t="s">
        <v>190</v>
      </c>
      <c r="G113" s="6" t="s">
        <v>173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173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P114" s="6" t="s">
        <v>154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173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P115" s="6" t="s">
        <v>154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164</v>
      </c>
      <c r="F116" s="32" t="s">
        <v>165</v>
      </c>
      <c r="G116" s="6" t="s">
        <v>173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195</v>
      </c>
      <c r="G117" s="6" t="s">
        <v>173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196</v>
      </c>
      <c r="F118" s="32" t="s">
        <v>197</v>
      </c>
      <c r="G118" s="6" t="s">
        <v>173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173</v>
      </c>
      <c r="H119" s="29">
        <v>4787500</v>
      </c>
      <c r="I119" s="6">
        <f t="shared" ca="1" si="10"/>
        <v>36</v>
      </c>
      <c r="J119" s="13" t="str">
        <f t="shared" ca="1" si="11"/>
        <v>정상</v>
      </c>
      <c r="K119" s="11">
        <v>46112</v>
      </c>
      <c r="L119" s="11"/>
      <c r="M119" s="10"/>
      <c r="N119" s="10" t="s">
        <v>198</v>
      </c>
      <c r="P119" s="6" t="s">
        <v>154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200</v>
      </c>
      <c r="F120" s="32" t="s">
        <v>199</v>
      </c>
      <c r="G120" s="6" t="s">
        <v>173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207</v>
      </c>
      <c r="F121" s="32" t="s">
        <v>201</v>
      </c>
      <c r="G121" s="6" t="s">
        <v>173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137</v>
      </c>
      <c r="F122" s="32" t="s">
        <v>202</v>
      </c>
      <c r="G122" s="6" t="s">
        <v>173</v>
      </c>
      <c r="H122" s="29">
        <v>893000</v>
      </c>
      <c r="I122" s="6">
        <f t="shared" ca="1" si="10"/>
        <v>34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208</v>
      </c>
      <c r="F123" s="32" t="s">
        <v>203</v>
      </c>
      <c r="G123" s="6" t="s">
        <v>173</v>
      </c>
      <c r="H123" s="29">
        <v>4490000</v>
      </c>
      <c r="I123" s="6">
        <f t="shared" ca="1" si="10"/>
        <v>34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209</v>
      </c>
      <c r="F124" s="32" t="s">
        <v>204</v>
      </c>
      <c r="G124" s="6" t="s">
        <v>173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117</v>
      </c>
      <c r="F125" s="32" t="s">
        <v>205</v>
      </c>
      <c r="G125" s="6" t="s">
        <v>173</v>
      </c>
      <c r="H125" s="29">
        <v>521000</v>
      </c>
      <c r="I125" s="6">
        <f t="shared" ca="1" si="10"/>
        <v>34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244</v>
      </c>
      <c r="E126" s="32" t="s">
        <v>242</v>
      </c>
      <c r="F126" s="32" t="s">
        <v>243</v>
      </c>
      <c r="G126" s="6" t="s">
        <v>245</v>
      </c>
      <c r="H126" s="29">
        <v>9036000</v>
      </c>
      <c r="J126" s="13" t="s">
        <v>246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210</v>
      </c>
      <c r="F127" s="32" t="s">
        <v>206</v>
      </c>
      <c r="G127" s="6" t="s">
        <v>173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219</v>
      </c>
      <c r="F128" s="32" t="s">
        <v>211</v>
      </c>
      <c r="G128" s="6" t="s">
        <v>173</v>
      </c>
      <c r="H128" s="29">
        <v>2330000</v>
      </c>
      <c r="I128" s="6">
        <f t="shared" ca="1" si="12"/>
        <v>30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180</v>
      </c>
      <c r="F129" s="32" t="s">
        <v>212</v>
      </c>
      <c r="G129" s="6" t="s">
        <v>173</v>
      </c>
      <c r="H129" s="29">
        <v>52200</v>
      </c>
      <c r="I129" s="6">
        <f t="shared" ca="1" si="12"/>
        <v>30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219</v>
      </c>
      <c r="F130" s="32" t="s">
        <v>213</v>
      </c>
      <c r="G130" s="6" t="s">
        <v>173</v>
      </c>
      <c r="H130" s="29">
        <v>7624000</v>
      </c>
      <c r="I130" s="6">
        <f t="shared" ca="1" si="12"/>
        <v>30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220</v>
      </c>
      <c r="F131" s="32" t="s">
        <v>214</v>
      </c>
      <c r="G131" s="6" t="s">
        <v>173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196</v>
      </c>
      <c r="F132" s="32" t="s">
        <v>215</v>
      </c>
      <c r="G132" s="6" t="s">
        <v>173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221</v>
      </c>
      <c r="F133" s="32" t="s">
        <v>216</v>
      </c>
      <c r="G133" s="6" t="s">
        <v>173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222</v>
      </c>
      <c r="F134" s="32" t="s">
        <v>217</v>
      </c>
      <c r="G134" s="6" t="s">
        <v>173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223</v>
      </c>
      <c r="F135" s="32" t="s">
        <v>218</v>
      </c>
      <c r="G135" s="6" t="s">
        <v>173</v>
      </c>
      <c r="H135" s="29">
        <v>5427900</v>
      </c>
      <c r="I135" s="6">
        <f t="shared" ca="1" si="12"/>
        <v>30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200</v>
      </c>
      <c r="F136" s="32" t="s">
        <v>199</v>
      </c>
      <c r="G136" s="6" t="s">
        <v>173</v>
      </c>
      <c r="H136" s="29">
        <v>4470000</v>
      </c>
      <c r="I136" s="6">
        <f t="shared" ca="1" si="12"/>
        <v>30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224</v>
      </c>
      <c r="F137" s="34" t="s">
        <v>225</v>
      </c>
      <c r="G137" s="6" t="s">
        <v>228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229</v>
      </c>
      <c r="F138" s="34" t="s">
        <v>226</v>
      </c>
      <c r="G138" s="6" t="s">
        <v>228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420</v>
      </c>
      <c r="F139" s="38" t="s">
        <v>419</v>
      </c>
      <c r="G139" s="6" t="s">
        <v>421</v>
      </c>
      <c r="H139" s="36">
        <v>11115400</v>
      </c>
      <c r="I139" s="6">
        <f t="shared" ca="1" si="12"/>
        <v>29</v>
      </c>
      <c r="J139" s="13" t="str">
        <f t="shared" ca="1" si="13"/>
        <v>관리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230</v>
      </c>
      <c r="F140" s="6" t="s">
        <v>232</v>
      </c>
      <c r="G140" s="6" t="s">
        <v>228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230</v>
      </c>
      <c r="F141" s="34" t="s">
        <v>227</v>
      </c>
      <c r="G141" s="6" t="s">
        <v>231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235</v>
      </c>
      <c r="F142" s="6" t="s">
        <v>233</v>
      </c>
      <c r="G142" s="6" t="s">
        <v>234</v>
      </c>
      <c r="H142" s="37">
        <v>30186600</v>
      </c>
      <c r="I142" s="6">
        <f t="shared" ca="1" si="12"/>
        <v>28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240</v>
      </c>
      <c r="E143" s="23" t="s">
        <v>196</v>
      </c>
      <c r="F143" s="23" t="s">
        <v>197</v>
      </c>
      <c r="G143" s="6" t="s">
        <v>241</v>
      </c>
      <c r="H143" s="25">
        <v>5775000</v>
      </c>
      <c r="I143" s="6">
        <f t="shared" ca="1" si="12"/>
        <v>28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240</v>
      </c>
      <c r="E144" s="23" t="s">
        <v>208</v>
      </c>
      <c r="F144" s="23" t="s">
        <v>203</v>
      </c>
      <c r="G144" s="6" t="s">
        <v>241</v>
      </c>
      <c r="H144" s="25">
        <v>2260000</v>
      </c>
      <c r="I144" s="6">
        <f t="shared" ca="1" si="12"/>
        <v>28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240</v>
      </c>
      <c r="E145" s="23" t="s">
        <v>26</v>
      </c>
      <c r="F145" s="23" t="s">
        <v>249</v>
      </c>
      <c r="G145" s="6" t="s">
        <v>241</v>
      </c>
      <c r="H145" s="25">
        <v>237000</v>
      </c>
      <c r="I145" s="6">
        <f t="shared" ca="1" si="12"/>
        <v>28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240</v>
      </c>
      <c r="E146" s="23" t="s">
        <v>239</v>
      </c>
      <c r="F146" s="23" t="s">
        <v>236</v>
      </c>
      <c r="G146" s="6" t="s">
        <v>241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240</v>
      </c>
      <c r="E147" s="23" t="s">
        <v>127</v>
      </c>
      <c r="F147" s="23" t="s">
        <v>237</v>
      </c>
      <c r="G147" s="6" t="s">
        <v>241</v>
      </c>
      <c r="H147" s="25">
        <v>3179600</v>
      </c>
      <c r="I147" s="6">
        <f t="shared" ca="1" si="12"/>
        <v>28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240</v>
      </c>
      <c r="E148" s="23" t="s">
        <v>219</v>
      </c>
      <c r="F148" s="23" t="s">
        <v>211</v>
      </c>
      <c r="G148" s="6" t="s">
        <v>241</v>
      </c>
      <c r="H148" s="25">
        <v>5500000</v>
      </c>
      <c r="I148" s="6">
        <f t="shared" ca="1" si="12"/>
        <v>28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240</v>
      </c>
      <c r="E149" s="23" t="s">
        <v>219</v>
      </c>
      <c r="F149" s="23" t="s">
        <v>211</v>
      </c>
      <c r="G149" s="6" t="s">
        <v>241</v>
      </c>
      <c r="H149" s="25">
        <v>1801000</v>
      </c>
      <c r="I149" s="6">
        <f t="shared" ca="1" si="12"/>
        <v>28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240</v>
      </c>
      <c r="E150" s="23" t="s">
        <v>219</v>
      </c>
      <c r="F150" s="23" t="s">
        <v>238</v>
      </c>
      <c r="G150" s="6" t="s">
        <v>241</v>
      </c>
      <c r="H150" s="25">
        <v>6400500</v>
      </c>
      <c r="I150" s="6">
        <f t="shared" ca="1" si="12"/>
        <v>28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244</v>
      </c>
      <c r="E151" s="6" t="s">
        <v>248</v>
      </c>
      <c r="F151" s="6" t="s">
        <v>247</v>
      </c>
      <c r="G151" s="6" t="s">
        <v>228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179</v>
      </c>
      <c r="E152" s="23" t="s">
        <v>125</v>
      </c>
      <c r="F152" s="23" t="s">
        <v>251</v>
      </c>
      <c r="G152" s="6" t="s">
        <v>256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179</v>
      </c>
      <c r="E153" s="23" t="s">
        <v>196</v>
      </c>
      <c r="F153" s="23" t="s">
        <v>252</v>
      </c>
      <c r="G153" s="6" t="s">
        <v>256</v>
      </c>
      <c r="H153" s="25">
        <v>3230000</v>
      </c>
      <c r="I153" s="6">
        <f t="shared" ca="1" si="12"/>
        <v>27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179</v>
      </c>
      <c r="E154" s="23" t="s">
        <v>129</v>
      </c>
      <c r="F154" s="23" t="s">
        <v>253</v>
      </c>
      <c r="G154" s="6" t="s">
        <v>256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179</v>
      </c>
      <c r="E155" s="23" t="s">
        <v>250</v>
      </c>
      <c r="F155" s="23" t="s">
        <v>254</v>
      </c>
      <c r="G155" s="6" t="s">
        <v>256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179</v>
      </c>
      <c r="E156" s="23" t="s">
        <v>220</v>
      </c>
      <c r="F156" s="23" t="s">
        <v>214</v>
      </c>
      <c r="G156" s="6" t="s">
        <v>256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179</v>
      </c>
      <c r="E157" s="23" t="s">
        <v>220</v>
      </c>
      <c r="F157" s="23" t="s">
        <v>214</v>
      </c>
      <c r="G157" s="6" t="s">
        <v>256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179</v>
      </c>
      <c r="E158" s="23" t="s">
        <v>81</v>
      </c>
      <c r="F158" s="23" t="s">
        <v>255</v>
      </c>
      <c r="G158" s="6" t="s">
        <v>256</v>
      </c>
      <c r="H158" s="25">
        <v>12478000</v>
      </c>
      <c r="I158" s="6">
        <f t="shared" ca="1" si="12"/>
        <v>27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261</v>
      </c>
      <c r="F159" s="6" t="s">
        <v>260</v>
      </c>
      <c r="G159" s="6" t="s">
        <v>262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200</v>
      </c>
      <c r="F160" s="23" t="s">
        <v>263</v>
      </c>
      <c r="G160" s="6" t="s">
        <v>269</v>
      </c>
      <c r="H160" s="25">
        <v>3390000</v>
      </c>
      <c r="I160" s="6">
        <f t="shared" ca="1" si="12"/>
        <v>24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267</v>
      </c>
      <c r="F161" s="23" t="s">
        <v>264</v>
      </c>
      <c r="G161" s="6" t="s">
        <v>269</v>
      </c>
      <c r="H161" s="25">
        <v>9140500</v>
      </c>
      <c r="I161" s="6">
        <f t="shared" ca="1" si="12"/>
        <v>24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208</v>
      </c>
      <c r="F162" s="23" t="s">
        <v>265</v>
      </c>
      <c r="G162" s="6" t="s">
        <v>269</v>
      </c>
      <c r="H162" s="25">
        <v>4719500</v>
      </c>
      <c r="I162" s="6">
        <f t="shared" ca="1" si="12"/>
        <v>24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268</v>
      </c>
      <c r="F163" s="23" t="s">
        <v>266</v>
      </c>
      <c r="G163" s="6" t="s">
        <v>269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244</v>
      </c>
      <c r="E164" s="6" t="s">
        <v>271</v>
      </c>
      <c r="F164" s="6" t="s">
        <v>270</v>
      </c>
      <c r="G164" s="6" t="s">
        <v>272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274</v>
      </c>
      <c r="F165" s="6" t="s">
        <v>273</v>
      </c>
      <c r="G165" s="6" t="s">
        <v>275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182</v>
      </c>
      <c r="E166" s="6" t="s">
        <v>277</v>
      </c>
      <c r="F166" s="6" t="s">
        <v>276</v>
      </c>
      <c r="G166" s="6" t="s">
        <v>170</v>
      </c>
      <c r="H166" s="4">
        <v>4500000</v>
      </c>
      <c r="I166" s="6">
        <f t="shared" ca="1" si="12"/>
        <v>22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219</v>
      </c>
      <c r="F167" s="23" t="s">
        <v>278</v>
      </c>
      <c r="G167" s="6" t="s">
        <v>297</v>
      </c>
      <c r="H167" s="25">
        <v>8400000</v>
      </c>
      <c r="I167" s="6">
        <f t="shared" ca="1" si="12"/>
        <v>23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189</v>
      </c>
      <c r="G168" s="6" t="s">
        <v>297</v>
      </c>
      <c r="H168" s="25">
        <v>46282000</v>
      </c>
      <c r="I168" s="6">
        <f t="shared" ca="1" si="12"/>
        <v>23</v>
      </c>
      <c r="J168" s="13" t="str">
        <f t="shared" ca="1" si="15"/>
        <v>정상</v>
      </c>
      <c r="K168" s="11"/>
      <c r="L168" s="11"/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279</v>
      </c>
      <c r="G169" s="6" t="s">
        <v>297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121</v>
      </c>
      <c r="F170" s="23" t="s">
        <v>280</v>
      </c>
      <c r="G170" s="6" t="s">
        <v>297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267</v>
      </c>
      <c r="F171" s="23" t="s">
        <v>281</v>
      </c>
      <c r="G171" s="6" t="s">
        <v>297</v>
      </c>
      <c r="H171" s="25">
        <v>14080000</v>
      </c>
      <c r="I171" s="6">
        <f t="shared" ca="1" si="12"/>
        <v>23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250</v>
      </c>
      <c r="F172" s="23" t="s">
        <v>281</v>
      </c>
      <c r="G172" s="6" t="s">
        <v>297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223</v>
      </c>
      <c r="F173" s="23" t="s">
        <v>282</v>
      </c>
      <c r="G173" s="6" t="s">
        <v>297</v>
      </c>
      <c r="H173" s="25">
        <v>1186600</v>
      </c>
      <c r="I173" s="6">
        <f t="shared" ca="1" si="12"/>
        <v>23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283</v>
      </c>
      <c r="G174" s="6" t="s">
        <v>297</v>
      </c>
      <c r="H174" s="25">
        <v>270000</v>
      </c>
      <c r="I174" s="6">
        <f t="shared" ca="1" si="12"/>
        <v>23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284</v>
      </c>
      <c r="G175" s="6" t="s">
        <v>297</v>
      </c>
      <c r="H175" s="25">
        <v>5912000</v>
      </c>
      <c r="I175" s="6">
        <f t="shared" ca="1" si="12"/>
        <v>23</v>
      </c>
      <c r="J175" s="13" t="str">
        <f t="shared" ca="1" si="15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189</v>
      </c>
      <c r="G176" s="6" t="s">
        <v>297</v>
      </c>
      <c r="H176" s="25">
        <v>4992000</v>
      </c>
      <c r="I176" s="6">
        <f t="shared" ca="1" si="12"/>
        <v>23</v>
      </c>
      <c r="J176" s="13" t="str">
        <f t="shared" ca="1" si="15"/>
        <v>정상</v>
      </c>
      <c r="K176" s="11"/>
      <c r="L176" s="11"/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129</v>
      </c>
      <c r="F177" s="23" t="s">
        <v>285</v>
      </c>
      <c r="G177" s="6" t="s">
        <v>297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208</v>
      </c>
      <c r="F178" s="23" t="s">
        <v>286</v>
      </c>
      <c r="G178" s="6" t="s">
        <v>297</v>
      </c>
      <c r="H178" s="25">
        <v>770400</v>
      </c>
      <c r="I178" s="6">
        <f t="shared" ca="1" si="12"/>
        <v>23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294</v>
      </c>
      <c r="F179" s="23" t="s">
        <v>287</v>
      </c>
      <c r="G179" s="6" t="s">
        <v>297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295</v>
      </c>
      <c r="F180" s="23" t="s">
        <v>288</v>
      </c>
      <c r="G180" s="6" t="s">
        <v>297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289</v>
      </c>
      <c r="G181" s="6" t="s">
        <v>297</v>
      </c>
      <c r="H181" s="25">
        <v>16818900</v>
      </c>
      <c r="I181" s="6">
        <f t="shared" ca="1" si="12"/>
        <v>22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290</v>
      </c>
      <c r="G182" s="6" t="s">
        <v>297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117</v>
      </c>
      <c r="F183" s="23" t="s">
        <v>291</v>
      </c>
      <c r="G183" s="6" t="s">
        <v>297</v>
      </c>
      <c r="H183" s="25">
        <v>321000</v>
      </c>
      <c r="I183" s="6">
        <f t="shared" ca="1" si="12"/>
        <v>22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296</v>
      </c>
      <c r="F184" s="23" t="s">
        <v>292</v>
      </c>
      <c r="G184" s="6" t="s">
        <v>297</v>
      </c>
      <c r="H184" s="25">
        <v>1275400</v>
      </c>
      <c r="I184" s="6">
        <f t="shared" ca="1" si="12"/>
        <v>22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189</v>
      </c>
      <c r="G185" s="6" t="s">
        <v>297</v>
      </c>
      <c r="H185" s="25">
        <v>11000000</v>
      </c>
      <c r="I185" s="6">
        <f t="shared" ca="1" si="12"/>
        <v>22</v>
      </c>
      <c r="J185" s="13" t="str">
        <f t="shared" ca="1" si="15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293</v>
      </c>
      <c r="G186" s="6" t="s">
        <v>297</v>
      </c>
      <c r="H186" s="25">
        <v>5475500</v>
      </c>
      <c r="I186" s="6">
        <f t="shared" ca="1" si="12"/>
        <v>22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294</v>
      </c>
      <c r="F187" s="23" t="s">
        <v>298</v>
      </c>
      <c r="G187" s="6" t="s">
        <v>305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299</v>
      </c>
      <c r="G188" s="6" t="s">
        <v>305</v>
      </c>
      <c r="H188" s="25">
        <v>1000500</v>
      </c>
      <c r="I188" s="6">
        <f t="shared" ca="1" si="12"/>
        <v>21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196</v>
      </c>
      <c r="F189" s="23" t="s">
        <v>303</v>
      </c>
      <c r="G189" s="6" t="s">
        <v>305</v>
      </c>
      <c r="H189" s="25">
        <v>5775000</v>
      </c>
      <c r="I189" s="6">
        <f t="shared" ca="1" si="12"/>
        <v>21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200</v>
      </c>
      <c r="F190" s="23" t="s">
        <v>300</v>
      </c>
      <c r="G190" s="6" t="s">
        <v>305</v>
      </c>
      <c r="H190" s="25">
        <v>1190000</v>
      </c>
      <c r="I190" s="6">
        <f t="shared" ca="1" si="12"/>
        <v>21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304</v>
      </c>
      <c r="G191" s="6" t="s">
        <v>305</v>
      </c>
      <c r="H191" s="25">
        <v>11147800</v>
      </c>
      <c r="I191" s="6">
        <f t="shared" ref="I191:I254" ca="1" si="16">IF(C191="","",IF(L191="",TODAY()-C191,L191-C191))</f>
        <v>21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219</v>
      </c>
      <c r="F192" s="23" t="s">
        <v>301</v>
      </c>
      <c r="G192" s="6" t="s">
        <v>305</v>
      </c>
      <c r="H192" s="25">
        <v>2613000</v>
      </c>
      <c r="I192" s="6">
        <f t="shared" ca="1" si="16"/>
        <v>21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111</v>
      </c>
      <c r="F193" s="23" t="s">
        <v>302</v>
      </c>
      <c r="G193" s="6" t="s">
        <v>305</v>
      </c>
      <c r="H193" s="25">
        <v>7339000</v>
      </c>
      <c r="I193" s="6">
        <f t="shared" ca="1" si="16"/>
        <v>21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306</v>
      </c>
      <c r="F194" s="6" t="s">
        <v>307</v>
      </c>
      <c r="G194" s="6" t="s">
        <v>308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316</v>
      </c>
      <c r="F195" s="23" t="s">
        <v>309</v>
      </c>
      <c r="G195" s="6" t="s">
        <v>318</v>
      </c>
      <c r="H195" s="25">
        <v>500500</v>
      </c>
      <c r="I195" s="6">
        <f t="shared" ca="1" si="16"/>
        <v>20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318</v>
      </c>
      <c r="H196" s="25">
        <v>3448000</v>
      </c>
      <c r="I196" s="6">
        <f t="shared" ca="1" si="16"/>
        <v>20</v>
      </c>
      <c r="J196" s="13" t="str">
        <f t="shared" ca="1" si="17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311</v>
      </c>
      <c r="G197" s="6" t="s">
        <v>318</v>
      </c>
      <c r="H197" s="25">
        <v>28750000</v>
      </c>
      <c r="I197" s="6">
        <f t="shared" ca="1" si="16"/>
        <v>20</v>
      </c>
      <c r="J197" s="13" t="str">
        <f t="shared" ca="1" si="17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221</v>
      </c>
      <c r="F198" s="23" t="s">
        <v>312</v>
      </c>
      <c r="G198" s="6" t="s">
        <v>318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219</v>
      </c>
      <c r="F199" s="23" t="s">
        <v>313</v>
      </c>
      <c r="G199" s="6" t="s">
        <v>318</v>
      </c>
      <c r="H199" s="25">
        <v>14700000</v>
      </c>
      <c r="I199" s="6">
        <f t="shared" ca="1" si="16"/>
        <v>20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317</v>
      </c>
      <c r="F200" s="23" t="s">
        <v>314</v>
      </c>
      <c r="G200" s="6" t="s">
        <v>318</v>
      </c>
      <c r="H200" s="25">
        <v>780000</v>
      </c>
      <c r="I200" s="6">
        <f t="shared" ca="1" si="16"/>
        <v>20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315</v>
      </c>
      <c r="G201" s="6" t="s">
        <v>318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319</v>
      </c>
      <c r="F202" s="6" t="s">
        <v>320</v>
      </c>
      <c r="G202" s="6" t="s">
        <v>321</v>
      </c>
      <c r="H202" s="4">
        <v>22342800</v>
      </c>
      <c r="I202" s="6">
        <f t="shared" ca="1" si="16"/>
        <v>17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127</v>
      </c>
      <c r="F203" s="23" t="s">
        <v>322</v>
      </c>
      <c r="G203" s="6" t="s">
        <v>335</v>
      </c>
      <c r="H203" s="25">
        <v>19467400</v>
      </c>
      <c r="I203" s="6">
        <f t="shared" ca="1" si="16"/>
        <v>16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127</v>
      </c>
      <c r="F204" s="23" t="s">
        <v>322</v>
      </c>
      <c r="G204" s="6" t="s">
        <v>335</v>
      </c>
      <c r="H204" s="25">
        <v>4765000</v>
      </c>
      <c r="I204" s="6">
        <f t="shared" ca="1" si="16"/>
        <v>16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223</v>
      </c>
      <c r="F205" s="23" t="s">
        <v>323</v>
      </c>
      <c r="G205" s="6" t="s">
        <v>335</v>
      </c>
      <c r="H205" s="25">
        <v>954500</v>
      </c>
      <c r="I205" s="6">
        <f t="shared" ca="1" si="16"/>
        <v>16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324</v>
      </c>
      <c r="G206" s="6" t="s">
        <v>335</v>
      </c>
      <c r="H206" s="25">
        <v>9631000</v>
      </c>
      <c r="I206" s="6">
        <f t="shared" ca="1" si="16"/>
        <v>16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325</v>
      </c>
      <c r="G207" s="6" t="s">
        <v>335</v>
      </c>
      <c r="H207" s="25">
        <v>1745000</v>
      </c>
      <c r="I207" s="6">
        <f t="shared" ca="1" si="16"/>
        <v>16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127</v>
      </c>
      <c r="F208" s="23" t="s">
        <v>326</v>
      </c>
      <c r="G208" s="6" t="s">
        <v>335</v>
      </c>
      <c r="H208" s="25">
        <v>493400</v>
      </c>
      <c r="I208" s="6">
        <f t="shared" ca="1" si="16"/>
        <v>16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127</v>
      </c>
      <c r="F209" s="23" t="s">
        <v>327</v>
      </c>
      <c r="G209" s="6" t="s">
        <v>335</v>
      </c>
      <c r="H209" s="25">
        <v>3568200</v>
      </c>
      <c r="I209" s="6">
        <f t="shared" ca="1" si="16"/>
        <v>16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127</v>
      </c>
      <c r="F210" s="23" t="s">
        <v>327</v>
      </c>
      <c r="G210" s="6" t="s">
        <v>335</v>
      </c>
      <c r="H210" s="25">
        <v>4110300</v>
      </c>
      <c r="I210" s="6">
        <f t="shared" ca="1" si="16"/>
        <v>16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164</v>
      </c>
      <c r="F211" s="23" t="s">
        <v>328</v>
      </c>
      <c r="G211" s="6" t="s">
        <v>335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334</v>
      </c>
      <c r="F212" s="23" t="s">
        <v>329</v>
      </c>
      <c r="G212" s="6" t="s">
        <v>335</v>
      </c>
      <c r="H212" s="25">
        <v>3541500</v>
      </c>
      <c r="I212" s="6">
        <f t="shared" ca="1" si="16"/>
        <v>16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208</v>
      </c>
      <c r="F213" s="23" t="s">
        <v>330</v>
      </c>
      <c r="G213" s="6" t="s">
        <v>335</v>
      </c>
      <c r="H213" s="25">
        <v>3512300</v>
      </c>
      <c r="I213" s="6">
        <f t="shared" ca="1" si="16"/>
        <v>16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250</v>
      </c>
      <c r="F214" s="23" t="s">
        <v>331</v>
      </c>
      <c r="G214" s="6" t="s">
        <v>335</v>
      </c>
      <c r="H214" s="25">
        <v>11000000</v>
      </c>
      <c r="I214" s="6">
        <f t="shared" ca="1" si="16"/>
        <v>16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109</v>
      </c>
      <c r="F215" s="23" t="s">
        <v>332</v>
      </c>
      <c r="G215" s="6" t="s">
        <v>335</v>
      </c>
      <c r="H215" s="25">
        <v>21000000</v>
      </c>
      <c r="I215" s="6">
        <f t="shared" ca="1" si="16"/>
        <v>16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117</v>
      </c>
      <c r="F216" s="23" t="s">
        <v>333</v>
      </c>
      <c r="G216" s="6" t="s">
        <v>335</v>
      </c>
      <c r="H216" s="25">
        <v>806000</v>
      </c>
      <c r="I216" s="6">
        <f t="shared" ca="1" si="16"/>
        <v>16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337</v>
      </c>
      <c r="F217" s="41" t="s">
        <v>336</v>
      </c>
      <c r="G217" s="6" t="s">
        <v>338</v>
      </c>
      <c r="H217" s="40">
        <v>4354200</v>
      </c>
      <c r="I217" s="6">
        <f t="shared" ca="1" si="16"/>
        <v>15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117</v>
      </c>
      <c r="F218" s="6" t="s">
        <v>339</v>
      </c>
      <c r="G218" s="6" t="s">
        <v>338</v>
      </c>
      <c r="H218" s="4">
        <v>28530900</v>
      </c>
      <c r="I218" s="6">
        <f t="shared" ca="1" si="16"/>
        <v>15</v>
      </c>
      <c r="J218" s="13" t="str">
        <f t="shared" ca="1" si="17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338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343</v>
      </c>
      <c r="F220" s="6" t="s">
        <v>341</v>
      </c>
      <c r="G220" s="6" t="s">
        <v>338</v>
      </c>
      <c r="H220" s="4">
        <v>27749100</v>
      </c>
      <c r="I220" s="6">
        <f t="shared" ca="1" si="16"/>
        <v>15</v>
      </c>
      <c r="J220" s="13" t="str">
        <f t="shared" ca="1" si="17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344</v>
      </c>
      <c r="G221" s="6" t="s">
        <v>369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127</v>
      </c>
      <c r="F222" s="23" t="s">
        <v>345</v>
      </c>
      <c r="G222" s="6" t="s">
        <v>369</v>
      </c>
      <c r="H222" s="25">
        <v>6583500</v>
      </c>
      <c r="I222" s="6">
        <f t="shared" ca="1" si="16"/>
        <v>15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346</v>
      </c>
      <c r="G223" s="6" t="s">
        <v>369</v>
      </c>
      <c r="H223" s="25">
        <v>2038700</v>
      </c>
      <c r="I223" s="6">
        <f t="shared" ca="1" si="16"/>
        <v>15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123</v>
      </c>
      <c r="F224" s="23" t="s">
        <v>347</v>
      </c>
      <c r="G224" s="6" t="s">
        <v>369</v>
      </c>
      <c r="H224" s="25">
        <v>4750000</v>
      </c>
      <c r="I224" s="6">
        <f t="shared" ca="1" si="16"/>
        <v>15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127</v>
      </c>
      <c r="F225" s="23" t="s">
        <v>348</v>
      </c>
      <c r="G225" s="6" t="s">
        <v>369</v>
      </c>
      <c r="H225" s="25">
        <v>3572000</v>
      </c>
      <c r="I225" s="6">
        <f t="shared" ca="1" si="16"/>
        <v>15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349</v>
      </c>
      <c r="G226" s="6" t="s">
        <v>369</v>
      </c>
      <c r="H226" s="25">
        <v>435000</v>
      </c>
      <c r="I226" s="6">
        <f t="shared" ca="1" si="16"/>
        <v>15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369</v>
      </c>
      <c r="H227" s="25">
        <v>637000</v>
      </c>
      <c r="I227" s="6">
        <f t="shared" ca="1" si="16"/>
        <v>15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367</v>
      </c>
      <c r="F228" s="23" t="s">
        <v>351</v>
      </c>
      <c r="G228" s="6" t="s">
        <v>369</v>
      </c>
      <c r="H228" s="25">
        <v>34583000</v>
      </c>
      <c r="I228" s="6">
        <f t="shared" ca="1" si="16"/>
        <v>15</v>
      </c>
      <c r="J228" s="13" t="str">
        <f t="shared" ca="1" si="19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209</v>
      </c>
      <c r="F229" s="23" t="s">
        <v>352</v>
      </c>
      <c r="G229" s="6" t="s">
        <v>369</v>
      </c>
      <c r="H229" s="25">
        <v>6600000</v>
      </c>
      <c r="I229" s="6">
        <f t="shared" ca="1" si="16"/>
        <v>15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222</v>
      </c>
      <c r="F230" s="23" t="s">
        <v>353</v>
      </c>
      <c r="G230" s="6" t="s">
        <v>369</v>
      </c>
      <c r="H230" s="25">
        <v>15802000</v>
      </c>
      <c r="I230" s="6">
        <f t="shared" ca="1" si="16"/>
        <v>15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219</v>
      </c>
      <c r="F231" s="23" t="s">
        <v>354</v>
      </c>
      <c r="G231" s="6" t="s">
        <v>369</v>
      </c>
      <c r="H231" s="25">
        <v>9450000</v>
      </c>
      <c r="I231" s="6">
        <f t="shared" ca="1" si="16"/>
        <v>14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127</v>
      </c>
      <c r="F232" s="23" t="s">
        <v>348</v>
      </c>
      <c r="G232" s="6" t="s">
        <v>369</v>
      </c>
      <c r="H232" s="25">
        <v>521000</v>
      </c>
      <c r="I232" s="6">
        <f t="shared" ca="1" si="16"/>
        <v>14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355</v>
      </c>
      <c r="G233" s="6" t="s">
        <v>369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356</v>
      </c>
      <c r="G234" s="6" t="s">
        <v>369</v>
      </c>
      <c r="H234" s="25">
        <v>2835000</v>
      </c>
      <c r="I234" s="6">
        <f t="shared" ca="1" si="16"/>
        <v>14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129</v>
      </c>
      <c r="F235" s="23" t="s">
        <v>357</v>
      </c>
      <c r="G235" s="6" t="s">
        <v>369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358</v>
      </c>
      <c r="G236" s="6" t="s">
        <v>369</v>
      </c>
      <c r="H236" s="25">
        <v>839000</v>
      </c>
      <c r="I236" s="6">
        <f t="shared" ca="1" si="16"/>
        <v>14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368</v>
      </c>
      <c r="F237" s="23" t="s">
        <v>359</v>
      </c>
      <c r="G237" s="6" t="s">
        <v>369</v>
      </c>
      <c r="H237" s="25">
        <v>1507200</v>
      </c>
      <c r="I237" s="6">
        <f t="shared" ca="1" si="16"/>
        <v>14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220</v>
      </c>
      <c r="F238" s="23" t="s">
        <v>360</v>
      </c>
      <c r="G238" s="6" t="s">
        <v>369</v>
      </c>
      <c r="H238" s="25">
        <v>585000</v>
      </c>
      <c r="I238" s="6">
        <f t="shared" ca="1" si="16"/>
        <v>14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222</v>
      </c>
      <c r="F239" s="23" t="s">
        <v>353</v>
      </c>
      <c r="G239" s="6" t="s">
        <v>369</v>
      </c>
      <c r="H239" s="25">
        <v>615000</v>
      </c>
      <c r="I239" s="6">
        <f t="shared" ca="1" si="16"/>
        <v>14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220</v>
      </c>
      <c r="F240" s="23" t="s">
        <v>361</v>
      </c>
      <c r="G240" s="6" t="s">
        <v>369</v>
      </c>
      <c r="H240" s="25">
        <v>44793500</v>
      </c>
      <c r="I240" s="6">
        <f t="shared" ca="1" si="16"/>
        <v>14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362</v>
      </c>
      <c r="G241" s="6" t="s">
        <v>369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219</v>
      </c>
      <c r="F242" s="23" t="s">
        <v>363</v>
      </c>
      <c r="G242" s="6" t="s">
        <v>369</v>
      </c>
      <c r="H242" s="25">
        <v>1180000</v>
      </c>
      <c r="I242" s="6">
        <f t="shared" ca="1" si="16"/>
        <v>14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334</v>
      </c>
      <c r="F243" s="23" t="s">
        <v>364</v>
      </c>
      <c r="G243" s="6" t="s">
        <v>369</v>
      </c>
      <c r="H243" s="25">
        <v>3300000</v>
      </c>
      <c r="I243" s="6">
        <f t="shared" ca="1" si="16"/>
        <v>14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219</v>
      </c>
      <c r="F244" s="23" t="s">
        <v>365</v>
      </c>
      <c r="G244" s="6" t="s">
        <v>369</v>
      </c>
      <c r="H244" s="25">
        <v>1548500</v>
      </c>
      <c r="I244" s="6">
        <f t="shared" ca="1" si="16"/>
        <v>14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244</v>
      </c>
      <c r="E245" s="6" t="s">
        <v>371</v>
      </c>
      <c r="F245" s="6" t="s">
        <v>370</v>
      </c>
      <c r="G245" s="6" t="s">
        <v>378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244</v>
      </c>
      <c r="E246" s="6" t="s">
        <v>375</v>
      </c>
      <c r="F246" s="6" t="s">
        <v>372</v>
      </c>
      <c r="G246" s="6" t="s">
        <v>234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244</v>
      </c>
      <c r="E247" s="6" t="s">
        <v>376</v>
      </c>
      <c r="F247" s="6" t="s">
        <v>373</v>
      </c>
      <c r="G247" s="6" t="s">
        <v>234</v>
      </c>
      <c r="H247" s="4">
        <v>6484400</v>
      </c>
      <c r="I247" s="6">
        <f t="shared" ca="1" si="16"/>
        <v>13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244</v>
      </c>
      <c r="E248" s="6" t="s">
        <v>377</v>
      </c>
      <c r="F248" s="6" t="s">
        <v>374</v>
      </c>
      <c r="G248" s="6" t="s">
        <v>234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179</v>
      </c>
      <c r="E249" s="23" t="s">
        <v>384</v>
      </c>
      <c r="F249" s="23" t="s">
        <v>379</v>
      </c>
      <c r="G249" s="6" t="s">
        <v>386</v>
      </c>
      <c r="H249" s="25">
        <v>114000</v>
      </c>
      <c r="I249" s="6">
        <f t="shared" ca="1" si="16"/>
        <v>13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179</v>
      </c>
      <c r="E250" s="23" t="s">
        <v>24</v>
      </c>
      <c r="F250" s="23" t="s">
        <v>380</v>
      </c>
      <c r="G250" s="6" t="s">
        <v>386</v>
      </c>
      <c r="H250" s="25">
        <v>9563000</v>
      </c>
      <c r="I250" s="6">
        <f t="shared" ca="1" si="16"/>
        <v>13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179</v>
      </c>
      <c r="E251" s="23" t="s">
        <v>100</v>
      </c>
      <c r="F251" s="23" t="s">
        <v>381</v>
      </c>
      <c r="G251" s="6" t="s">
        <v>386</v>
      </c>
      <c r="H251" s="25">
        <v>2270000</v>
      </c>
      <c r="I251" s="6">
        <f t="shared" ca="1" si="16"/>
        <v>13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179</v>
      </c>
      <c r="E252" s="23" t="s">
        <v>385</v>
      </c>
      <c r="F252" s="23" t="s">
        <v>382</v>
      </c>
      <c r="G252" s="6" t="s">
        <v>386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179</v>
      </c>
      <c r="E253" s="23" t="s">
        <v>123</v>
      </c>
      <c r="F253" s="23" t="s">
        <v>383</v>
      </c>
      <c r="G253" s="6" t="s">
        <v>386</v>
      </c>
      <c r="H253" s="25">
        <v>658000</v>
      </c>
      <c r="I253" s="6">
        <f t="shared" ca="1" si="16"/>
        <v>13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244</v>
      </c>
      <c r="E254" s="6" t="s">
        <v>388</v>
      </c>
      <c r="F254" s="6" t="s">
        <v>387</v>
      </c>
      <c r="G254" s="6" t="s">
        <v>231</v>
      </c>
      <c r="H254" s="4">
        <v>23835400</v>
      </c>
      <c r="I254" s="6">
        <f t="shared" ca="1" si="16"/>
        <v>10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244</v>
      </c>
      <c r="E255" s="6" t="s">
        <v>390</v>
      </c>
      <c r="F255" s="6" t="s">
        <v>389</v>
      </c>
      <c r="G255" s="6" t="s">
        <v>231</v>
      </c>
      <c r="H255" s="4">
        <v>8708400</v>
      </c>
      <c r="I255" s="6">
        <f t="shared" ref="I255:I318" ca="1" si="20">IF(C255="","",IF(L255="",TODAY()-C255,L255-C255))</f>
        <v>10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228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395</v>
      </c>
      <c r="F257" s="6" t="s">
        <v>392</v>
      </c>
      <c r="G257" s="6" t="s">
        <v>393</v>
      </c>
      <c r="H257" s="4">
        <v>3281000</v>
      </c>
      <c r="I257" s="6">
        <f t="shared" ca="1" si="20"/>
        <v>9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219</v>
      </c>
      <c r="F258" s="23" t="s">
        <v>399</v>
      </c>
      <c r="G258" s="6" t="s">
        <v>418</v>
      </c>
      <c r="H258" s="4">
        <v>4290000</v>
      </c>
      <c r="I258" s="6">
        <f t="shared" ca="1" si="20"/>
        <v>10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396</v>
      </c>
      <c r="F259" s="23" t="s">
        <v>400</v>
      </c>
      <c r="G259" s="6" t="s">
        <v>418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401</v>
      </c>
      <c r="G260" s="6" t="s">
        <v>418</v>
      </c>
      <c r="H260" s="4">
        <v>465000</v>
      </c>
      <c r="I260" s="6">
        <f t="shared" ca="1" si="20"/>
        <v>10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127</v>
      </c>
      <c r="F261" s="23" t="s">
        <v>402</v>
      </c>
      <c r="G261" s="6" t="s">
        <v>418</v>
      </c>
      <c r="H261" s="4">
        <v>5765500</v>
      </c>
      <c r="I261" s="6">
        <f t="shared" ca="1" si="20"/>
        <v>10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121</v>
      </c>
      <c r="F262" s="23" t="s">
        <v>403</v>
      </c>
      <c r="G262" s="6" t="s">
        <v>418</v>
      </c>
      <c r="H262" s="4">
        <v>222000</v>
      </c>
      <c r="I262" s="6">
        <f t="shared" ca="1" si="20"/>
        <v>10</v>
      </c>
      <c r="J262" s="13" t="str">
        <f t="shared" ca="1" si="21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208</v>
      </c>
      <c r="F263" s="23" t="s">
        <v>404</v>
      </c>
      <c r="G263" s="6" t="s">
        <v>418</v>
      </c>
      <c r="H263" s="4">
        <v>1866000</v>
      </c>
      <c r="I263" s="6">
        <f t="shared" ca="1" si="20"/>
        <v>10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180</v>
      </c>
      <c r="F264" s="23" t="s">
        <v>405</v>
      </c>
      <c r="G264" s="6" t="s">
        <v>418</v>
      </c>
      <c r="H264" s="4">
        <v>798500</v>
      </c>
      <c r="I264" s="6">
        <f t="shared" ca="1" si="20"/>
        <v>10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397</v>
      </c>
      <c r="F265" s="23" t="s">
        <v>406</v>
      </c>
      <c r="G265" s="6" t="s">
        <v>418</v>
      </c>
      <c r="H265" s="4">
        <v>5442500</v>
      </c>
      <c r="I265" s="6">
        <f t="shared" ca="1" si="20"/>
        <v>10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209</v>
      </c>
      <c r="F266" s="23" t="s">
        <v>407</v>
      </c>
      <c r="G266" s="6" t="s">
        <v>418</v>
      </c>
      <c r="H266" s="4">
        <v>2969500</v>
      </c>
      <c r="I266" s="6">
        <f t="shared" ca="1" si="20"/>
        <v>10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196</v>
      </c>
      <c r="F267" s="23" t="s">
        <v>408</v>
      </c>
      <c r="G267" s="6" t="s">
        <v>418</v>
      </c>
      <c r="H267" s="4">
        <v>10451300</v>
      </c>
      <c r="I267" s="6">
        <f t="shared" ca="1" si="20"/>
        <v>10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31" si="22">IF(G268="","",IF(OR(G268="선급금",G268="중도금",G268="잔금"),"A",IF(G268="자재","B",IF(G268="특허료","C",""))))</f>
        <v>B</v>
      </c>
      <c r="E268" s="6" t="s">
        <v>109</v>
      </c>
      <c r="F268" s="23" t="s">
        <v>409</v>
      </c>
      <c r="G268" s="6" t="s">
        <v>418</v>
      </c>
      <c r="H268" s="4">
        <v>2250000</v>
      </c>
      <c r="I268" s="6">
        <f t="shared" ca="1" si="20"/>
        <v>10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127</v>
      </c>
      <c r="F269" s="23" t="s">
        <v>410</v>
      </c>
      <c r="G269" s="6" t="s">
        <v>418</v>
      </c>
      <c r="H269" s="4">
        <v>2711000</v>
      </c>
      <c r="I269" s="6">
        <f t="shared" ca="1" si="20"/>
        <v>9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127</v>
      </c>
      <c r="F270" s="23" t="s">
        <v>411</v>
      </c>
      <c r="G270" s="6" t="s">
        <v>418</v>
      </c>
      <c r="H270" s="4">
        <v>10539000</v>
      </c>
      <c r="I270" s="6">
        <f t="shared" ca="1" si="20"/>
        <v>9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398</v>
      </c>
      <c r="F271" s="23" t="s">
        <v>412</v>
      </c>
      <c r="G271" s="6" t="s">
        <v>418</v>
      </c>
      <c r="H271" s="4">
        <v>1021000</v>
      </c>
      <c r="I271" s="6">
        <f t="shared" ca="1" si="20"/>
        <v>9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413</v>
      </c>
      <c r="G272" s="6" t="s">
        <v>418</v>
      </c>
      <c r="H272" s="4">
        <v>427800</v>
      </c>
      <c r="I272" s="6">
        <f t="shared" ca="1" si="20"/>
        <v>9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219</v>
      </c>
      <c r="F273" s="23" t="s">
        <v>414</v>
      </c>
      <c r="G273" s="6" t="s">
        <v>418</v>
      </c>
      <c r="H273" s="4">
        <v>1180000</v>
      </c>
      <c r="I273" s="6">
        <f t="shared" ca="1" si="20"/>
        <v>9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209</v>
      </c>
      <c r="F274" s="23" t="s">
        <v>415</v>
      </c>
      <c r="G274" s="6" t="s">
        <v>418</v>
      </c>
      <c r="H274" s="4">
        <v>4520000</v>
      </c>
      <c r="I274" s="6">
        <f t="shared" ca="1" si="20"/>
        <v>9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127</v>
      </c>
      <c r="F275" s="23" t="s">
        <v>416</v>
      </c>
      <c r="G275" s="6" t="s">
        <v>418</v>
      </c>
      <c r="H275" s="4">
        <v>157000</v>
      </c>
      <c r="I275" s="6">
        <f t="shared" ca="1" si="20"/>
        <v>9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223</v>
      </c>
      <c r="F276" s="23" t="s">
        <v>417</v>
      </c>
      <c r="G276" s="6" t="s">
        <v>418</v>
      </c>
      <c r="H276" s="4">
        <v>2380000</v>
      </c>
      <c r="I276" s="6">
        <f t="shared" ca="1" si="20"/>
        <v>9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244</v>
      </c>
      <c r="E277" s="6" t="s">
        <v>424</v>
      </c>
      <c r="F277" s="6" t="s">
        <v>423</v>
      </c>
      <c r="G277" s="6" t="s">
        <v>425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244</v>
      </c>
      <c r="E278" s="6" t="s">
        <v>426</v>
      </c>
      <c r="F278" s="6" t="s">
        <v>427</v>
      </c>
      <c r="G278" s="6" t="s">
        <v>425</v>
      </c>
      <c r="H278" s="4">
        <v>2878800</v>
      </c>
      <c r="I278" s="6">
        <f t="shared" ca="1" si="20"/>
        <v>7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179</v>
      </c>
      <c r="E279" s="6" t="s">
        <v>207</v>
      </c>
      <c r="F279" s="6" t="s">
        <v>212</v>
      </c>
      <c r="G279" s="6" t="s">
        <v>438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179</v>
      </c>
      <c r="E280" s="6" t="s">
        <v>127</v>
      </c>
      <c r="F280" s="6" t="s">
        <v>428</v>
      </c>
      <c r="G280" s="6" t="s">
        <v>438</v>
      </c>
      <c r="H280" s="4">
        <v>4748300</v>
      </c>
      <c r="I280" s="6">
        <f t="shared" ca="1" si="20"/>
        <v>8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179</v>
      </c>
      <c r="E281" s="6" t="s">
        <v>105</v>
      </c>
      <c r="F281" s="6" t="s">
        <v>429</v>
      </c>
      <c r="G281" s="6" t="s">
        <v>438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179</v>
      </c>
      <c r="E282" s="6" t="s">
        <v>127</v>
      </c>
      <c r="F282" s="6" t="s">
        <v>430</v>
      </c>
      <c r="G282" s="6" t="s">
        <v>438</v>
      </c>
      <c r="H282" s="4">
        <v>1414500</v>
      </c>
      <c r="I282" s="6">
        <f t="shared" ca="1" si="20"/>
        <v>8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179</v>
      </c>
      <c r="E283" s="6" t="s">
        <v>250</v>
      </c>
      <c r="F283" s="6" t="s">
        <v>431</v>
      </c>
      <c r="G283" s="6" t="s">
        <v>438</v>
      </c>
      <c r="H283" s="4">
        <v>936000</v>
      </c>
      <c r="I283" s="6">
        <f t="shared" ca="1" si="20"/>
        <v>8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179</v>
      </c>
      <c r="E284" s="6" t="s">
        <v>127</v>
      </c>
      <c r="F284" s="6" t="s">
        <v>432</v>
      </c>
      <c r="G284" s="6" t="s">
        <v>438</v>
      </c>
      <c r="H284" s="4">
        <v>8336500</v>
      </c>
      <c r="I284" s="6">
        <f t="shared" ca="1" si="20"/>
        <v>8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179</v>
      </c>
      <c r="E285" s="6" t="s">
        <v>127</v>
      </c>
      <c r="F285" s="6" t="s">
        <v>433</v>
      </c>
      <c r="G285" s="6" t="s">
        <v>438</v>
      </c>
      <c r="H285" s="4">
        <v>555000</v>
      </c>
      <c r="I285" s="6">
        <f t="shared" ca="1" si="20"/>
        <v>8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179</v>
      </c>
      <c r="E286" s="6" t="s">
        <v>208</v>
      </c>
      <c r="F286" s="6" t="s">
        <v>434</v>
      </c>
      <c r="G286" s="6" t="s">
        <v>438</v>
      </c>
      <c r="H286" s="4">
        <v>508400</v>
      </c>
      <c r="I286" s="6">
        <f t="shared" ca="1" si="20"/>
        <v>8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179</v>
      </c>
      <c r="E287" s="6" t="s">
        <v>437</v>
      </c>
      <c r="F287" s="6" t="s">
        <v>435</v>
      </c>
      <c r="G287" s="6" t="s">
        <v>438</v>
      </c>
      <c r="H287" s="4">
        <v>6771000</v>
      </c>
      <c r="I287" s="6">
        <f t="shared" ca="1" si="20"/>
        <v>8</v>
      </c>
      <c r="J287" s="13" t="str">
        <f t="shared" ref="J287:J312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179</v>
      </c>
      <c r="E288" s="6" t="s">
        <v>24</v>
      </c>
      <c r="F288" s="6" t="s">
        <v>436</v>
      </c>
      <c r="G288" s="6" t="s">
        <v>438</v>
      </c>
      <c r="H288" s="4">
        <v>2997000</v>
      </c>
      <c r="I288" s="6">
        <f t="shared" ca="1" si="20"/>
        <v>8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440</v>
      </c>
      <c r="E289" s="6" t="s">
        <v>235</v>
      </c>
      <c r="F289" s="6" t="s">
        <v>233</v>
      </c>
      <c r="G289" s="6" t="s">
        <v>441</v>
      </c>
      <c r="H289" s="4">
        <v>30186600</v>
      </c>
      <c r="I289" s="6">
        <f t="shared" ca="1" si="20"/>
        <v>8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467</v>
      </c>
      <c r="D290" s="10" t="str">
        <f t="shared" si="22"/>
        <v>B</v>
      </c>
      <c r="E290" s="6" t="s">
        <v>220</v>
      </c>
      <c r="F290" s="23" t="s">
        <v>442</v>
      </c>
      <c r="G290" s="6" t="s">
        <v>461</v>
      </c>
      <c r="H290" s="25">
        <v>111000</v>
      </c>
      <c r="I290" s="6">
        <f t="shared" ca="1" si="20"/>
        <v>7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467</v>
      </c>
      <c r="D291" s="10" t="str">
        <f t="shared" si="22"/>
        <v>B</v>
      </c>
      <c r="E291" s="6" t="s">
        <v>222</v>
      </c>
      <c r="F291" s="23" t="s">
        <v>443</v>
      </c>
      <c r="G291" s="6" t="s">
        <v>461</v>
      </c>
      <c r="H291" s="25">
        <v>1135000</v>
      </c>
      <c r="I291" s="6">
        <f t="shared" ca="1" si="20"/>
        <v>7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467</v>
      </c>
      <c r="D292" s="10" t="str">
        <f t="shared" si="22"/>
        <v>B</v>
      </c>
      <c r="E292" s="6" t="s">
        <v>250</v>
      </c>
      <c r="F292" s="23" t="s">
        <v>444</v>
      </c>
      <c r="G292" s="6" t="s">
        <v>461</v>
      </c>
      <c r="H292" s="25">
        <v>14380000</v>
      </c>
      <c r="I292" s="6">
        <f t="shared" ca="1" si="20"/>
        <v>7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467</v>
      </c>
      <c r="D293" s="10" t="str">
        <f t="shared" si="22"/>
        <v>B</v>
      </c>
      <c r="E293" s="6" t="s">
        <v>222</v>
      </c>
      <c r="F293" s="23" t="s">
        <v>443</v>
      </c>
      <c r="G293" s="6" t="s">
        <v>461</v>
      </c>
      <c r="H293" s="25">
        <v>4895400</v>
      </c>
      <c r="I293" s="6">
        <f t="shared" ca="1" si="20"/>
        <v>7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467</v>
      </c>
      <c r="D294" s="10" t="str">
        <f t="shared" si="22"/>
        <v>B</v>
      </c>
      <c r="E294" s="6" t="s">
        <v>210</v>
      </c>
      <c r="F294" s="23" t="s">
        <v>445</v>
      </c>
      <c r="G294" s="6" t="s">
        <v>461</v>
      </c>
      <c r="H294" s="25">
        <v>5473000</v>
      </c>
      <c r="I294" s="6">
        <f t="shared" ca="1" si="20"/>
        <v>7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467</v>
      </c>
      <c r="D295" s="10" t="str">
        <f t="shared" si="22"/>
        <v>B</v>
      </c>
      <c r="E295" s="6" t="s">
        <v>24</v>
      </c>
      <c r="F295" s="23" t="s">
        <v>446</v>
      </c>
      <c r="G295" s="6" t="s">
        <v>461</v>
      </c>
      <c r="H295" s="25">
        <v>52914000</v>
      </c>
      <c r="I295" s="6">
        <f t="shared" ca="1" si="20"/>
        <v>7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467</v>
      </c>
      <c r="D296" s="10" t="str">
        <f t="shared" si="22"/>
        <v>B</v>
      </c>
      <c r="E296" s="6" t="s">
        <v>69</v>
      </c>
      <c r="F296" s="23" t="s">
        <v>447</v>
      </c>
      <c r="G296" s="6" t="s">
        <v>461</v>
      </c>
      <c r="H296" s="25">
        <v>427500</v>
      </c>
      <c r="I296" s="6">
        <f t="shared" ca="1" si="20"/>
        <v>7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467</v>
      </c>
      <c r="D297" s="10" t="str">
        <f t="shared" si="22"/>
        <v>B</v>
      </c>
      <c r="E297" s="6" t="s">
        <v>196</v>
      </c>
      <c r="F297" s="23" t="s">
        <v>448</v>
      </c>
      <c r="G297" s="6" t="s">
        <v>461</v>
      </c>
      <c r="H297" s="25">
        <v>5032500</v>
      </c>
      <c r="I297" s="6">
        <f t="shared" ca="1" si="20"/>
        <v>7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467</v>
      </c>
      <c r="D298" s="10" t="str">
        <f t="shared" si="22"/>
        <v>B</v>
      </c>
      <c r="E298" s="6" t="s">
        <v>56</v>
      </c>
      <c r="F298" s="23" t="s">
        <v>449</v>
      </c>
      <c r="G298" s="6" t="s">
        <v>461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467</v>
      </c>
      <c r="D299" s="10" t="str">
        <f t="shared" si="22"/>
        <v>B</v>
      </c>
      <c r="E299" s="6" t="s">
        <v>462</v>
      </c>
      <c r="F299" s="23" t="s">
        <v>450</v>
      </c>
      <c r="G299" s="6" t="s">
        <v>461</v>
      </c>
      <c r="H299" s="25">
        <v>2884600</v>
      </c>
      <c r="I299" s="6">
        <f t="shared" ca="1" si="20"/>
        <v>7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467</v>
      </c>
      <c r="D300" s="10" t="str">
        <f t="shared" si="22"/>
        <v>B</v>
      </c>
      <c r="E300" s="6" t="s">
        <v>98</v>
      </c>
      <c r="F300" s="23" t="s">
        <v>451</v>
      </c>
      <c r="G300" s="6" t="s">
        <v>461</v>
      </c>
      <c r="H300" s="25">
        <v>180000</v>
      </c>
      <c r="I300" s="6">
        <f t="shared" ca="1" si="20"/>
        <v>7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467</v>
      </c>
      <c r="D301" s="10" t="str">
        <f t="shared" si="22"/>
        <v>B</v>
      </c>
      <c r="E301" s="6" t="s">
        <v>127</v>
      </c>
      <c r="F301" s="23" t="s">
        <v>452</v>
      </c>
      <c r="G301" s="6" t="s">
        <v>461</v>
      </c>
      <c r="H301" s="25">
        <v>24591000</v>
      </c>
      <c r="I301" s="6">
        <f t="shared" ca="1" si="20"/>
        <v>7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467</v>
      </c>
      <c r="D302" s="10" t="str">
        <f t="shared" si="22"/>
        <v>B</v>
      </c>
      <c r="E302" s="6" t="s">
        <v>209</v>
      </c>
      <c r="F302" s="23" t="s">
        <v>453</v>
      </c>
      <c r="G302" s="6" t="s">
        <v>461</v>
      </c>
      <c r="H302" s="25">
        <v>3390000</v>
      </c>
      <c r="I302" s="6">
        <f t="shared" ca="1" si="20"/>
        <v>7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467</v>
      </c>
      <c r="D303" s="10" t="str">
        <f t="shared" si="22"/>
        <v>B</v>
      </c>
      <c r="E303" s="6" t="s">
        <v>223</v>
      </c>
      <c r="F303" s="23" t="s">
        <v>454</v>
      </c>
      <c r="G303" s="6" t="s">
        <v>461</v>
      </c>
      <c r="H303" s="25">
        <v>4637500</v>
      </c>
      <c r="I303" s="6">
        <f t="shared" ca="1" si="20"/>
        <v>7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468</v>
      </c>
      <c r="D304" s="10" t="str">
        <f t="shared" si="22"/>
        <v>B</v>
      </c>
      <c r="E304" s="6" t="s">
        <v>81</v>
      </c>
      <c r="F304" s="23" t="s">
        <v>455</v>
      </c>
      <c r="G304" s="6" t="s">
        <v>461</v>
      </c>
      <c r="H304" s="25">
        <v>121500</v>
      </c>
      <c r="I304" s="6">
        <f t="shared" ca="1" si="20"/>
        <v>6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468</v>
      </c>
      <c r="D305" s="10" t="str">
        <f t="shared" si="22"/>
        <v>B</v>
      </c>
      <c r="E305" s="6" t="s">
        <v>463</v>
      </c>
      <c r="F305" s="23" t="s">
        <v>456</v>
      </c>
      <c r="G305" s="6" t="s">
        <v>461</v>
      </c>
      <c r="H305" s="25">
        <v>13647200</v>
      </c>
      <c r="I305" s="6">
        <f t="shared" ca="1" si="20"/>
        <v>6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468</v>
      </c>
      <c r="D306" s="10" t="str">
        <f t="shared" si="22"/>
        <v>B</v>
      </c>
      <c r="E306" s="6" t="s">
        <v>109</v>
      </c>
      <c r="F306" s="23" t="s">
        <v>457</v>
      </c>
      <c r="G306" s="6" t="s">
        <v>461</v>
      </c>
      <c r="H306" s="25">
        <v>1810000</v>
      </c>
      <c r="I306" s="6">
        <f t="shared" ca="1" si="20"/>
        <v>6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468</v>
      </c>
      <c r="D307" s="10" t="str">
        <f t="shared" si="22"/>
        <v>B</v>
      </c>
      <c r="E307" s="6" t="s">
        <v>109</v>
      </c>
      <c r="F307" s="23" t="s">
        <v>457</v>
      </c>
      <c r="G307" s="6" t="s">
        <v>461</v>
      </c>
      <c r="H307" s="25">
        <v>33000000</v>
      </c>
      <c r="I307" s="6">
        <f t="shared" ca="1" si="20"/>
        <v>6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468</v>
      </c>
      <c r="D308" s="10" t="str">
        <f t="shared" si="22"/>
        <v>B</v>
      </c>
      <c r="E308" s="6" t="s">
        <v>464</v>
      </c>
      <c r="F308" s="23" t="s">
        <v>458</v>
      </c>
      <c r="G308" s="6" t="s">
        <v>461</v>
      </c>
      <c r="H308" s="25">
        <v>548000</v>
      </c>
      <c r="I308" s="6">
        <f t="shared" ca="1" si="20"/>
        <v>6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469</v>
      </c>
      <c r="D309" s="10" t="str">
        <f>IF(G310="","",IF(OR(G310="선급금",G310="중도금",G310="잔금"),"A",IF(G310="자재","B",IF(G310="특허료","C",""))))</f>
        <v>B</v>
      </c>
      <c r="E309" s="6" t="s">
        <v>465</v>
      </c>
      <c r="F309" s="23" t="s">
        <v>459</v>
      </c>
      <c r="G309" s="6" t="s">
        <v>461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469</v>
      </c>
      <c r="D310" s="10" t="s">
        <v>179</v>
      </c>
      <c r="E310" s="6" t="s">
        <v>466</v>
      </c>
      <c r="F310" s="23" t="s">
        <v>460</v>
      </c>
      <c r="G310" s="6" t="s">
        <v>461</v>
      </c>
      <c r="H310" s="25">
        <v>35839300</v>
      </c>
      <c r="I310" s="6">
        <f t="shared" ca="1" si="20"/>
        <v>3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244</v>
      </c>
      <c r="E311" s="6" t="s">
        <v>473</v>
      </c>
      <c r="F311" s="6" t="s">
        <v>470</v>
      </c>
      <c r="G311" s="6" t="s">
        <v>472</v>
      </c>
      <c r="H311" s="4">
        <v>109031200</v>
      </c>
      <c r="I311" s="6">
        <f t="shared" ca="1" si="20"/>
        <v>3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>
        <v>46111</v>
      </c>
      <c r="D312" s="10" t="s">
        <v>244</v>
      </c>
      <c r="E312" s="6" t="s">
        <v>474</v>
      </c>
      <c r="F312" s="6" t="s">
        <v>471</v>
      </c>
      <c r="G312" s="6" t="s">
        <v>472</v>
      </c>
      <c r="H312" s="4">
        <v>27388000</v>
      </c>
      <c r="I312" s="6">
        <f t="shared" ca="1" si="20"/>
        <v>3</v>
      </c>
      <c r="J312" s="13" t="str">
        <f t="shared" ca="1" si="23"/>
        <v>정상</v>
      </c>
      <c r="K312" s="11"/>
      <c r="L312" s="11"/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22"/>
        <v/>
      </c>
      <c r="H313" s="4"/>
      <c r="I313" s="6" t="str">
        <f t="shared" ca="1" si="20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22"/>
        <v/>
      </c>
      <c r="H314" s="4"/>
      <c r="I314" s="6" t="str">
        <f t="shared" ca="1" si="20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22"/>
        <v/>
      </c>
      <c r="H315" s="4"/>
      <c r="I315" s="6" t="str">
        <f t="shared" ca="1" si="20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22"/>
        <v/>
      </c>
      <c r="H316" s="4"/>
      <c r="I316" s="6" t="str">
        <f t="shared" ca="1" si="20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22"/>
        <v/>
      </c>
      <c r="H317" s="4"/>
      <c r="I317" s="6" t="str">
        <f t="shared" ca="1" si="20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22"/>
        <v/>
      </c>
      <c r="H318" s="4"/>
      <c r="I318" s="6" t="str">
        <f t="shared" ca="1" si="20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22"/>
        <v/>
      </c>
      <c r="H319" s="4"/>
      <c r="I319" s="6" t="str">
        <f t="shared" ref="I319:I382" ca="1" si="24">IF(C319="","",IF(L319="",TODAY()-C319,L319-C319))</f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22"/>
        <v/>
      </c>
      <c r="H320" s="4"/>
      <c r="I320" s="6" t="str">
        <f t="shared" ca="1" si="24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22"/>
        <v/>
      </c>
      <c r="H321" s="4"/>
      <c r="I321" s="6" t="str">
        <f t="shared" ca="1" si="24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22"/>
        <v/>
      </c>
      <c r="H322" s="4"/>
      <c r="I322" s="6" t="str">
        <f t="shared" ca="1" si="24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22"/>
        <v/>
      </c>
      <c r="H323" s="4"/>
      <c r="I323" s="6" t="str">
        <f t="shared" ca="1" si="24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22"/>
        <v/>
      </c>
      <c r="H324" s="4"/>
      <c r="I324" s="6" t="str">
        <f t="shared" ca="1" si="24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22"/>
        <v/>
      </c>
      <c r="H325" s="4"/>
      <c r="I325" s="6" t="str">
        <f t="shared" ca="1" si="24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22"/>
        <v/>
      </c>
      <c r="H326" s="4"/>
      <c r="I326" s="6" t="str">
        <f t="shared" ca="1" si="24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22"/>
        <v/>
      </c>
      <c r="H327" s="4"/>
      <c r="I327" s="6" t="str">
        <f t="shared" ca="1" si="24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22"/>
        <v/>
      </c>
      <c r="H328" s="4"/>
      <c r="I328" s="6" t="str">
        <f t="shared" ca="1" si="24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22"/>
        <v/>
      </c>
      <c r="H329" s="4"/>
      <c r="I329" s="6" t="str">
        <f t="shared" ca="1" si="24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22"/>
        <v/>
      </c>
      <c r="H330" s="4"/>
      <c r="I330" s="6" t="str">
        <f t="shared" ca="1" si="24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22"/>
        <v/>
      </c>
      <c r="H331" s="4"/>
      <c r="I331" s="6" t="str">
        <f t="shared" ca="1" si="24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25">IF(G332="","",IF(OR(G332="선급금",G332="중도금",G332="잔금"),"A",IF(G332="자재","B",IF(G332="특허료","C",""))))</f>
        <v/>
      </c>
      <c r="H332" s="4"/>
      <c r="I332" s="6" t="str">
        <f t="shared" ca="1" si="24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5"/>
        <v/>
      </c>
      <c r="H333" s="4"/>
      <c r="I333" s="6" t="str">
        <f t="shared" ca="1" si="24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5"/>
        <v/>
      </c>
      <c r="H334" s="4"/>
      <c r="I334" s="6" t="str">
        <f t="shared" ca="1" si="24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5"/>
        <v/>
      </c>
      <c r="H335" s="4"/>
      <c r="I335" s="6" t="str">
        <f t="shared" ca="1" si="24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5"/>
        <v/>
      </c>
      <c r="H336" s="4"/>
      <c r="I336" s="6" t="str">
        <f t="shared" ca="1" si="24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5"/>
        <v/>
      </c>
      <c r="H337" s="4"/>
      <c r="I337" s="6" t="str">
        <f t="shared" ca="1" si="24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5"/>
        <v/>
      </c>
      <c r="H338" s="4"/>
      <c r="I338" s="6" t="str">
        <f t="shared" ca="1" si="24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5"/>
        <v/>
      </c>
      <c r="H339" s="4"/>
      <c r="I339" s="6" t="str">
        <f t="shared" ca="1" si="24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5"/>
        <v/>
      </c>
      <c r="H340" s="4"/>
      <c r="I340" s="6" t="str">
        <f t="shared" ca="1" si="24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5"/>
        <v/>
      </c>
      <c r="H341" s="4"/>
      <c r="I341" s="6" t="str">
        <f t="shared" ca="1" si="24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5"/>
        <v/>
      </c>
      <c r="H342" s="4"/>
      <c r="I342" s="6" t="str">
        <f t="shared" ca="1" si="24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5"/>
        <v/>
      </c>
      <c r="H343" s="4"/>
      <c r="I343" s="6" t="str">
        <f t="shared" ca="1" si="24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5"/>
        <v/>
      </c>
      <c r="H344" s="4"/>
      <c r="I344" s="6" t="str">
        <f t="shared" ca="1" si="24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5"/>
        <v/>
      </c>
      <c r="H345" s="4"/>
      <c r="I345" s="6" t="str">
        <f t="shared" ca="1" si="24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5"/>
        <v/>
      </c>
      <c r="H346" s="4"/>
      <c r="I346" s="6" t="str">
        <f t="shared" ca="1" si="24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5"/>
        <v/>
      </c>
      <c r="H347" s="4"/>
      <c r="I347" s="6" t="str">
        <f t="shared" ca="1" si="24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5"/>
        <v/>
      </c>
      <c r="H348" s="4"/>
      <c r="I348" s="6" t="str">
        <f t="shared" ca="1" si="24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5"/>
        <v/>
      </c>
      <c r="H349" s="4"/>
      <c r="I349" s="6" t="str">
        <f t="shared" ca="1" si="24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5"/>
        <v/>
      </c>
      <c r="H350" s="4"/>
      <c r="I350" s="6" t="str">
        <f t="shared" ca="1" si="24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5"/>
        <v/>
      </c>
      <c r="H351" s="4"/>
      <c r="I351" s="6" t="str">
        <f t="shared" ca="1" si="24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5"/>
        <v/>
      </c>
      <c r="H352" s="4"/>
      <c r="I352" s="6" t="str">
        <f t="shared" ca="1" si="24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5"/>
        <v/>
      </c>
      <c r="H353" s="4"/>
      <c r="I353" s="6" t="str">
        <f t="shared" ca="1" si="24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5"/>
        <v/>
      </c>
      <c r="H354" s="4"/>
      <c r="I354" s="6" t="str">
        <f t="shared" ca="1" si="24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5"/>
        <v/>
      </c>
      <c r="H355" s="4"/>
      <c r="I355" s="6" t="str">
        <f t="shared" ca="1" si="24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5"/>
        <v/>
      </c>
      <c r="H356" s="4"/>
      <c r="I356" s="6" t="str">
        <f t="shared" ca="1" si="24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5"/>
        <v/>
      </c>
      <c r="H357" s="4"/>
      <c r="I357" s="6" t="str">
        <f t="shared" ca="1" si="24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5"/>
        <v/>
      </c>
      <c r="H358" s="4"/>
      <c r="I358" s="6" t="str">
        <f t="shared" ca="1" si="24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5"/>
        <v/>
      </c>
      <c r="H359" s="4"/>
      <c r="I359" s="6" t="str">
        <f t="shared" ca="1" si="24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5"/>
        <v/>
      </c>
      <c r="H360" s="4"/>
      <c r="I360" s="6" t="str">
        <f t="shared" ca="1" si="24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5"/>
        <v/>
      </c>
      <c r="H361" s="4"/>
      <c r="I361" s="6" t="str">
        <f t="shared" ca="1" si="24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5"/>
        <v/>
      </c>
      <c r="H362" s="4"/>
      <c r="I362" s="6" t="str">
        <f t="shared" ca="1" si="24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5"/>
        <v/>
      </c>
      <c r="H363" s="4"/>
      <c r="I363" s="6" t="str">
        <f t="shared" ca="1" si="24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5"/>
        <v/>
      </c>
      <c r="H364" s="4"/>
      <c r="I364" s="6" t="str">
        <f t="shared" ca="1" si="24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5"/>
        <v/>
      </c>
      <c r="H365" s="4"/>
      <c r="I365" s="6" t="str">
        <f t="shared" ca="1" si="24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5"/>
        <v/>
      </c>
      <c r="H366" s="4"/>
      <c r="I366" s="6" t="str">
        <f t="shared" ca="1" si="24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5"/>
        <v/>
      </c>
      <c r="H367" s="4"/>
      <c r="I367" s="6" t="str">
        <f t="shared" ca="1" si="24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5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5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5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5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5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5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5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5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5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5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5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5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5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5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5"/>
        <v/>
      </c>
      <c r="H382" s="4"/>
      <c r="I382" s="6" t="str">
        <f t="shared" ca="1" si="24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5"/>
        <v/>
      </c>
      <c r="H383" s="4"/>
      <c r="I383" s="6" t="str">
        <f t="shared" ref="I383:I406" ca="1" si="26">IF(C383="","",IF(L383="",TODAY()-C383,L383-C383))</f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5"/>
        <v/>
      </c>
      <c r="H384" s="4"/>
      <c r="I384" s="6" t="str">
        <f t="shared" ca="1" si="26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5"/>
        <v/>
      </c>
      <c r="H385" s="4"/>
      <c r="I385" s="6" t="str">
        <f t="shared" ca="1" si="26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5"/>
        <v/>
      </c>
      <c r="H386" s="4"/>
      <c r="I386" s="6" t="str">
        <f t="shared" ca="1" si="26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5"/>
        <v/>
      </c>
      <c r="H387" s="4"/>
      <c r="I387" s="6" t="str">
        <f t="shared" ca="1" si="26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5"/>
        <v/>
      </c>
      <c r="H388" s="4"/>
      <c r="I388" s="6" t="str">
        <f t="shared" ca="1" si="26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5"/>
        <v/>
      </c>
      <c r="H389" s="4"/>
      <c r="I389" s="6" t="str">
        <f t="shared" ca="1" si="26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5"/>
        <v/>
      </c>
      <c r="H390" s="4"/>
      <c r="I390" s="6" t="str">
        <f t="shared" ca="1" si="26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5"/>
        <v/>
      </c>
      <c r="H391" s="4"/>
      <c r="I391" s="6" t="str">
        <f t="shared" ca="1" si="26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5"/>
        <v/>
      </c>
      <c r="H392" s="4"/>
      <c r="I392" s="6" t="str">
        <f t="shared" ca="1" si="26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5"/>
        <v/>
      </c>
      <c r="H393" s="4"/>
      <c r="I393" s="6" t="str">
        <f t="shared" ca="1" si="26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5"/>
        <v/>
      </c>
      <c r="H394" s="4"/>
      <c r="I394" s="6" t="str">
        <f t="shared" ca="1" si="26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25"/>
        <v/>
      </c>
      <c r="H395" s="4"/>
      <c r="I395" s="6" t="str">
        <f t="shared" ca="1" si="26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7">IF(G396="","",IF(OR(G396="선급금",G396="중도금",G396="잔금"),"A",IF(G396="자재","B",IF(G396="특허료","C",""))))</f>
        <v/>
      </c>
      <c r="H396" s="4"/>
      <c r="I396" s="6" t="str">
        <f t="shared" ca="1" si="26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7"/>
        <v/>
      </c>
      <c r="H397" s="4"/>
      <c r="I397" s="6" t="str">
        <f t="shared" ca="1" si="26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7"/>
        <v/>
      </c>
      <c r="H398" s="4"/>
      <c r="I398" s="6" t="str">
        <f t="shared" ca="1" si="26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7"/>
        <v/>
      </c>
      <c r="H399" s="4"/>
      <c r="I399" s="6" t="str">
        <f t="shared" ca="1" si="26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7"/>
        <v/>
      </c>
      <c r="H400" s="4"/>
      <c r="I400" s="6" t="str">
        <f t="shared" ca="1" si="26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7"/>
        <v/>
      </c>
      <c r="H401" s="4"/>
      <c r="I401" s="6" t="str">
        <f t="shared" ca="1" si="26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7"/>
        <v/>
      </c>
      <c r="H402" s="4"/>
      <c r="I402" s="6" t="str">
        <f t="shared" ca="1" si="26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7"/>
        <v/>
      </c>
      <c r="I403" s="1" t="str">
        <f t="shared" ca="1" si="26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7"/>
        <v/>
      </c>
      <c r="I404" s="1" t="str">
        <f t="shared" ca="1" si="26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7"/>
        <v/>
      </c>
      <c r="I405" s="1" t="str">
        <f t="shared" ca="1" si="26"/>
        <v/>
      </c>
      <c r="Q405" s="11"/>
      <c r="R405" s="11"/>
    </row>
    <row r="406" spans="2:19">
      <c r="B406" s="10"/>
      <c r="C406" s="11"/>
      <c r="D406" s="1" t="str">
        <f t="shared" si="27"/>
        <v/>
      </c>
      <c r="I406" s="1" t="str">
        <f t="shared" ca="1" si="26"/>
        <v/>
      </c>
      <c r="Q406" s="11"/>
      <c r="R406" s="11"/>
    </row>
    <row r="407" spans="2:19">
      <c r="B407" s="10"/>
      <c r="C407" s="11"/>
      <c r="D407" s="1" t="str">
        <f t="shared" si="27"/>
        <v/>
      </c>
      <c r="Q407" s="11"/>
      <c r="R407" s="11"/>
    </row>
    <row r="408" spans="2:19">
      <c r="B408" s="10"/>
      <c r="C408" s="11"/>
      <c r="D408" s="1" t="str">
        <f t="shared" si="27"/>
        <v/>
      </c>
      <c r="Q408" s="11"/>
      <c r="R408" s="11"/>
    </row>
    <row r="409" spans="2:19" ht="16.5" customHeight="1">
      <c r="C409" s="35"/>
      <c r="F409" s="38"/>
    </row>
  </sheetData>
  <autoFilter ref="A1:S408"/>
  <phoneticPr fontId="5" type="noConversion"/>
  <conditionalFormatting sqref="E3 F57:F60 E37">
    <cfRule type="expression" dxfId="89" priority="119">
      <formula>$J3="잔금"</formula>
    </cfRule>
  </conditionalFormatting>
  <conditionalFormatting sqref="E8">
    <cfRule type="expression" dxfId="88" priority="118">
      <formula>$J8="잔금"</formula>
    </cfRule>
  </conditionalFormatting>
  <conditionalFormatting sqref="E4">
    <cfRule type="expression" dxfId="87" priority="117">
      <formula>$J4="잔금"</formula>
    </cfRule>
  </conditionalFormatting>
  <conditionalFormatting sqref="E9">
    <cfRule type="expression" dxfId="86" priority="116">
      <formula>$J9="잔금"</formula>
    </cfRule>
  </conditionalFormatting>
  <conditionalFormatting sqref="E41">
    <cfRule type="expression" dxfId="85" priority="111">
      <formula>$J41="잔금"</formula>
    </cfRule>
  </conditionalFormatting>
  <conditionalFormatting sqref="E98:E99 E187:F193 H187:H193 F113 C187:C193">
    <cfRule type="expression" dxfId="84" priority="101">
      <formula>$J98="잔금"</formula>
    </cfRule>
  </conditionalFormatting>
  <conditionalFormatting sqref="F98:F99">
    <cfRule type="expression" dxfId="83" priority="100">
      <formula>$J98="잔금"</formula>
    </cfRule>
  </conditionalFormatting>
  <conditionalFormatting sqref="F104:F105">
    <cfRule type="expression" dxfId="82" priority="98">
      <formula>$J104="잔금"</formula>
    </cfRule>
  </conditionalFormatting>
  <conditionalFormatting sqref="H104:H105">
    <cfRule type="expression" dxfId="81" priority="97">
      <formula>$J104="잔금"</formula>
    </cfRule>
  </conditionalFormatting>
  <conditionalFormatting sqref="E106:E108">
    <cfRule type="expression" dxfId="80" priority="96">
      <formula>$J106="잔금"</formula>
    </cfRule>
  </conditionalFormatting>
  <conditionalFormatting sqref="F106:F108">
    <cfRule type="expression" dxfId="79" priority="95">
      <formula>$J106="잔금"</formula>
    </cfRule>
  </conditionalFormatting>
  <conditionalFormatting sqref="H106:H108">
    <cfRule type="expression" dxfId="78" priority="94">
      <formula>$J106="잔금"</formula>
    </cfRule>
  </conditionalFormatting>
  <conditionalFormatting sqref="E110">
    <cfRule type="expression" dxfId="77" priority="93">
      <formula>$J110="잔금"</formula>
    </cfRule>
  </conditionalFormatting>
  <conditionalFormatting sqref="F110">
    <cfRule type="expression" dxfId="76" priority="92">
      <formula>$J110="잔금"</formula>
    </cfRule>
  </conditionalFormatting>
  <conditionalFormatting sqref="E111:E113">
    <cfRule type="expression" dxfId="75" priority="91">
      <formula>$J111="잔금"</formula>
    </cfRule>
  </conditionalFormatting>
  <conditionalFormatting sqref="F111">
    <cfRule type="expression" dxfId="74" priority="90">
      <formula>$J111="잔금"</formula>
    </cfRule>
  </conditionalFormatting>
  <conditionalFormatting sqref="F112">
    <cfRule type="expression" dxfId="73" priority="89">
      <formula>$J112="잔금"</formula>
    </cfRule>
  </conditionalFormatting>
  <conditionalFormatting sqref="H111:H113">
    <cfRule type="expression" dxfId="72" priority="88">
      <formula>$J111="잔금"</formula>
    </cfRule>
  </conditionalFormatting>
  <conditionalFormatting sqref="C111:C113">
    <cfRule type="expression" dxfId="71" priority="87">
      <formula>$J111="잔금"</formula>
    </cfRule>
  </conditionalFormatting>
  <conditionalFormatting sqref="E117">
    <cfRule type="expression" dxfId="70" priority="86">
      <formula>$J117="잔금"</formula>
    </cfRule>
  </conditionalFormatting>
  <conditionalFormatting sqref="F117">
    <cfRule type="expression" dxfId="69" priority="85">
      <formula>$J117="잔금"</formula>
    </cfRule>
  </conditionalFormatting>
  <conditionalFormatting sqref="F143:F150">
    <cfRule type="expression" dxfId="68" priority="84">
      <formula>$J143="잔금"</formula>
    </cfRule>
  </conditionalFormatting>
  <conditionalFormatting sqref="E143:E150">
    <cfRule type="expression" dxfId="67" priority="83">
      <formula>$J143="잔금"</formula>
    </cfRule>
  </conditionalFormatting>
  <conditionalFormatting sqref="H143:H150">
    <cfRule type="expression" dxfId="66" priority="82">
      <formula>$J143="잔금"</formula>
    </cfRule>
  </conditionalFormatting>
  <conditionalFormatting sqref="E152:E158">
    <cfRule type="expression" dxfId="65" priority="80">
      <formula>$J152="잔금"</formula>
    </cfRule>
  </conditionalFormatting>
  <conditionalFormatting sqref="F152:F158">
    <cfRule type="expression" dxfId="64" priority="79">
      <formula>$J152="잔금"</formula>
    </cfRule>
  </conditionalFormatting>
  <conditionalFormatting sqref="C152:C158">
    <cfRule type="expression" dxfId="63" priority="78">
      <formula>$J152="잔금"</formula>
    </cfRule>
  </conditionalFormatting>
  <conditionalFormatting sqref="H152:H158">
    <cfRule type="expression" dxfId="62" priority="77">
      <formula>$J152="잔금"</formula>
    </cfRule>
  </conditionalFormatting>
  <conditionalFormatting sqref="C159">
    <cfRule type="expression" dxfId="61" priority="76">
      <formula>$I159="잔금"</formula>
    </cfRule>
  </conditionalFormatting>
  <conditionalFormatting sqref="F160:F163">
    <cfRule type="expression" dxfId="60" priority="75">
      <formula>$J160="잔금"</formula>
    </cfRule>
  </conditionalFormatting>
  <conditionalFormatting sqref="E160:E163">
    <cfRule type="expression" dxfId="59" priority="74">
      <formula>$J160="잔금"</formula>
    </cfRule>
  </conditionalFormatting>
  <conditionalFormatting sqref="C160:C166">
    <cfRule type="expression" dxfId="58" priority="73">
      <formula>$J160="잔금"</formula>
    </cfRule>
  </conditionalFormatting>
  <conditionalFormatting sqref="H160:H163">
    <cfRule type="expression" dxfId="57" priority="72">
      <formula>$J160="잔금"</formula>
    </cfRule>
  </conditionalFormatting>
  <conditionalFormatting sqref="F167:F179">
    <cfRule type="expression" dxfId="56" priority="71">
      <formula>$J167="잔금"</formula>
    </cfRule>
  </conditionalFormatting>
  <conditionalFormatting sqref="F180:F186">
    <cfRule type="expression" dxfId="55" priority="70">
      <formula>$J180="잔금"</formula>
    </cfRule>
  </conditionalFormatting>
  <conditionalFormatting sqref="E167:E179">
    <cfRule type="expression" dxfId="54" priority="69">
      <formula>$J167="잔금"</formula>
    </cfRule>
  </conditionalFormatting>
  <conditionalFormatting sqref="E180:E186">
    <cfRule type="expression" dxfId="53" priority="68">
      <formula>$J180="잔금"</formula>
    </cfRule>
  </conditionalFormatting>
  <conditionalFormatting sqref="C180:C186">
    <cfRule type="expression" dxfId="52" priority="66">
      <formula>$J180="잔금"</formula>
    </cfRule>
  </conditionalFormatting>
  <conditionalFormatting sqref="H167:H179">
    <cfRule type="expression" dxfId="51" priority="65">
      <formula>$J167="잔금"</formula>
    </cfRule>
  </conditionalFormatting>
  <conditionalFormatting sqref="H180:H186">
    <cfRule type="expression" dxfId="50" priority="64">
      <formula>$J180="잔금"</formula>
    </cfRule>
  </conditionalFormatting>
  <conditionalFormatting sqref="F195:F201">
    <cfRule type="expression" dxfId="49" priority="59">
      <formula>$J195="잔금"</formula>
    </cfRule>
  </conditionalFormatting>
  <conditionalFormatting sqref="E195:E201">
    <cfRule type="expression" dxfId="48" priority="58">
      <formula>$J195="잔금"</formula>
    </cfRule>
  </conditionalFormatting>
  <conditionalFormatting sqref="C195:C202">
    <cfRule type="expression" dxfId="47" priority="57">
      <formula>$J195="잔금"</formula>
    </cfRule>
  </conditionalFormatting>
  <conditionalFormatting sqref="H195:H201">
    <cfRule type="expression" dxfId="46" priority="56">
      <formula>$J195="잔금"</formula>
    </cfRule>
  </conditionalFormatting>
  <conditionalFormatting sqref="C203:C216">
    <cfRule type="expression" dxfId="45" priority="55">
      <formula>$J203="잔금"</formula>
    </cfRule>
  </conditionalFormatting>
  <conditionalFormatting sqref="F203:F216">
    <cfRule type="expression" dxfId="44" priority="54">
      <formula>$J203="잔금"</formula>
    </cfRule>
  </conditionalFormatting>
  <conditionalFormatting sqref="H203:H216">
    <cfRule type="expression" dxfId="43" priority="53">
      <formula>$J203="잔금"</formula>
    </cfRule>
  </conditionalFormatting>
  <conditionalFormatting sqref="E203:E217">
    <cfRule type="expression" dxfId="42" priority="52">
      <formula>$J203="잔금"</formula>
    </cfRule>
  </conditionalFormatting>
  <conditionalFormatting sqref="C217">
    <cfRule type="expression" dxfId="41" priority="51">
      <formula>$I217="잔금"</formula>
    </cfRule>
  </conditionalFormatting>
  <conditionalFormatting sqref="H217">
    <cfRule type="expression" dxfId="40" priority="46">
      <formula>$I217="잔금"</formula>
    </cfRule>
  </conditionalFormatting>
  <conditionalFormatting sqref="C218">
    <cfRule type="expression" dxfId="39" priority="45">
      <formula>$I218="잔금"</formula>
    </cfRule>
  </conditionalFormatting>
  <conditionalFormatting sqref="C219">
    <cfRule type="expression" dxfId="38" priority="44">
      <formula>$I219="잔금"</formula>
    </cfRule>
  </conditionalFormatting>
  <conditionalFormatting sqref="C220">
    <cfRule type="expression" dxfId="37" priority="43">
      <formula>$I220="잔금"</formula>
    </cfRule>
  </conditionalFormatting>
  <conditionalFormatting sqref="F221:F230">
    <cfRule type="expression" dxfId="36" priority="42">
      <formula>$J221="잔금"</formula>
    </cfRule>
  </conditionalFormatting>
  <conditionalFormatting sqref="F231:F244">
    <cfRule type="expression" dxfId="35" priority="41">
      <formula>$J231="잔금"</formula>
    </cfRule>
  </conditionalFormatting>
  <conditionalFormatting sqref="E221:E230">
    <cfRule type="expression" dxfId="34" priority="40">
      <formula>$J221="잔금"</formula>
    </cfRule>
  </conditionalFormatting>
  <conditionalFormatting sqref="E231:E244">
    <cfRule type="expression" dxfId="33" priority="39">
      <formula>$J231="잔금"</formula>
    </cfRule>
  </conditionalFormatting>
  <conditionalFormatting sqref="H221:H230">
    <cfRule type="expression" dxfId="32" priority="38">
      <formula>$J221="잔금"</formula>
    </cfRule>
  </conditionalFormatting>
  <conditionalFormatting sqref="H231:H244">
    <cfRule type="expression" dxfId="31" priority="37">
      <formula>$J231="잔금"</formula>
    </cfRule>
  </conditionalFormatting>
  <conditionalFormatting sqref="C246">
    <cfRule type="expression" dxfId="30" priority="36">
      <formula>$I246="잔금"</formula>
    </cfRule>
  </conditionalFormatting>
  <conditionalFormatting sqref="C247">
    <cfRule type="expression" dxfId="29" priority="35">
      <formula>$I247="잔금"</formula>
    </cfRule>
  </conditionalFormatting>
  <conditionalFormatting sqref="C248">
    <cfRule type="expression" dxfId="28" priority="34">
      <formula>$I248="잔금"</formula>
    </cfRule>
  </conditionalFormatting>
  <conditionalFormatting sqref="F249:F253">
    <cfRule type="expression" dxfId="27" priority="33">
      <formula>$J249="잔금"</formula>
    </cfRule>
  </conditionalFormatting>
  <conditionalFormatting sqref="E249:E253">
    <cfRule type="expression" dxfId="26" priority="32">
      <formula>$J249="잔금"</formula>
    </cfRule>
  </conditionalFormatting>
  <conditionalFormatting sqref="C249:C253">
    <cfRule type="expression" dxfId="25" priority="31">
      <formula>$J249="잔금"</formula>
    </cfRule>
  </conditionalFormatting>
  <conditionalFormatting sqref="H249:H253">
    <cfRule type="expression" dxfId="24" priority="30">
      <formula>$J249="잔금"</formula>
    </cfRule>
  </conditionalFormatting>
  <conditionalFormatting sqref="C254:C257">
    <cfRule type="expression" dxfId="23" priority="29">
      <formula>$I254="잔금"</formula>
    </cfRule>
  </conditionalFormatting>
  <conditionalFormatting sqref="F258:F267">
    <cfRule type="expression" dxfId="22" priority="28">
      <formula>$J258="잔금"</formula>
    </cfRule>
  </conditionalFormatting>
  <conditionalFormatting sqref="F268:F276">
    <cfRule type="expression" dxfId="21" priority="27">
      <formula>$J268="잔금"</formula>
    </cfRule>
  </conditionalFormatting>
  <conditionalFormatting sqref="C115">
    <cfRule type="expression" dxfId="20" priority="21">
      <formula>$J115="잔금"</formula>
    </cfRule>
  </conditionalFormatting>
  <conditionalFormatting sqref="C114">
    <cfRule type="expression" dxfId="19" priority="22">
      <formula>$J114="잔금"</formula>
    </cfRule>
  </conditionalFormatting>
  <conditionalFormatting sqref="C167">
    <cfRule type="expression" dxfId="18" priority="20">
      <formula>$J167="잔금"</formula>
    </cfRule>
  </conditionalFormatting>
  <conditionalFormatting sqref="C168">
    <cfRule type="expression" dxfId="17" priority="19">
      <formula>$J168="잔금"</formula>
    </cfRule>
  </conditionalFormatting>
  <conditionalFormatting sqref="C169">
    <cfRule type="expression" dxfId="16" priority="18">
      <formula>$J169="잔금"</formula>
    </cfRule>
  </conditionalFormatting>
  <conditionalFormatting sqref="C170">
    <cfRule type="expression" dxfId="15" priority="17">
      <formula>$J170="잔금"</formula>
    </cfRule>
  </conditionalFormatting>
  <conditionalFormatting sqref="C171">
    <cfRule type="expression" dxfId="14" priority="16">
      <formula>$J171="잔금"</formula>
    </cfRule>
  </conditionalFormatting>
  <conditionalFormatting sqref="C172">
    <cfRule type="expression" dxfId="13" priority="15">
      <formula>$J172="잔금"</formula>
    </cfRule>
  </conditionalFormatting>
  <conditionalFormatting sqref="C173">
    <cfRule type="expression" dxfId="12" priority="14">
      <formula>$J173="잔금"</formula>
    </cfRule>
  </conditionalFormatting>
  <conditionalFormatting sqref="C174">
    <cfRule type="expression" dxfId="11" priority="13">
      <formula>$J174="잔금"</formula>
    </cfRule>
  </conditionalFormatting>
  <conditionalFormatting sqref="C175">
    <cfRule type="expression" dxfId="10" priority="11">
      <formula>$J175="잔금"</formula>
    </cfRule>
  </conditionalFormatting>
  <conditionalFormatting sqref="C176">
    <cfRule type="expression" dxfId="9" priority="10">
      <formula>$J176="잔금"</formula>
    </cfRule>
  </conditionalFormatting>
  <conditionalFormatting sqref="C177">
    <cfRule type="expression" dxfId="8" priority="9">
      <formula>$J177="잔금"</formula>
    </cfRule>
  </conditionalFormatting>
  <conditionalFormatting sqref="C178">
    <cfRule type="expression" dxfId="7" priority="8">
      <formula>$J178="잔금"</formula>
    </cfRule>
  </conditionalFormatting>
  <conditionalFormatting sqref="C179">
    <cfRule type="expression" dxfId="6" priority="7">
      <formula>$J179="잔금"</formula>
    </cfRule>
  </conditionalFormatting>
  <conditionalFormatting sqref="H309:H310">
    <cfRule type="expression" dxfId="5" priority="1">
      <formula>$J309="잔금"</formula>
    </cfRule>
  </conditionalFormatting>
  <conditionalFormatting sqref="F290:F303">
    <cfRule type="expression" dxfId="4" priority="6">
      <formula>$J290="잔금"</formula>
    </cfRule>
  </conditionalFormatting>
  <conditionalFormatting sqref="F304:F308">
    <cfRule type="expression" dxfId="3" priority="5">
      <formula>$J304="잔금"</formula>
    </cfRule>
  </conditionalFormatting>
  <conditionalFormatting sqref="F309:F310">
    <cfRule type="expression" dxfId="2" priority="4">
      <formula>$J309="잔금"</formula>
    </cfRule>
  </conditionalFormatting>
  <conditionalFormatting sqref="H290:H303">
    <cfRule type="expression" dxfId="1" priority="3">
      <formula>$J290="잔금"</formula>
    </cfRule>
  </conditionalFormatting>
  <conditionalFormatting sqref="H304:H308">
    <cfRule type="expression" dxfId="0" priority="2">
      <formula>$J304="잔금"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12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134</v>
      </c>
    </row>
    <row r="3" spans="2:3" ht="16.5" customHeight="1">
      <c r="B3" s="22" t="s">
        <v>131</v>
      </c>
      <c r="C3" s="17" t="s">
        <v>132</v>
      </c>
    </row>
    <row r="4" spans="2:3" ht="16.5" customHeight="1">
      <c r="B4" s="16" t="s">
        <v>140</v>
      </c>
      <c r="C4" s="16" t="s">
        <v>144</v>
      </c>
    </row>
    <row r="5" spans="2:3" ht="16.5" customHeight="1">
      <c r="B5" s="16" t="s">
        <v>147</v>
      </c>
      <c r="C5" s="16" t="s">
        <v>149</v>
      </c>
    </row>
    <row r="6" spans="2:3" ht="16.5" customHeight="1">
      <c r="B6" s="16" t="s">
        <v>148</v>
      </c>
      <c r="C6" s="16" t="s">
        <v>150</v>
      </c>
    </row>
    <row r="7" spans="2:3" ht="13.5">
      <c r="B7" s="20" t="s">
        <v>141</v>
      </c>
      <c r="C7" s="21" t="s">
        <v>151</v>
      </c>
    </row>
    <row r="8" spans="2:3" ht="16.5" customHeight="1">
      <c r="B8" s="16" t="s">
        <v>142</v>
      </c>
      <c r="C8" s="16" t="s">
        <v>145</v>
      </c>
    </row>
    <row r="9" spans="2:3" ht="16.5" customHeight="1">
      <c r="B9" s="16" t="s">
        <v>143</v>
      </c>
      <c r="C9" s="16" t="s">
        <v>146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2026-04-02T06:36:54Z</dcterms:modified>
</cp:coreProperties>
</file>