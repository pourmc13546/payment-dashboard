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<sst xmlns="http://schemas.openxmlformats.org/spreadsheetml/2006/main" count="1868" uniqueCount="535">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</sst>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308" activePane="bottomRight" state="frozen"/>
      <selection pane="topRight"/>
      <selection pane="bottomLeft"/>
      <selection pane="bottomRight" activeCell="L333" sqref="L33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323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153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303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205</v>
      </c>
      <c r="J7" s="13" t="str">
        <f t="shared" ca="1" si="2"/>
        <v>장기미수</v>
      </c>
      <c r="K7" s="11"/>
      <c r="L7" s="11"/>
      <c r="M7" s="10" t="s">
        <v>151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155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110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105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288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148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463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883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687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527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665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664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756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398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393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383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377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373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373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372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370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349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335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314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302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272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250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321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245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223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218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175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173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162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415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280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280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231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90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82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76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58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57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57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93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56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56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55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55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54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53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42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40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40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40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36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36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36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36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36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34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34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34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34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34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34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34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34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33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33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30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30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30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28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29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29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29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29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29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29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29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29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288</v>
      </c>
      <c r="G181" s="6" t="s">
        <v>296</v>
      </c>
      <c r="H181" s="25">
        <v>16818900</v>
      </c>
      <c r="I181" s="6">
        <f t="shared" ca="1" si="12"/>
        <v>28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28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28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28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28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27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27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27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27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27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27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26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26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26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26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26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22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22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22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22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22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22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22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22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22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22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22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22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22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21</v>
      </c>
      <c r="J217" s="13" t="str">
        <f t="shared" ca="1" si="17"/>
        <v>관리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21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21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21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21</v>
      </c>
      <c r="J226" s="13" t="str">
        <f t="shared" ca="1" si="19"/>
        <v>정상</v>
      </c>
      <c r="K226" s="11"/>
      <c r="L226" s="11"/>
      <c r="M226" s="10"/>
      <c r="N226" s="10" t="s">
        <v>20</v>
      </c>
      <c r="O226" s="6" t="s">
        <v>58</v>
      </c>
      <c r="P226" s="6" t="s">
        <v>153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21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21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21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20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20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20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20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20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20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20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20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20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20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20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19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19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19</v>
      </c>
      <c r="J250" s="13" t="str">
        <f t="shared" ca="1" si="19"/>
        <v>정상</v>
      </c>
      <c r="K250" s="11"/>
      <c r="L250" s="11"/>
      <c r="M250" s="10"/>
      <c r="N250" s="10" t="s">
        <v>20</v>
      </c>
      <c r="O250" s="6" t="s">
        <v>58</v>
      </c>
      <c r="P250" s="6" t="s">
        <v>153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19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19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16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16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15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16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16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16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16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16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16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16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16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16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15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15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15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15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15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15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15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15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13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14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14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14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14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14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14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14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14</v>
      </c>
      <c r="J288" s="13" t="str">
        <f t="shared" ca="1" si="23"/>
        <v>정상</v>
      </c>
      <c r="K288" s="11"/>
      <c r="L288" s="11"/>
      <c r="M288" s="10"/>
      <c r="N288" s="10" t="s">
        <v>20</v>
      </c>
      <c r="O288" s="6" t="s">
        <v>58</v>
      </c>
      <c r="P288" s="6" t="s">
        <v>153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14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13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13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13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4895400</v>
      </c>
      <c r="I293" s="6">
        <f t="shared" ca="1" si="20"/>
        <v>13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13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13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13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13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13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13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13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13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13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12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12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12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12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12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9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9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5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5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5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5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5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5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5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5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5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5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5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5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5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5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5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5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5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5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2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2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2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2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2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2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2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2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2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2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2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2</v>
      </c>
      <c r="J350" s="13" t="str">
        <f t="shared" ref="J350:J369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2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2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2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5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2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7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2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5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5</v>
      </c>
      <c r="J359" s="13" t="str">
        <f t="shared" ca="1" si="25"/>
        <v>정상</v>
      </c>
      <c r="K359" s="11"/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9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5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7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6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2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7</v>
      </c>
      <c r="J364" s="13" t="str">
        <f t="shared" ca="1" si="25"/>
        <v>정상</v>
      </c>
      <c r="K364" s="11"/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7</v>
      </c>
      <c r="J365" s="13" t="str">
        <f t="shared" ca="1" si="25"/>
        <v>정상</v>
      </c>
      <c r="K365" s="11"/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1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527</v>
      </c>
      <c r="F369" s="6" t="s">
        <v>533</v>
      </c>
      <c r="G369" s="6" t="s">
        <v>534</v>
      </c>
      <c r="H369" s="4">
        <v>2040000</v>
      </c>
      <c r="I369" s="6">
        <f t="shared" ca="1" si="24"/>
        <v>1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6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6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6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6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6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6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6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6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6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6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6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6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6"/>
        <v/>
      </c>
      <c r="H382" s="4"/>
      <c r="I382" s="6" t="str">
        <f t="shared" ref="I382:I405" ca="1" si="27">IF(C382="","",IF(L382="",TODAY()-C382,L382-C382))</f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6"/>
        <v/>
      </c>
      <c r="H383" s="4"/>
      <c r="I383" s="6" t="str">
        <f t="shared" ca="1" si="27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6"/>
        <v/>
      </c>
      <c r="H384" s="4"/>
      <c r="I384" s="6" t="str">
        <f t="shared" ca="1" si="27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6"/>
        <v/>
      </c>
      <c r="H385" s="4"/>
      <c r="I385" s="6" t="str">
        <f t="shared" ca="1" si="27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6"/>
        <v/>
      </c>
      <c r="H386" s="4"/>
      <c r="I386" s="6" t="str">
        <f t="shared" ca="1" si="27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6"/>
        <v/>
      </c>
      <c r="H387" s="4"/>
      <c r="I387" s="6" t="str">
        <f t="shared" ca="1" si="27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6"/>
        <v/>
      </c>
      <c r="H388" s="4"/>
      <c r="I388" s="6" t="str">
        <f t="shared" ca="1" si="27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6"/>
        <v/>
      </c>
      <c r="H389" s="4"/>
      <c r="I389" s="6" t="str">
        <f t="shared" ca="1" si="27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6"/>
        <v/>
      </c>
      <c r="H390" s="4"/>
      <c r="I390" s="6" t="str">
        <f t="shared" ca="1" si="27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6"/>
        <v/>
      </c>
      <c r="H391" s="4"/>
      <c r="I391" s="6" t="str">
        <f t="shared" ca="1" si="27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6"/>
        <v/>
      </c>
      <c r="H392" s="4"/>
      <c r="I392" s="6" t="str">
        <f t="shared" ca="1" si="27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6"/>
        <v/>
      </c>
      <c r="H393" s="4"/>
      <c r="I393" s="6" t="str">
        <f t="shared" ca="1" si="27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6"/>
        <v/>
      </c>
      <c r="H394" s="4"/>
      <c r="I394" s="6" t="str">
        <f t="shared" ca="1" si="27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8">IF(G395="","",IF(OR(G395="선급금",G395="중도금",G395="잔금"),"A",IF(G395="자재","B",IF(G395="특허료","C",""))))</f>
        <v/>
      </c>
      <c r="H395" s="4"/>
      <c r="I395" s="6" t="str">
        <f t="shared" ca="1" si="27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8"/>
        <v/>
      </c>
      <c r="H396" s="4"/>
      <c r="I396" s="6" t="str">
        <f t="shared" ca="1" si="27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8"/>
        <v/>
      </c>
      <c r="H397" s="4"/>
      <c r="I397" s="6" t="str">
        <f t="shared" ca="1" si="27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8"/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69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2026-04-08T07:05:22Z</dcterms:modified>
</cp:coreProperties>
</file>