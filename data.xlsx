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data!$A$1:$S$457</definedName>
    <definedName name="_xlnm._FilterDatabase">data!$A$1:$S$404</definedName>
  </definedNames>
  <calcPr calcId="162913"/>
</workbook>
</file>

<file path=xl/calcChain.xml><?xml version="1.0" encoding="utf-8"?>
<calcChain xmlns="http://schemas.openxmlformats.org/spreadsheetml/2006/main">
  <c r="H8" i="1" l="1"/>
  <c r="I481" i="1"/>
  <c r="J481" i="1" s="1"/>
  <c r="I482" i="1"/>
  <c r="J482" i="1" s="1"/>
  <c r="B481" i="1"/>
  <c r="B482" i="1"/>
  <c r="I458" i="1"/>
  <c r="J458" i="1" s="1"/>
  <c r="I459" i="1"/>
  <c r="J459" i="1" s="1"/>
  <c r="I460" i="1"/>
  <c r="J460" i="1" s="1"/>
  <c r="I461" i="1"/>
  <c r="J461" i="1" s="1"/>
  <c r="I462" i="1"/>
  <c r="J462" i="1" s="1"/>
  <c r="I463" i="1"/>
  <c r="J463" i="1" s="1"/>
  <c r="I464" i="1"/>
  <c r="J464" i="1" s="1"/>
  <c r="I465" i="1"/>
  <c r="J465" i="1" s="1"/>
  <c r="I466" i="1"/>
  <c r="J466" i="1" s="1"/>
  <c r="I467" i="1"/>
  <c r="J467" i="1" s="1"/>
  <c r="I468" i="1"/>
  <c r="J468" i="1" s="1"/>
  <c r="I469" i="1"/>
  <c r="J469" i="1" s="1"/>
  <c r="I470" i="1"/>
  <c r="J470" i="1" s="1"/>
  <c r="I471" i="1"/>
  <c r="J471" i="1" s="1"/>
  <c r="I472" i="1"/>
  <c r="J472" i="1" s="1"/>
  <c r="I473" i="1"/>
  <c r="J473" i="1" s="1"/>
  <c r="I474" i="1"/>
  <c r="J474" i="1" s="1"/>
  <c r="I475" i="1"/>
  <c r="J475" i="1" s="1"/>
  <c r="I476" i="1"/>
  <c r="J476" i="1" s="1"/>
  <c r="I477" i="1"/>
  <c r="J477" i="1" s="1"/>
  <c r="I478" i="1"/>
  <c r="J478" i="1" s="1"/>
  <c r="I479" i="1"/>
  <c r="J479" i="1" s="1"/>
  <c r="I480" i="1"/>
  <c r="J480" i="1" s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I456" i="1" l="1"/>
  <c r="J456" i="1" s="1"/>
  <c r="I457" i="1"/>
  <c r="J457" i="1" s="1"/>
  <c r="B457" i="1"/>
  <c r="I443" i="1"/>
  <c r="J443" i="1" s="1"/>
  <c r="I444" i="1"/>
  <c r="J444" i="1" s="1"/>
  <c r="I445" i="1"/>
  <c r="J445" i="1" s="1"/>
  <c r="I446" i="1"/>
  <c r="J446" i="1" s="1"/>
  <c r="I447" i="1"/>
  <c r="J447" i="1" s="1"/>
  <c r="I448" i="1"/>
  <c r="J448" i="1" s="1"/>
  <c r="I449" i="1"/>
  <c r="J449" i="1" s="1"/>
  <c r="I450" i="1"/>
  <c r="J450" i="1" s="1"/>
  <c r="I451" i="1"/>
  <c r="J451" i="1" s="1"/>
  <c r="I452" i="1"/>
  <c r="J452" i="1" s="1"/>
  <c r="I453" i="1"/>
  <c r="J453" i="1" s="1"/>
  <c r="I454" i="1"/>
  <c r="J454" i="1" s="1"/>
  <c r="I455" i="1"/>
  <c r="J455" i="1" s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I312" i="1" l="1"/>
  <c r="J312" i="1" s="1"/>
  <c r="B312" i="1"/>
  <c r="I439" i="1" l="1"/>
  <c r="J439" i="1" s="1"/>
  <c r="I440" i="1"/>
  <c r="J440" i="1" s="1"/>
  <c r="I441" i="1"/>
  <c r="J441" i="1" s="1"/>
  <c r="I442" i="1"/>
  <c r="J442" i="1" s="1"/>
  <c r="B439" i="1"/>
  <c r="B440" i="1"/>
  <c r="B441" i="1"/>
  <c r="B442" i="1"/>
  <c r="B438" i="1"/>
  <c r="I428" i="1"/>
  <c r="J428" i="1" s="1"/>
  <c r="I429" i="1"/>
  <c r="J429" i="1" s="1"/>
  <c r="I430" i="1"/>
  <c r="J430" i="1" s="1"/>
  <c r="I431" i="1"/>
  <c r="J431" i="1" s="1"/>
  <c r="I432" i="1"/>
  <c r="J432" i="1" s="1"/>
  <c r="I433" i="1"/>
  <c r="J433" i="1" s="1"/>
  <c r="I434" i="1"/>
  <c r="J434" i="1" s="1"/>
  <c r="I435" i="1"/>
  <c r="J435" i="1" s="1"/>
  <c r="I436" i="1"/>
  <c r="J436" i="1" s="1"/>
  <c r="I437" i="1"/>
  <c r="J437" i="1" s="1"/>
  <c r="I438" i="1"/>
  <c r="J438" i="1" s="1"/>
  <c r="B428" i="1"/>
  <c r="B429" i="1"/>
  <c r="B430" i="1"/>
  <c r="B431" i="1"/>
  <c r="B432" i="1"/>
  <c r="B433" i="1"/>
  <c r="B434" i="1"/>
  <c r="B435" i="1"/>
  <c r="B436" i="1"/>
  <c r="B437" i="1"/>
  <c r="I424" i="1" l="1"/>
  <c r="J424" i="1" s="1"/>
  <c r="I425" i="1"/>
  <c r="J425" i="1" s="1"/>
  <c r="I426" i="1"/>
  <c r="J426" i="1" s="1"/>
  <c r="I427" i="1"/>
  <c r="J427" i="1" s="1"/>
  <c r="D419" i="1"/>
  <c r="D420" i="1"/>
  <c r="D421" i="1"/>
  <c r="D422" i="1"/>
  <c r="D423" i="1"/>
  <c r="B424" i="1"/>
  <c r="B425" i="1"/>
  <c r="B426" i="1"/>
  <c r="B427" i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I419" i="1"/>
  <c r="J419" i="1" s="1"/>
  <c r="I420" i="1"/>
  <c r="J420" i="1" s="1"/>
  <c r="I421" i="1"/>
  <c r="J421" i="1" s="1"/>
  <c r="I422" i="1"/>
  <c r="J422" i="1" s="1"/>
  <c r="I423" i="1"/>
  <c r="J423" i="1" s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D404" i="1"/>
  <c r="I403" i="1" l="1"/>
  <c r="J403" i="1" s="1"/>
  <c r="B403" i="1"/>
  <c r="B402" i="1"/>
  <c r="B401" i="1"/>
  <c r="B400" i="1"/>
  <c r="D399" i="1"/>
  <c r="B398" i="1"/>
  <c r="B399" i="1"/>
  <c r="B386" i="1" l="1"/>
  <c r="B387" i="1"/>
  <c r="B388" i="1"/>
  <c r="B389" i="1"/>
  <c r="B390" i="1"/>
  <c r="B391" i="1"/>
  <c r="B392" i="1"/>
  <c r="B393" i="1"/>
  <c r="B394" i="1"/>
  <c r="B395" i="1"/>
  <c r="B396" i="1"/>
  <c r="B397" i="1"/>
  <c r="B385" i="1" l="1"/>
  <c r="B384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70" i="1" l="1"/>
  <c r="B369" i="1"/>
  <c r="B366" i="1" l="1"/>
  <c r="B367" i="1"/>
  <c r="B368" i="1"/>
  <c r="D365" i="1"/>
  <c r="D363" i="1"/>
  <c r="D364" i="1"/>
  <c r="B363" i="1"/>
  <c r="B364" i="1"/>
  <c r="B365" i="1"/>
  <c r="B362" i="1"/>
  <c r="D362" i="1"/>
  <c r="B360" i="1"/>
  <c r="B361" i="1"/>
  <c r="B359" i="1"/>
  <c r="B358" i="1"/>
  <c r="B357" i="1"/>
  <c r="B356" i="1"/>
  <c r="B355" i="1"/>
  <c r="B313" i="1" l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11" i="1" l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I402" i="1" l="1"/>
  <c r="J402" i="1" s="1"/>
  <c r="I401" i="1"/>
  <c r="J401" i="1" s="1"/>
  <c r="I400" i="1"/>
  <c r="J400" i="1" s="1"/>
  <c r="I399" i="1"/>
  <c r="J399" i="1" s="1"/>
  <c r="I398" i="1"/>
  <c r="J398" i="1" s="1"/>
  <c r="D398" i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D361" i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<sst xmlns="http://schemas.openxmlformats.org/spreadsheetml/2006/main" count="2513" uniqueCount="674">
  <si>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</si>
  <si>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</si>
  <si>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</si>
  <si>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</si>
  <si>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</si>
  <si>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</si>
  <si>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</si>
  <si>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</si>
  <si>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</si>
  <si>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</si>
  <si>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</si>
  <si>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</si>
  <si>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</si>
  <si>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</si>
  <si>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</si>
  <si>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</si>
  <si>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</si>
  <si>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</si>
  <si>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</si>
  <si>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</si>
  <si>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</si>
  <si>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</si>
  <si>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</si>
  <si>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</si>
  <si>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</si>
  <si>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</si>
  <si>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</si>
  <si>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</si>
  <si>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</si>
  <si>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</si>
  <si>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</si>
  <si>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</si>
  <si>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</si>
  <si>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</si>
  <si>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</si>
  <si>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</si>
  <si>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</si>
  <si>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</si>
  <si>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</si>
  <si>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</si>
  <si>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</si>
  <si>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</si>
  <si>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</si>
  <si>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</si>
  <si>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</si>
  <si>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</si>
  <si>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</si>
  <si>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</si>
  <si>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</si>
  <si>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</si>
  <si>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</si>
  <si>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</si>
  <si>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</si>
  <si>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</si>
  <si>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</si>
  <si>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</si>
  <si>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</si>
  <si>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</si>
  <si>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</si>
  <si>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</si>
  <si>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</si>
  <si>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</si>
  <si>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</si>
  <si>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</si>
  <si>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</si>
  <si>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</si>
  <si>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</si>
  <si>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</si>
  <si>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</si>
  <si>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</si>
  <si>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</si>
  <si>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</si>
  <si>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</si>
  <si>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</si>
  <si>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</si>
  <si>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</si>
  <si>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</si>
  <si>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</si>
  <si>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</si>
  <si>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</si>
  <si>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</si>
  <si>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</si>
  <si>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</si>
  <si>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</si>
  <si>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</si>
  <si>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</si>
  <si>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</si>
  <si>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</si>
  <si>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</si>
  <si>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</si>
  <si>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</si>
  <si>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</si>
  <si>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</si>
  <si>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</si>
  <si>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</si>
  <si>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</si>
  <si>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</si>
  <si>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</si>
  <si>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</si>
  <si>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</si>
  <si>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</si>
  <si>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</si>
  <si>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</si>
  <si>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</si>
  <si>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</si>
  <si>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</si>
  <si>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</si>
  <si>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</si>
  <si>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</si>
  <si>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</si>
  <si>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</si>
  <si>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</si>
  <si>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</si>
  <si>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</si>
  <si>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</si>
  <si>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</si>
  <si>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</si>
  <si>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</si>
  <si>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</si>
  <si>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</si>
  <si>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</si>
  <si>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</si>
  <si>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</si>
  <si>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</si>
  <si>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</si>
  <si>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</si>
  <si>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</si>
  <si>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</si>
  <si>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</si>
  <si>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</si>
  <si>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</si>
  <si>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</si>
  <si>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</si>
  <si>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</si>
  <si>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</si>
  <si>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</si>
  <si>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</si>
  <si>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</si>
  <si>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</si>
  <si>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</si>
  <si>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</si>
  <si>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</si>
  <si>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</si>
  <si>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</si>
  <si>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</si>
  <si>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</si>
  <si>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</si>
  <si>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</si>
  <si>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</si>
  <si>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</si>
  <si>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</si>
  <si>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</si>
  <si>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</si>
  <si>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</si>
  <si>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</si>
  <si>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</si>
  <si>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</si>
  <si>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</si>
  <si>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</si>
  <si>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</si>
  <si>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</si>
  <si>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</si>
  <si>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</si>
  <si>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</si>
  <si>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</si>
  <si>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</si>
  <si>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</si>
  <si>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</si>
  <si>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</si>
  <si>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</si>
  <si>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</si>
  <si>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</si>
  <si>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</si>
  <si>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</si>
  <si>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</si>
  <si>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</si>
  <si>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</si>
  <si>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</si>
  <si>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</si>
  <si>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</si>
  <si>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</si>
  <si>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</si>
  <si>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</si>
  <si>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</si>
  <si>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</si>
  <si>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</si>
  <si>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</si>
  <si>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</si>
  <si>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</si>
  <si>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</si>
  <si>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</si>
  <si>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</si>
  <si>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</si>
  <si>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</si>
  <si>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</si>
  <si>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</si>
  <si>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</si>
  <si>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</si>
  <si>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</si>
  <si>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</si>
  <si>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</si>
  <si>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</si>
  <si>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</si>
  <si>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</si>
  <si>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</si>
  <si>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</si>
  <si>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</si>
  <si>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</si>
  <si>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</si>
  <si>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</si>
  <si>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</si>
  <si>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</si>
  <si>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</si>
  <si>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</si>
  <si>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</si>
  <si>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</si>
  <si>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</si>
  <si>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</si>
  <si>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</si>
  <si>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</si>
  <si>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</si>
  <si>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</si>
  <si>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</si>
  <si>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</si>
  <si>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</si>
  <si>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</si>
  <si>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</si>
  <si>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</si>
  <si>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</si>
  <si>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</si>
  <si>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</si>
  <si>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</si>
  <si>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</si>
  <si>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</si>
  <si>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</si>
  <si>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</si>
  <si>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</si>
  <si>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</si>
  <si>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</si>
  <si>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</si>
  <si>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</si>
  <si>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</si>
  <si>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</si>
  <si>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</si>
  <si>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</si>
  <si>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</si>
  <si>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</si>
  <si>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</si>
  <si>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</si>
  <si>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</si>
  <si>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</si>
  <si>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</si>
  <si>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</si>
  <si>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</si>
  <si>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</si>
  <si>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</si>
  <si>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</si>
  <si>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</si>
  <si>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</si>
  <si>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</si>
  <si>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</si>
  <si>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</si>
  <si>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</si>
  <si>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</si>
  <si>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</si>
  <si>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</si>
  <si>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</si>
  <si>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</si>
  <si>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</si>
  <si>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</si>
  <si>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</si>
  <si>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</si>
  <si>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</si>
  <si>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</si>
  <si>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</si>
  <si>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</si>
  <si>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</si>
  <si>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</si>
  <si>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</si>
  <si>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</si>
  <si>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</si>
  <si>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</si>
  <si>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</si>
  <si>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</si>
  <si>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</si>
  <si>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</si>
  <si>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</si>
  <si>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</si>
  <si>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</si>
  <si>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</si>
  <si>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</si>
  <si>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</si>
  <si>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</si>
  <si>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</si>
  <si>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</si>
  <si>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</si>
  <si>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</si>
  <si>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</si>
  <si>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</si>
  <si>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</si>
  <si>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</si>
  <si>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</si>
  <si>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</si>
  <si>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</si>
  <si>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</si>
  <si>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</si>
  <si>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</si>
  <si>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</si>
  <si>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</si>
  <si>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</si>
  <si>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</si>
  <si>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</si>
  <si>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</si>
  <si>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</si>
  <si>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</si>
  <si>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</si>
  <si>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</si>
  <si>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</si>
  <si>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</si>
  <si>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</si>
  <si>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</si>
  <si>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</si>
  <si>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</si>
  <si>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</si>
  <si>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</si>
  <si>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</si>
  <si>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</si>
  <si>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</si>
  <si>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</si>
  <si>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</si>
  <si>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</si>
  <si>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</si>
  <si>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</si>
  <si>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</si>
  <si>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</si>
  <si>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</si>
  <si>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</si>
  <si>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</si>
  <si>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</si>
  <si>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</si>
  <si>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</si>
  <si>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</si>
  <si>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</si>
  <si>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</si>
  <si>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</si>
  <si>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</si>
  <si>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</si>
  <si>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</si>
  <si>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</si>
  <si>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</si>
  <si>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</si>
  <si>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</si>
  <si>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</si>
  <si>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</si>
  <si>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</si>
  <si>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</si>
  <si>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</si>
  <si>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</si>
  <si>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</si>
  <si>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</si>
  <si>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</si>
  <si>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</si>
  <si>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</si>
  <si>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</si>
  <si>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</si>
  <si>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</si>
  <si>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</si>
  <si>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</si>
  <si>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</si>
  <si>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</si>
  <si>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</si>
  <si>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</si>
  <si>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</si>
  <si>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</si>
  <si>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</si>
  <si>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</si>
  <si>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</si>
  <si>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</si>
  <si>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</si>
  <si>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</si>
  <si>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</si>
  <si>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</si>
  <si>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</si>
  <si>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</si>
  <si>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</si>
  <si>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</si>
  <si>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</si>
  <si>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</si>
  <si>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</si>
  <si>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</si>
  <si>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</si>
  <si>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</si>
  <si>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</si>
  <si>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</si>
  <si>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</si>
  <si>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</si>
  <si>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</si>
  <si>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</si>
  <si>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</si>
  <si>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</si>
  <si>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</si>
  <si>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</si>
  <si>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</si>
  <si>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</si>
  <si>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</si>
  <si>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</si>
  <si>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</si>
  <si>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</si>
  <si>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</si>
  <si>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</si>
  <si>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</si>
  <si>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</si>
  <si>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</si>
  <si>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</si>
  <si>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</si>
  <si>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</si>
  <si>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</si>
  <si>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</si>
  <si>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</si>
  <si>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</si>
  <si>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</si>
  <si>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</si>
  <si>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</si>
  <si>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</si>
  <si>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</si>
  <si>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</si>
  <si>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</si>
  <si>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</si>
  <si>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</si>
  <si>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</si>
  <si>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</si>
  <si>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</si>
  <si>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</si>
  <si>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</si>
  <si>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</si>
  <si>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</si>
  <si>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</si>
  <si>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</si>
  <si>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</si>
  <si>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</si>
  <si>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</si>
  <si>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</si>
  <si>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</si>
  <si>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</si>
  <si>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</si>
  <si>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</si>
  <si>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</si>
  <si>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</si>
  <si>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</si>
  <si>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</si>
  <si>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</si>
  <si>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</si>
  <si>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</si>
  <si>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</si>
  <si>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</si>
  <si>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</si>
  <si>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</si>
  <si>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</si>
  <si>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</si>
  <si>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</si>
  <si>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</si>
  <si>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</si>
  <si>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</si>
  <si>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</si>
  <si>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</si>
  <si>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</si>
  <si>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</si>
  <si>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</si>
  <si>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</si>
  <si>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</si>
  <si>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</si>
  <si>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</si>
  <si>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</si>
  <si>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</si>
  <si>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</si>
  <si>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</si>
  <si>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</si>
  <si>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</si>
  <si>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</si>
  <si>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</si>
  <si>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</si>
  <si>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</si>
  <si>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</si>
  <si>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</si>
  <si>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</si>
  <si>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</si>
  <si>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</si>
  <si>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</si>
  <si>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</si>
  <si>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</si>
  <si>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</si>
  <si>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</si>
  <si>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</si>
  <si>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</si>
  <si>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</si>
  <si>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</si>
  <si>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</si>
  <si>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</si>
  <si>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</si>
  <si>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</si>
  <si>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</si>
  <si>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</si>
  <si>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</si>
  <si>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</si>
  <si>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</si>
  <si>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</si>
  <si>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</si>
  <si>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</si>
  <si>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</si>
  <si>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</si>
  <si>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</si>
  <si>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</si>
  <si>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</si>
  <si>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</si>
  <si>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</si>
  <si>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</si>
  <si>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</si>
  <si>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</si>
  <si>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</si>
  <si>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</si>
  <si>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</si>
  <si>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</si>
  <si>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</si>
  <si>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</si>
  <si>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</si>
  <si>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</si>
  <si>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</si>
  <si>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</si>
  <si>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</si>
  <si>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</si>
  <si>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</si>
  <si>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</si>
  <si>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</si>
  <si>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</si>
  <si>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</si>
  <si>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</si>
  <si>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</si>
  <si>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</si>
  <si>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</si>
  <si>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</si>
  <si>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</si>
  <si>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</si>
  <si>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</si>
  <si>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</si>
  <si>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</si>
  <si>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</si>
  <si>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</si>
  <si>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</si>
  <si>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</si>
  <si>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</si>
  <si>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</si>
  <si>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</si>
  <si>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</si>
  <si>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</si>
  <si>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</si>
  <si>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</si>
  <si>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</si>
  <si>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</si>
  <si>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</si>
  <si>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</si>
  <si>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</si>
  <si>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</si>
  <si>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</si>
  <si>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</si>
  <si>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</si>
  <si>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</si>
  <si>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</si>
  <si>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</si>
  <si>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</si>
  <si>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</si>
  <si>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</si>
  <si>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</si>
  <si>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</si>
  <si>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</si>
  <si>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</si>
  <si>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</si>
  <si>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</si>
  <si>
    <t>(주)로운건설</t>
  </si>
  <si>
    <t>동현이앤씨(주)</t>
  </si>
  <si>
    <t>(주)현덕건설</t>
  </si>
  <si>
    <t>㈜경하이앤씨</t>
  </si>
  <si>
    <t>(주)은화</t>
  </si>
  <si>
    <t>첨단2차부영아파트 입주자 대표회의</t>
  </si>
  <si>
    <t>(주)아우리</t>
  </si>
  <si>
    <t>(주)우인건설</t>
  </si>
  <si>
    <t>호연상사</t>
  </si>
  <si>
    <t>2026-04-14</t>
  </si>
  <si>
    <t>2026-04-13</t>
  </si>
  <si>
    <t>사무실</t>
  </si>
  <si>
    <t>서정마을금호타운</t>
  </si>
  <si>
    <t>무주상록아파트</t>
  </si>
  <si>
    <t>호반베르디움더퍼스트</t>
  </si>
  <si>
    <t>관리사무소</t>
  </si>
  <si>
    <t>탄방동산호한양아파트</t>
  </si>
  <si>
    <t>강변들금성백조</t>
  </si>
  <si>
    <t>송화우미이노스빌</t>
  </si>
  <si>
    <t>힐스테이트광교</t>
  </si>
  <si>
    <t>위브더스테이트</t>
  </si>
  <si>
    <t>자재</t>
    <phoneticPr fontId="5" type="noConversion"/>
  </si>
  <si>
    <t>대창센시티아파트</t>
  </si>
  <si>
    <t>중도금2차</t>
    <phoneticPr fontId="5" type="noConversion"/>
  </si>
  <si>
    <t>잔금</t>
    <phoneticPr fontId="5" type="noConversion"/>
  </si>
  <si>
    <t>중도금</t>
    <phoneticPr fontId="5" type="noConversion"/>
  </si>
  <si>
    <t>선급금</t>
    <phoneticPr fontId="5" type="noConversion"/>
  </si>
  <si>
    <t>한우리아파트</t>
  </si>
  <si>
    <t>병점한신아파트</t>
  </si>
  <si>
    <t>(주)청익</t>
  </si>
  <si>
    <t>자재</t>
    <phoneticPr fontId="5" type="noConversion"/>
  </si>
  <si>
    <t>면목풍림아파트</t>
    <phoneticPr fontId="5" type="noConversion"/>
  </si>
  <si>
    <t>㈜지건씨앤씨</t>
    <phoneticPr fontId="5" type="noConversion"/>
  </si>
  <si>
    <t>특허료</t>
    <phoneticPr fontId="5" type="noConversion"/>
  </si>
  <si>
    <t>잔금</t>
    <phoneticPr fontId="5" type="noConversion"/>
  </si>
  <si>
    <t>중도금</t>
    <phoneticPr fontId="5" type="noConversion"/>
  </si>
  <si>
    <t>중도금</t>
    <phoneticPr fontId="5" type="noConversion"/>
  </si>
  <si>
    <t>자양10차현대홈타운</t>
    <phoneticPr fontId="5" type="noConversion"/>
  </si>
  <si>
    <t>산격대우아파트</t>
    <phoneticPr fontId="5" type="noConversion"/>
  </si>
  <si>
    <t>정릉중앙하이츠빌2단지아파트</t>
    <phoneticPr fontId="5" type="noConversion"/>
  </si>
  <si>
    <t>석수e편한세상아파트</t>
    <phoneticPr fontId="5" type="noConversion"/>
  </si>
  <si>
    <t>여름건설(주)</t>
    <phoneticPr fontId="5" type="noConversion"/>
  </si>
  <si>
    <t>㈜일성기업</t>
    <phoneticPr fontId="5" type="noConversion"/>
  </si>
  <si>
    <t>여름건설(주)</t>
    <phoneticPr fontId="5" type="noConversion"/>
  </si>
  <si>
    <t>㈜적산건설</t>
    <phoneticPr fontId="5" type="noConversion"/>
  </si>
  <si>
    <t>암사동한솔아파트</t>
    <phoneticPr fontId="5" type="noConversion"/>
  </si>
  <si>
    <t>중도금</t>
    <phoneticPr fontId="5" type="noConversion"/>
  </si>
  <si>
    <t>㈜적산건설</t>
    <phoneticPr fontId="5" type="noConversion"/>
  </si>
  <si>
    <t>경동택배대전중구오류183</t>
  </si>
  <si>
    <t>무주상록아파트</t>
    <phoneticPr fontId="12" type="noConversion"/>
  </si>
  <si>
    <t>힐스테이트광교</t>
    <phoneticPr fontId="12" type="noConversion"/>
  </si>
  <si>
    <t>옥길센트리뷰</t>
    <phoneticPr fontId="12" type="noConversion"/>
  </si>
  <si>
    <t>연향금호타운</t>
    <phoneticPr fontId="12" type="noConversion"/>
  </si>
  <si>
    <t>천안불당대동다숲</t>
    <phoneticPr fontId="12" type="noConversion"/>
  </si>
  <si>
    <t>부천소사엠제이펠리스</t>
    <phoneticPr fontId="12" type="noConversion"/>
  </si>
  <si>
    <t>성호2차샤인힐즈</t>
    <phoneticPr fontId="12" type="noConversion"/>
  </si>
  <si>
    <t>하계극동건영벽산</t>
    <phoneticPr fontId="12" type="noConversion"/>
  </si>
  <si>
    <t>하남성원상떼빌</t>
    <phoneticPr fontId="12" type="noConversion"/>
  </si>
  <si>
    <t>성수동아그린</t>
    <phoneticPr fontId="12" type="noConversion"/>
  </si>
  <si>
    <t>태장주공2단지</t>
    <phoneticPr fontId="12" type="noConversion"/>
  </si>
  <si>
    <t>(주)에이원건설</t>
  </si>
  <si>
    <t>와이티파트너스(주)</t>
  </si>
  <si>
    <t>B</t>
    <phoneticPr fontId="5" type="noConversion"/>
  </si>
  <si>
    <t>2026-04-15</t>
  </si>
  <si>
    <t>2026-04-16</t>
  </si>
  <si>
    <t>자재</t>
    <phoneticPr fontId="5" type="noConversion"/>
  </si>
  <si>
    <t>2026-04-17</t>
  </si>
  <si>
    <t>A</t>
    <phoneticPr fontId="5" type="noConversion"/>
  </si>
  <si>
    <t>호수마을풍림아파트</t>
  </si>
  <si>
    <t>중도금</t>
    <phoneticPr fontId="5" type="noConversion"/>
  </si>
  <si>
    <t>코오롱아파트</t>
    <phoneticPr fontId="5" type="noConversion"/>
  </si>
  <si>
    <t>㈜동현이앤씨</t>
    <phoneticPr fontId="5" type="noConversion"/>
  </si>
  <si>
    <t>신대방신동아아파트</t>
  </si>
  <si>
    <t>운남우방아이유쉘</t>
  </si>
  <si>
    <t>소사엠제이펠리스</t>
  </si>
  <si>
    <t>흥한웰가아파트 추가</t>
  </si>
  <si>
    <t>도경오벨리스아파트</t>
  </si>
  <si>
    <t>죽림푸르지오3차</t>
  </si>
  <si>
    <t>석수두산위브아파트</t>
  </si>
  <si>
    <t>원일가대라곡아파트</t>
  </si>
  <si>
    <t>군문주공2단지</t>
  </si>
  <si>
    <t>주안역신일해피트리</t>
  </si>
  <si>
    <t>무주상록아파트 추가</t>
  </si>
  <si>
    <t>덕이동문굿모닝힐3차</t>
  </si>
  <si>
    <t>부천원미풍림아파트</t>
  </si>
  <si>
    <t>성진산업</t>
  </si>
  <si>
    <t>(주)세영건설</t>
  </si>
  <si>
    <t>2026-04-20</t>
  </si>
  <si>
    <t>2026-04-21</t>
  </si>
  <si>
    <t>자재</t>
    <phoneticPr fontId="5" type="noConversion"/>
  </si>
  <si>
    <t>크로바아파트</t>
    <phoneticPr fontId="5" type="noConversion"/>
  </si>
  <si>
    <t>잔금</t>
    <phoneticPr fontId="5" type="noConversion"/>
  </si>
  <si>
    <t>주식회사 위즈페인팅</t>
    <phoneticPr fontId="5" type="noConversion"/>
  </si>
  <si>
    <t>A</t>
    <phoneticPr fontId="5" type="noConversion"/>
  </si>
  <si>
    <t>금오주공그린빌4단지아파트</t>
    <phoneticPr fontId="5" type="noConversion"/>
  </si>
  <si>
    <t>삼정ING건설</t>
    <phoneticPr fontId="5" type="noConversion"/>
  </si>
  <si>
    <t>중도금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</si>
</sst>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6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5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178" fontId="7" fillId="0" borderId="1" xfId="0" applyNumberFormat="1" applyFont="1" applyBorder="1" applyAlignment="1">
      <alignment horizontal="center" vertical="center"/>
    </xf>
    <xf numFmtId="14" fontId="3" fillId="0" borderId="0" xfId="0" applyNumberFormat="1" applyFont="1"/>
    <xf numFmtId="0" fontId="3" fillId="0" borderId="0" xfId="0" applyFont="1" applyFill="1" applyBorder="1"/>
    <xf numFmtId="0" fontId="7" fillId="2" borderId="5" xfId="0" applyFont="1" applyFill="1" applyBorder="1" applyAlignment="1">
      <alignment vertical="center"/>
    </xf>
    <xf numFmtId="41" fontId="3" fillId="0" borderId="0" xfId="0" applyNumberFormat="1" applyFont="1" applyAlignment="1">
      <alignment horizontal="center" vertical="center"/>
    </xf>
    <xf numFmtId="0" fontId="7" fillId="2" borderId="0" xfId="0" applyFont="1" applyFill="1" applyBorder="1" applyAlignment="1">
      <alignment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102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82"/>
  <sheetViews>
    <sheetView tabSelected="1" zoomScaleNormal="100" workbookViewId="0">
      <pane xSplit="5" ySplit="1" topLeftCell="F2" activePane="bottomRight" state="frozen"/>
      <selection pane="topRight"/>
      <selection pane="bottomLeft"/>
      <selection pane="bottomRight" activeCell="G8" sqref="G8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1" width="12" style="5" customWidth="1"/>
    <col min="12" max="12" width="12" style="44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336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166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316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218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f>91762800-45454545</f>
        <v>46308255</v>
      </c>
      <c r="I8" s="12">
        <f t="shared" ca="1" si="1"/>
        <v>168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123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118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301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161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476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896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700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540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678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677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769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411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406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396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390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386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386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385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383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362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348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327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315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285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263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334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258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236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231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188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186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175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428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293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293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244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95</v>
      </c>
      <c r="J81" s="13" t="str">
        <f t="shared" ca="1" si="7"/>
        <v>장기미수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71</v>
      </c>
      <c r="J96" s="13" t="str">
        <f t="shared" ca="1" si="7"/>
        <v>관리</v>
      </c>
      <c r="K96" s="11">
        <v>46142</v>
      </c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70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436</v>
      </c>
      <c r="H100" s="4">
        <v>16130000</v>
      </c>
      <c r="I100" s="6">
        <f t="shared" ca="1" si="10"/>
        <v>106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69</v>
      </c>
      <c r="J104" s="13" t="str">
        <f t="shared" ca="1" si="11"/>
        <v>관리</v>
      </c>
      <c r="K104" s="11">
        <v>46142</v>
      </c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69</v>
      </c>
      <c r="J105" s="13" t="str">
        <f t="shared" ca="1" si="11"/>
        <v>관리</v>
      </c>
      <c r="K105" s="11">
        <v>46142</v>
      </c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68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68</v>
      </c>
      <c r="J108" s="13" t="str">
        <f t="shared" ca="1" si="11"/>
        <v>관리</v>
      </c>
      <c r="K108" s="11">
        <v>46142</v>
      </c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67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66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55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53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53</v>
      </c>
      <c r="J123" s="13" t="str">
        <f t="shared" ca="1" si="11"/>
        <v>관리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53</v>
      </c>
      <c r="J125" s="13" t="str">
        <f t="shared" ca="1" si="11"/>
        <v>관리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90" ca="1" si="12">IF(C127="","",IF(L127="",TODAY()-C127,L127-C127))</f>
        <v>32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49</v>
      </c>
      <c r="J128" s="13" t="str">
        <f t="shared" ca="1" si="13"/>
        <v>관리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49</v>
      </c>
      <c r="J130" s="13" t="str">
        <f t="shared" ca="1" si="13"/>
        <v>관리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-4</v>
      </c>
      <c r="J135" s="13" t="str">
        <f t="shared" ca="1" si="13"/>
        <v>정상</v>
      </c>
      <c r="K135" s="11"/>
      <c r="L135" s="11">
        <v>46080</v>
      </c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199</v>
      </c>
      <c r="F136" s="32" t="s">
        <v>198</v>
      </c>
      <c r="G136" s="6" t="s">
        <v>172</v>
      </c>
      <c r="H136" s="29">
        <v>4470000</v>
      </c>
      <c r="I136" s="6">
        <f t="shared" ca="1" si="12"/>
        <v>49</v>
      </c>
      <c r="J136" s="13" t="str">
        <f t="shared" ca="1" si="13"/>
        <v>관리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223</v>
      </c>
      <c r="F137" s="34" t="s">
        <v>224</v>
      </c>
      <c r="G137" s="6" t="s">
        <v>227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228</v>
      </c>
      <c r="F138" s="34" t="s">
        <v>225</v>
      </c>
      <c r="G138" s="6" t="s">
        <v>227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418</v>
      </c>
      <c r="F139" s="38" t="s">
        <v>417</v>
      </c>
      <c r="G139" s="6" t="s">
        <v>419</v>
      </c>
      <c r="H139" s="36">
        <v>11115400</v>
      </c>
      <c r="I139" s="6">
        <f t="shared" ca="1" si="12"/>
        <v>33</v>
      </c>
      <c r="J139" s="13" t="str">
        <f t="shared" ca="1" si="13"/>
        <v>관리</v>
      </c>
      <c r="K139" s="11"/>
      <c r="L139" s="11">
        <v>46118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229</v>
      </c>
      <c r="F140" s="6" t="s">
        <v>231</v>
      </c>
      <c r="G140" s="6" t="s">
        <v>227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229</v>
      </c>
      <c r="F141" s="34" t="s">
        <v>226</v>
      </c>
      <c r="G141" s="6" t="s">
        <v>230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234</v>
      </c>
      <c r="F142" s="6" t="s">
        <v>232</v>
      </c>
      <c r="G142" s="6" t="s">
        <v>233</v>
      </c>
      <c r="H142" s="37">
        <v>30186600</v>
      </c>
      <c r="I142" s="6">
        <f t="shared" ca="1" si="12"/>
        <v>36</v>
      </c>
      <c r="J142" s="13" t="str">
        <f t="shared" ca="1" si="13"/>
        <v>관리</v>
      </c>
      <c r="K142" s="11"/>
      <c r="L142" s="11">
        <v>46122</v>
      </c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195</v>
      </c>
      <c r="F143" s="23" t="s">
        <v>196</v>
      </c>
      <c r="G143" s="6" t="s">
        <v>240</v>
      </c>
      <c r="H143" s="25">
        <v>5775000</v>
      </c>
      <c r="I143" s="6">
        <f t="shared" ca="1" si="12"/>
        <v>40</v>
      </c>
      <c r="J143" s="13" t="str">
        <f t="shared" ca="1" si="13"/>
        <v>정상</v>
      </c>
      <c r="K143" s="11"/>
      <c r="L143" s="11">
        <v>46126</v>
      </c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207</v>
      </c>
      <c r="F144" s="23" t="s">
        <v>202</v>
      </c>
      <c r="G144" s="6" t="s">
        <v>240</v>
      </c>
      <c r="H144" s="25">
        <v>2260000</v>
      </c>
      <c r="I144" s="6">
        <f t="shared" ca="1" si="12"/>
        <v>47</v>
      </c>
      <c r="J144" s="13" t="str">
        <f t="shared" ca="1" si="13"/>
        <v>관리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26</v>
      </c>
      <c r="F145" s="23" t="s">
        <v>248</v>
      </c>
      <c r="G145" s="6" t="s">
        <v>240</v>
      </c>
      <c r="H145" s="25">
        <v>237000</v>
      </c>
      <c r="I145" s="6">
        <f t="shared" ca="1" si="12"/>
        <v>47</v>
      </c>
      <c r="J145" s="13" t="str">
        <f t="shared" ca="1" si="13"/>
        <v>관리</v>
      </c>
      <c r="K145" s="11"/>
      <c r="L145" s="11"/>
      <c r="M145" s="10"/>
      <c r="N145" s="10" t="s">
        <v>33</v>
      </c>
      <c r="P145" s="6" t="s">
        <v>80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238</v>
      </c>
      <c r="F146" s="23" t="s">
        <v>235</v>
      </c>
      <c r="G146" s="6" t="s">
        <v>240</v>
      </c>
      <c r="H146" s="25">
        <v>167500</v>
      </c>
      <c r="I146" s="6">
        <f t="shared" ca="1" si="12"/>
        <v>26</v>
      </c>
      <c r="J146" s="13" t="str">
        <f t="shared" ca="1" si="13"/>
        <v>정상</v>
      </c>
      <c r="K146" s="11"/>
      <c r="L146" s="11">
        <v>46112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126</v>
      </c>
      <c r="F147" s="23" t="s">
        <v>236</v>
      </c>
      <c r="G147" s="6" t="s">
        <v>240</v>
      </c>
      <c r="H147" s="25">
        <v>3179600</v>
      </c>
      <c r="I147" s="6">
        <f t="shared" ca="1" si="12"/>
        <v>47</v>
      </c>
      <c r="J147" s="13" t="str">
        <f t="shared" ca="1" si="13"/>
        <v>관리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5500000</v>
      </c>
      <c r="I148" s="6">
        <f t="shared" ca="1" si="12"/>
        <v>47</v>
      </c>
      <c r="J148" s="13" t="str">
        <f t="shared" ca="1" si="13"/>
        <v>관리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210</v>
      </c>
      <c r="G149" s="6" t="s">
        <v>240</v>
      </c>
      <c r="H149" s="25">
        <v>1801000</v>
      </c>
      <c r="I149" s="6">
        <f t="shared" ca="1" si="12"/>
        <v>47</v>
      </c>
      <c r="J149" s="13" t="str">
        <f t="shared" ca="1" si="13"/>
        <v>관리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239</v>
      </c>
      <c r="E150" s="23" t="s">
        <v>218</v>
      </c>
      <c r="F150" s="23" t="s">
        <v>237</v>
      </c>
      <c r="G150" s="6" t="s">
        <v>240</v>
      </c>
      <c r="H150" s="25">
        <v>6400500</v>
      </c>
      <c r="I150" s="6">
        <f t="shared" ca="1" si="12"/>
        <v>47</v>
      </c>
      <c r="J150" s="13" t="str">
        <f t="shared" ca="1" si="13"/>
        <v>관리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243</v>
      </c>
      <c r="E151" s="6" t="s">
        <v>247</v>
      </c>
      <c r="F151" s="6" t="s">
        <v>246</v>
      </c>
      <c r="G151" s="6" t="s">
        <v>227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>
        <v>46113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124</v>
      </c>
      <c r="F152" s="23" t="s">
        <v>250</v>
      </c>
      <c r="G152" s="6" t="s">
        <v>255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195</v>
      </c>
      <c r="F153" s="23" t="s">
        <v>251</v>
      </c>
      <c r="G153" s="6" t="s">
        <v>255</v>
      </c>
      <c r="H153" s="25">
        <v>3230000</v>
      </c>
      <c r="I153" s="6">
        <f t="shared" ca="1" si="12"/>
        <v>39</v>
      </c>
      <c r="J153" s="13" t="str">
        <f t="shared" ca="1" si="13"/>
        <v>정상</v>
      </c>
      <c r="K153" s="11"/>
      <c r="L153" s="11">
        <v>46126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128</v>
      </c>
      <c r="F154" s="23" t="s">
        <v>252</v>
      </c>
      <c r="G154" s="6" t="s">
        <v>255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249</v>
      </c>
      <c r="F155" s="23" t="s">
        <v>253</v>
      </c>
      <c r="G155" s="6" t="s">
        <v>255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16695000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219</v>
      </c>
      <c r="F157" s="23" t="s">
        <v>213</v>
      </c>
      <c r="G157" s="6" t="s">
        <v>255</v>
      </c>
      <c r="H157" s="25">
        <v>1870000</v>
      </c>
      <c r="I157" s="6">
        <f t="shared" ca="1" si="12"/>
        <v>25</v>
      </c>
      <c r="J157" s="13" t="str">
        <f t="shared" ca="1" si="13"/>
        <v>정상</v>
      </c>
      <c r="K157" s="11"/>
      <c r="L157" s="11">
        <v>46112</v>
      </c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178</v>
      </c>
      <c r="E158" s="23" t="s">
        <v>81</v>
      </c>
      <c r="F158" s="23" t="s">
        <v>254</v>
      </c>
      <c r="G158" s="6" t="s">
        <v>255</v>
      </c>
      <c r="H158" s="25">
        <v>12478000</v>
      </c>
      <c r="I158" s="6">
        <f t="shared" ca="1" si="12"/>
        <v>46</v>
      </c>
      <c r="J158" s="13" t="str">
        <f t="shared" ca="1" si="13"/>
        <v>관리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260</v>
      </c>
      <c r="F159" s="6" t="s">
        <v>259</v>
      </c>
      <c r="G159" s="6" t="s">
        <v>261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199</v>
      </c>
      <c r="F160" s="23" t="s">
        <v>262</v>
      </c>
      <c r="G160" s="6" t="s">
        <v>268</v>
      </c>
      <c r="H160" s="25">
        <v>3390000</v>
      </c>
      <c r="I160" s="6">
        <f t="shared" ca="1" si="12"/>
        <v>43</v>
      </c>
      <c r="J160" s="13" t="str">
        <f t="shared" ca="1" si="15"/>
        <v>관리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266</v>
      </c>
      <c r="F161" s="23" t="s">
        <v>263</v>
      </c>
      <c r="G161" s="6" t="s">
        <v>268</v>
      </c>
      <c r="H161" s="25">
        <v>9140500</v>
      </c>
      <c r="I161" s="6">
        <f t="shared" ca="1" si="12"/>
        <v>43</v>
      </c>
      <c r="J161" s="13" t="str">
        <f t="shared" ca="1" si="15"/>
        <v>관리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207</v>
      </c>
      <c r="F162" s="23" t="s">
        <v>264</v>
      </c>
      <c r="G162" s="6" t="s">
        <v>268</v>
      </c>
      <c r="H162" s="25">
        <v>4719500</v>
      </c>
      <c r="I162" s="6">
        <f t="shared" ca="1" si="12"/>
        <v>43</v>
      </c>
      <c r="J162" s="13" t="str">
        <f t="shared" ca="1" si="15"/>
        <v>관리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267</v>
      </c>
      <c r="F163" s="23" t="s">
        <v>265</v>
      </c>
      <c r="G163" s="6" t="s">
        <v>268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243</v>
      </c>
      <c r="E164" s="6" t="s">
        <v>270</v>
      </c>
      <c r="F164" s="6" t="s">
        <v>269</v>
      </c>
      <c r="G164" s="6" t="s">
        <v>271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273</v>
      </c>
      <c r="F165" s="6" t="s">
        <v>272</v>
      </c>
      <c r="G165" s="6" t="s">
        <v>274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181</v>
      </c>
      <c r="E166" s="6" t="s">
        <v>276</v>
      </c>
      <c r="F166" s="6" t="s">
        <v>275</v>
      </c>
      <c r="G166" s="6" t="s">
        <v>169</v>
      </c>
      <c r="H166" s="4">
        <v>4500000</v>
      </c>
      <c r="I166" s="6">
        <f t="shared" ca="1" si="12"/>
        <v>35</v>
      </c>
      <c r="J166" s="13" t="str">
        <f t="shared" ca="1" si="15"/>
        <v>관리</v>
      </c>
      <c r="K166" s="11"/>
      <c r="L166" s="11">
        <v>46127</v>
      </c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218</v>
      </c>
      <c r="F167" s="23" t="s">
        <v>277</v>
      </c>
      <c r="G167" s="6" t="s">
        <v>296</v>
      </c>
      <c r="H167" s="25">
        <v>8400000</v>
      </c>
      <c r="I167" s="6">
        <f t="shared" ca="1" si="12"/>
        <v>42</v>
      </c>
      <c r="J167" s="13" t="str">
        <f t="shared" ca="1" si="15"/>
        <v>관리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188</v>
      </c>
      <c r="G168" s="6" t="s">
        <v>296</v>
      </c>
      <c r="H168" s="25">
        <v>46282000</v>
      </c>
      <c r="I168" s="6">
        <f t="shared" ca="1" si="12"/>
        <v>42</v>
      </c>
      <c r="J168" s="13" t="str">
        <f t="shared" ca="1" si="15"/>
        <v>관리</v>
      </c>
      <c r="K168" s="11"/>
      <c r="L168" s="11"/>
      <c r="M168" s="10"/>
      <c r="N168" s="10" t="s">
        <v>20</v>
      </c>
      <c r="O168" s="6" t="s">
        <v>58</v>
      </c>
      <c r="P168" s="6" t="s">
        <v>153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278</v>
      </c>
      <c r="G169" s="6" t="s">
        <v>296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120</v>
      </c>
      <c r="F170" s="23" t="s">
        <v>279</v>
      </c>
      <c r="G170" s="6" t="s">
        <v>296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266</v>
      </c>
      <c r="F171" s="23" t="s">
        <v>280</v>
      </c>
      <c r="G171" s="6" t="s">
        <v>296</v>
      </c>
      <c r="H171" s="25">
        <v>14080000</v>
      </c>
      <c r="I171" s="6">
        <f t="shared" ca="1" si="12"/>
        <v>37</v>
      </c>
      <c r="J171" s="13" t="str">
        <f t="shared" ca="1" si="15"/>
        <v>정상</v>
      </c>
      <c r="K171" s="11"/>
      <c r="L171" s="11">
        <v>46128</v>
      </c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249</v>
      </c>
      <c r="F172" s="23" t="s">
        <v>280</v>
      </c>
      <c r="G172" s="6" t="s">
        <v>296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222</v>
      </c>
      <c r="F173" s="23" t="s">
        <v>281</v>
      </c>
      <c r="G173" s="6" t="s">
        <v>296</v>
      </c>
      <c r="H173" s="25">
        <v>1186600</v>
      </c>
      <c r="I173" s="6">
        <f t="shared" ca="1" si="12"/>
        <v>42</v>
      </c>
      <c r="J173" s="13" t="str">
        <f t="shared" ca="1" si="15"/>
        <v>관리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282</v>
      </c>
      <c r="G174" s="6" t="s">
        <v>296</v>
      </c>
      <c r="H174" s="25">
        <v>270000</v>
      </c>
      <c r="I174" s="6">
        <f t="shared" ca="1" si="12"/>
        <v>42</v>
      </c>
      <c r="J174" s="13" t="str">
        <f t="shared" ca="1" si="15"/>
        <v>관리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283</v>
      </c>
      <c r="G175" s="6" t="s">
        <v>296</v>
      </c>
      <c r="H175" s="25">
        <v>5912000</v>
      </c>
      <c r="I175" s="6">
        <f t="shared" ca="1" si="12"/>
        <v>42</v>
      </c>
      <c r="J175" s="13" t="str">
        <f t="shared" ca="1" si="15"/>
        <v>관리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188</v>
      </c>
      <c r="G176" s="6" t="s">
        <v>296</v>
      </c>
      <c r="H176" s="25">
        <v>4992000</v>
      </c>
      <c r="I176" s="6">
        <f t="shared" ca="1" si="12"/>
        <v>42</v>
      </c>
      <c r="J176" s="13" t="str">
        <f t="shared" ca="1" si="15"/>
        <v>관리</v>
      </c>
      <c r="K176" s="11"/>
      <c r="L176" s="11"/>
      <c r="M176" s="10"/>
      <c r="N176" s="10" t="s">
        <v>20</v>
      </c>
      <c r="O176" s="6" t="s">
        <v>58</v>
      </c>
      <c r="P176" s="6" t="s">
        <v>153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128</v>
      </c>
      <c r="F177" s="23" t="s">
        <v>284</v>
      </c>
      <c r="G177" s="6" t="s">
        <v>296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207</v>
      </c>
      <c r="F178" s="23" t="s">
        <v>285</v>
      </c>
      <c r="G178" s="6" t="s">
        <v>296</v>
      </c>
      <c r="H178" s="25">
        <v>770400</v>
      </c>
      <c r="I178" s="6">
        <f t="shared" ca="1" si="12"/>
        <v>42</v>
      </c>
      <c r="J178" s="13" t="str">
        <f t="shared" ca="1" si="15"/>
        <v>관리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293</v>
      </c>
      <c r="F179" s="23" t="s">
        <v>286</v>
      </c>
      <c r="G179" s="6" t="s">
        <v>296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294</v>
      </c>
      <c r="F180" s="23" t="s">
        <v>287</v>
      </c>
      <c r="G180" s="6" t="s">
        <v>296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566</v>
      </c>
      <c r="F181" s="23" t="s">
        <v>288</v>
      </c>
      <c r="G181" s="6" t="s">
        <v>296</v>
      </c>
      <c r="H181" s="25">
        <v>16818900</v>
      </c>
      <c r="I181" s="6">
        <f t="shared" ca="1" si="12"/>
        <v>41</v>
      </c>
      <c r="J181" s="13" t="str">
        <f t="shared" ca="1" si="15"/>
        <v>관리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289</v>
      </c>
      <c r="G182" s="6" t="s">
        <v>296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116</v>
      </c>
      <c r="F183" s="23" t="s">
        <v>290</v>
      </c>
      <c r="G183" s="6" t="s">
        <v>296</v>
      </c>
      <c r="H183" s="25">
        <v>321000</v>
      </c>
      <c r="I183" s="6">
        <f t="shared" ca="1" si="12"/>
        <v>41</v>
      </c>
      <c r="J183" s="13" t="str">
        <f t="shared" ca="1" si="15"/>
        <v>관리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295</v>
      </c>
      <c r="F184" s="23" t="s">
        <v>291</v>
      </c>
      <c r="G184" s="6" t="s">
        <v>296</v>
      </c>
      <c r="H184" s="25">
        <v>1275400</v>
      </c>
      <c r="I184" s="6">
        <f t="shared" ca="1" si="12"/>
        <v>41</v>
      </c>
      <c r="J184" s="13" t="str">
        <f t="shared" ca="1" si="15"/>
        <v>관리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188</v>
      </c>
      <c r="G185" s="6" t="s">
        <v>296</v>
      </c>
      <c r="H185" s="25">
        <v>11000000</v>
      </c>
      <c r="I185" s="6">
        <f t="shared" ca="1" si="12"/>
        <v>41</v>
      </c>
      <c r="J185" s="13" t="str">
        <f t="shared" ca="1" si="15"/>
        <v>관리</v>
      </c>
      <c r="K185" s="11"/>
      <c r="L185" s="11"/>
      <c r="M185" s="10"/>
      <c r="N185" s="10" t="s">
        <v>20</v>
      </c>
      <c r="O185" s="6" t="s">
        <v>58</v>
      </c>
      <c r="P185" s="6" t="s">
        <v>153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292</v>
      </c>
      <c r="G186" s="6" t="s">
        <v>296</v>
      </c>
      <c r="H186" s="25">
        <v>5475500</v>
      </c>
      <c r="I186" s="6">
        <f t="shared" ca="1" si="12"/>
        <v>41</v>
      </c>
      <c r="J186" s="13" t="str">
        <f t="shared" ca="1" si="15"/>
        <v>관리</v>
      </c>
      <c r="K186" s="11"/>
      <c r="L186" s="11"/>
      <c r="M186" s="10"/>
      <c r="N186" s="10" t="s">
        <v>33</v>
      </c>
      <c r="P186" s="6" t="s">
        <v>80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293</v>
      </c>
      <c r="F187" s="23" t="s">
        <v>297</v>
      </c>
      <c r="G187" s="6" t="s">
        <v>304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298</v>
      </c>
      <c r="G188" s="6" t="s">
        <v>304</v>
      </c>
      <c r="H188" s="25">
        <v>1000500</v>
      </c>
      <c r="I188" s="6">
        <f t="shared" ca="1" si="12"/>
        <v>40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195</v>
      </c>
      <c r="F189" s="23" t="s">
        <v>302</v>
      </c>
      <c r="G189" s="6" t="s">
        <v>304</v>
      </c>
      <c r="H189" s="25">
        <v>5775000</v>
      </c>
      <c r="I189" s="6">
        <f t="shared" ca="1" si="12"/>
        <v>33</v>
      </c>
      <c r="J189" s="13" t="str">
        <f t="shared" ca="1" si="15"/>
        <v>정상</v>
      </c>
      <c r="K189" s="11"/>
      <c r="L189" s="11">
        <v>46126</v>
      </c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199</v>
      </c>
      <c r="F190" s="23" t="s">
        <v>299</v>
      </c>
      <c r="G190" s="6" t="s">
        <v>304</v>
      </c>
      <c r="H190" s="25">
        <v>1190000</v>
      </c>
      <c r="I190" s="6">
        <f t="shared" ca="1" si="12"/>
        <v>40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303</v>
      </c>
      <c r="G191" s="6" t="s">
        <v>304</v>
      </c>
      <c r="H191" s="25">
        <v>11147800</v>
      </c>
      <c r="I191" s="6">
        <f t="shared" ref="I191:I254" ca="1" si="16">IF(C191="","",IF(L191="",TODAY()-C191,L191-C191))</f>
        <v>40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218</v>
      </c>
      <c r="F192" s="23" t="s">
        <v>300</v>
      </c>
      <c r="G192" s="6" t="s">
        <v>304</v>
      </c>
      <c r="H192" s="25">
        <v>2613000</v>
      </c>
      <c r="I192" s="6">
        <f t="shared" ca="1" si="16"/>
        <v>40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110</v>
      </c>
      <c r="F193" s="23" t="s">
        <v>301</v>
      </c>
      <c r="G193" s="6" t="s">
        <v>304</v>
      </c>
      <c r="H193" s="25">
        <v>7339000</v>
      </c>
      <c r="I193" s="6">
        <f t="shared" ca="1" si="16"/>
        <v>40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305</v>
      </c>
      <c r="F194" s="6" t="s">
        <v>306</v>
      </c>
      <c r="G194" s="6" t="s">
        <v>307</v>
      </c>
      <c r="H194" s="4">
        <v>1291250</v>
      </c>
      <c r="I194" s="6">
        <f t="shared" ca="1" si="16"/>
        <v>18</v>
      </c>
      <c r="J194" s="13" t="str">
        <f t="shared" ca="1" si="17"/>
        <v>정상</v>
      </c>
      <c r="K194" s="11"/>
      <c r="L194" s="11">
        <v>46112</v>
      </c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315</v>
      </c>
      <c r="F195" s="23" t="s">
        <v>308</v>
      </c>
      <c r="G195" s="6" t="s">
        <v>317</v>
      </c>
      <c r="H195" s="25">
        <v>500500</v>
      </c>
      <c r="I195" s="6">
        <f t="shared" ca="1" si="16"/>
        <v>39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309</v>
      </c>
      <c r="G196" s="6" t="s">
        <v>317</v>
      </c>
      <c r="H196" s="25">
        <v>3448000</v>
      </c>
      <c r="I196" s="6">
        <f t="shared" ca="1" si="16"/>
        <v>39</v>
      </c>
      <c r="J196" s="13" t="str">
        <f t="shared" ca="1" si="17"/>
        <v>정상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310</v>
      </c>
      <c r="G197" s="6" t="s">
        <v>317</v>
      </c>
      <c r="H197" s="25">
        <v>28750000</v>
      </c>
      <c r="I197" s="6">
        <f t="shared" ca="1" si="16"/>
        <v>39</v>
      </c>
      <c r="J197" s="13" t="str">
        <f t="shared" ca="1" si="17"/>
        <v>정상</v>
      </c>
      <c r="K197" s="11"/>
      <c r="L197" s="11"/>
      <c r="M197" s="10"/>
      <c r="N197" s="10" t="s">
        <v>20</v>
      </c>
      <c r="O197" s="6" t="s">
        <v>58</v>
      </c>
      <c r="P197" s="6" t="s">
        <v>153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220</v>
      </c>
      <c r="F198" s="23" t="s">
        <v>311</v>
      </c>
      <c r="G198" s="6" t="s">
        <v>317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218</v>
      </c>
      <c r="F199" s="23" t="s">
        <v>312</v>
      </c>
      <c r="G199" s="6" t="s">
        <v>317</v>
      </c>
      <c r="H199" s="25">
        <v>14700000</v>
      </c>
      <c r="I199" s="6">
        <f t="shared" ca="1" si="16"/>
        <v>39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316</v>
      </c>
      <c r="F200" s="23" t="s">
        <v>313</v>
      </c>
      <c r="G200" s="6" t="s">
        <v>317</v>
      </c>
      <c r="H200" s="25">
        <v>780000</v>
      </c>
      <c r="I200" s="6">
        <f t="shared" ca="1" si="16"/>
        <v>39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314</v>
      </c>
      <c r="G201" s="6" t="s">
        <v>317</v>
      </c>
      <c r="H201" s="25">
        <v>220100</v>
      </c>
      <c r="I201" s="6">
        <f t="shared" ca="1" si="16"/>
        <v>18</v>
      </c>
      <c r="J201" s="13" t="str">
        <f t="shared" ca="1" si="17"/>
        <v>정상</v>
      </c>
      <c r="K201" s="11"/>
      <c r="L201" s="11">
        <v>46112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318</v>
      </c>
      <c r="F202" s="6" t="s">
        <v>319</v>
      </c>
      <c r="G202" s="6" t="s">
        <v>320</v>
      </c>
      <c r="H202" s="4">
        <v>22342800</v>
      </c>
      <c r="I202" s="6">
        <f t="shared" ca="1" si="16"/>
        <v>21</v>
      </c>
      <c r="J202" s="13" t="str">
        <f t="shared" ca="1" si="17"/>
        <v>정상</v>
      </c>
      <c r="K202" s="11"/>
      <c r="L202" s="11">
        <v>46118</v>
      </c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126</v>
      </c>
      <c r="F203" s="23" t="s">
        <v>321</v>
      </c>
      <c r="G203" s="6" t="s">
        <v>334</v>
      </c>
      <c r="H203" s="25">
        <v>19467400</v>
      </c>
      <c r="I203" s="6">
        <f t="shared" ca="1" si="16"/>
        <v>35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126</v>
      </c>
      <c r="F204" s="23" t="s">
        <v>321</v>
      </c>
      <c r="G204" s="6" t="s">
        <v>334</v>
      </c>
      <c r="H204" s="25">
        <v>4765000</v>
      </c>
      <c r="I204" s="6">
        <f t="shared" ca="1" si="16"/>
        <v>35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222</v>
      </c>
      <c r="F205" s="23" t="s">
        <v>322</v>
      </c>
      <c r="G205" s="6" t="s">
        <v>334</v>
      </c>
      <c r="H205" s="25">
        <v>954500</v>
      </c>
      <c r="I205" s="6">
        <f t="shared" ca="1" si="16"/>
        <v>35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323</v>
      </c>
      <c r="G206" s="6" t="s">
        <v>334</v>
      </c>
      <c r="H206" s="25">
        <v>9631000</v>
      </c>
      <c r="I206" s="6">
        <f t="shared" ca="1" si="16"/>
        <v>35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324</v>
      </c>
      <c r="G207" s="6" t="s">
        <v>334</v>
      </c>
      <c r="H207" s="25">
        <v>1745000</v>
      </c>
      <c r="I207" s="6">
        <f t="shared" ca="1" si="16"/>
        <v>35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325</v>
      </c>
      <c r="G208" s="6" t="s">
        <v>334</v>
      </c>
      <c r="H208" s="25">
        <v>493400</v>
      </c>
      <c r="I208" s="6">
        <f t="shared" ca="1" si="16"/>
        <v>35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3568200</v>
      </c>
      <c r="I209" s="6">
        <f t="shared" ca="1" si="16"/>
        <v>35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126</v>
      </c>
      <c r="F210" s="23" t="s">
        <v>326</v>
      </c>
      <c r="G210" s="6" t="s">
        <v>334</v>
      </c>
      <c r="H210" s="25">
        <v>4110300</v>
      </c>
      <c r="I210" s="6">
        <f t="shared" ca="1" si="16"/>
        <v>35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163</v>
      </c>
      <c r="F211" s="23" t="s">
        <v>327</v>
      </c>
      <c r="G211" s="6" t="s">
        <v>334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333</v>
      </c>
      <c r="F212" s="23" t="s">
        <v>328</v>
      </c>
      <c r="G212" s="6" t="s">
        <v>334</v>
      </c>
      <c r="H212" s="25">
        <v>3541500</v>
      </c>
      <c r="I212" s="6">
        <f t="shared" ca="1" si="16"/>
        <v>28</v>
      </c>
      <c r="J212" s="13" t="str">
        <f t="shared" ca="1" si="17"/>
        <v>정상</v>
      </c>
      <c r="K212" s="11"/>
      <c r="L212" s="11">
        <v>46126</v>
      </c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207</v>
      </c>
      <c r="F213" s="23" t="s">
        <v>329</v>
      </c>
      <c r="G213" s="6" t="s">
        <v>334</v>
      </c>
      <c r="H213" s="25">
        <v>3512300</v>
      </c>
      <c r="I213" s="6">
        <f t="shared" ca="1" si="16"/>
        <v>35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249</v>
      </c>
      <c r="F214" s="23" t="s">
        <v>330</v>
      </c>
      <c r="G214" s="6" t="s">
        <v>334</v>
      </c>
      <c r="H214" s="25">
        <v>11000000</v>
      </c>
      <c r="I214" s="6">
        <f t="shared" ca="1" si="16"/>
        <v>35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108</v>
      </c>
      <c r="F215" s="23" t="s">
        <v>331</v>
      </c>
      <c r="G215" s="6" t="s">
        <v>334</v>
      </c>
      <c r="H215" s="25">
        <v>21000000</v>
      </c>
      <c r="I215" s="6">
        <f t="shared" ca="1" si="16"/>
        <v>35</v>
      </c>
      <c r="J215" s="13" t="str">
        <f t="shared" ca="1" si="17"/>
        <v>정상</v>
      </c>
      <c r="K215" s="11">
        <v>46172</v>
      </c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116</v>
      </c>
      <c r="F216" s="23" t="s">
        <v>332</v>
      </c>
      <c r="G216" s="6" t="s">
        <v>334</v>
      </c>
      <c r="H216" s="25">
        <v>806000</v>
      </c>
      <c r="I216" s="6">
        <f t="shared" ca="1" si="16"/>
        <v>35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336</v>
      </c>
      <c r="F217" s="41" t="s">
        <v>335</v>
      </c>
      <c r="G217" s="6" t="s">
        <v>337</v>
      </c>
      <c r="H217" s="40">
        <v>4354200</v>
      </c>
      <c r="I217" s="6">
        <f t="shared" ca="1" si="16"/>
        <v>28</v>
      </c>
      <c r="J217" s="13" t="str">
        <f t="shared" ca="1" si="17"/>
        <v>관리</v>
      </c>
      <c r="K217" s="11">
        <v>46127</v>
      </c>
      <c r="L217" s="11">
        <v>46127</v>
      </c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116</v>
      </c>
      <c r="F218" s="6" t="s">
        <v>338</v>
      </c>
      <c r="G218" s="6" t="s">
        <v>337</v>
      </c>
      <c r="H218" s="4">
        <v>28530900</v>
      </c>
      <c r="I218" s="6">
        <f t="shared" ca="1" si="16"/>
        <v>16</v>
      </c>
      <c r="J218" s="13" t="str">
        <f t="shared" ca="1" si="17"/>
        <v>정상</v>
      </c>
      <c r="K218" s="11"/>
      <c r="L218" s="11">
        <v>46115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341</v>
      </c>
      <c r="F219" s="6" t="s">
        <v>339</v>
      </c>
      <c r="G219" s="6" t="s">
        <v>337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342</v>
      </c>
      <c r="F220" s="6" t="s">
        <v>340</v>
      </c>
      <c r="G220" s="6" t="s">
        <v>337</v>
      </c>
      <c r="H220" s="4">
        <v>27749100</v>
      </c>
      <c r="I220" s="6">
        <f t="shared" ca="1" si="16"/>
        <v>16</v>
      </c>
      <c r="J220" s="13" t="str">
        <f t="shared" ca="1" si="17"/>
        <v>정상</v>
      </c>
      <c r="K220" s="11"/>
      <c r="L220" s="11">
        <v>46115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343</v>
      </c>
      <c r="G221" s="6" t="s">
        <v>368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126</v>
      </c>
      <c r="F222" s="23" t="s">
        <v>344</v>
      </c>
      <c r="G222" s="6" t="s">
        <v>368</v>
      </c>
      <c r="H222" s="25">
        <v>6583500</v>
      </c>
      <c r="I222" s="6">
        <f t="shared" ca="1" si="16"/>
        <v>34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345</v>
      </c>
      <c r="G223" s="6" t="s">
        <v>368</v>
      </c>
      <c r="H223" s="25">
        <v>2038700</v>
      </c>
      <c r="I223" s="6">
        <f t="shared" ca="1" si="16"/>
        <v>19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>
        <v>46118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122</v>
      </c>
      <c r="F224" s="23" t="s">
        <v>346</v>
      </c>
      <c r="G224" s="6" t="s">
        <v>368</v>
      </c>
      <c r="H224" s="25">
        <v>4750000</v>
      </c>
      <c r="I224" s="6">
        <f t="shared" ca="1" si="16"/>
        <v>23</v>
      </c>
      <c r="J224" s="13" t="str">
        <f t="shared" ca="1" si="19"/>
        <v>정상</v>
      </c>
      <c r="K224" s="11"/>
      <c r="L224" s="11">
        <v>46122</v>
      </c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126</v>
      </c>
      <c r="F225" s="23" t="s">
        <v>347</v>
      </c>
      <c r="G225" s="6" t="s">
        <v>368</v>
      </c>
      <c r="H225" s="25">
        <v>3572000</v>
      </c>
      <c r="I225" s="6">
        <f t="shared" ca="1" si="16"/>
        <v>34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348</v>
      </c>
      <c r="G226" s="6" t="s">
        <v>368</v>
      </c>
      <c r="H226" s="25">
        <v>435000</v>
      </c>
      <c r="I226" s="6">
        <f t="shared" ca="1" si="16"/>
        <v>34</v>
      </c>
      <c r="J226" s="13" t="str">
        <f t="shared" ca="1" si="19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365</v>
      </c>
      <c r="F227" s="23" t="s">
        <v>349</v>
      </c>
      <c r="G227" s="6" t="s">
        <v>368</v>
      </c>
      <c r="H227" s="25">
        <v>637000</v>
      </c>
      <c r="I227" s="6">
        <f t="shared" ca="1" si="16"/>
        <v>34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366</v>
      </c>
      <c r="F228" s="23" t="s">
        <v>350</v>
      </c>
      <c r="G228" s="6" t="s">
        <v>368</v>
      </c>
      <c r="H228" s="25">
        <v>34583000</v>
      </c>
      <c r="I228" s="6">
        <f t="shared" ca="1" si="16"/>
        <v>19</v>
      </c>
      <c r="J228" s="13" t="str">
        <f t="shared" ca="1" si="19"/>
        <v>정상</v>
      </c>
      <c r="K228" s="11"/>
      <c r="L228" s="11">
        <v>46118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208</v>
      </c>
      <c r="F229" s="23" t="s">
        <v>351</v>
      </c>
      <c r="G229" s="6" t="s">
        <v>368</v>
      </c>
      <c r="H229" s="25">
        <v>6600000</v>
      </c>
      <c r="I229" s="6">
        <f t="shared" ca="1" si="16"/>
        <v>28</v>
      </c>
      <c r="J229" s="13" t="str">
        <f t="shared" ca="1" si="19"/>
        <v>정상</v>
      </c>
      <c r="K229" s="11"/>
      <c r="L229" s="11">
        <v>46127</v>
      </c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221</v>
      </c>
      <c r="F230" s="23" t="s">
        <v>352</v>
      </c>
      <c r="G230" s="6" t="s">
        <v>368</v>
      </c>
      <c r="H230" s="25">
        <v>15802000</v>
      </c>
      <c r="I230" s="6">
        <f t="shared" ca="1" si="16"/>
        <v>34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218</v>
      </c>
      <c r="F231" s="23" t="s">
        <v>353</v>
      </c>
      <c r="G231" s="6" t="s">
        <v>368</v>
      </c>
      <c r="H231" s="25">
        <v>9450000</v>
      </c>
      <c r="I231" s="6">
        <f t="shared" ca="1" si="16"/>
        <v>33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126</v>
      </c>
      <c r="F232" s="23" t="s">
        <v>347</v>
      </c>
      <c r="G232" s="6" t="s">
        <v>368</v>
      </c>
      <c r="H232" s="25">
        <v>521000</v>
      </c>
      <c r="I232" s="6">
        <f t="shared" ca="1" si="16"/>
        <v>33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354</v>
      </c>
      <c r="G233" s="6" t="s">
        <v>368</v>
      </c>
      <c r="H233" s="25">
        <v>333000</v>
      </c>
      <c r="I233" s="6">
        <f t="shared" ca="1" si="16"/>
        <v>12</v>
      </c>
      <c r="J233" s="13" t="str">
        <f t="shared" ca="1" si="19"/>
        <v>정상</v>
      </c>
      <c r="K233" s="11"/>
      <c r="L233" s="11">
        <v>46112</v>
      </c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355</v>
      </c>
      <c r="G234" s="6" t="s">
        <v>368</v>
      </c>
      <c r="H234" s="25">
        <v>2835000</v>
      </c>
      <c r="I234" s="6">
        <f t="shared" ca="1" si="16"/>
        <v>33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128</v>
      </c>
      <c r="F235" s="23" t="s">
        <v>356</v>
      </c>
      <c r="G235" s="6" t="s">
        <v>368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357</v>
      </c>
      <c r="G236" s="6" t="s">
        <v>368</v>
      </c>
      <c r="H236" s="25">
        <v>839000</v>
      </c>
      <c r="I236" s="6">
        <f t="shared" ca="1" si="16"/>
        <v>33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367</v>
      </c>
      <c r="F237" s="23" t="s">
        <v>358</v>
      </c>
      <c r="G237" s="6" t="s">
        <v>368</v>
      </c>
      <c r="H237" s="25">
        <v>1507200</v>
      </c>
      <c r="I237" s="6">
        <f t="shared" ca="1" si="16"/>
        <v>29</v>
      </c>
      <c r="J237" s="13" t="str">
        <f t="shared" ca="1" si="19"/>
        <v>정상</v>
      </c>
      <c r="K237" s="11"/>
      <c r="L237" s="11">
        <v>46129</v>
      </c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219</v>
      </c>
      <c r="F238" s="23" t="s">
        <v>359</v>
      </c>
      <c r="G238" s="6" t="s">
        <v>368</v>
      </c>
      <c r="H238" s="25">
        <v>585000</v>
      </c>
      <c r="I238" s="6">
        <f t="shared" ca="1" si="16"/>
        <v>26</v>
      </c>
      <c r="J238" s="13" t="str">
        <f t="shared" ca="1" si="19"/>
        <v>정상</v>
      </c>
      <c r="K238" s="11"/>
      <c r="L238" s="11">
        <v>46126</v>
      </c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221</v>
      </c>
      <c r="F239" s="23" t="s">
        <v>352</v>
      </c>
      <c r="G239" s="6" t="s">
        <v>368</v>
      </c>
      <c r="H239" s="25">
        <v>615000</v>
      </c>
      <c r="I239" s="6">
        <f t="shared" ca="1" si="16"/>
        <v>33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219</v>
      </c>
      <c r="F240" s="23" t="s">
        <v>360</v>
      </c>
      <c r="G240" s="6" t="s">
        <v>368</v>
      </c>
      <c r="H240" s="25">
        <v>44793500</v>
      </c>
      <c r="I240" s="6">
        <f t="shared" ca="1" si="16"/>
        <v>26</v>
      </c>
      <c r="J240" s="13" t="str">
        <f t="shared" ca="1" si="19"/>
        <v>정상</v>
      </c>
      <c r="K240" s="11"/>
      <c r="L240" s="11">
        <v>46126</v>
      </c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361</v>
      </c>
      <c r="G241" s="6" t="s">
        <v>368</v>
      </c>
      <c r="H241" s="25">
        <v>602300</v>
      </c>
      <c r="I241" s="6">
        <f t="shared" ca="1" si="16"/>
        <v>12</v>
      </c>
      <c r="J241" s="13" t="str">
        <f t="shared" ca="1" si="19"/>
        <v>정상</v>
      </c>
      <c r="K241" s="11"/>
      <c r="L241" s="11">
        <v>46112</v>
      </c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218</v>
      </c>
      <c r="F242" s="23" t="s">
        <v>362</v>
      </c>
      <c r="G242" s="6" t="s">
        <v>368</v>
      </c>
      <c r="H242" s="25">
        <v>1180000</v>
      </c>
      <c r="I242" s="6">
        <f t="shared" ca="1" si="16"/>
        <v>33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333</v>
      </c>
      <c r="F243" s="23" t="s">
        <v>363</v>
      </c>
      <c r="G243" s="6" t="s">
        <v>368</v>
      </c>
      <c r="H243" s="25">
        <v>3300000</v>
      </c>
      <c r="I243" s="6">
        <f t="shared" ca="1" si="16"/>
        <v>26</v>
      </c>
      <c r="J243" s="13" t="str">
        <f t="shared" ca="1" si="19"/>
        <v>정상</v>
      </c>
      <c r="K243" s="11"/>
      <c r="L243" s="11">
        <v>46126</v>
      </c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218</v>
      </c>
      <c r="F244" s="23" t="s">
        <v>364</v>
      </c>
      <c r="G244" s="6" t="s">
        <v>368</v>
      </c>
      <c r="H244" s="25">
        <v>1548500</v>
      </c>
      <c r="I244" s="6">
        <f t="shared" ca="1" si="16"/>
        <v>33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243</v>
      </c>
      <c r="E245" s="6" t="s">
        <v>370</v>
      </c>
      <c r="F245" s="6" t="s">
        <v>369</v>
      </c>
      <c r="G245" s="6" t="s">
        <v>377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>
        <v>46113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374</v>
      </c>
      <c r="F246" s="6" t="s">
        <v>371</v>
      </c>
      <c r="G246" s="6" t="s">
        <v>233</v>
      </c>
      <c r="H246" s="4">
        <v>9029600</v>
      </c>
      <c r="I246" s="6">
        <f t="shared" ca="1" si="16"/>
        <v>13</v>
      </c>
      <c r="J246" s="13" t="str">
        <f t="shared" ca="1" si="19"/>
        <v>정상</v>
      </c>
      <c r="K246" s="11"/>
      <c r="L246" s="11">
        <v>46114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375</v>
      </c>
      <c r="F247" s="6" t="s">
        <v>372</v>
      </c>
      <c r="G247" s="6" t="s">
        <v>233</v>
      </c>
      <c r="H247" s="4">
        <v>6484400</v>
      </c>
      <c r="I247" s="6">
        <f t="shared" ca="1" si="16"/>
        <v>26</v>
      </c>
      <c r="J247" s="13" t="str">
        <f t="shared" ca="1" si="19"/>
        <v>관리</v>
      </c>
      <c r="K247" s="11">
        <v>46127</v>
      </c>
      <c r="L247" s="11">
        <v>46127</v>
      </c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243</v>
      </c>
      <c r="E248" s="6" t="s">
        <v>376</v>
      </c>
      <c r="F248" s="6" t="s">
        <v>373</v>
      </c>
      <c r="G248" s="6" t="s">
        <v>233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383</v>
      </c>
      <c r="F249" s="23" t="s">
        <v>378</v>
      </c>
      <c r="G249" s="6" t="s">
        <v>385</v>
      </c>
      <c r="H249" s="25">
        <v>114000</v>
      </c>
      <c r="I249" s="6">
        <f t="shared" ca="1" si="16"/>
        <v>21</v>
      </c>
      <c r="J249" s="13" t="str">
        <f t="shared" ca="1" si="19"/>
        <v>정상</v>
      </c>
      <c r="K249" s="11"/>
      <c r="L249" s="11">
        <v>46122</v>
      </c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24</v>
      </c>
      <c r="F250" s="23" t="s">
        <v>379</v>
      </c>
      <c r="G250" s="6" t="s">
        <v>385</v>
      </c>
      <c r="H250" s="25">
        <v>9563000</v>
      </c>
      <c r="I250" s="6">
        <f t="shared" ca="1" si="16"/>
        <v>32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100</v>
      </c>
      <c r="F251" s="23" t="s">
        <v>380</v>
      </c>
      <c r="G251" s="6" t="s">
        <v>385</v>
      </c>
      <c r="H251" s="25">
        <v>2270000</v>
      </c>
      <c r="I251" s="6">
        <f t="shared" ca="1" si="16"/>
        <v>32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384</v>
      </c>
      <c r="F252" s="23" t="s">
        <v>381</v>
      </c>
      <c r="G252" s="6" t="s">
        <v>385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178</v>
      </c>
      <c r="E253" s="23" t="s">
        <v>122</v>
      </c>
      <c r="F253" s="23" t="s">
        <v>382</v>
      </c>
      <c r="G253" s="6" t="s">
        <v>385</v>
      </c>
      <c r="H253" s="25">
        <v>658000</v>
      </c>
      <c r="I253" s="6">
        <f t="shared" ca="1" si="16"/>
        <v>21</v>
      </c>
      <c r="J253" s="13" t="str">
        <f t="shared" ca="1" si="19"/>
        <v>정상</v>
      </c>
      <c r="K253" s="11"/>
      <c r="L253" s="11">
        <v>46122</v>
      </c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387</v>
      </c>
      <c r="F254" s="6" t="s">
        <v>386</v>
      </c>
      <c r="G254" s="6" t="s">
        <v>230</v>
      </c>
      <c r="H254" s="4">
        <v>23835400</v>
      </c>
      <c r="I254" s="6">
        <f t="shared" ca="1" si="16"/>
        <v>23</v>
      </c>
      <c r="J254" s="13" t="str">
        <f t="shared" ca="1" si="19"/>
        <v>정상</v>
      </c>
      <c r="K254" s="11"/>
      <c r="L254" s="11">
        <v>46127</v>
      </c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243</v>
      </c>
      <c r="E255" s="6" t="s">
        <v>389</v>
      </c>
      <c r="F255" s="6" t="s">
        <v>388</v>
      </c>
      <c r="G255" s="6" t="s">
        <v>230</v>
      </c>
      <c r="H255" s="4">
        <v>8708400</v>
      </c>
      <c r="I255" s="6">
        <f t="shared" ref="I255:I318" ca="1" si="20">IF(C255="","",IF(L255="",TODAY()-C255,L255-C255))</f>
        <v>23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>
        <v>46127</v>
      </c>
      <c r="L255" s="11">
        <v>46127</v>
      </c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393</v>
      </c>
      <c r="F256" s="6" t="s">
        <v>390</v>
      </c>
      <c r="G256" s="6" t="s">
        <v>227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394</v>
      </c>
      <c r="F257" s="6" t="s">
        <v>391</v>
      </c>
      <c r="G257" s="6" t="s">
        <v>392</v>
      </c>
      <c r="H257" s="4">
        <v>3281000</v>
      </c>
      <c r="I257" s="6">
        <f t="shared" ca="1" si="20"/>
        <v>22</v>
      </c>
      <c r="J257" s="13" t="str">
        <f t="shared" ca="1" si="21"/>
        <v>관리</v>
      </c>
      <c r="K257" s="11">
        <v>46127</v>
      </c>
      <c r="L257" s="11">
        <v>46127</v>
      </c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218</v>
      </c>
      <c r="F258" s="23" t="s">
        <v>397</v>
      </c>
      <c r="G258" s="6" t="s">
        <v>416</v>
      </c>
      <c r="H258" s="4">
        <v>4290000</v>
      </c>
      <c r="I258" s="6">
        <f t="shared" ca="1" si="20"/>
        <v>29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530</v>
      </c>
      <c r="F259" s="23" t="s">
        <v>398</v>
      </c>
      <c r="G259" s="6" t="s">
        <v>416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399</v>
      </c>
      <c r="G260" s="6" t="s">
        <v>416</v>
      </c>
      <c r="H260" s="4">
        <v>465000</v>
      </c>
      <c r="I260" s="6">
        <f t="shared" ca="1" si="20"/>
        <v>29</v>
      </c>
      <c r="J260" s="13" t="str">
        <f t="shared" ca="1" si="21"/>
        <v>정상</v>
      </c>
      <c r="K260" s="11"/>
      <c r="L260" s="11"/>
      <c r="M260" s="10"/>
      <c r="N260" s="10" t="s">
        <v>33</v>
      </c>
      <c r="P260" s="6" t="s">
        <v>80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126</v>
      </c>
      <c r="F261" s="23" t="s">
        <v>400</v>
      </c>
      <c r="G261" s="6" t="s">
        <v>416</v>
      </c>
      <c r="H261" s="4">
        <v>5765500</v>
      </c>
      <c r="I261" s="6">
        <f t="shared" ca="1" si="20"/>
        <v>29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120</v>
      </c>
      <c r="F262" s="23" t="s">
        <v>401</v>
      </c>
      <c r="G262" s="6" t="s">
        <v>416</v>
      </c>
      <c r="H262" s="4">
        <v>222000</v>
      </c>
      <c r="I262" s="6">
        <f t="shared" ca="1" si="20"/>
        <v>11</v>
      </c>
      <c r="J262" s="13" t="str">
        <f t="shared" ca="1" si="21"/>
        <v>정상</v>
      </c>
      <c r="K262" s="11"/>
      <c r="L262" s="11">
        <v>46115</v>
      </c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207</v>
      </c>
      <c r="F263" s="23" t="s">
        <v>402</v>
      </c>
      <c r="G263" s="6" t="s">
        <v>416</v>
      </c>
      <c r="H263" s="4">
        <v>1866000</v>
      </c>
      <c r="I263" s="6">
        <f t="shared" ca="1" si="20"/>
        <v>29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179</v>
      </c>
      <c r="F264" s="23" t="s">
        <v>403</v>
      </c>
      <c r="G264" s="6" t="s">
        <v>416</v>
      </c>
      <c r="H264" s="4">
        <v>798500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395</v>
      </c>
      <c r="F265" s="23" t="s">
        <v>404</v>
      </c>
      <c r="G265" s="6" t="s">
        <v>416</v>
      </c>
      <c r="H265" s="4">
        <v>5442500</v>
      </c>
      <c r="I265" s="6">
        <f t="shared" ca="1" si="20"/>
        <v>18</v>
      </c>
      <c r="J265" s="13" t="str">
        <f t="shared" ca="1" si="21"/>
        <v>정상</v>
      </c>
      <c r="K265" s="11"/>
      <c r="L265" s="11">
        <v>46122</v>
      </c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208</v>
      </c>
      <c r="F266" s="23" t="s">
        <v>405</v>
      </c>
      <c r="G266" s="6" t="s">
        <v>416</v>
      </c>
      <c r="H266" s="4">
        <v>2969500</v>
      </c>
      <c r="I266" s="6">
        <f t="shared" ca="1" si="20"/>
        <v>23</v>
      </c>
      <c r="J266" s="13" t="str">
        <f t="shared" ca="1" si="21"/>
        <v>정상</v>
      </c>
      <c r="K266" s="11"/>
      <c r="L266" s="11">
        <v>46127</v>
      </c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195</v>
      </c>
      <c r="F267" s="23" t="s">
        <v>406</v>
      </c>
      <c r="G267" s="6" t="s">
        <v>416</v>
      </c>
      <c r="H267" s="4">
        <v>10451300</v>
      </c>
      <c r="I267" s="6">
        <f t="shared" ca="1" si="20"/>
        <v>29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08" si="22">IF(G268="","",IF(OR(G268="선급금",G268="중도금",G268="잔금"),"A",IF(G268="자재","B",IF(G268="특허료","C",""))))</f>
        <v>B</v>
      </c>
      <c r="E268" s="6" t="s">
        <v>108</v>
      </c>
      <c r="F268" s="23" t="s">
        <v>407</v>
      </c>
      <c r="G268" s="6" t="s">
        <v>416</v>
      </c>
      <c r="H268" s="4">
        <v>2250000</v>
      </c>
      <c r="I268" s="6">
        <f t="shared" ca="1" si="20"/>
        <v>29</v>
      </c>
      <c r="J268" s="13" t="str">
        <f t="shared" ca="1" si="21"/>
        <v>정상</v>
      </c>
      <c r="K268" s="11">
        <v>46172</v>
      </c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408</v>
      </c>
      <c r="G269" s="6" t="s">
        <v>416</v>
      </c>
      <c r="H269" s="4">
        <v>2711000</v>
      </c>
      <c r="I269" s="6">
        <f t="shared" ca="1" si="20"/>
        <v>28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126</v>
      </c>
      <c r="F270" s="23" t="s">
        <v>409</v>
      </c>
      <c r="G270" s="6" t="s">
        <v>416</v>
      </c>
      <c r="H270" s="4">
        <v>10539000</v>
      </c>
      <c r="I270" s="6">
        <f t="shared" ca="1" si="20"/>
        <v>28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396</v>
      </c>
      <c r="F271" s="23" t="s">
        <v>410</v>
      </c>
      <c r="G271" s="6" t="s">
        <v>416</v>
      </c>
      <c r="H271" s="4">
        <v>1021000</v>
      </c>
      <c r="I271" s="6">
        <f t="shared" ca="1" si="20"/>
        <v>28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411</v>
      </c>
      <c r="G272" s="6" t="s">
        <v>416</v>
      </c>
      <c r="H272" s="4">
        <v>427800</v>
      </c>
      <c r="I272" s="6">
        <f t="shared" ca="1" si="20"/>
        <v>28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218</v>
      </c>
      <c r="F273" s="23" t="s">
        <v>412</v>
      </c>
      <c r="G273" s="6" t="s">
        <v>416</v>
      </c>
      <c r="H273" s="4">
        <v>1180000</v>
      </c>
      <c r="I273" s="6">
        <f t="shared" ca="1" si="20"/>
        <v>28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208</v>
      </c>
      <c r="F274" s="23" t="s">
        <v>413</v>
      </c>
      <c r="G274" s="6" t="s">
        <v>416</v>
      </c>
      <c r="H274" s="4">
        <v>4520000</v>
      </c>
      <c r="I274" s="6">
        <f t="shared" ca="1" si="20"/>
        <v>22</v>
      </c>
      <c r="J274" s="13" t="str">
        <f t="shared" ca="1" si="21"/>
        <v>정상</v>
      </c>
      <c r="K274" s="11"/>
      <c r="L274" s="11">
        <v>46127</v>
      </c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126</v>
      </c>
      <c r="F275" s="23" t="s">
        <v>414</v>
      </c>
      <c r="G275" s="6" t="s">
        <v>416</v>
      </c>
      <c r="H275" s="4">
        <v>157000</v>
      </c>
      <c r="I275" s="6">
        <f t="shared" ca="1" si="20"/>
        <v>28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222</v>
      </c>
      <c r="F276" s="23" t="s">
        <v>415</v>
      </c>
      <c r="G276" s="6" t="s">
        <v>416</v>
      </c>
      <c r="H276" s="4">
        <v>2380000</v>
      </c>
      <c r="I276" s="6">
        <f t="shared" ca="1" si="20"/>
        <v>28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243</v>
      </c>
      <c r="E277" s="6" t="s">
        <v>421</v>
      </c>
      <c r="F277" s="6" t="s">
        <v>420</v>
      </c>
      <c r="G277" s="6" t="s">
        <v>422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>
        <v>46113</v>
      </c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243</v>
      </c>
      <c r="E278" s="6" t="s">
        <v>423</v>
      </c>
      <c r="F278" s="6" t="s">
        <v>424</v>
      </c>
      <c r="G278" s="6" t="s">
        <v>422</v>
      </c>
      <c r="H278" s="4">
        <v>2878800</v>
      </c>
      <c r="I278" s="6">
        <f t="shared" ca="1" si="20"/>
        <v>26</v>
      </c>
      <c r="J278" s="13" t="str">
        <f t="shared" ca="1" si="21"/>
        <v>관리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206</v>
      </c>
      <c r="F279" s="6" t="s">
        <v>211</v>
      </c>
      <c r="G279" s="6" t="s">
        <v>435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126</v>
      </c>
      <c r="F280" s="6" t="s">
        <v>425</v>
      </c>
      <c r="G280" s="6" t="s">
        <v>435</v>
      </c>
      <c r="H280" s="4">
        <v>4748300</v>
      </c>
      <c r="I280" s="6">
        <f t="shared" ca="1" si="20"/>
        <v>27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105</v>
      </c>
      <c r="F281" s="6" t="s">
        <v>426</v>
      </c>
      <c r="G281" s="6" t="s">
        <v>435</v>
      </c>
      <c r="H281" s="4">
        <v>396000</v>
      </c>
      <c r="I281" s="6">
        <f t="shared" ca="1" si="20"/>
        <v>6</v>
      </c>
      <c r="J281" s="13" t="str">
        <f t="shared" ca="1" si="21"/>
        <v>정상</v>
      </c>
      <c r="K281" s="11"/>
      <c r="L281" s="11">
        <v>46112</v>
      </c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126</v>
      </c>
      <c r="F282" s="6" t="s">
        <v>427</v>
      </c>
      <c r="G282" s="6" t="s">
        <v>435</v>
      </c>
      <c r="H282" s="4">
        <v>1414500</v>
      </c>
      <c r="I282" s="6">
        <f t="shared" ca="1" si="20"/>
        <v>27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249</v>
      </c>
      <c r="F283" s="6" t="s">
        <v>428</v>
      </c>
      <c r="G283" s="6" t="s">
        <v>435</v>
      </c>
      <c r="H283" s="4">
        <v>936000</v>
      </c>
      <c r="I283" s="6">
        <f t="shared" ca="1" si="20"/>
        <v>27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429</v>
      </c>
      <c r="G284" s="6" t="s">
        <v>435</v>
      </c>
      <c r="H284" s="4">
        <v>8336500</v>
      </c>
      <c r="I284" s="6">
        <f t="shared" ca="1" si="20"/>
        <v>27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126</v>
      </c>
      <c r="F285" s="6" t="s">
        <v>430</v>
      </c>
      <c r="G285" s="6" t="s">
        <v>435</v>
      </c>
      <c r="H285" s="4">
        <v>555000</v>
      </c>
      <c r="I285" s="6">
        <f t="shared" ca="1" si="20"/>
        <v>27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207</v>
      </c>
      <c r="F286" s="6" t="s">
        <v>431</v>
      </c>
      <c r="G286" s="6" t="s">
        <v>435</v>
      </c>
      <c r="H286" s="4">
        <v>508400</v>
      </c>
      <c r="I286" s="6">
        <f t="shared" ca="1" si="20"/>
        <v>27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434</v>
      </c>
      <c r="F287" s="6" t="s">
        <v>432</v>
      </c>
      <c r="G287" s="6" t="s">
        <v>435</v>
      </c>
      <c r="H287" s="4">
        <v>6771000</v>
      </c>
      <c r="I287" s="6">
        <f t="shared" ca="1" si="20"/>
        <v>27</v>
      </c>
      <c r="J287" s="13" t="str">
        <f t="shared" ref="J287:J350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178</v>
      </c>
      <c r="E288" s="6" t="s">
        <v>24</v>
      </c>
      <c r="F288" s="6" t="s">
        <v>433</v>
      </c>
      <c r="G288" s="6" t="s">
        <v>435</v>
      </c>
      <c r="H288" s="4">
        <v>2997000</v>
      </c>
      <c r="I288" s="6">
        <f t="shared" ca="1" si="20"/>
        <v>27</v>
      </c>
      <c r="J288" s="13" t="str">
        <f t="shared" ca="1" si="23"/>
        <v>정상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437</v>
      </c>
      <c r="E289" s="6" t="s">
        <v>234</v>
      </c>
      <c r="F289" s="6" t="s">
        <v>232</v>
      </c>
      <c r="G289" s="6" t="s">
        <v>438</v>
      </c>
      <c r="H289" s="4">
        <v>30186600</v>
      </c>
      <c r="I289" s="6">
        <f t="shared" ca="1" si="20"/>
        <v>27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219</v>
      </c>
      <c r="F290" s="23" t="s">
        <v>439</v>
      </c>
      <c r="G290" s="6" t="s">
        <v>458</v>
      </c>
      <c r="H290" s="25">
        <v>111000</v>
      </c>
      <c r="I290" s="6">
        <f t="shared" ca="1" si="20"/>
        <v>19</v>
      </c>
      <c r="J290" s="13" t="str">
        <f t="shared" ca="1" si="23"/>
        <v>정상</v>
      </c>
      <c r="K290" s="11"/>
      <c r="L290" s="11">
        <v>46126</v>
      </c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221</v>
      </c>
      <c r="F291" s="23" t="s">
        <v>440</v>
      </c>
      <c r="G291" s="6" t="s">
        <v>458</v>
      </c>
      <c r="H291" s="25">
        <v>1135000</v>
      </c>
      <c r="I291" s="6">
        <f t="shared" ca="1" si="20"/>
        <v>26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249</v>
      </c>
      <c r="F292" s="23" t="s">
        <v>441</v>
      </c>
      <c r="G292" s="6" t="s">
        <v>458</v>
      </c>
      <c r="H292" s="25">
        <v>14380000</v>
      </c>
      <c r="I292" s="6">
        <f t="shared" ca="1" si="20"/>
        <v>26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221</v>
      </c>
      <c r="F293" s="23" t="s">
        <v>440</v>
      </c>
      <c r="G293" s="6" t="s">
        <v>458</v>
      </c>
      <c r="H293" s="25">
        <v>4175400</v>
      </c>
      <c r="I293" s="6">
        <f t="shared" ca="1" si="20"/>
        <v>26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209</v>
      </c>
      <c r="F294" s="23" t="s">
        <v>442</v>
      </c>
      <c r="G294" s="6" t="s">
        <v>458</v>
      </c>
      <c r="H294" s="25">
        <v>5473000</v>
      </c>
      <c r="I294" s="6">
        <f t="shared" ca="1" si="20"/>
        <v>26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24</v>
      </c>
      <c r="F295" s="23" t="s">
        <v>443</v>
      </c>
      <c r="G295" s="6" t="s">
        <v>458</v>
      </c>
      <c r="H295" s="25">
        <v>52914000</v>
      </c>
      <c r="I295" s="6">
        <f t="shared" ca="1" si="20"/>
        <v>26</v>
      </c>
      <c r="J295" s="13" t="str">
        <f t="shared" ca="1" si="23"/>
        <v>정상</v>
      </c>
      <c r="K295" s="11"/>
      <c r="L295" s="11"/>
      <c r="M295" s="10"/>
      <c r="N295" s="10" t="s">
        <v>20</v>
      </c>
      <c r="O295" s="6" t="s">
        <v>58</v>
      </c>
      <c r="P295" s="6" t="s">
        <v>153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69</v>
      </c>
      <c r="F296" s="23" t="s">
        <v>444</v>
      </c>
      <c r="G296" s="6" t="s">
        <v>458</v>
      </c>
      <c r="H296" s="25">
        <v>427500</v>
      </c>
      <c r="I296" s="6">
        <f t="shared" ca="1" si="20"/>
        <v>26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195</v>
      </c>
      <c r="F297" s="23" t="s">
        <v>445</v>
      </c>
      <c r="G297" s="6" t="s">
        <v>458</v>
      </c>
      <c r="H297" s="25">
        <v>5032500</v>
      </c>
      <c r="I297" s="6">
        <f t="shared" ca="1" si="20"/>
        <v>26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56</v>
      </c>
      <c r="F298" s="23" t="s">
        <v>446</v>
      </c>
      <c r="G298" s="6" t="s">
        <v>458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459</v>
      </c>
      <c r="F299" s="23" t="s">
        <v>447</v>
      </c>
      <c r="G299" s="6" t="s">
        <v>458</v>
      </c>
      <c r="H299" s="25">
        <v>2884600</v>
      </c>
      <c r="I299" s="6">
        <f t="shared" ca="1" si="20"/>
        <v>26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98</v>
      </c>
      <c r="F300" s="23" t="s">
        <v>448</v>
      </c>
      <c r="G300" s="6" t="s">
        <v>458</v>
      </c>
      <c r="H300" s="25">
        <v>180000</v>
      </c>
      <c r="I300" s="6">
        <f t="shared" ca="1" si="20"/>
        <v>26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126</v>
      </c>
      <c r="F301" s="23" t="s">
        <v>449</v>
      </c>
      <c r="G301" s="6" t="s">
        <v>458</v>
      </c>
      <c r="H301" s="25">
        <v>24591000</v>
      </c>
      <c r="I301" s="6">
        <f t="shared" ca="1" si="20"/>
        <v>26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208</v>
      </c>
      <c r="F302" s="23" t="s">
        <v>450</v>
      </c>
      <c r="G302" s="6" t="s">
        <v>458</v>
      </c>
      <c r="H302" s="25">
        <v>3390000</v>
      </c>
      <c r="I302" s="6">
        <f t="shared" ca="1" si="20"/>
        <v>20</v>
      </c>
      <c r="J302" s="13" t="str">
        <f t="shared" ca="1" si="23"/>
        <v>정상</v>
      </c>
      <c r="K302" s="11"/>
      <c r="L302" s="11">
        <v>46127</v>
      </c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464</v>
      </c>
      <c r="D303" s="10" t="str">
        <f t="shared" si="22"/>
        <v>B</v>
      </c>
      <c r="E303" s="6" t="s">
        <v>222</v>
      </c>
      <c r="F303" s="23" t="s">
        <v>451</v>
      </c>
      <c r="G303" s="6" t="s">
        <v>458</v>
      </c>
      <c r="H303" s="25">
        <v>4637500</v>
      </c>
      <c r="I303" s="6">
        <f t="shared" ca="1" si="20"/>
        <v>26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81</v>
      </c>
      <c r="F304" s="23" t="s">
        <v>452</v>
      </c>
      <c r="G304" s="6" t="s">
        <v>458</v>
      </c>
      <c r="H304" s="25">
        <v>121500</v>
      </c>
      <c r="I304" s="6">
        <f t="shared" ca="1" si="20"/>
        <v>25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460</v>
      </c>
      <c r="F305" s="23" t="s">
        <v>453</v>
      </c>
      <c r="G305" s="6" t="s">
        <v>458</v>
      </c>
      <c r="H305" s="25">
        <v>13647200</v>
      </c>
      <c r="I305" s="6">
        <f t="shared" ca="1" si="20"/>
        <v>25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1810000</v>
      </c>
      <c r="I306" s="6">
        <f t="shared" ca="1" si="20"/>
        <v>25</v>
      </c>
      <c r="J306" s="13" t="str">
        <f t="shared" ca="1" si="23"/>
        <v>정상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108</v>
      </c>
      <c r="F307" s="23" t="s">
        <v>454</v>
      </c>
      <c r="G307" s="6" t="s">
        <v>458</v>
      </c>
      <c r="H307" s="25">
        <v>33000000</v>
      </c>
      <c r="I307" s="6">
        <f t="shared" ca="1" si="20"/>
        <v>25</v>
      </c>
      <c r="J307" s="13" t="str">
        <f t="shared" ca="1" si="23"/>
        <v>정상</v>
      </c>
      <c r="K307" s="11">
        <v>46172</v>
      </c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465</v>
      </c>
      <c r="D308" s="10" t="str">
        <f t="shared" si="22"/>
        <v>B</v>
      </c>
      <c r="E308" s="6" t="s">
        <v>461</v>
      </c>
      <c r="F308" s="23" t="s">
        <v>455</v>
      </c>
      <c r="G308" s="6" t="s">
        <v>458</v>
      </c>
      <c r="H308" s="25">
        <v>548000</v>
      </c>
      <c r="I308" s="6">
        <f t="shared" ca="1" si="20"/>
        <v>24</v>
      </c>
      <c r="J308" s="13" t="str">
        <f t="shared" ca="1" si="23"/>
        <v>정상</v>
      </c>
      <c r="K308" s="11"/>
      <c r="L308" s="11">
        <v>46132</v>
      </c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466</v>
      </c>
      <c r="D309" s="10" t="str">
        <f>IF(G310="","",IF(OR(G310="선급금",G310="중도금",G310="잔금"),"A",IF(G310="자재","B",IF(G310="특허료","C",""))))</f>
        <v>B</v>
      </c>
      <c r="E309" s="6" t="s">
        <v>462</v>
      </c>
      <c r="F309" s="23" t="s">
        <v>456</v>
      </c>
      <c r="G309" s="6" t="s">
        <v>458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 t="s">
        <v>466</v>
      </c>
      <c r="D310" s="10" t="s">
        <v>178</v>
      </c>
      <c r="E310" s="6" t="s">
        <v>463</v>
      </c>
      <c r="F310" s="23" t="s">
        <v>457</v>
      </c>
      <c r="G310" s="6" t="s">
        <v>458</v>
      </c>
      <c r="H310" s="25">
        <v>35839300</v>
      </c>
      <c r="I310" s="6">
        <f t="shared" ca="1" si="20"/>
        <v>22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243</v>
      </c>
      <c r="E311" s="6" t="s">
        <v>469</v>
      </c>
      <c r="F311" s="6" t="s">
        <v>467</v>
      </c>
      <c r="G311" s="6" t="s">
        <v>468</v>
      </c>
      <c r="H311" s="4">
        <v>109031200</v>
      </c>
      <c r="I311" s="6">
        <f t="shared" ca="1" si="20"/>
        <v>16</v>
      </c>
      <c r="J311" s="13" t="str">
        <f t="shared" ca="1" si="23"/>
        <v>정상</v>
      </c>
      <c r="K311" s="11"/>
      <c r="L311" s="11">
        <v>46127</v>
      </c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>
        <v>46112</v>
      </c>
      <c r="D312" s="10" t="s">
        <v>243</v>
      </c>
      <c r="E312" s="6" t="s">
        <v>624</v>
      </c>
      <c r="F312" s="6" t="s">
        <v>622</v>
      </c>
      <c r="G312" s="6" t="s">
        <v>623</v>
      </c>
      <c r="H312" s="4">
        <v>6562000</v>
      </c>
      <c r="I312" s="6">
        <f t="shared" ca="1" si="20"/>
        <v>15</v>
      </c>
      <c r="J312" s="13" t="str">
        <f t="shared" ca="1" si="23"/>
        <v>정상</v>
      </c>
      <c r="K312" s="11"/>
      <c r="L312" s="11">
        <v>46127</v>
      </c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509</v>
      </c>
      <c r="D313" s="10" t="s">
        <v>178</v>
      </c>
      <c r="E313" s="6" t="s">
        <v>503</v>
      </c>
      <c r="F313" s="6" t="s">
        <v>471</v>
      </c>
      <c r="G313" s="6" t="s">
        <v>512</v>
      </c>
      <c r="H313" s="25">
        <v>380000</v>
      </c>
      <c r="I313" s="6">
        <f t="shared" ca="1" si="20"/>
        <v>0</v>
      </c>
      <c r="J313" s="13" t="str">
        <f t="shared" ca="1" si="23"/>
        <v>정상</v>
      </c>
      <c r="K313" s="11"/>
      <c r="L313" s="11">
        <v>46114</v>
      </c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126</v>
      </c>
      <c r="F314" s="6" t="s">
        <v>472</v>
      </c>
      <c r="G314" s="6" t="s">
        <v>512</v>
      </c>
      <c r="H314" s="25">
        <v>1182500</v>
      </c>
      <c r="I314" s="6">
        <f t="shared" ca="1" si="20"/>
        <v>18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504</v>
      </c>
      <c r="F315" s="6" t="s">
        <v>473</v>
      </c>
      <c r="G315" s="6" t="s">
        <v>512</v>
      </c>
      <c r="H315" s="25">
        <v>4300000</v>
      </c>
      <c r="I315" s="6">
        <f t="shared" ca="1" si="20"/>
        <v>18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505</v>
      </c>
      <c r="F316" s="6" t="s">
        <v>474</v>
      </c>
      <c r="G316" s="6" t="s">
        <v>512</v>
      </c>
      <c r="H316" s="25">
        <v>550950</v>
      </c>
      <c r="I316" s="6">
        <f t="shared" ca="1" si="20"/>
        <v>18</v>
      </c>
      <c r="J316" s="13" t="str">
        <f t="shared" ca="1" si="23"/>
        <v>정상</v>
      </c>
      <c r="K316" s="11"/>
      <c r="L316" s="11"/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506</v>
      </c>
      <c r="F317" s="6" t="s">
        <v>475</v>
      </c>
      <c r="G317" s="6" t="s">
        <v>512</v>
      </c>
      <c r="H317" s="25">
        <v>736000</v>
      </c>
      <c r="I317" s="6">
        <f t="shared" ca="1" si="20"/>
        <v>0</v>
      </c>
      <c r="J317" s="13" t="str">
        <f t="shared" ca="1" si="23"/>
        <v>정상</v>
      </c>
      <c r="K317" s="11"/>
      <c r="L317" s="11">
        <v>46115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128</v>
      </c>
      <c r="F318" s="6" t="s">
        <v>476</v>
      </c>
      <c r="G318" s="6" t="s">
        <v>512</v>
      </c>
      <c r="H318" s="25">
        <v>1432700</v>
      </c>
      <c r="I318" s="6">
        <f t="shared" ca="1" si="20"/>
        <v>3</v>
      </c>
      <c r="J318" s="13" t="str">
        <f t="shared" ca="1" si="23"/>
        <v>정상</v>
      </c>
      <c r="K318" s="11"/>
      <c r="L318" s="11">
        <v>46118</v>
      </c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395</v>
      </c>
      <c r="F319" s="6" t="s">
        <v>477</v>
      </c>
      <c r="G319" s="6" t="s">
        <v>512</v>
      </c>
      <c r="H319" s="25">
        <v>18900000</v>
      </c>
      <c r="I319" s="6">
        <f t="shared" ref="I319:I382" ca="1" si="24">IF(C319="","",IF(L319="",TODAY()-C319,L319-C319))</f>
        <v>18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100</v>
      </c>
      <c r="F320" s="6" t="s">
        <v>478</v>
      </c>
      <c r="G320" s="6" t="s">
        <v>512</v>
      </c>
      <c r="H320" s="25">
        <v>1478000</v>
      </c>
      <c r="I320" s="6">
        <f t="shared" ca="1" si="24"/>
        <v>18</v>
      </c>
      <c r="J320" s="13" t="str">
        <f t="shared" ca="1" si="23"/>
        <v>정상</v>
      </c>
      <c r="K320" s="11"/>
      <c r="L320" s="11"/>
      <c r="M320" s="10"/>
      <c r="N320" s="10" t="s">
        <v>33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2261000</v>
      </c>
      <c r="I321" s="6">
        <f t="shared" ca="1" si="24"/>
        <v>18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24</v>
      </c>
      <c r="F322" s="6" t="s">
        <v>433</v>
      </c>
      <c r="G322" s="6" t="s">
        <v>512</v>
      </c>
      <c r="H322" s="25">
        <v>5104500</v>
      </c>
      <c r="I322" s="6">
        <f t="shared" ca="1" si="24"/>
        <v>18</v>
      </c>
      <c r="J322" s="13" t="str">
        <f t="shared" ca="1" si="23"/>
        <v>정상</v>
      </c>
      <c r="K322" s="11"/>
      <c r="L322" s="11"/>
      <c r="M322" s="10"/>
      <c r="N322" s="10" t="s">
        <v>20</v>
      </c>
      <c r="O322" s="6" t="s">
        <v>58</v>
      </c>
      <c r="P322" s="6" t="s">
        <v>153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126</v>
      </c>
      <c r="F323" s="6" t="s">
        <v>479</v>
      </c>
      <c r="G323" s="6" t="s">
        <v>512</v>
      </c>
      <c r="H323" s="25">
        <v>1575000</v>
      </c>
      <c r="I323" s="6">
        <f t="shared" ca="1" si="24"/>
        <v>18</v>
      </c>
      <c r="J323" s="13" t="str">
        <f t="shared" ca="1" si="23"/>
        <v>정상</v>
      </c>
      <c r="K323" s="11"/>
      <c r="L323" s="11"/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366</v>
      </c>
      <c r="F324" s="6" t="s">
        <v>480</v>
      </c>
      <c r="G324" s="6" t="s">
        <v>512</v>
      </c>
      <c r="H324" s="25">
        <v>16446000</v>
      </c>
      <c r="I324" s="6">
        <f t="shared" ca="1" si="24"/>
        <v>3</v>
      </c>
      <c r="J324" s="13" t="str">
        <f t="shared" ca="1" si="23"/>
        <v>정상</v>
      </c>
      <c r="K324" s="11"/>
      <c r="L324" s="11">
        <v>46118</v>
      </c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207</v>
      </c>
      <c r="F325" s="6" t="s">
        <v>481</v>
      </c>
      <c r="G325" s="6" t="s">
        <v>512</v>
      </c>
      <c r="H325" s="25">
        <v>156900</v>
      </c>
      <c r="I325" s="6">
        <f t="shared" ca="1" si="24"/>
        <v>18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39</v>
      </c>
      <c r="F326" s="6" t="s">
        <v>482</v>
      </c>
      <c r="G326" s="6" t="s">
        <v>512</v>
      </c>
      <c r="H326" s="25">
        <v>2137500</v>
      </c>
      <c r="I326" s="6">
        <f t="shared" ca="1" si="24"/>
        <v>18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110</v>
      </c>
      <c r="F327" s="6" t="s">
        <v>483</v>
      </c>
      <c r="G327" s="6" t="s">
        <v>512</v>
      </c>
      <c r="H327" s="25">
        <v>1469400</v>
      </c>
      <c r="I327" s="6">
        <f t="shared" ca="1" si="24"/>
        <v>18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479</v>
      </c>
      <c r="G328" s="6" t="s">
        <v>512</v>
      </c>
      <c r="H328" s="25">
        <v>24591000</v>
      </c>
      <c r="I328" s="6">
        <f t="shared" ca="1" si="24"/>
        <v>18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484</v>
      </c>
      <c r="G329" s="6" t="s">
        <v>512</v>
      </c>
      <c r="H329" s="25">
        <v>4770000</v>
      </c>
      <c r="I329" s="6">
        <f t="shared" ca="1" si="24"/>
        <v>18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126</v>
      </c>
      <c r="F330" s="6" t="s">
        <v>485</v>
      </c>
      <c r="G330" s="6" t="s">
        <v>512</v>
      </c>
      <c r="H330" s="25">
        <v>5661500</v>
      </c>
      <c r="I330" s="6">
        <f t="shared" ca="1" si="24"/>
        <v>18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100</v>
      </c>
      <c r="F331" s="6" t="s">
        <v>478</v>
      </c>
      <c r="G331" s="6" t="s">
        <v>512</v>
      </c>
      <c r="H331" s="25">
        <v>1700000</v>
      </c>
      <c r="I331" s="6">
        <f t="shared" ca="1" si="24"/>
        <v>18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195</v>
      </c>
      <c r="F332" s="6" t="s">
        <v>486</v>
      </c>
      <c r="G332" s="6" t="s">
        <v>512</v>
      </c>
      <c r="H332" s="25">
        <v>5060000</v>
      </c>
      <c r="I332" s="6">
        <f t="shared" ca="1" si="24"/>
        <v>18</v>
      </c>
      <c r="J332" s="13" t="str">
        <f t="shared" ca="1" si="23"/>
        <v>정상</v>
      </c>
      <c r="K332" s="11"/>
      <c r="L332" s="11"/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163</v>
      </c>
      <c r="F333" s="6" t="s">
        <v>487</v>
      </c>
      <c r="G333" s="6" t="s">
        <v>512</v>
      </c>
      <c r="H333" s="25">
        <v>6050000</v>
      </c>
      <c r="I333" s="6">
        <f t="shared" ca="1" si="24"/>
        <v>4</v>
      </c>
      <c r="J333" s="13" t="str">
        <f t="shared" ca="1" si="23"/>
        <v>정상</v>
      </c>
      <c r="K333" s="11"/>
      <c r="L333" s="11">
        <v>46119</v>
      </c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316</v>
      </c>
      <c r="F334" s="6" t="s">
        <v>488</v>
      </c>
      <c r="G334" s="6" t="s">
        <v>512</v>
      </c>
      <c r="H334" s="25">
        <v>585000</v>
      </c>
      <c r="I334" s="6">
        <f t="shared" ca="1" si="24"/>
        <v>18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510</v>
      </c>
      <c r="D335" s="10" t="s">
        <v>178</v>
      </c>
      <c r="E335" s="6" t="s">
        <v>434</v>
      </c>
      <c r="F335" s="6" t="s">
        <v>489</v>
      </c>
      <c r="G335" s="6" t="s">
        <v>512</v>
      </c>
      <c r="H335" s="25">
        <v>33428500</v>
      </c>
      <c r="I335" s="6">
        <f t="shared" ca="1" si="24"/>
        <v>18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461</v>
      </c>
      <c r="F336" s="6" t="s">
        <v>490</v>
      </c>
      <c r="G336" s="6" t="s">
        <v>512</v>
      </c>
      <c r="H336" s="25">
        <v>835000</v>
      </c>
      <c r="I336" s="6">
        <f t="shared" ca="1" si="24"/>
        <v>15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507</v>
      </c>
      <c r="F337" s="6" t="s">
        <v>491</v>
      </c>
      <c r="G337" s="6" t="s">
        <v>512</v>
      </c>
      <c r="H337" s="25">
        <v>1295800</v>
      </c>
      <c r="I337" s="6">
        <f t="shared" ca="1" si="24"/>
        <v>15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126</v>
      </c>
      <c r="F338" s="6" t="s">
        <v>485</v>
      </c>
      <c r="G338" s="6" t="s">
        <v>512</v>
      </c>
      <c r="H338" s="25">
        <v>3180000</v>
      </c>
      <c r="I338" s="6">
        <f t="shared" ca="1" si="24"/>
        <v>15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434</v>
      </c>
      <c r="F339" s="6" t="s">
        <v>492</v>
      </c>
      <c r="G339" s="6" t="s">
        <v>512</v>
      </c>
      <c r="H339" s="25">
        <v>40027000</v>
      </c>
      <c r="I339" s="6">
        <f t="shared" ca="1" si="24"/>
        <v>15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83</v>
      </c>
      <c r="F340" s="6" t="s">
        <v>493</v>
      </c>
      <c r="G340" s="6" t="s">
        <v>512</v>
      </c>
      <c r="H340" s="25">
        <v>63450600</v>
      </c>
      <c r="I340" s="6">
        <f t="shared" ca="1" si="24"/>
        <v>15</v>
      </c>
      <c r="J340" s="13" t="str">
        <f t="shared" ca="1" si="23"/>
        <v>정상</v>
      </c>
      <c r="K340" s="11"/>
      <c r="L340" s="11"/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220</v>
      </c>
      <c r="F341" s="6" t="s">
        <v>215</v>
      </c>
      <c r="G341" s="6" t="s">
        <v>512</v>
      </c>
      <c r="H341" s="25">
        <v>3060000</v>
      </c>
      <c r="I341" s="6">
        <f t="shared" ca="1" si="24"/>
        <v>4</v>
      </c>
      <c r="J341" s="13" t="str">
        <f t="shared" ca="1" si="23"/>
        <v>정상</v>
      </c>
      <c r="K341" s="11"/>
      <c r="L341" s="11">
        <v>46122</v>
      </c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195</v>
      </c>
      <c r="F342" s="6" t="s">
        <v>486</v>
      </c>
      <c r="G342" s="6" t="s">
        <v>512</v>
      </c>
      <c r="H342" s="25">
        <v>310800</v>
      </c>
      <c r="I342" s="6">
        <f t="shared" ca="1" si="24"/>
        <v>9</v>
      </c>
      <c r="J342" s="13" t="str">
        <f t="shared" ca="1" si="23"/>
        <v>정상</v>
      </c>
      <c r="K342" s="11"/>
      <c r="L342" s="11">
        <v>46127</v>
      </c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30</v>
      </c>
      <c r="F343" s="6" t="s">
        <v>494</v>
      </c>
      <c r="G343" s="6" t="s">
        <v>512</v>
      </c>
      <c r="H343" s="25">
        <v>381000</v>
      </c>
      <c r="I343" s="6">
        <f t="shared" ca="1" si="24"/>
        <v>15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508</v>
      </c>
      <c r="F344" s="6" t="s">
        <v>495</v>
      </c>
      <c r="G344" s="6" t="s">
        <v>512</v>
      </c>
      <c r="H344" s="25">
        <v>295000</v>
      </c>
      <c r="I344" s="6">
        <f t="shared" ca="1" si="24"/>
        <v>15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207</v>
      </c>
      <c r="F345" s="6" t="s">
        <v>496</v>
      </c>
      <c r="G345" s="6" t="s">
        <v>512</v>
      </c>
      <c r="H345" s="25">
        <v>5664000</v>
      </c>
      <c r="I345" s="6">
        <f t="shared" ca="1" si="24"/>
        <v>15</v>
      </c>
      <c r="J345" s="13" t="str">
        <f t="shared" ca="1" si="23"/>
        <v>정상</v>
      </c>
      <c r="K345" s="11"/>
      <c r="L345" s="11"/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17</v>
      </c>
      <c r="F346" s="6" t="s">
        <v>497</v>
      </c>
      <c r="G346" s="6" t="s">
        <v>512</v>
      </c>
      <c r="H346" s="25">
        <v>216900</v>
      </c>
      <c r="I346" s="6">
        <f t="shared" ca="1" si="24"/>
        <v>1</v>
      </c>
      <c r="J346" s="13" t="str">
        <f t="shared" ca="1" si="23"/>
        <v>정상</v>
      </c>
      <c r="K346" s="11"/>
      <c r="L346" s="11">
        <v>46119</v>
      </c>
      <c r="M346" s="10"/>
      <c r="N346" s="10" t="s">
        <v>33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24</v>
      </c>
      <c r="F347" s="6" t="s">
        <v>107</v>
      </c>
      <c r="G347" s="6" t="s">
        <v>512</v>
      </c>
      <c r="H347" s="25">
        <v>4160000</v>
      </c>
      <c r="I347" s="6">
        <f t="shared" ca="1" si="24"/>
        <v>15</v>
      </c>
      <c r="J347" s="13" t="str">
        <f t="shared" ca="1" si="23"/>
        <v>정상</v>
      </c>
      <c r="K347" s="11"/>
      <c r="L347" s="11"/>
      <c r="M347" s="10"/>
      <c r="N347" s="10" t="s">
        <v>20</v>
      </c>
      <c r="O347" s="6" t="s">
        <v>58</v>
      </c>
      <c r="P347" s="6" t="s">
        <v>153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498</v>
      </c>
      <c r="G348" s="6" t="s">
        <v>512</v>
      </c>
      <c r="H348" s="25">
        <v>1460000</v>
      </c>
      <c r="I348" s="6">
        <f t="shared" ca="1" si="24"/>
        <v>15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26</v>
      </c>
      <c r="F349" s="6" t="s">
        <v>499</v>
      </c>
      <c r="G349" s="6" t="s">
        <v>512</v>
      </c>
      <c r="H349" s="25">
        <v>720000</v>
      </c>
      <c r="I349" s="6">
        <f t="shared" ca="1" si="24"/>
        <v>15</v>
      </c>
      <c r="J349" s="13" t="str">
        <f t="shared" ca="1" si="23"/>
        <v>정상</v>
      </c>
      <c r="K349" s="11"/>
      <c r="L349" s="11"/>
      <c r="M349" s="10"/>
      <c r="N349" s="10" t="s">
        <v>33</v>
      </c>
      <c r="P349" s="6" t="s">
        <v>80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375</v>
      </c>
      <c r="F350" s="6" t="s">
        <v>500</v>
      </c>
      <c r="G350" s="6" t="s">
        <v>512</v>
      </c>
      <c r="H350" s="25">
        <v>3380000</v>
      </c>
      <c r="I350" s="6">
        <f t="shared" ca="1" si="24"/>
        <v>9</v>
      </c>
      <c r="J350" s="13" t="str">
        <f t="shared" ca="1" si="23"/>
        <v>정상</v>
      </c>
      <c r="K350" s="11"/>
      <c r="L350" s="11">
        <v>46127</v>
      </c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126</v>
      </c>
      <c r="F351" s="6" t="s">
        <v>501</v>
      </c>
      <c r="G351" s="6" t="s">
        <v>512</v>
      </c>
      <c r="H351" s="25">
        <v>1230000</v>
      </c>
      <c r="I351" s="6">
        <f t="shared" ca="1" si="24"/>
        <v>15</v>
      </c>
      <c r="J351" s="13" t="str">
        <f t="shared" ref="J351:J414" ca="1" si="25">IF(I351="","",
 IF(G351="선급금",
   IF(I351&lt;=20,"정상",IF(I351&lt;=90,"관리","장기미수")),
 IF(G351="자재",
   IF(I351&lt;=40,"정상",IF(I351&lt;=90,"관리","장기미수")),
   IF(I351&lt;=30,"정상",IF(I351&lt;=90,"관리","장기미수"))
  )
 )
)</f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100</v>
      </c>
      <c r="F352" s="6" t="s">
        <v>478</v>
      </c>
      <c r="G352" s="6" t="s">
        <v>512</v>
      </c>
      <c r="H352" s="25">
        <v>2378500</v>
      </c>
      <c r="I352" s="6">
        <f t="shared" ca="1" si="24"/>
        <v>15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434</v>
      </c>
      <c r="F353" s="6" t="s">
        <v>492</v>
      </c>
      <c r="G353" s="6" t="s">
        <v>512</v>
      </c>
      <c r="H353" s="25">
        <v>957000</v>
      </c>
      <c r="I353" s="6">
        <f t="shared" ca="1" si="24"/>
        <v>15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 t="s">
        <v>511</v>
      </c>
      <c r="D354" s="10" t="s">
        <v>178</v>
      </c>
      <c r="E354" s="6" t="s">
        <v>56</v>
      </c>
      <c r="F354" s="6" t="s">
        <v>502</v>
      </c>
      <c r="G354" s="6" t="s">
        <v>512</v>
      </c>
      <c r="H354" s="25">
        <v>2975000</v>
      </c>
      <c r="I354" s="6">
        <f t="shared" ca="1" si="24"/>
        <v>15</v>
      </c>
      <c r="J354" s="13" t="str">
        <f t="shared" ca="1" si="25"/>
        <v>정상</v>
      </c>
      <c r="K354" s="11"/>
      <c r="L354" s="11"/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46115</v>
      </c>
      <c r="D355" s="10" t="s">
        <v>243</v>
      </c>
      <c r="E355" s="6" t="s">
        <v>513</v>
      </c>
      <c r="F355" s="6" t="s">
        <v>417</v>
      </c>
      <c r="G355" s="6" t="s">
        <v>514</v>
      </c>
      <c r="H355" s="4">
        <v>22230800</v>
      </c>
      <c r="I355" s="6">
        <f t="shared" ca="1" si="24"/>
        <v>12</v>
      </c>
      <c r="J355" s="13" t="str">
        <f t="shared" ca="1" si="25"/>
        <v>정상</v>
      </c>
      <c r="K355" s="11"/>
      <c r="L355" s="11">
        <v>46127</v>
      </c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46118</v>
      </c>
      <c r="D356" s="10" t="s">
        <v>243</v>
      </c>
      <c r="E356" s="6" t="s">
        <v>270</v>
      </c>
      <c r="F356" s="6" t="s">
        <v>515</v>
      </c>
      <c r="G356" s="6" t="s">
        <v>516</v>
      </c>
      <c r="H356" s="4">
        <v>26011000</v>
      </c>
      <c r="I356" s="6">
        <f t="shared" ca="1" si="24"/>
        <v>15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46113</v>
      </c>
      <c r="D357" s="10" t="s">
        <v>243</v>
      </c>
      <c r="E357" s="6" t="s">
        <v>228</v>
      </c>
      <c r="F357" s="6" t="s">
        <v>225</v>
      </c>
      <c r="G357" s="6" t="s">
        <v>517</v>
      </c>
      <c r="H357" s="4">
        <v>22092800</v>
      </c>
      <c r="I357" s="6">
        <f t="shared" ca="1" si="24"/>
        <v>20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46118</v>
      </c>
      <c r="D358" s="10" t="s">
        <v>243</v>
      </c>
      <c r="E358" s="6" t="s">
        <v>207</v>
      </c>
      <c r="F358" s="6" t="s">
        <v>518</v>
      </c>
      <c r="G358" s="6" t="s">
        <v>531</v>
      </c>
      <c r="H358" s="4">
        <v>10316800</v>
      </c>
      <c r="I358" s="6">
        <f t="shared" ca="1" si="24"/>
        <v>15</v>
      </c>
      <c r="J358" s="13" t="str">
        <f t="shared" ca="1" si="25"/>
        <v>정상</v>
      </c>
      <c r="K358" s="11"/>
      <c r="L358" s="11"/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519</v>
      </c>
      <c r="F359" s="6" t="s">
        <v>272</v>
      </c>
      <c r="G359" s="6" t="s">
        <v>520</v>
      </c>
      <c r="H359" s="4">
        <v>39444000</v>
      </c>
      <c r="I359" s="6">
        <f t="shared" ca="1" si="24"/>
        <v>12</v>
      </c>
      <c r="J359" s="13" t="str">
        <f t="shared" ca="1" si="25"/>
        <v>정상</v>
      </c>
      <c r="K359" s="11"/>
      <c r="L359" s="11">
        <v>46127</v>
      </c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">
        <v>243</v>
      </c>
      <c r="E360" s="6" t="s">
        <v>521</v>
      </c>
      <c r="F360" s="6" t="s">
        <v>340</v>
      </c>
      <c r="G360" s="6" t="s">
        <v>520</v>
      </c>
      <c r="H360" s="4">
        <v>36998800</v>
      </c>
      <c r="I360" s="6">
        <f t="shared" ca="1" si="24"/>
        <v>18</v>
      </c>
      <c r="J360" s="13" t="str">
        <f t="shared" ca="1" si="25"/>
        <v>정상</v>
      </c>
      <c r="K360" s="11">
        <v>46142</v>
      </c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46115</v>
      </c>
      <c r="D361" s="10" t="str">
        <f t="shared" ref="D361:D365" si="26">IF(G361="","",IF(OR(G361="선급금",G361="중도금",G361="잔금"),"A",IF(G361="자재","B",IF(G361="특허료","C",""))))</f>
        <v>A</v>
      </c>
      <c r="E361" s="6" t="s">
        <v>374</v>
      </c>
      <c r="F361" s="6" t="s">
        <v>371</v>
      </c>
      <c r="G361" s="6" t="s">
        <v>520</v>
      </c>
      <c r="H361" s="4">
        <v>18059200</v>
      </c>
      <c r="I361" s="6">
        <f t="shared" ca="1" si="24"/>
        <v>18</v>
      </c>
      <c r="J361" s="13" t="str">
        <f t="shared" ca="1" si="25"/>
        <v>정상</v>
      </c>
      <c r="K361" s="11"/>
      <c r="L361" s="11"/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46113</v>
      </c>
      <c r="D362" s="10" t="str">
        <f t="shared" si="26"/>
        <v>A</v>
      </c>
      <c r="E362" s="6" t="s">
        <v>375</v>
      </c>
      <c r="F362" s="6" t="s">
        <v>372</v>
      </c>
      <c r="G362" s="6" t="s">
        <v>520</v>
      </c>
      <c r="H362" s="4">
        <v>12968800</v>
      </c>
      <c r="I362" s="6">
        <f t="shared" ca="1" si="24"/>
        <v>14</v>
      </c>
      <c r="J362" s="13" t="str">
        <f t="shared" ca="1" si="25"/>
        <v>정상</v>
      </c>
      <c r="K362" s="11">
        <v>46127</v>
      </c>
      <c r="L362" s="11">
        <v>46127</v>
      </c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46114</v>
      </c>
      <c r="D363" s="10" t="str">
        <f t="shared" si="26"/>
        <v>A</v>
      </c>
      <c r="E363" s="6" t="s">
        <v>421</v>
      </c>
      <c r="F363" s="6" t="s">
        <v>420</v>
      </c>
      <c r="G363" s="6" t="s">
        <v>520</v>
      </c>
      <c r="H363" s="4">
        <v>16160000</v>
      </c>
      <c r="I363" s="6">
        <f t="shared" ca="1" si="24"/>
        <v>19</v>
      </c>
      <c r="J363" s="13" t="str">
        <f t="shared" ca="1" si="25"/>
        <v>정상</v>
      </c>
      <c r="K363" s="11"/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46118</v>
      </c>
      <c r="D364" s="10" t="str">
        <f t="shared" si="26"/>
        <v>A</v>
      </c>
      <c r="E364" s="6" t="s">
        <v>423</v>
      </c>
      <c r="F364" s="6" t="s">
        <v>424</v>
      </c>
      <c r="G364" s="6" t="s">
        <v>520</v>
      </c>
      <c r="H364" s="4">
        <v>5757600</v>
      </c>
      <c r="I364" s="6">
        <f t="shared" ca="1" si="24"/>
        <v>15</v>
      </c>
      <c r="J364" s="13" t="str">
        <f t="shared" ca="1" si="25"/>
        <v>정상</v>
      </c>
      <c r="K364" s="11">
        <v>46142</v>
      </c>
      <c r="L364" s="11"/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tr">
        <f t="shared" si="26"/>
        <v>A</v>
      </c>
      <c r="E365" s="6" t="s">
        <v>195</v>
      </c>
      <c r="F365" s="6" t="s">
        <v>522</v>
      </c>
      <c r="G365" s="6" t="s">
        <v>523</v>
      </c>
      <c r="H365" s="4">
        <v>17723800</v>
      </c>
      <c r="I365" s="6">
        <f t="shared" ca="1" si="24"/>
        <v>13</v>
      </c>
      <c r="J365" s="13" t="str">
        <f t="shared" ca="1" si="25"/>
        <v>정상</v>
      </c>
      <c r="K365" s="11">
        <v>46122</v>
      </c>
      <c r="L365" s="11">
        <v>46126</v>
      </c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46113</v>
      </c>
      <c r="D366" s="10" t="s">
        <v>243</v>
      </c>
      <c r="E366" s="6" t="s">
        <v>208</v>
      </c>
      <c r="F366" s="6" t="s">
        <v>524</v>
      </c>
      <c r="G366" s="6" t="s">
        <v>523</v>
      </c>
      <c r="H366" s="4">
        <v>48448200</v>
      </c>
      <c r="I366" s="6">
        <f t="shared" ca="1" si="24"/>
        <v>14</v>
      </c>
      <c r="J366" s="13" t="str">
        <f t="shared" ca="1" si="25"/>
        <v>정상</v>
      </c>
      <c r="K366" s="11">
        <v>46127</v>
      </c>
      <c r="L366" s="11">
        <v>46127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179</v>
      </c>
      <c r="F367" s="6" t="s">
        <v>525</v>
      </c>
      <c r="G367" s="6" t="s">
        <v>523</v>
      </c>
      <c r="H367" s="4">
        <v>23838400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>
        <f>IF(C368="","",COUNTA($C$2:C368))</f>
        <v>367</v>
      </c>
      <c r="C368" s="11">
        <v>46114</v>
      </c>
      <c r="D368" s="10" t="s">
        <v>243</v>
      </c>
      <c r="E368" s="6" t="s">
        <v>527</v>
      </c>
      <c r="F368" s="6" t="s">
        <v>526</v>
      </c>
      <c r="G368" s="6" t="s">
        <v>523</v>
      </c>
      <c r="H368" s="4">
        <v>23050000</v>
      </c>
      <c r="I368" s="6">
        <f t="shared" ca="1" si="24"/>
        <v>1</v>
      </c>
      <c r="J368" s="13" t="str">
        <f t="shared" ca="1" si="25"/>
        <v>정상</v>
      </c>
      <c r="K368" s="11"/>
      <c r="L368" s="11">
        <v>46115</v>
      </c>
      <c r="M368" s="10"/>
      <c r="N368" s="10" t="s">
        <v>33</v>
      </c>
      <c r="Q368" s="11"/>
      <c r="R368" s="11"/>
      <c r="S368" s="10"/>
    </row>
    <row r="369" spans="2:19" s="6" customFormat="1" ht="16.5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394</v>
      </c>
      <c r="F369" s="6" t="s">
        <v>391</v>
      </c>
      <c r="G369" s="6" t="s">
        <v>532</v>
      </c>
      <c r="H369" s="4">
        <v>4218000</v>
      </c>
      <c r="I369" s="6">
        <f t="shared" ca="1" si="24"/>
        <v>14</v>
      </c>
      <c r="J369" s="13" t="str">
        <f t="shared" ca="1" si="25"/>
        <v>정상</v>
      </c>
      <c r="K369" s="11"/>
      <c r="L369" s="11"/>
      <c r="M369" s="10"/>
      <c r="N369" s="10" t="s">
        <v>33</v>
      </c>
      <c r="Q369" s="11"/>
      <c r="R369" s="11"/>
      <c r="S369" s="10"/>
    </row>
    <row r="370" spans="2:19" s="6" customFormat="1" ht="16.5" customHeight="1">
      <c r="B370" s="10">
        <f>IF(C370="","",COUNTA($C$2:C370))</f>
        <v>369</v>
      </c>
      <c r="C370" s="11">
        <v>46119</v>
      </c>
      <c r="D370" s="10" t="s">
        <v>243</v>
      </c>
      <c r="E370" s="6" t="s">
        <v>567</v>
      </c>
      <c r="F370" s="6" t="s">
        <v>533</v>
      </c>
      <c r="G370" s="6" t="s">
        <v>534</v>
      </c>
      <c r="H370" s="4">
        <v>2040000</v>
      </c>
      <c r="I370" s="6">
        <f t="shared" ca="1" si="24"/>
        <v>8</v>
      </c>
      <c r="J370" s="13" t="str">
        <f t="shared" ca="1" si="25"/>
        <v>정상</v>
      </c>
      <c r="K370" s="11"/>
      <c r="L370" s="11">
        <v>46127</v>
      </c>
      <c r="M370" s="10"/>
      <c r="N370" s="10" t="s">
        <v>33</v>
      </c>
      <c r="Q370" s="11"/>
      <c r="R370" s="11"/>
      <c r="S370" s="10"/>
    </row>
    <row r="371" spans="2:19" s="6" customFormat="1" ht="16.5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521</v>
      </c>
      <c r="F371" s="6" t="s">
        <v>535</v>
      </c>
      <c r="G371" s="6" t="s">
        <v>544</v>
      </c>
      <c r="H371" s="4">
        <v>1019800</v>
      </c>
      <c r="I371" s="6">
        <f t="shared" ca="1" si="24"/>
        <v>13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126</v>
      </c>
      <c r="F372" s="6" t="s">
        <v>479</v>
      </c>
      <c r="G372" s="6" t="s">
        <v>544</v>
      </c>
      <c r="H372" s="4">
        <v>565000</v>
      </c>
      <c r="I372" s="6">
        <f t="shared" ca="1" si="24"/>
        <v>13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221</v>
      </c>
      <c r="F373" s="6" t="s">
        <v>216</v>
      </c>
      <c r="G373" s="6" t="s">
        <v>544</v>
      </c>
      <c r="H373" s="4">
        <v>102368000</v>
      </c>
      <c r="I373" s="6">
        <f t="shared" ca="1" si="24"/>
        <v>13</v>
      </c>
      <c r="J373" s="13" t="str">
        <f t="shared" ca="1" si="25"/>
        <v>정상</v>
      </c>
      <c r="K373" s="11"/>
      <c r="L373" s="11"/>
      <c r="M373" s="10"/>
      <c r="N373" s="10" t="s">
        <v>33</v>
      </c>
      <c r="Q373" s="11"/>
      <c r="R373" s="11"/>
      <c r="S373" s="10"/>
    </row>
    <row r="374" spans="2:19" s="6" customFormat="1" ht="16.5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266</v>
      </c>
      <c r="F374" s="6" t="s">
        <v>536</v>
      </c>
      <c r="G374" s="6" t="s">
        <v>544</v>
      </c>
      <c r="H374" s="4">
        <v>11000000</v>
      </c>
      <c r="I374" s="6">
        <f t="shared" ca="1" si="24"/>
        <v>13</v>
      </c>
      <c r="J374" s="13" t="str">
        <f t="shared" ca="1" si="25"/>
        <v>정상</v>
      </c>
      <c r="K374" s="11"/>
      <c r="L374" s="11"/>
      <c r="M374" s="10"/>
      <c r="N374" s="10" t="s">
        <v>33</v>
      </c>
      <c r="Q374" s="11"/>
      <c r="R374" s="11"/>
      <c r="S374" s="10"/>
    </row>
    <row r="375" spans="2:19" s="6" customFormat="1" ht="16.5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249</v>
      </c>
      <c r="F375" s="6" t="s">
        <v>536</v>
      </c>
      <c r="G375" s="6" t="s">
        <v>544</v>
      </c>
      <c r="H375" s="4">
        <v>22000000</v>
      </c>
      <c r="I375" s="6">
        <f t="shared" ca="1" si="24"/>
        <v>13</v>
      </c>
      <c r="J375" s="13" t="str">
        <f t="shared" ca="1" si="25"/>
        <v>정상</v>
      </c>
      <c r="K375" s="11"/>
      <c r="L375" s="11"/>
      <c r="M375" s="10"/>
      <c r="N375" s="10" t="s">
        <v>33</v>
      </c>
      <c r="Q375" s="11"/>
      <c r="R375" s="11"/>
      <c r="S375" s="10"/>
    </row>
    <row r="376" spans="2:19" s="6" customFormat="1" ht="16.5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208</v>
      </c>
      <c r="F376" s="6" t="s">
        <v>537</v>
      </c>
      <c r="G376" s="6" t="s">
        <v>544</v>
      </c>
      <c r="H376" s="12">
        <v>22000000</v>
      </c>
      <c r="I376" s="6">
        <f t="shared" ca="1" si="24"/>
        <v>7</v>
      </c>
      <c r="J376" s="13" t="str">
        <f t="shared" ca="1" si="25"/>
        <v>정상</v>
      </c>
      <c r="K376" s="11"/>
      <c r="L376" s="11">
        <v>46127</v>
      </c>
      <c r="M376" s="10"/>
      <c r="N376" s="10" t="s">
        <v>33</v>
      </c>
      <c r="Q376" s="11"/>
      <c r="R376" s="11"/>
      <c r="S376" s="10"/>
    </row>
    <row r="377" spans="2:19" s="6" customFormat="1" ht="16.5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126</v>
      </c>
      <c r="F377" s="6" t="s">
        <v>425</v>
      </c>
      <c r="G377" s="6" t="s">
        <v>544</v>
      </c>
      <c r="H377" s="12">
        <v>3689400</v>
      </c>
      <c r="I377" s="6">
        <f t="shared" ca="1" si="24"/>
        <v>13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416000</v>
      </c>
      <c r="I378" s="6">
        <f t="shared" ca="1" si="24"/>
        <v>13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24</v>
      </c>
      <c r="F379" s="6" t="s">
        <v>107</v>
      </c>
      <c r="G379" s="6" t="s">
        <v>544</v>
      </c>
      <c r="H379" s="12">
        <v>1754000</v>
      </c>
      <c r="I379" s="6">
        <f t="shared" ca="1" si="24"/>
        <v>13</v>
      </c>
      <c r="J379" s="13" t="str">
        <f t="shared" ca="1" si="25"/>
        <v>정상</v>
      </c>
      <c r="K379" s="11"/>
      <c r="L379" s="11"/>
      <c r="M379" s="10"/>
      <c r="N379" s="10" t="s">
        <v>33</v>
      </c>
      <c r="Q379" s="11"/>
      <c r="R379" s="11"/>
      <c r="S379" s="10"/>
    </row>
    <row r="380" spans="2:19" s="6" customFormat="1" ht="16.5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541</v>
      </c>
      <c r="F380" s="6" t="s">
        <v>538</v>
      </c>
      <c r="G380" s="6" t="s">
        <v>544</v>
      </c>
      <c r="H380" s="12">
        <v>6917000</v>
      </c>
      <c r="I380" s="6">
        <f t="shared" ca="1" si="24"/>
        <v>13</v>
      </c>
      <c r="J380" s="13" t="str">
        <f t="shared" ca="1" si="25"/>
        <v>정상</v>
      </c>
      <c r="K380" s="11"/>
      <c r="L380" s="11"/>
      <c r="M380" s="10"/>
      <c r="N380" s="10" t="s">
        <v>33</v>
      </c>
      <c r="Q380" s="11"/>
      <c r="R380" s="11"/>
      <c r="S380" s="10"/>
    </row>
    <row r="381" spans="2:19" s="6" customFormat="1" ht="16.5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542</v>
      </c>
      <c r="F381" s="6" t="s">
        <v>539</v>
      </c>
      <c r="G381" s="6" t="s">
        <v>544</v>
      </c>
      <c r="H381" s="12">
        <v>13478000</v>
      </c>
      <c r="I381" s="6">
        <f t="shared" ca="1" si="24"/>
        <v>2</v>
      </c>
      <c r="J381" s="13" t="str">
        <f t="shared" ca="1" si="25"/>
        <v>정상</v>
      </c>
      <c r="K381" s="11"/>
      <c r="L381" s="11">
        <v>46122</v>
      </c>
      <c r="M381" s="10"/>
      <c r="N381" s="10" t="s">
        <v>33</v>
      </c>
      <c r="Q381" s="11"/>
      <c r="R381" s="11"/>
      <c r="S381" s="10"/>
    </row>
    <row r="382" spans="2:19" s="6" customFormat="1" ht="16.5" customHeight="1">
      <c r="B382" s="10">
        <f>IF(C382="","",COUNTA($C$2:C382))</f>
        <v>381</v>
      </c>
      <c r="C382" s="11" t="s">
        <v>543</v>
      </c>
      <c r="D382" s="10" t="s">
        <v>178</v>
      </c>
      <c r="E382" s="6" t="s">
        <v>126</v>
      </c>
      <c r="F382" s="6" t="s">
        <v>540</v>
      </c>
      <c r="G382" s="6" t="s">
        <v>544</v>
      </c>
      <c r="H382" s="12">
        <v>11211800</v>
      </c>
      <c r="I382" s="6">
        <f t="shared" ca="1" si="24"/>
        <v>13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customHeight="1">
      <c r="B383" s="10">
        <f>IF(C383="","",COUNTA($C$2:C383))</f>
        <v>382</v>
      </c>
      <c r="C383" s="11" t="s">
        <v>543</v>
      </c>
      <c r="D383" s="10" t="s">
        <v>178</v>
      </c>
      <c r="E383" s="6" t="s">
        <v>126</v>
      </c>
      <c r="F383" s="6" t="s">
        <v>485</v>
      </c>
      <c r="G383" s="6" t="s">
        <v>544</v>
      </c>
      <c r="H383" s="12">
        <v>3180000</v>
      </c>
      <c r="I383" s="6">
        <f t="shared" ref="I383:I446" ca="1" si="27">IF(C383="","",IF(L383="",TODAY()-C383,L383-C383))</f>
        <v>13</v>
      </c>
      <c r="J383" s="13" t="str">
        <f t="shared" ca="1" si="25"/>
        <v>정상</v>
      </c>
      <c r="K383" s="11"/>
      <c r="L383" s="11"/>
      <c r="M383" s="10"/>
      <c r="N383" s="10" t="s">
        <v>33</v>
      </c>
      <c r="Q383" s="11"/>
      <c r="R383" s="11"/>
      <c r="S383" s="10"/>
    </row>
    <row r="384" spans="2:19" s="6" customFormat="1" ht="16.5" customHeight="1">
      <c r="B384" s="10">
        <f>IF(C384="","",COUNTA($C$2:C384))</f>
        <v>383</v>
      </c>
      <c r="C384" s="11">
        <v>46120</v>
      </c>
      <c r="D384" s="10" t="s">
        <v>243</v>
      </c>
      <c r="E384" s="6" t="s">
        <v>270</v>
      </c>
      <c r="F384" s="6" t="s">
        <v>545</v>
      </c>
      <c r="G384" s="6" t="s">
        <v>546</v>
      </c>
      <c r="H384" s="12">
        <v>20237900</v>
      </c>
      <c r="I384" s="6">
        <f t="shared" ca="1" si="27"/>
        <v>13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customHeight="1">
      <c r="B385" s="10">
        <f>IF(C385="","",COUNTA($C$2:C385))</f>
        <v>384</v>
      </c>
      <c r="C385" s="11">
        <v>46120</v>
      </c>
      <c r="D385" s="10" t="s">
        <v>243</v>
      </c>
      <c r="E385" s="6" t="s">
        <v>548</v>
      </c>
      <c r="F385" s="6" t="s">
        <v>547</v>
      </c>
      <c r="G385" s="6" t="s">
        <v>549</v>
      </c>
      <c r="H385" s="12">
        <v>6013200</v>
      </c>
      <c r="I385" s="6">
        <f t="shared" ca="1" si="27"/>
        <v>1</v>
      </c>
      <c r="J385" s="13" t="str">
        <f t="shared" ca="1" si="25"/>
        <v>정상</v>
      </c>
      <c r="K385" s="11"/>
      <c r="L385" s="11">
        <v>46121</v>
      </c>
      <c r="M385" s="10"/>
      <c r="N385" s="10" t="s">
        <v>33</v>
      </c>
      <c r="Q385" s="11"/>
      <c r="R385" s="11"/>
      <c r="S385" s="10"/>
    </row>
    <row r="386" spans="2:19" s="6" customFormat="1" ht="16.5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24</v>
      </c>
      <c r="F386" s="6" t="s">
        <v>550</v>
      </c>
      <c r="G386" s="6" t="s">
        <v>565</v>
      </c>
      <c r="H386" s="12">
        <v>4492000</v>
      </c>
      <c r="I386" s="6">
        <f t="shared" ca="1" si="27"/>
        <v>12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542</v>
      </c>
      <c r="F387" s="6" t="s">
        <v>551</v>
      </c>
      <c r="G387" s="6" t="s">
        <v>565</v>
      </c>
      <c r="H387" s="12">
        <v>31045500</v>
      </c>
      <c r="I387" s="6">
        <f t="shared" ca="1" si="27"/>
        <v>12</v>
      </c>
      <c r="J387" s="13" t="str">
        <f t="shared" ca="1" si="25"/>
        <v>정상</v>
      </c>
      <c r="K387" s="11"/>
      <c r="L387" s="11"/>
      <c r="M387" s="10"/>
      <c r="N387" s="10" t="s">
        <v>33</v>
      </c>
      <c r="Q387" s="11"/>
      <c r="R387" s="11"/>
      <c r="S387" s="10"/>
    </row>
    <row r="388" spans="2:19" s="6" customFormat="1" ht="16.5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542</v>
      </c>
      <c r="F388" s="6" t="s">
        <v>552</v>
      </c>
      <c r="G388" s="6" t="s">
        <v>565</v>
      </c>
      <c r="H388" s="12">
        <v>574800</v>
      </c>
      <c r="I388" s="6">
        <f t="shared" ca="1" si="27"/>
        <v>12</v>
      </c>
      <c r="J388" s="13" t="str">
        <f t="shared" ca="1" si="25"/>
        <v>정상</v>
      </c>
      <c r="K388" s="11"/>
      <c r="L388" s="11"/>
      <c r="M388" s="10"/>
      <c r="N388" s="10" t="s">
        <v>33</v>
      </c>
      <c r="Q388" s="11"/>
      <c r="R388" s="11"/>
      <c r="S388" s="10"/>
    </row>
    <row r="389" spans="2:19" s="6" customFormat="1" ht="16.5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128</v>
      </c>
      <c r="F389" s="6" t="s">
        <v>553</v>
      </c>
      <c r="G389" s="6" t="s">
        <v>565</v>
      </c>
      <c r="H389" s="12">
        <v>3687500</v>
      </c>
      <c r="I389" s="6">
        <f t="shared" ca="1" si="27"/>
        <v>5</v>
      </c>
      <c r="J389" s="13" t="str">
        <f t="shared" ca="1" si="25"/>
        <v>정상</v>
      </c>
      <c r="K389" s="11"/>
      <c r="L389" s="11">
        <v>46126</v>
      </c>
      <c r="M389" s="10"/>
      <c r="N389" s="10" t="s">
        <v>33</v>
      </c>
      <c r="Q389" s="11"/>
      <c r="R389" s="11"/>
      <c r="S389" s="10"/>
    </row>
    <row r="390" spans="2:19" s="6" customFormat="1" ht="16.5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208</v>
      </c>
      <c r="F390" s="6" t="s">
        <v>554</v>
      </c>
      <c r="G390" s="6" t="s">
        <v>565</v>
      </c>
      <c r="H390" s="12">
        <v>21780000</v>
      </c>
      <c r="I390" s="6">
        <f t="shared" ca="1" si="27"/>
        <v>6</v>
      </c>
      <c r="J390" s="13" t="str">
        <f t="shared" ca="1" si="25"/>
        <v>정상</v>
      </c>
      <c r="K390" s="11"/>
      <c r="L390" s="11">
        <v>46127</v>
      </c>
      <c r="M390" s="10"/>
      <c r="N390" s="10" t="s">
        <v>33</v>
      </c>
      <c r="Q390" s="11"/>
      <c r="R390" s="11"/>
      <c r="S390" s="10"/>
    </row>
    <row r="391" spans="2:19" s="6" customFormat="1" ht="16.5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561</v>
      </c>
      <c r="F391" s="6" t="s">
        <v>555</v>
      </c>
      <c r="G391" s="6" t="s">
        <v>565</v>
      </c>
      <c r="H391" s="12">
        <v>1630000</v>
      </c>
      <c r="I391" s="6">
        <f t="shared" ca="1" si="27"/>
        <v>12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395</v>
      </c>
      <c r="F392" s="6" t="s">
        <v>556</v>
      </c>
      <c r="G392" s="6" t="s">
        <v>565</v>
      </c>
      <c r="H392" s="12">
        <v>20219600</v>
      </c>
      <c r="I392" s="6">
        <f t="shared" ca="1" si="27"/>
        <v>12</v>
      </c>
      <c r="J392" s="13" t="str">
        <f t="shared" ca="1" si="25"/>
        <v>정상</v>
      </c>
      <c r="K392" s="11"/>
      <c r="L392" s="11"/>
      <c r="M392" s="10"/>
      <c r="N392" s="10" t="s">
        <v>33</v>
      </c>
      <c r="Q392" s="11"/>
      <c r="R392" s="11"/>
      <c r="S392" s="10"/>
    </row>
    <row r="393" spans="2:19" s="6" customFormat="1" ht="16.5" customHeight="1">
      <c r="B393" s="10">
        <f>IF(C393="","",COUNTA($C$2:C393))</f>
        <v>392</v>
      </c>
      <c r="C393" s="11" t="s">
        <v>563</v>
      </c>
      <c r="D393" s="10" t="s">
        <v>178</v>
      </c>
      <c r="E393" s="6" t="s">
        <v>126</v>
      </c>
      <c r="F393" s="6" t="s">
        <v>557</v>
      </c>
      <c r="G393" s="6" t="s">
        <v>565</v>
      </c>
      <c r="H393" s="12">
        <v>963200</v>
      </c>
      <c r="I393" s="6">
        <f t="shared" ca="1" si="27"/>
        <v>12</v>
      </c>
      <c r="J393" s="13" t="str">
        <f t="shared" ca="1" si="25"/>
        <v>정상</v>
      </c>
      <c r="K393" s="11"/>
      <c r="L393" s="11"/>
      <c r="M393" s="10"/>
      <c r="N393" s="10" t="s">
        <v>33</v>
      </c>
      <c r="Q393" s="11"/>
      <c r="R393" s="11"/>
      <c r="S393" s="10"/>
    </row>
    <row r="394" spans="2:19" s="6" customFormat="1" ht="16.5" customHeight="1">
      <c r="B394" s="10">
        <f>IF(C394="","",COUNTA($C$2:C394))</f>
        <v>393</v>
      </c>
      <c r="C394" s="11" t="s">
        <v>563</v>
      </c>
      <c r="D394" s="10" t="s">
        <v>178</v>
      </c>
      <c r="E394" s="6" t="s">
        <v>562</v>
      </c>
      <c r="F394" s="6" t="s">
        <v>558</v>
      </c>
      <c r="G394" s="6" t="s">
        <v>565</v>
      </c>
      <c r="H394" s="12">
        <v>1380000</v>
      </c>
      <c r="I394" s="6">
        <f t="shared" ca="1" si="27"/>
        <v>12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62</v>
      </c>
      <c r="F395" s="6" t="s">
        <v>559</v>
      </c>
      <c r="G395" s="6" t="s">
        <v>565</v>
      </c>
      <c r="H395" s="12">
        <v>410000</v>
      </c>
      <c r="I395" s="6">
        <f t="shared" ca="1" si="27"/>
        <v>11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customHeight="1">
      <c r="B396" s="10">
        <f>IF(C396="","",COUNTA($C$2:C396))</f>
        <v>395</v>
      </c>
      <c r="C396" s="11" t="s">
        <v>564</v>
      </c>
      <c r="D396" s="10" t="s">
        <v>178</v>
      </c>
      <c r="E396" s="6" t="s">
        <v>126</v>
      </c>
      <c r="F396" s="6" t="s">
        <v>485</v>
      </c>
      <c r="G396" s="6" t="s">
        <v>565</v>
      </c>
      <c r="H396" s="12">
        <v>464000</v>
      </c>
      <c r="I396" s="6">
        <f t="shared" ca="1" si="27"/>
        <v>11</v>
      </c>
      <c r="J396" s="13" t="str">
        <f t="shared" ca="1" si="25"/>
        <v>정상</v>
      </c>
      <c r="K396" s="11"/>
      <c r="L396" s="11"/>
      <c r="M396" s="10"/>
      <c r="N396" s="10" t="s">
        <v>33</v>
      </c>
      <c r="Q396" s="11"/>
      <c r="R396" s="11"/>
      <c r="S396" s="10"/>
    </row>
    <row r="397" spans="2:19" s="6" customFormat="1" ht="16.5" customHeight="1">
      <c r="B397" s="10">
        <f>IF(C397="","",COUNTA($C$2:C397))</f>
        <v>396</v>
      </c>
      <c r="C397" s="11" t="s">
        <v>564</v>
      </c>
      <c r="D397" s="10" t="s">
        <v>178</v>
      </c>
      <c r="E397" s="6" t="s">
        <v>207</v>
      </c>
      <c r="F397" s="6" t="s">
        <v>560</v>
      </c>
      <c r="G397" s="6" t="s">
        <v>565</v>
      </c>
      <c r="H397" s="12">
        <v>1261000</v>
      </c>
      <c r="I397" s="6">
        <f t="shared" ca="1" si="27"/>
        <v>11</v>
      </c>
      <c r="J397" s="13" t="str">
        <f t="shared" ca="1" si="25"/>
        <v>정상</v>
      </c>
      <c r="K397" s="11"/>
      <c r="L397" s="11"/>
      <c r="M397" s="10"/>
      <c r="N397" s="10" t="s">
        <v>33</v>
      </c>
      <c r="Q397" s="11"/>
      <c r="R397" s="11"/>
      <c r="S397" s="10"/>
    </row>
    <row r="398" spans="2:19" s="6" customFormat="1" ht="16.5" customHeight="1">
      <c r="B398" s="10">
        <f>IF(C398="","",COUNTA($C$2:C398))</f>
        <v>397</v>
      </c>
      <c r="C398" s="11" t="s">
        <v>564</v>
      </c>
      <c r="D398" s="10" t="str">
        <f t="shared" ref="D398:D423" si="28">IF(G398="","",IF(OR(G398="선급금",G398="중도금",G398="잔금"),"A",IF(G398="자재","B",IF(G398="특허료","C",""))))</f>
        <v>B</v>
      </c>
      <c r="E398" s="6" t="s">
        <v>124</v>
      </c>
      <c r="F398" s="6" t="s">
        <v>568</v>
      </c>
      <c r="G398" s="6" t="s">
        <v>172</v>
      </c>
      <c r="H398" s="12">
        <v>866400</v>
      </c>
      <c r="I398" s="6">
        <f t="shared" ca="1" si="27"/>
        <v>0</v>
      </c>
      <c r="J398" s="13" t="str">
        <f t="shared" ca="1" si="25"/>
        <v>정상</v>
      </c>
      <c r="K398" s="11"/>
      <c r="L398" s="11">
        <v>46122</v>
      </c>
      <c r="M398" s="10"/>
      <c r="N398" s="10" t="s">
        <v>33</v>
      </c>
      <c r="Q398" s="11"/>
      <c r="R398" s="11"/>
      <c r="S398" s="10"/>
    </row>
    <row r="399" spans="2:19" s="18" customFormat="1" ht="13.5">
      <c r="B399" s="10">
        <f>IF(C399="","",COUNTA($C$2:C399))</f>
        <v>398</v>
      </c>
      <c r="C399" s="11" t="s">
        <v>564</v>
      </c>
      <c r="D399" s="10" t="str">
        <f t="shared" si="28"/>
        <v>B</v>
      </c>
      <c r="E399" s="18" t="s">
        <v>126</v>
      </c>
      <c r="F399" s="18" t="s">
        <v>569</v>
      </c>
      <c r="G399" s="6" t="s">
        <v>172</v>
      </c>
      <c r="H399" s="12">
        <v>-785400</v>
      </c>
      <c r="I399" s="18">
        <f t="shared" ca="1" si="27"/>
        <v>11</v>
      </c>
      <c r="J399" s="13" t="str">
        <f t="shared" ca="1" si="25"/>
        <v>정상</v>
      </c>
      <c r="K399" s="11"/>
      <c r="L399" s="11"/>
      <c r="M399" s="42"/>
      <c r="N399" s="10" t="s">
        <v>33</v>
      </c>
      <c r="Q399" s="11"/>
      <c r="R399" s="11"/>
    </row>
    <row r="400" spans="2:19" s="18" customFormat="1" ht="13.5">
      <c r="B400" s="10">
        <f>IF(C400="","",COUNTA($C$2:C400))</f>
        <v>399</v>
      </c>
      <c r="C400" s="11" t="s">
        <v>564</v>
      </c>
      <c r="D400" s="10" t="s">
        <v>181</v>
      </c>
      <c r="E400" s="18" t="s">
        <v>421</v>
      </c>
      <c r="F400" s="18" t="s">
        <v>570</v>
      </c>
      <c r="G400" s="6" t="s">
        <v>571</v>
      </c>
      <c r="H400" s="12">
        <v>2421500</v>
      </c>
      <c r="I400" s="18">
        <f t="shared" ca="1" si="27"/>
        <v>5</v>
      </c>
      <c r="J400" s="13" t="str">
        <f t="shared" ca="1" si="25"/>
        <v>정상</v>
      </c>
      <c r="K400" s="11"/>
      <c r="L400" s="11">
        <v>46127</v>
      </c>
      <c r="M400" s="42"/>
      <c r="N400" s="10" t="s">
        <v>33</v>
      </c>
      <c r="Q400" s="11"/>
      <c r="R400" s="11"/>
    </row>
    <row r="401" spans="2:18" s="18" customFormat="1" ht="13.5">
      <c r="B401" s="10">
        <f>IF(C401="","",COUNTA($C$2:C401))</f>
        <v>400</v>
      </c>
      <c r="C401" s="11">
        <v>46122</v>
      </c>
      <c r="D401" s="42" t="s">
        <v>243</v>
      </c>
      <c r="E401" s="43" t="s">
        <v>573</v>
      </c>
      <c r="F401" s="43" t="s">
        <v>572</v>
      </c>
      <c r="G401" s="6" t="s">
        <v>230</v>
      </c>
      <c r="H401" s="12">
        <v>72676000</v>
      </c>
      <c r="I401" s="18">
        <f t="shared" ca="1" si="27"/>
        <v>5</v>
      </c>
      <c r="J401" s="13" t="str">
        <f t="shared" ca="1" si="25"/>
        <v>정상</v>
      </c>
      <c r="K401" s="44"/>
      <c r="L401" s="44">
        <v>46127</v>
      </c>
      <c r="M401" s="42"/>
      <c r="N401" s="10" t="s">
        <v>33</v>
      </c>
      <c r="Q401" s="11"/>
      <c r="R401" s="11"/>
    </row>
    <row r="402" spans="2:18" s="18" customFormat="1" ht="13.5">
      <c r="B402" s="10">
        <f>IF(C402="","",COUNTA($C$2:C402))</f>
        <v>401</v>
      </c>
      <c r="C402" s="11">
        <v>46122</v>
      </c>
      <c r="D402" s="42" t="s">
        <v>243</v>
      </c>
      <c r="E402" s="18" t="s">
        <v>126</v>
      </c>
      <c r="F402" s="18" t="s">
        <v>420</v>
      </c>
      <c r="G402" s="18" t="s">
        <v>574</v>
      </c>
      <c r="H402" s="12">
        <v>14760000</v>
      </c>
      <c r="I402" s="18">
        <f t="shared" ca="1" si="27"/>
        <v>11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 s="18" customFormat="1" ht="13.5">
      <c r="B403" s="10">
        <f>IF(C403="","",COUNTA($C$2:C403))</f>
        <v>402</v>
      </c>
      <c r="C403" s="11">
        <v>46122</v>
      </c>
      <c r="D403" s="42" t="s">
        <v>243</v>
      </c>
      <c r="E403" s="18" t="s">
        <v>423</v>
      </c>
      <c r="F403" s="18" t="s">
        <v>575</v>
      </c>
      <c r="G403" s="18" t="s">
        <v>574</v>
      </c>
      <c r="H403" s="12">
        <v>2480000</v>
      </c>
      <c r="I403" s="18">
        <f t="shared" ca="1" si="27"/>
        <v>5</v>
      </c>
      <c r="J403" s="13" t="str">
        <f t="shared" ca="1" si="25"/>
        <v>정상</v>
      </c>
      <c r="K403" s="44"/>
      <c r="L403" s="44">
        <v>46127</v>
      </c>
      <c r="M403" s="42"/>
      <c r="N403" s="10" t="s">
        <v>33</v>
      </c>
      <c r="Q403" s="11"/>
      <c r="R403" s="11"/>
    </row>
    <row r="404" spans="2:18" s="18" customFormat="1" ht="13.5">
      <c r="B404" s="10">
        <f>IF(C404="","",COUNTA($C$2:C404))</f>
        <v>403</v>
      </c>
      <c r="C404" s="45" t="s">
        <v>586</v>
      </c>
      <c r="D404" s="42" t="str">
        <f t="shared" si="28"/>
        <v>B</v>
      </c>
      <c r="E404" s="18" t="s">
        <v>126</v>
      </c>
      <c r="F404" s="18" t="s">
        <v>479</v>
      </c>
      <c r="G404" s="6" t="s">
        <v>598</v>
      </c>
      <c r="H404" s="12">
        <v>52695000</v>
      </c>
      <c r="I404" s="18">
        <f t="shared" ca="1" si="27"/>
        <v>7</v>
      </c>
      <c r="J404" s="13" t="str">
        <f t="shared" ca="1" si="25"/>
        <v>정상</v>
      </c>
      <c r="K404" s="44"/>
      <c r="L404" s="44"/>
      <c r="M404" s="42"/>
      <c r="N404" s="10" t="s">
        <v>33</v>
      </c>
      <c r="Q404" s="11"/>
      <c r="R404" s="11"/>
    </row>
    <row r="405" spans="2:18" s="18" customFormat="1" ht="16.5" customHeight="1">
      <c r="B405" s="10">
        <f>IF(C405="","",COUNTA($C$2:C405))</f>
        <v>404</v>
      </c>
      <c r="C405" s="45" t="s">
        <v>586</v>
      </c>
      <c r="D405" s="42" t="str">
        <f t="shared" si="28"/>
        <v>B</v>
      </c>
      <c r="E405" s="18" t="s">
        <v>577</v>
      </c>
      <c r="F405" s="38" t="s">
        <v>588</v>
      </c>
      <c r="G405" s="6" t="s">
        <v>598</v>
      </c>
      <c r="H405" s="12">
        <v>1217300</v>
      </c>
      <c r="I405" s="18">
        <f t="shared" ca="1" si="27"/>
        <v>7</v>
      </c>
      <c r="J405" s="13" t="str">
        <f t="shared" ca="1" si="25"/>
        <v>정상</v>
      </c>
      <c r="K405" s="44"/>
      <c r="L405" s="44"/>
      <c r="M405" s="42"/>
      <c r="N405" s="10" t="s">
        <v>33</v>
      </c>
      <c r="Q405" s="46"/>
      <c r="R405" s="46"/>
    </row>
    <row r="406" spans="2:18" s="18" customFormat="1" ht="16.5" customHeight="1">
      <c r="B406" s="10">
        <f>IF(C406="","",COUNTA($C$2:C406))</f>
        <v>405</v>
      </c>
      <c r="C406" s="45" t="s">
        <v>586</v>
      </c>
      <c r="D406" s="42" t="str">
        <f t="shared" si="28"/>
        <v>B</v>
      </c>
      <c r="E406" s="18" t="s">
        <v>375</v>
      </c>
      <c r="F406" s="18" t="s">
        <v>500</v>
      </c>
      <c r="G406" s="6" t="s">
        <v>598</v>
      </c>
      <c r="H406" s="12">
        <v>23634000</v>
      </c>
      <c r="I406" s="18">
        <f t="shared" ca="1" si="27"/>
        <v>7</v>
      </c>
      <c r="J406" s="13" t="str">
        <f t="shared" ca="1" si="25"/>
        <v>정상</v>
      </c>
      <c r="K406" s="44"/>
      <c r="L406" s="44"/>
      <c r="M406" s="42"/>
      <c r="N406" s="10" t="s">
        <v>33</v>
      </c>
      <c r="Q406" s="46"/>
      <c r="R406" s="46"/>
    </row>
    <row r="407" spans="2:18" s="18" customFormat="1" ht="16.5" customHeight="1">
      <c r="B407" s="10">
        <f>IF(C407="","",COUNTA($C$2:C407))</f>
        <v>406</v>
      </c>
      <c r="C407" s="45" t="s">
        <v>586</v>
      </c>
      <c r="D407" s="42" t="str">
        <f t="shared" si="28"/>
        <v>B</v>
      </c>
      <c r="E407" s="18" t="s">
        <v>578</v>
      </c>
      <c r="F407" s="18" t="s">
        <v>589</v>
      </c>
      <c r="G407" s="6" t="s">
        <v>598</v>
      </c>
      <c r="H407" s="12">
        <v>7826000</v>
      </c>
      <c r="I407" s="18">
        <f t="shared" ca="1" si="27"/>
        <v>1</v>
      </c>
      <c r="J407" s="13" t="str">
        <f t="shared" ca="1" si="25"/>
        <v>정상</v>
      </c>
      <c r="K407" s="44"/>
      <c r="L407" s="44">
        <v>46127</v>
      </c>
      <c r="M407" s="42"/>
      <c r="N407" s="10" t="s">
        <v>33</v>
      </c>
      <c r="Q407" s="46"/>
      <c r="R407" s="46"/>
    </row>
    <row r="408" spans="2:18" s="18" customFormat="1" ht="16.5" customHeight="1">
      <c r="B408" s="10">
        <f>IF(C408="","",COUNTA($C$2:C408))</f>
        <v>407</v>
      </c>
      <c r="C408" s="45" t="s">
        <v>586</v>
      </c>
      <c r="D408" s="42" t="str">
        <f t="shared" si="28"/>
        <v>B</v>
      </c>
      <c r="E408" s="18" t="s">
        <v>579</v>
      </c>
      <c r="F408" s="18" t="s">
        <v>590</v>
      </c>
      <c r="G408" s="6" t="s">
        <v>598</v>
      </c>
      <c r="H408" s="12">
        <v>13317700</v>
      </c>
      <c r="I408" s="18">
        <f t="shared" ca="1" si="27"/>
        <v>7</v>
      </c>
      <c r="J408" s="13" t="str">
        <f t="shared" ca="1" si="25"/>
        <v>정상</v>
      </c>
      <c r="K408" s="44"/>
      <c r="L408" s="44"/>
      <c r="M408" s="42"/>
      <c r="N408" s="10" t="s">
        <v>33</v>
      </c>
      <c r="Q408" s="46"/>
      <c r="R408" s="46"/>
    </row>
    <row r="409" spans="2:18" s="18" customFormat="1" ht="16.5" customHeight="1">
      <c r="B409" s="10">
        <f>IF(C409="","",COUNTA($C$2:C409))</f>
        <v>408</v>
      </c>
      <c r="C409" s="45" t="s">
        <v>587</v>
      </c>
      <c r="D409" s="42" t="str">
        <f t="shared" si="28"/>
        <v>B</v>
      </c>
      <c r="E409" s="18" t="s">
        <v>249</v>
      </c>
      <c r="F409" s="18" t="s">
        <v>428</v>
      </c>
      <c r="G409" s="6" t="s">
        <v>598</v>
      </c>
      <c r="H409" s="12">
        <v>44522500</v>
      </c>
      <c r="I409" s="18">
        <f t="shared" ca="1" si="27"/>
        <v>8</v>
      </c>
      <c r="J409" s="13" t="str">
        <f t="shared" ca="1" si="25"/>
        <v>정상</v>
      </c>
      <c r="K409" s="44"/>
      <c r="L409" s="44"/>
      <c r="M409" s="42"/>
      <c r="N409" s="10" t="s">
        <v>33</v>
      </c>
      <c r="Q409" s="46"/>
      <c r="R409" s="46"/>
    </row>
    <row r="410" spans="2:18" s="18" customFormat="1" ht="16.5" customHeight="1">
      <c r="B410" s="10">
        <f>IF(C410="","",COUNTA($C$2:C410))</f>
        <v>409</v>
      </c>
      <c r="C410" s="30" t="s">
        <v>587</v>
      </c>
      <c r="D410" s="42" t="str">
        <f t="shared" si="28"/>
        <v>B</v>
      </c>
      <c r="E410" s="18" t="s">
        <v>580</v>
      </c>
      <c r="F410" s="18" t="s">
        <v>591</v>
      </c>
      <c r="G410" s="6" t="s">
        <v>598</v>
      </c>
      <c r="H410" s="12">
        <v>10572000</v>
      </c>
      <c r="I410" s="18">
        <f t="shared" ca="1" si="27"/>
        <v>1</v>
      </c>
      <c r="J410" s="13" t="str">
        <f t="shared" ca="1" si="25"/>
        <v>정상</v>
      </c>
      <c r="K410" s="44"/>
      <c r="L410" s="44">
        <v>46126</v>
      </c>
      <c r="M410" s="42"/>
      <c r="N410" s="10" t="s">
        <v>33</v>
      </c>
      <c r="Q410" s="46"/>
      <c r="R410" s="46"/>
    </row>
    <row r="411" spans="2:18" s="18" customFormat="1" ht="16.5" customHeight="1">
      <c r="B411" s="10">
        <f>IF(C411="","",COUNTA($C$2:C411))</f>
        <v>410</v>
      </c>
      <c r="C411" s="30" t="s">
        <v>587</v>
      </c>
      <c r="D411" s="42" t="str">
        <f t="shared" si="28"/>
        <v>B</v>
      </c>
      <c r="E411" s="18" t="s">
        <v>581</v>
      </c>
      <c r="F411" s="18" t="s">
        <v>211</v>
      </c>
      <c r="G411" s="6" t="s">
        <v>598</v>
      </c>
      <c r="H411" s="12">
        <v>280000</v>
      </c>
      <c r="I411" s="18">
        <f t="shared" ca="1" si="27"/>
        <v>0</v>
      </c>
      <c r="J411" s="13" t="str">
        <f t="shared" ca="1" si="25"/>
        <v>정상</v>
      </c>
      <c r="K411" s="44"/>
      <c r="L411" s="44">
        <v>46125</v>
      </c>
      <c r="M411" s="42"/>
      <c r="N411" s="10" t="s">
        <v>33</v>
      </c>
      <c r="Q411" s="46"/>
      <c r="R411" s="46"/>
    </row>
    <row r="412" spans="2:18" s="18" customFormat="1" ht="16.5" customHeight="1">
      <c r="B412" s="10">
        <f>IF(C412="","",COUNTA($C$2:C412))</f>
        <v>411</v>
      </c>
      <c r="C412" s="30" t="s">
        <v>587</v>
      </c>
      <c r="D412" s="42" t="str">
        <f t="shared" si="28"/>
        <v>B</v>
      </c>
      <c r="E412" s="18" t="s">
        <v>395</v>
      </c>
      <c r="F412" s="18" t="s">
        <v>477</v>
      </c>
      <c r="G412" s="6" t="s">
        <v>598</v>
      </c>
      <c r="H412" s="12">
        <v>7665000</v>
      </c>
      <c r="I412" s="18">
        <f t="shared" ca="1" si="27"/>
        <v>8</v>
      </c>
      <c r="J412" s="13" t="str">
        <f t="shared" ca="1" si="25"/>
        <v>정상</v>
      </c>
      <c r="K412" s="44"/>
      <c r="L412" s="44"/>
      <c r="M412" s="42"/>
      <c r="N412" s="10" t="s">
        <v>33</v>
      </c>
      <c r="Q412" s="46"/>
      <c r="R412" s="46"/>
    </row>
    <row r="413" spans="2:18" s="18" customFormat="1" ht="16.5" customHeight="1">
      <c r="B413" s="10">
        <f>IF(C413="","",COUNTA($C$2:C413))</f>
        <v>412</v>
      </c>
      <c r="C413" s="30" t="s">
        <v>587</v>
      </c>
      <c r="D413" s="42" t="str">
        <f t="shared" si="28"/>
        <v>B</v>
      </c>
      <c r="E413" s="18" t="s">
        <v>582</v>
      </c>
      <c r="F413" s="18" t="s">
        <v>592</v>
      </c>
      <c r="G413" s="6" t="s">
        <v>598</v>
      </c>
      <c r="H413" s="12">
        <v>481100</v>
      </c>
      <c r="I413" s="18">
        <f t="shared" ca="1" si="27"/>
        <v>8</v>
      </c>
      <c r="J413" s="13" t="str">
        <f t="shared" ca="1" si="25"/>
        <v>정상</v>
      </c>
      <c r="K413" s="44"/>
      <c r="L413" s="44"/>
      <c r="M413" s="42"/>
      <c r="N413" s="10" t="s">
        <v>33</v>
      </c>
      <c r="Q413" s="46"/>
      <c r="R413" s="46"/>
    </row>
    <row r="414" spans="2:18" s="18" customFormat="1" ht="16.5" customHeight="1">
      <c r="B414" s="10">
        <f>IF(C414="","",COUNTA($C$2:C414))</f>
        <v>413</v>
      </c>
      <c r="C414" s="30" t="s">
        <v>587</v>
      </c>
      <c r="D414" s="42" t="str">
        <f t="shared" si="28"/>
        <v>B</v>
      </c>
      <c r="E414" s="18" t="s">
        <v>434</v>
      </c>
      <c r="F414" s="18" t="s">
        <v>432</v>
      </c>
      <c r="G414" s="6" t="s">
        <v>598</v>
      </c>
      <c r="H414" s="12">
        <v>3109500</v>
      </c>
      <c r="I414" s="18">
        <f t="shared" ca="1" si="27"/>
        <v>8</v>
      </c>
      <c r="J414" s="13" t="str">
        <f t="shared" ca="1" si="25"/>
        <v>정상</v>
      </c>
      <c r="K414" s="44"/>
      <c r="L414" s="44"/>
      <c r="M414" s="42"/>
      <c r="N414" s="10" t="s">
        <v>33</v>
      </c>
      <c r="Q414" s="46"/>
      <c r="R414" s="46"/>
    </row>
    <row r="415" spans="2:18" s="18" customFormat="1" ht="16.5" customHeight="1">
      <c r="B415" s="10">
        <f>IF(C415="","",COUNTA($C$2:C415))</f>
        <v>414</v>
      </c>
      <c r="C415" s="30" t="s">
        <v>587</v>
      </c>
      <c r="D415" s="42" t="str">
        <f t="shared" si="28"/>
        <v>B</v>
      </c>
      <c r="E415" s="18" t="s">
        <v>583</v>
      </c>
      <c r="F415" s="18" t="s">
        <v>588</v>
      </c>
      <c r="G415" s="6" t="s">
        <v>598</v>
      </c>
      <c r="H415" s="12">
        <v>399900</v>
      </c>
      <c r="I415" s="18">
        <f t="shared" ca="1" si="27"/>
        <v>8</v>
      </c>
      <c r="J415" s="13" t="str">
        <f t="shared" ref="J415:J478" ca="1" si="29">IF(I415="","",
 IF(G415="선급금",
   IF(I415&lt;=20,"정상",IF(I415&lt;=90,"관리","장기미수")),
 IF(G415="자재",
   IF(I415&lt;=40,"정상",IF(I415&lt;=90,"관리","장기미수")),
   IF(I415&lt;=30,"정상",IF(I415&lt;=90,"관리","장기미수"))
  )
 )
)</f>
        <v>정상</v>
      </c>
      <c r="K415" s="44"/>
      <c r="L415" s="44"/>
      <c r="M415" s="42"/>
      <c r="N415" s="10" t="s">
        <v>33</v>
      </c>
      <c r="Q415" s="46"/>
      <c r="R415" s="46"/>
    </row>
    <row r="416" spans="2:18" s="18" customFormat="1" ht="16.5" customHeight="1">
      <c r="B416" s="10">
        <f>IF(C416="","",COUNTA($C$2:C416))</f>
        <v>415</v>
      </c>
      <c r="C416" s="30" t="s">
        <v>587</v>
      </c>
      <c r="D416" s="42" t="str">
        <f t="shared" si="28"/>
        <v>B</v>
      </c>
      <c r="E416" s="18" t="s">
        <v>584</v>
      </c>
      <c r="F416" s="18" t="s">
        <v>593</v>
      </c>
      <c r="G416" s="6" t="s">
        <v>598</v>
      </c>
      <c r="H416" s="12">
        <v>4678300</v>
      </c>
      <c r="I416" s="18">
        <f t="shared" ca="1" si="27"/>
        <v>8</v>
      </c>
      <c r="J416" s="13" t="str">
        <f t="shared" ca="1" si="29"/>
        <v>정상</v>
      </c>
      <c r="K416" s="44"/>
      <c r="L416" s="44"/>
      <c r="M416" s="42"/>
      <c r="N416" s="10" t="s">
        <v>33</v>
      </c>
      <c r="Q416" s="46"/>
      <c r="R416" s="46"/>
    </row>
    <row r="417" spans="2:18" s="18" customFormat="1" ht="16.5" customHeight="1">
      <c r="B417" s="10">
        <f>IF(C417="","",COUNTA($C$2:C417))</f>
        <v>416</v>
      </c>
      <c r="C417" s="30" t="s">
        <v>587</v>
      </c>
      <c r="D417" s="42" t="str">
        <f t="shared" si="28"/>
        <v>B</v>
      </c>
      <c r="E417" s="18" t="s">
        <v>584</v>
      </c>
      <c r="F417" s="18" t="s">
        <v>594</v>
      </c>
      <c r="G417" s="6" t="s">
        <v>598</v>
      </c>
      <c r="H417" s="12">
        <v>941200</v>
      </c>
      <c r="I417" s="18">
        <f t="shared" ca="1" si="27"/>
        <v>8</v>
      </c>
      <c r="J417" s="13" t="str">
        <f t="shared" ca="1" si="29"/>
        <v>정상</v>
      </c>
      <c r="K417" s="44"/>
      <c r="L417" s="44"/>
      <c r="M417" s="42"/>
      <c r="N417" s="10" t="s">
        <v>33</v>
      </c>
      <c r="Q417" s="46"/>
      <c r="R417" s="46"/>
    </row>
    <row r="418" spans="2:18" s="18" customFormat="1" ht="16.5" customHeight="1">
      <c r="B418" s="10">
        <f>IF(C418="","",COUNTA($C$2:C418))</f>
        <v>417</v>
      </c>
      <c r="C418" s="30" t="s">
        <v>587</v>
      </c>
      <c r="D418" s="42" t="str">
        <f t="shared" si="28"/>
        <v>B</v>
      </c>
      <c r="E418" s="18" t="s">
        <v>128</v>
      </c>
      <c r="F418" s="18" t="s">
        <v>129</v>
      </c>
      <c r="G418" s="6" t="s">
        <v>598</v>
      </c>
      <c r="H418" s="12">
        <v>1885800</v>
      </c>
      <c r="I418" s="18">
        <f t="shared" ca="1" si="27"/>
        <v>1</v>
      </c>
      <c r="J418" s="13" t="str">
        <f t="shared" ca="1" si="29"/>
        <v>정상</v>
      </c>
      <c r="K418" s="44"/>
      <c r="L418" s="44">
        <v>46126</v>
      </c>
      <c r="M418" s="42"/>
      <c r="N418" s="10" t="s">
        <v>33</v>
      </c>
      <c r="Q418" s="46"/>
      <c r="R418" s="46"/>
    </row>
    <row r="419" spans="2:18" s="18" customFormat="1" ht="16.5" customHeight="1">
      <c r="B419" s="10">
        <f>IF(C419="","",COUNTA($C$2:C419))</f>
        <v>418</v>
      </c>
      <c r="C419" s="30" t="s">
        <v>587</v>
      </c>
      <c r="D419" s="42" t="str">
        <f>IF(G419="","",IF(OR(G419="선급금",G419="중도금",G419="잔금"),"A",IF(G419="자재","B",IF(G419="특허료","C",""))))</f>
        <v>B</v>
      </c>
      <c r="E419" s="18" t="s">
        <v>39</v>
      </c>
      <c r="F419" s="18" t="s">
        <v>595</v>
      </c>
      <c r="G419" s="6" t="s">
        <v>598</v>
      </c>
      <c r="H419" s="12">
        <v>332400</v>
      </c>
      <c r="I419" s="18">
        <f t="shared" ca="1" si="27"/>
        <v>8</v>
      </c>
      <c r="J419" s="13" t="str">
        <f t="shared" ca="1" si="29"/>
        <v>정상</v>
      </c>
      <c r="K419" s="44"/>
      <c r="L419" s="44"/>
      <c r="M419" s="42"/>
      <c r="N419" s="10" t="s">
        <v>33</v>
      </c>
      <c r="Q419" s="46"/>
      <c r="R419" s="46"/>
    </row>
    <row r="420" spans="2:18" s="18" customFormat="1" ht="16.5" customHeight="1">
      <c r="B420" s="10">
        <f>IF(C420="","",COUNTA($C$2:C420))</f>
        <v>419</v>
      </c>
      <c r="C420" s="30" t="s">
        <v>587</v>
      </c>
      <c r="D420" s="42" t="str">
        <f t="shared" si="28"/>
        <v>B</v>
      </c>
      <c r="E420" s="18" t="s">
        <v>585</v>
      </c>
      <c r="F420" s="18" t="s">
        <v>596</v>
      </c>
      <c r="G420" s="6" t="s">
        <v>598</v>
      </c>
      <c r="H420" s="12">
        <v>1254000</v>
      </c>
      <c r="I420" s="18">
        <f t="shared" ca="1" si="27"/>
        <v>1</v>
      </c>
      <c r="J420" s="13" t="str">
        <f t="shared" ca="1" si="29"/>
        <v>정상</v>
      </c>
      <c r="K420" s="44"/>
      <c r="L420" s="44">
        <v>46126</v>
      </c>
      <c r="M420" s="42"/>
      <c r="N420" s="10" t="s">
        <v>33</v>
      </c>
      <c r="Q420" s="46"/>
      <c r="R420" s="46"/>
    </row>
    <row r="421" spans="2:18" s="18" customFormat="1" ht="16.5" customHeight="1">
      <c r="B421" s="10">
        <f>IF(C421="","",COUNTA($C$2:C421))</f>
        <v>420</v>
      </c>
      <c r="C421" s="30" t="s">
        <v>587</v>
      </c>
      <c r="D421" s="42" t="str">
        <f t="shared" si="28"/>
        <v>B</v>
      </c>
      <c r="E421" s="18" t="s">
        <v>83</v>
      </c>
      <c r="F421" s="18" t="s">
        <v>493</v>
      </c>
      <c r="G421" s="6" t="s">
        <v>598</v>
      </c>
      <c r="H421" s="12">
        <v>7680000</v>
      </c>
      <c r="I421" s="18">
        <f t="shared" ca="1" si="27"/>
        <v>8</v>
      </c>
      <c r="J421" s="13" t="str">
        <f t="shared" ca="1" si="29"/>
        <v>정상</v>
      </c>
      <c r="K421" s="44"/>
      <c r="L421" s="44"/>
      <c r="M421" s="42"/>
      <c r="N421" s="10" t="s">
        <v>33</v>
      </c>
      <c r="Q421" s="46"/>
      <c r="R421" s="46"/>
    </row>
    <row r="422" spans="2:18" s="18" customFormat="1" ht="16.5" customHeight="1">
      <c r="B422" s="10">
        <f>IF(C422="","",COUNTA($C$2:C422))</f>
        <v>421</v>
      </c>
      <c r="C422" s="30" t="s">
        <v>587</v>
      </c>
      <c r="D422" s="42" t="str">
        <f t="shared" si="28"/>
        <v>B</v>
      </c>
      <c r="E422" s="18" t="s">
        <v>195</v>
      </c>
      <c r="F422" s="18" t="s">
        <v>597</v>
      </c>
      <c r="G422" s="6" t="s">
        <v>598</v>
      </c>
      <c r="H422" s="12">
        <v>720200</v>
      </c>
      <c r="I422" s="18">
        <f t="shared" ca="1" si="27"/>
        <v>8</v>
      </c>
      <c r="J422" s="13" t="str">
        <f t="shared" ca="1" si="29"/>
        <v>정상</v>
      </c>
      <c r="K422" s="44"/>
      <c r="L422" s="44"/>
      <c r="M422" s="42"/>
      <c r="N422" s="10" t="s">
        <v>33</v>
      </c>
      <c r="Q422" s="46"/>
      <c r="R422" s="46"/>
    </row>
    <row r="423" spans="2:18" s="18" customFormat="1" ht="16.5" customHeight="1">
      <c r="B423" s="10">
        <f>IF(C423="","",COUNTA($C$2:C423))</f>
        <v>422</v>
      </c>
      <c r="C423" s="30" t="s">
        <v>543</v>
      </c>
      <c r="D423" s="42" t="str">
        <f t="shared" si="28"/>
        <v>B</v>
      </c>
      <c r="E423" s="18" t="s">
        <v>126</v>
      </c>
      <c r="F423" s="18" t="s">
        <v>485</v>
      </c>
      <c r="G423" s="6" t="s">
        <v>598</v>
      </c>
      <c r="H423" s="12">
        <v>-3180000</v>
      </c>
      <c r="I423" s="18">
        <f t="shared" ca="1" si="27"/>
        <v>13</v>
      </c>
      <c r="J423" s="13" t="str">
        <f t="shared" ca="1" si="29"/>
        <v>정상</v>
      </c>
      <c r="K423" s="44"/>
      <c r="L423" s="44"/>
      <c r="M423" s="42"/>
      <c r="N423" s="10" t="s">
        <v>33</v>
      </c>
      <c r="Q423" s="46"/>
      <c r="R423" s="46"/>
    </row>
    <row r="424" spans="2:18" s="18" customFormat="1" ht="16.5" customHeight="1">
      <c r="B424" s="10">
        <f>IF(C424="","",COUNTA($C$2:C424))</f>
        <v>423</v>
      </c>
      <c r="C424" s="44">
        <v>46125</v>
      </c>
      <c r="D424" s="42" t="s">
        <v>243</v>
      </c>
      <c r="E424" s="18" t="s">
        <v>519</v>
      </c>
      <c r="F424" s="18" t="s">
        <v>272</v>
      </c>
      <c r="G424" s="18" t="s">
        <v>600</v>
      </c>
      <c r="H424" s="12">
        <v>59166000</v>
      </c>
      <c r="I424" s="18">
        <f t="shared" ca="1" si="27"/>
        <v>8</v>
      </c>
      <c r="J424" s="13" t="str">
        <f t="shared" ca="1" si="29"/>
        <v>정상</v>
      </c>
      <c r="K424" s="44"/>
      <c r="L424" s="44"/>
      <c r="M424" s="42"/>
      <c r="N424" s="10" t="s">
        <v>33</v>
      </c>
      <c r="Q424" s="46"/>
      <c r="R424" s="46"/>
    </row>
    <row r="425" spans="2:18" s="18" customFormat="1" ht="16.5" customHeight="1">
      <c r="B425" s="10">
        <f>IF(C425="","",COUNTA($C$2:C425))</f>
        <v>424</v>
      </c>
      <c r="C425" s="44">
        <v>46125</v>
      </c>
      <c r="D425" s="42" t="s">
        <v>243</v>
      </c>
      <c r="E425" s="18" t="s">
        <v>375</v>
      </c>
      <c r="F425" s="18" t="s">
        <v>372</v>
      </c>
      <c r="G425" s="18" t="s">
        <v>601</v>
      </c>
      <c r="H425" s="12">
        <v>12618800</v>
      </c>
      <c r="I425" s="18">
        <f t="shared" ca="1" si="27"/>
        <v>8</v>
      </c>
      <c r="J425" s="13" t="str">
        <f t="shared" ca="1" si="29"/>
        <v>정상</v>
      </c>
      <c r="K425" s="44"/>
      <c r="L425" s="44"/>
      <c r="M425" s="42"/>
      <c r="N425" s="10" t="s">
        <v>33</v>
      </c>
      <c r="Q425" s="46"/>
      <c r="R425" s="46"/>
    </row>
    <row r="426" spans="2:18" s="18" customFormat="1" ht="16.5" customHeight="1">
      <c r="B426" s="10">
        <f>IF(C426="","",COUNTA($C$2:C426))</f>
        <v>425</v>
      </c>
      <c r="C426" s="44">
        <v>46125</v>
      </c>
      <c r="D426" s="42" t="s">
        <v>243</v>
      </c>
      <c r="E426" s="18" t="s">
        <v>548</v>
      </c>
      <c r="F426" s="18" t="s">
        <v>547</v>
      </c>
      <c r="G426" s="18" t="s">
        <v>602</v>
      </c>
      <c r="H426" s="12">
        <v>12026400</v>
      </c>
      <c r="I426" s="18">
        <f t="shared" ca="1" si="27"/>
        <v>8</v>
      </c>
      <c r="J426" s="13" t="str">
        <f t="shared" ca="1" si="29"/>
        <v>정상</v>
      </c>
      <c r="K426" s="44"/>
      <c r="L426" s="44"/>
      <c r="M426" s="42"/>
      <c r="N426" s="10" t="s">
        <v>33</v>
      </c>
      <c r="Q426" s="46"/>
      <c r="R426" s="46"/>
    </row>
    <row r="427" spans="2:18" s="18" customFormat="1" ht="16.5" customHeight="1">
      <c r="B427" s="10">
        <f>IF(C427="","",COUNTA($C$2:C427))</f>
        <v>426</v>
      </c>
      <c r="C427" s="44">
        <v>46125</v>
      </c>
      <c r="D427" s="42" t="s">
        <v>243</v>
      </c>
      <c r="E427" s="18" t="s">
        <v>394</v>
      </c>
      <c r="F427" s="18" t="s">
        <v>599</v>
      </c>
      <c r="G427" s="18" t="s">
        <v>603</v>
      </c>
      <c r="H427" s="12">
        <v>5365000</v>
      </c>
      <c r="I427" s="18">
        <f t="shared" ca="1" si="27"/>
        <v>8</v>
      </c>
      <c r="J427" s="13" t="str">
        <f t="shared" ca="1" si="29"/>
        <v>정상</v>
      </c>
      <c r="K427" s="44"/>
      <c r="L427" s="44"/>
      <c r="M427" s="42"/>
      <c r="N427" s="10" t="s">
        <v>33</v>
      </c>
      <c r="Q427" s="46"/>
      <c r="R427" s="46"/>
    </row>
    <row r="428" spans="2:18" s="18" customFormat="1" ht="16.5" customHeight="1">
      <c r="B428" s="10">
        <f>IF(C428="","",COUNTA($C$2:C428))</f>
        <v>427</v>
      </c>
      <c r="C428" s="44" t="s">
        <v>586</v>
      </c>
      <c r="D428" s="42" t="s">
        <v>178</v>
      </c>
      <c r="E428" s="18" t="s">
        <v>579</v>
      </c>
      <c r="F428" s="18" t="s">
        <v>590</v>
      </c>
      <c r="G428" s="18" t="s">
        <v>607</v>
      </c>
      <c r="H428" s="12">
        <v>15635000</v>
      </c>
      <c r="I428" s="18">
        <f t="shared" ca="1" si="27"/>
        <v>7</v>
      </c>
      <c r="J428" s="13" t="str">
        <f t="shared" ca="1" si="29"/>
        <v>정상</v>
      </c>
      <c r="K428" s="44"/>
      <c r="L428" s="44"/>
      <c r="M428" s="42"/>
      <c r="N428" s="10" t="s">
        <v>33</v>
      </c>
      <c r="Q428" s="46"/>
      <c r="R428" s="46"/>
    </row>
    <row r="429" spans="2:18" ht="16.5" customHeight="1">
      <c r="B429" s="10">
        <f>IF(C429="","",COUNTA($C$2:C429))</f>
        <v>428</v>
      </c>
      <c r="C429" s="44" t="s">
        <v>586</v>
      </c>
      <c r="D429" s="42" t="s">
        <v>178</v>
      </c>
      <c r="E429" s="18" t="s">
        <v>195</v>
      </c>
      <c r="F429" s="18" t="s">
        <v>597</v>
      </c>
      <c r="G429" s="18" t="s">
        <v>607</v>
      </c>
      <c r="H429" s="4">
        <v>802000</v>
      </c>
      <c r="I429" s="18">
        <f t="shared" ca="1" si="27"/>
        <v>7</v>
      </c>
      <c r="J429" s="13" t="str">
        <f t="shared" ca="1" si="29"/>
        <v>정상</v>
      </c>
      <c r="N429" s="10" t="s">
        <v>33</v>
      </c>
    </row>
    <row r="430" spans="2:18" ht="16.5" customHeight="1">
      <c r="B430" s="10">
        <f>IF(C430="","",COUNTA($C$2:C430))</f>
        <v>429</v>
      </c>
      <c r="C430" s="44" t="s">
        <v>586</v>
      </c>
      <c r="D430" s="42" t="s">
        <v>178</v>
      </c>
      <c r="E430" s="18" t="s">
        <v>521</v>
      </c>
      <c r="F430" s="18" t="s">
        <v>535</v>
      </c>
      <c r="G430" s="18" t="s">
        <v>607</v>
      </c>
      <c r="H430" s="4">
        <v>990000</v>
      </c>
      <c r="I430" s="18">
        <f t="shared" ca="1" si="27"/>
        <v>7</v>
      </c>
      <c r="J430" s="13" t="str">
        <f t="shared" ca="1" si="29"/>
        <v>정상</v>
      </c>
      <c r="N430" s="10" t="s">
        <v>33</v>
      </c>
    </row>
    <row r="431" spans="2:18" ht="16.5" customHeight="1">
      <c r="B431" s="10">
        <f>IF(C431="","",COUNTA($C$2:C431))</f>
        <v>430</v>
      </c>
      <c r="C431" s="44" t="s">
        <v>586</v>
      </c>
      <c r="D431" s="42" t="s">
        <v>178</v>
      </c>
      <c r="E431" s="18" t="s">
        <v>606</v>
      </c>
      <c r="F431" s="18" t="s">
        <v>604</v>
      </c>
      <c r="G431" s="18" t="s">
        <v>607</v>
      </c>
      <c r="H431" s="4">
        <v>3592300</v>
      </c>
      <c r="I431" s="18">
        <f t="shared" ca="1" si="27"/>
        <v>0</v>
      </c>
      <c r="J431" s="13" t="str">
        <f t="shared" ca="1" si="29"/>
        <v>정상</v>
      </c>
      <c r="L431" s="44">
        <v>46126</v>
      </c>
      <c r="N431" s="10" t="s">
        <v>33</v>
      </c>
    </row>
    <row r="432" spans="2:18" ht="16.5" customHeight="1">
      <c r="B432" s="10">
        <f>IF(C432="","",COUNTA($C$2:C432))</f>
        <v>431</v>
      </c>
      <c r="C432" s="44" t="s">
        <v>586</v>
      </c>
      <c r="D432" s="42" t="s">
        <v>178</v>
      </c>
      <c r="E432" s="18" t="s">
        <v>585</v>
      </c>
      <c r="F432" s="18" t="s">
        <v>596</v>
      </c>
      <c r="G432" s="18" t="s">
        <v>607</v>
      </c>
      <c r="H432" s="4">
        <v>11000000</v>
      </c>
      <c r="I432" s="18">
        <f t="shared" ca="1" si="27"/>
        <v>7</v>
      </c>
      <c r="J432" s="13" t="str">
        <f t="shared" ca="1" si="29"/>
        <v>정상</v>
      </c>
      <c r="N432" s="10" t="s">
        <v>33</v>
      </c>
    </row>
    <row r="433" spans="2:18" ht="16.5" customHeight="1">
      <c r="B433" s="10">
        <f>IF(C433="","",COUNTA($C$2:C433))</f>
        <v>432</v>
      </c>
      <c r="C433" s="44" t="s">
        <v>586</v>
      </c>
      <c r="D433" s="42" t="s">
        <v>178</v>
      </c>
      <c r="E433" s="18" t="s">
        <v>100</v>
      </c>
      <c r="F433" s="18" t="s">
        <v>605</v>
      </c>
      <c r="G433" s="18" t="s">
        <v>607</v>
      </c>
      <c r="H433" s="4">
        <v>11295600</v>
      </c>
      <c r="I433" s="18">
        <f t="shared" ca="1" si="27"/>
        <v>7</v>
      </c>
      <c r="J433" s="13" t="str">
        <f t="shared" ca="1" si="29"/>
        <v>정상</v>
      </c>
      <c r="N433" s="10" t="s">
        <v>33</v>
      </c>
    </row>
    <row r="434" spans="2:18" ht="16.5" customHeight="1">
      <c r="B434" s="10">
        <f>IF(C434="","",COUNTA($C$2:C434))</f>
        <v>433</v>
      </c>
      <c r="C434" s="44" t="s">
        <v>586</v>
      </c>
      <c r="D434" s="42" t="s">
        <v>178</v>
      </c>
      <c r="E434" s="18" t="s">
        <v>126</v>
      </c>
      <c r="F434" s="18" t="s">
        <v>479</v>
      </c>
      <c r="G434" s="18" t="s">
        <v>607</v>
      </c>
      <c r="H434" s="4">
        <v>52695000</v>
      </c>
      <c r="I434" s="18">
        <f t="shared" ca="1" si="27"/>
        <v>7</v>
      </c>
      <c r="J434" s="13" t="str">
        <f t="shared" ca="1" si="29"/>
        <v>정상</v>
      </c>
      <c r="N434" s="10" t="s">
        <v>33</v>
      </c>
    </row>
    <row r="435" spans="2:18" ht="16.5" customHeight="1">
      <c r="B435" s="10">
        <f>IF(C435="","",COUNTA($C$2:C435))</f>
        <v>434</v>
      </c>
      <c r="C435" s="44" t="s">
        <v>586</v>
      </c>
      <c r="D435" s="42" t="s">
        <v>178</v>
      </c>
      <c r="E435" s="18" t="s">
        <v>577</v>
      </c>
      <c r="F435" s="18" t="s">
        <v>588</v>
      </c>
      <c r="G435" s="18" t="s">
        <v>607</v>
      </c>
      <c r="H435" s="4">
        <v>1217300</v>
      </c>
      <c r="I435" s="18">
        <f t="shared" ca="1" si="27"/>
        <v>7</v>
      </c>
      <c r="J435" s="13" t="str">
        <f t="shared" ca="1" si="29"/>
        <v>정상</v>
      </c>
      <c r="N435" s="10" t="s">
        <v>33</v>
      </c>
    </row>
    <row r="436" spans="2:18" ht="16.5" customHeight="1">
      <c r="B436" s="10">
        <f>IF(C436="","",COUNTA($C$2:C436))</f>
        <v>435</v>
      </c>
      <c r="C436" s="44" t="s">
        <v>586</v>
      </c>
      <c r="D436" s="42" t="s">
        <v>178</v>
      </c>
      <c r="E436" s="18" t="s">
        <v>375</v>
      </c>
      <c r="F436" s="18" t="s">
        <v>500</v>
      </c>
      <c r="G436" s="18" t="s">
        <v>607</v>
      </c>
      <c r="H436" s="4">
        <v>23634000</v>
      </c>
      <c r="I436" s="18">
        <f t="shared" ca="1" si="27"/>
        <v>1</v>
      </c>
      <c r="J436" s="13" t="str">
        <f t="shared" ca="1" si="29"/>
        <v>정상</v>
      </c>
      <c r="L436" s="44">
        <v>46127</v>
      </c>
      <c r="N436" s="10" t="s">
        <v>33</v>
      </c>
    </row>
    <row r="437" spans="2:18" ht="16.5" customHeight="1">
      <c r="B437" s="10">
        <f>IF(C437="","",COUNTA($C$2:C437))</f>
        <v>436</v>
      </c>
      <c r="C437" s="44" t="s">
        <v>586</v>
      </c>
      <c r="D437" s="42" t="s">
        <v>178</v>
      </c>
      <c r="E437" s="18" t="s">
        <v>578</v>
      </c>
      <c r="F437" s="18" t="s">
        <v>589</v>
      </c>
      <c r="G437" s="18" t="s">
        <v>607</v>
      </c>
      <c r="H437" s="4">
        <v>7826000</v>
      </c>
      <c r="I437" s="18">
        <f t="shared" ca="1" si="27"/>
        <v>7</v>
      </c>
      <c r="J437" s="13" t="str">
        <f t="shared" ca="1" si="29"/>
        <v>정상</v>
      </c>
      <c r="N437" s="10" t="s">
        <v>33</v>
      </c>
    </row>
    <row r="438" spans="2:18" s="18" customFormat="1" ht="16.5" customHeight="1">
      <c r="B438" s="10">
        <f>IF(C438="","",COUNTA($C$2:C438))</f>
        <v>437</v>
      </c>
      <c r="C438" s="44" t="s">
        <v>586</v>
      </c>
      <c r="D438" s="42" t="s">
        <v>181</v>
      </c>
      <c r="E438" s="18" t="s">
        <v>609</v>
      </c>
      <c r="F438" s="18" t="s">
        <v>608</v>
      </c>
      <c r="G438" s="18" t="s">
        <v>610</v>
      </c>
      <c r="H438" s="12">
        <v>299600</v>
      </c>
      <c r="I438" s="18">
        <f t="shared" ca="1" si="27"/>
        <v>7</v>
      </c>
      <c r="J438" s="13" t="str">
        <f t="shared" ca="1" si="29"/>
        <v>정상</v>
      </c>
      <c r="K438" s="44"/>
      <c r="L438" s="44"/>
      <c r="M438" s="42"/>
      <c r="N438" s="10" t="s">
        <v>33</v>
      </c>
      <c r="Q438" s="46"/>
      <c r="R438" s="46"/>
    </row>
    <row r="439" spans="2:18" s="18" customFormat="1" ht="16.5" customHeight="1">
      <c r="B439" s="10">
        <f>IF(C439="","",COUNTA($C$2:C439))</f>
        <v>438</v>
      </c>
      <c r="C439" s="44" t="s">
        <v>586</v>
      </c>
      <c r="D439" s="42" t="s">
        <v>243</v>
      </c>
      <c r="E439" s="18" t="s">
        <v>618</v>
      </c>
      <c r="F439" s="18" t="s">
        <v>614</v>
      </c>
      <c r="G439" s="18" t="s">
        <v>611</v>
      </c>
      <c r="H439" s="12">
        <v>8608400</v>
      </c>
      <c r="I439" s="18">
        <f t="shared" ca="1" si="27"/>
        <v>7</v>
      </c>
      <c r="J439" s="13" t="str">
        <f t="shared" ca="1" si="29"/>
        <v>정상</v>
      </c>
      <c r="K439" s="44"/>
      <c r="L439" s="44"/>
      <c r="M439" s="42"/>
      <c r="N439" s="10" t="s">
        <v>33</v>
      </c>
      <c r="Q439" s="46"/>
      <c r="R439" s="46"/>
    </row>
    <row r="440" spans="2:18" s="18" customFormat="1" ht="16.5" customHeight="1">
      <c r="B440" s="10">
        <f>IF(C440="","",COUNTA($C$2:C440))</f>
        <v>439</v>
      </c>
      <c r="C440" s="44" t="s">
        <v>586</v>
      </c>
      <c r="D440" s="42" t="s">
        <v>243</v>
      </c>
      <c r="E440" s="18" t="s">
        <v>619</v>
      </c>
      <c r="F440" s="18" t="s">
        <v>615</v>
      </c>
      <c r="G440" s="18" t="s">
        <v>612</v>
      </c>
      <c r="H440" s="12">
        <v>70476400</v>
      </c>
      <c r="I440" s="18">
        <f t="shared" ca="1" si="27"/>
        <v>7</v>
      </c>
      <c r="J440" s="13" t="str">
        <f t="shared" ca="1" si="29"/>
        <v>정상</v>
      </c>
      <c r="K440" s="44"/>
      <c r="L440" s="44"/>
      <c r="M440" s="42"/>
      <c r="N440" s="10" t="s">
        <v>33</v>
      </c>
      <c r="Q440" s="46"/>
      <c r="R440" s="46"/>
    </row>
    <row r="441" spans="2:18" s="18" customFormat="1" ht="16.5" customHeight="1">
      <c r="B441" s="10">
        <f>IF(C441="","",COUNTA($C$2:C441))</f>
        <v>440</v>
      </c>
      <c r="C441" s="44" t="s">
        <v>586</v>
      </c>
      <c r="D441" s="42" t="s">
        <v>243</v>
      </c>
      <c r="E441" s="18" t="s">
        <v>620</v>
      </c>
      <c r="F441" s="18" t="s">
        <v>616</v>
      </c>
      <c r="G441" s="18" t="s">
        <v>611</v>
      </c>
      <c r="H441" s="12">
        <v>3657600</v>
      </c>
      <c r="I441" s="18">
        <f t="shared" ca="1" si="27"/>
        <v>7</v>
      </c>
      <c r="J441" s="13" t="str">
        <f t="shared" ca="1" si="29"/>
        <v>정상</v>
      </c>
      <c r="K441" s="44"/>
      <c r="L441" s="44"/>
      <c r="M441" s="42"/>
      <c r="N441" s="10" t="s">
        <v>33</v>
      </c>
      <c r="Q441" s="46"/>
      <c r="R441" s="46"/>
    </row>
    <row r="442" spans="2:18" s="18" customFormat="1" ht="16.5" customHeight="1">
      <c r="B442" s="10">
        <f>IF(C442="","",COUNTA($C$2:C442))</f>
        <v>441</v>
      </c>
      <c r="C442" s="44" t="s">
        <v>586</v>
      </c>
      <c r="D442" s="42" t="s">
        <v>243</v>
      </c>
      <c r="E442" s="18" t="s">
        <v>621</v>
      </c>
      <c r="F442" s="18" t="s">
        <v>617</v>
      </c>
      <c r="G442" s="18" t="s">
        <v>613</v>
      </c>
      <c r="H442" s="12">
        <v>4080000</v>
      </c>
      <c r="I442" s="18">
        <f t="shared" ca="1" si="27"/>
        <v>7</v>
      </c>
      <c r="J442" s="13" t="str">
        <f t="shared" ca="1" si="29"/>
        <v>정상</v>
      </c>
      <c r="K442" s="44"/>
      <c r="L442" s="44"/>
      <c r="M442" s="42"/>
      <c r="N442" s="10" t="s">
        <v>33</v>
      </c>
      <c r="Q442" s="46"/>
      <c r="R442" s="46"/>
    </row>
    <row r="443" spans="2:18" ht="16.5" customHeight="1">
      <c r="B443" s="10">
        <f>IF(C443="","",COUNTA($C$2:C443))</f>
        <v>442</v>
      </c>
      <c r="C443" s="44">
        <v>46126</v>
      </c>
      <c r="D443" s="42" t="s">
        <v>639</v>
      </c>
      <c r="E443" s="23" t="s">
        <v>579</v>
      </c>
      <c r="F443" s="23" t="s">
        <v>626</v>
      </c>
      <c r="G443" s="18" t="s">
        <v>642</v>
      </c>
      <c r="H443" s="4">
        <v>13317700</v>
      </c>
      <c r="I443" s="18">
        <f t="shared" ca="1" si="27"/>
        <v>7</v>
      </c>
      <c r="J443" s="13" t="str">
        <f t="shared" ca="1" si="29"/>
        <v>정상</v>
      </c>
      <c r="N443" s="10" t="s">
        <v>33</v>
      </c>
    </row>
    <row r="444" spans="2:18" ht="16.5" customHeight="1">
      <c r="B444" s="10">
        <f>IF(C444="","",COUNTA($C$2:C444))</f>
        <v>443</v>
      </c>
      <c r="C444" s="30" t="s">
        <v>640</v>
      </c>
      <c r="D444" s="42" t="s">
        <v>639</v>
      </c>
      <c r="E444" s="23" t="s">
        <v>585</v>
      </c>
      <c r="F444" s="23" t="s">
        <v>627</v>
      </c>
      <c r="G444" s="18" t="s">
        <v>642</v>
      </c>
      <c r="H444" s="4">
        <v>4826000</v>
      </c>
      <c r="I444" s="18">
        <f t="shared" ca="1" si="27"/>
        <v>6</v>
      </c>
      <c r="J444" s="13" t="str">
        <f t="shared" ca="1" si="29"/>
        <v>정상</v>
      </c>
      <c r="N444" s="10" t="s">
        <v>33</v>
      </c>
    </row>
    <row r="445" spans="2:18" ht="16.5" customHeight="1">
      <c r="B445" s="10">
        <f>IF(C445="","",COUNTA($C$2:C445))</f>
        <v>444</v>
      </c>
      <c r="C445" s="30" t="s">
        <v>640</v>
      </c>
      <c r="D445" s="42" t="s">
        <v>639</v>
      </c>
      <c r="E445" s="23" t="s">
        <v>249</v>
      </c>
      <c r="F445" s="23" t="s">
        <v>628</v>
      </c>
      <c r="G445" s="18" t="s">
        <v>642</v>
      </c>
      <c r="H445" s="4">
        <v>266400</v>
      </c>
      <c r="I445" s="18">
        <f t="shared" ca="1" si="27"/>
        <v>6</v>
      </c>
      <c r="J445" s="13" t="str">
        <f t="shared" ca="1" si="29"/>
        <v>정상</v>
      </c>
      <c r="N445" s="10" t="s">
        <v>33</v>
      </c>
    </row>
    <row r="446" spans="2:18" ht="16.5" customHeight="1">
      <c r="B446" s="10">
        <f>IF(C446="","",COUNTA($C$2:C446))</f>
        <v>445</v>
      </c>
      <c r="C446" s="30" t="s">
        <v>640</v>
      </c>
      <c r="D446" s="42" t="s">
        <v>639</v>
      </c>
      <c r="E446" s="23" t="s">
        <v>463</v>
      </c>
      <c r="F446" s="23" t="s">
        <v>625</v>
      </c>
      <c r="G446" s="18" t="s">
        <v>642</v>
      </c>
      <c r="H446" s="4">
        <v>1013300</v>
      </c>
      <c r="I446" s="18">
        <f t="shared" ca="1" si="27"/>
        <v>6</v>
      </c>
      <c r="J446" s="13" t="str">
        <f t="shared" ca="1" si="29"/>
        <v>정상</v>
      </c>
      <c r="N446" s="10" t="s">
        <v>33</v>
      </c>
    </row>
    <row r="447" spans="2:18" ht="16.5" customHeight="1">
      <c r="B447" s="10">
        <f>IF(C447="","",COUNTA($C$2:C447))</f>
        <v>446</v>
      </c>
      <c r="C447" s="30" t="s">
        <v>640</v>
      </c>
      <c r="D447" s="42" t="s">
        <v>639</v>
      </c>
      <c r="E447" s="23" t="s">
        <v>81</v>
      </c>
      <c r="F447" s="23" t="s">
        <v>629</v>
      </c>
      <c r="G447" s="18" t="s">
        <v>642</v>
      </c>
      <c r="H447" s="4">
        <v>449400</v>
      </c>
      <c r="I447" s="18">
        <f t="shared" ref="I447:I482" ca="1" si="30">IF(C447="","",IF(L447="",TODAY()-C447,L447-C447))</f>
        <v>6</v>
      </c>
      <c r="J447" s="13" t="str">
        <f t="shared" ca="1" si="29"/>
        <v>정상</v>
      </c>
      <c r="N447" s="10" t="s">
        <v>33</v>
      </c>
    </row>
    <row r="448" spans="2:18" ht="16.5" customHeight="1">
      <c r="B448" s="10">
        <f>IF(C448="","",COUNTA($C$2:C448))</f>
        <v>447</v>
      </c>
      <c r="C448" s="30" t="s">
        <v>640</v>
      </c>
      <c r="D448" s="42" t="s">
        <v>639</v>
      </c>
      <c r="E448" s="23" t="s">
        <v>208</v>
      </c>
      <c r="F448" s="23" t="s">
        <v>630</v>
      </c>
      <c r="G448" s="18" t="s">
        <v>642</v>
      </c>
      <c r="H448" s="4">
        <v>-7260000</v>
      </c>
      <c r="I448" s="18">
        <f t="shared" ca="1" si="30"/>
        <v>6</v>
      </c>
      <c r="J448" s="13" t="str">
        <f t="shared" ca="1" si="29"/>
        <v>정상</v>
      </c>
      <c r="N448" s="10" t="s">
        <v>33</v>
      </c>
    </row>
    <row r="449" spans="2:18" ht="16.5" customHeight="1">
      <c r="B449" s="10">
        <f>IF(C449="","",COUNTA($C$2:C449))</f>
        <v>448</v>
      </c>
      <c r="C449" s="30" t="s">
        <v>640</v>
      </c>
      <c r="D449" s="42" t="s">
        <v>639</v>
      </c>
      <c r="E449" s="23" t="s">
        <v>209</v>
      </c>
      <c r="F449" s="23" t="s">
        <v>631</v>
      </c>
      <c r="G449" s="18" t="s">
        <v>642</v>
      </c>
      <c r="H449" s="4">
        <v>10770000</v>
      </c>
      <c r="I449" s="18">
        <f t="shared" ca="1" si="30"/>
        <v>6</v>
      </c>
      <c r="J449" s="13" t="str">
        <f t="shared" ca="1" si="29"/>
        <v>정상</v>
      </c>
      <c r="N449" s="10" t="s">
        <v>33</v>
      </c>
    </row>
    <row r="450" spans="2:18" ht="16.5" customHeight="1">
      <c r="B450" s="10">
        <f>IF(C450="","",COUNTA($C$2:C450))</f>
        <v>449</v>
      </c>
      <c r="C450" s="30" t="s">
        <v>640</v>
      </c>
      <c r="D450" s="42" t="s">
        <v>639</v>
      </c>
      <c r="E450" s="23" t="s">
        <v>637</v>
      </c>
      <c r="F450" s="23" t="s">
        <v>632</v>
      </c>
      <c r="G450" s="18" t="s">
        <v>642</v>
      </c>
      <c r="H450" s="4">
        <v>46300</v>
      </c>
      <c r="I450" s="18">
        <f t="shared" ca="1" si="30"/>
        <v>6</v>
      </c>
      <c r="J450" s="13" t="str">
        <f t="shared" ca="1" si="29"/>
        <v>정상</v>
      </c>
      <c r="N450" s="10" t="s">
        <v>33</v>
      </c>
    </row>
    <row r="451" spans="2:18" ht="16.5" customHeight="1">
      <c r="B451" s="10">
        <f>IF(C451="","",COUNTA($C$2:C451))</f>
        <v>450</v>
      </c>
      <c r="C451" s="30" t="s">
        <v>640</v>
      </c>
      <c r="D451" s="42" t="s">
        <v>639</v>
      </c>
      <c r="E451" s="23" t="s">
        <v>126</v>
      </c>
      <c r="F451" s="23" t="s">
        <v>633</v>
      </c>
      <c r="G451" s="18" t="s">
        <v>642</v>
      </c>
      <c r="H451" s="4">
        <v>11690000</v>
      </c>
      <c r="I451" s="18">
        <f t="shared" ca="1" si="30"/>
        <v>6</v>
      </c>
      <c r="J451" s="13" t="str">
        <f t="shared" ca="1" si="29"/>
        <v>정상</v>
      </c>
      <c r="N451" s="10" t="s">
        <v>33</v>
      </c>
    </row>
    <row r="452" spans="2:18" ht="16.5" customHeight="1">
      <c r="B452" s="10">
        <f>IF(C452="","",COUNTA($C$2:C452))</f>
        <v>451</v>
      </c>
      <c r="C452" s="30" t="s">
        <v>641</v>
      </c>
      <c r="D452" s="42" t="s">
        <v>639</v>
      </c>
      <c r="E452" s="23" t="s">
        <v>638</v>
      </c>
      <c r="F452" s="23" t="s">
        <v>634</v>
      </c>
      <c r="G452" s="18" t="s">
        <v>642</v>
      </c>
      <c r="H452" s="4">
        <v>2000200</v>
      </c>
      <c r="I452" s="18">
        <f t="shared" ca="1" si="30"/>
        <v>0</v>
      </c>
      <c r="J452" s="13" t="str">
        <f t="shared" ca="1" si="29"/>
        <v>정상</v>
      </c>
      <c r="L452" s="44">
        <v>46128</v>
      </c>
      <c r="N452" s="10" t="s">
        <v>33</v>
      </c>
    </row>
    <row r="453" spans="2:18" ht="16.5" customHeight="1">
      <c r="B453" s="10">
        <f>IF(C453="","",COUNTA($C$2:C453))</f>
        <v>452</v>
      </c>
      <c r="C453" s="30" t="s">
        <v>641</v>
      </c>
      <c r="D453" s="42" t="s">
        <v>639</v>
      </c>
      <c r="E453" s="23" t="s">
        <v>434</v>
      </c>
      <c r="F453" s="23" t="s">
        <v>635</v>
      </c>
      <c r="G453" s="18" t="s">
        <v>642</v>
      </c>
      <c r="H453" s="4">
        <v>8651000</v>
      </c>
      <c r="I453" s="18">
        <f t="shared" ca="1" si="30"/>
        <v>5</v>
      </c>
      <c r="J453" s="13" t="str">
        <f t="shared" ca="1" si="29"/>
        <v>정상</v>
      </c>
      <c r="N453" s="10" t="s">
        <v>33</v>
      </c>
    </row>
    <row r="454" spans="2:18" ht="16.5" customHeight="1">
      <c r="B454" s="10">
        <f>IF(C454="","",COUNTA($C$2:C454))</f>
        <v>453</v>
      </c>
      <c r="C454" s="30" t="s">
        <v>641</v>
      </c>
      <c r="D454" s="42" t="s">
        <v>639</v>
      </c>
      <c r="E454" s="23" t="s">
        <v>249</v>
      </c>
      <c r="F454" s="23" t="s">
        <v>628</v>
      </c>
      <c r="G454" s="18" t="s">
        <v>642</v>
      </c>
      <c r="H454" s="4">
        <v>2110000</v>
      </c>
      <c r="I454" s="18">
        <f t="shared" ca="1" si="30"/>
        <v>5</v>
      </c>
      <c r="J454" s="13" t="str">
        <f t="shared" ca="1" si="29"/>
        <v>정상</v>
      </c>
      <c r="N454" s="10" t="s">
        <v>33</v>
      </c>
    </row>
    <row r="455" spans="2:18" ht="16.5" customHeight="1">
      <c r="B455" s="10">
        <f>IF(C455="","",COUNTA($C$2:C455))</f>
        <v>454</v>
      </c>
      <c r="C455" s="30" t="s">
        <v>641</v>
      </c>
      <c r="D455" s="42" t="s">
        <v>639</v>
      </c>
      <c r="E455" s="23" t="s">
        <v>24</v>
      </c>
      <c r="F455" s="23" t="s">
        <v>636</v>
      </c>
      <c r="G455" s="18" t="s">
        <v>642</v>
      </c>
      <c r="H455" s="4">
        <v>1006400</v>
      </c>
      <c r="I455" s="18">
        <f t="shared" ca="1" si="30"/>
        <v>5</v>
      </c>
      <c r="J455" s="13" t="str">
        <f t="shared" ca="1" si="29"/>
        <v>정상</v>
      </c>
      <c r="N455" s="10" t="s">
        <v>33</v>
      </c>
    </row>
    <row r="456" spans="2:18" s="18" customFormat="1" ht="16.5" customHeight="1">
      <c r="B456" s="10">
        <f>IF(C456="","",COUNTA($C$2:C456))</f>
        <v>455</v>
      </c>
      <c r="C456" s="30" t="s">
        <v>643</v>
      </c>
      <c r="D456" s="42" t="s">
        <v>644</v>
      </c>
      <c r="E456" s="48" t="s">
        <v>648</v>
      </c>
      <c r="F456" s="48" t="s">
        <v>647</v>
      </c>
      <c r="G456" s="18" t="s">
        <v>646</v>
      </c>
      <c r="H456" s="12">
        <v>65224000</v>
      </c>
      <c r="I456" s="18">
        <f t="shared" ca="1" si="30"/>
        <v>4</v>
      </c>
      <c r="J456" s="13" t="str">
        <f t="shared" ca="1" si="29"/>
        <v>정상</v>
      </c>
      <c r="K456" s="44"/>
      <c r="L456" s="44"/>
      <c r="M456" s="42"/>
      <c r="N456" s="10" t="s">
        <v>33</v>
      </c>
      <c r="Q456" s="46"/>
      <c r="R456" s="46"/>
    </row>
    <row r="457" spans="2:18" s="18" customFormat="1" ht="16.5" customHeight="1">
      <c r="B457" s="10">
        <f>IF(C457="","",COUNTA($C$2:C457))</f>
        <v>456</v>
      </c>
      <c r="C457" s="30">
        <v>46129</v>
      </c>
      <c r="D457" s="42" t="s">
        <v>644</v>
      </c>
      <c r="E457" s="18" t="s">
        <v>519</v>
      </c>
      <c r="F457" s="18" t="s">
        <v>645</v>
      </c>
      <c r="G457" s="47" t="s">
        <v>227</v>
      </c>
      <c r="H457" s="12">
        <v>104823750</v>
      </c>
      <c r="I457" s="18">
        <f t="shared" ca="1" si="30"/>
        <v>4</v>
      </c>
      <c r="J457" s="13" t="str">
        <f t="shared" ca="1" si="29"/>
        <v>정상</v>
      </c>
      <c r="K457" s="44"/>
      <c r="L457" s="44"/>
      <c r="M457" s="42"/>
      <c r="N457" s="10" t="s">
        <v>33</v>
      </c>
      <c r="Q457" s="46"/>
      <c r="R457" s="46"/>
    </row>
    <row r="458" spans="2:18" s="18" customFormat="1" ht="16.5" customHeight="1">
      <c r="B458" s="10">
        <f>IF(C458="","",COUNTA($C$2:C458))</f>
        <v>457</v>
      </c>
      <c r="C458" s="30" t="s">
        <v>643</v>
      </c>
      <c r="D458" s="42" t="s">
        <v>239</v>
      </c>
      <c r="E458" s="23" t="s">
        <v>206</v>
      </c>
      <c r="F458" s="18" t="s">
        <v>557</v>
      </c>
      <c r="G458" s="47" t="s">
        <v>666</v>
      </c>
      <c r="H458" s="12">
        <v>700000</v>
      </c>
      <c r="I458" s="18">
        <f t="shared" ca="1" si="30"/>
        <v>0</v>
      </c>
      <c r="J458" s="13" t="str">
        <f t="shared" ca="1" si="29"/>
        <v>정상</v>
      </c>
      <c r="K458" s="44"/>
      <c r="L458" s="44">
        <v>46129</v>
      </c>
      <c r="M458" s="42"/>
      <c r="N458" s="10" t="s">
        <v>33</v>
      </c>
      <c r="Q458" s="46"/>
      <c r="R458" s="46"/>
    </row>
    <row r="459" spans="2:18" s="18" customFormat="1" ht="16.5" customHeight="1">
      <c r="B459" s="10">
        <f>IF(C459="","",COUNTA($C$2:C459))</f>
        <v>458</v>
      </c>
      <c r="C459" s="30" t="s">
        <v>643</v>
      </c>
      <c r="D459" s="42" t="s">
        <v>239</v>
      </c>
      <c r="E459" s="23" t="s">
        <v>579</v>
      </c>
      <c r="F459" s="18" t="s">
        <v>590</v>
      </c>
      <c r="G459" s="47" t="s">
        <v>666</v>
      </c>
      <c r="H459" s="12">
        <v>12079800</v>
      </c>
      <c r="I459" s="18">
        <f t="shared" ca="1" si="30"/>
        <v>0</v>
      </c>
      <c r="J459" s="13" t="str">
        <f t="shared" ca="1" si="29"/>
        <v>정상</v>
      </c>
      <c r="K459" s="44"/>
      <c r="L459" s="44">
        <v>46129</v>
      </c>
      <c r="M459" s="42"/>
      <c r="N459" s="10" t="s">
        <v>33</v>
      </c>
      <c r="Q459" s="46"/>
      <c r="R459" s="46"/>
    </row>
    <row r="460" spans="2:18" s="18" customFormat="1" ht="16.5" customHeight="1">
      <c r="B460" s="10">
        <f>IF(C460="","",COUNTA($C$2:C460))</f>
        <v>459</v>
      </c>
      <c r="C460" s="30" t="s">
        <v>643</v>
      </c>
      <c r="D460" s="42" t="s">
        <v>239</v>
      </c>
      <c r="E460" s="23" t="s">
        <v>218</v>
      </c>
      <c r="F460" s="18" t="s">
        <v>649</v>
      </c>
      <c r="G460" s="47" t="s">
        <v>666</v>
      </c>
      <c r="H460" s="12">
        <v>167600</v>
      </c>
      <c r="I460" s="18">
        <f t="shared" ca="1" si="30"/>
        <v>4</v>
      </c>
      <c r="J460" s="13" t="str">
        <f t="shared" ca="1" si="29"/>
        <v>정상</v>
      </c>
      <c r="K460" s="44"/>
      <c r="L460" s="44"/>
      <c r="M460" s="42"/>
      <c r="N460" s="10" t="s">
        <v>33</v>
      </c>
      <c r="Q460" s="46"/>
      <c r="R460" s="46"/>
    </row>
    <row r="461" spans="2:18" s="18" customFormat="1" ht="16.5" customHeight="1">
      <c r="B461" s="10">
        <f>IF(C461="","",COUNTA($C$2:C461))</f>
        <v>460</v>
      </c>
      <c r="C461" s="30" t="s">
        <v>643</v>
      </c>
      <c r="D461" s="42" t="s">
        <v>239</v>
      </c>
      <c r="E461" s="23" t="s">
        <v>662</v>
      </c>
      <c r="F461" s="18" t="s">
        <v>211</v>
      </c>
      <c r="G461" s="47" t="s">
        <v>666</v>
      </c>
      <c r="H461" s="12">
        <v>233200</v>
      </c>
      <c r="I461" s="18">
        <f t="shared" ca="1" si="30"/>
        <v>4</v>
      </c>
      <c r="J461" s="13" t="str">
        <f t="shared" ca="1" si="29"/>
        <v>정상</v>
      </c>
      <c r="K461" s="44"/>
      <c r="L461" s="44"/>
      <c r="M461" s="42"/>
      <c r="N461" s="10" t="s">
        <v>33</v>
      </c>
      <c r="Q461" s="46"/>
      <c r="R461" s="46"/>
    </row>
    <row r="462" spans="2:18" s="18" customFormat="1" ht="16.5" customHeight="1">
      <c r="B462" s="10">
        <f>IF(C462="","",COUNTA($C$2:C462))</f>
        <v>461</v>
      </c>
      <c r="C462" s="30" t="s">
        <v>643</v>
      </c>
      <c r="D462" s="42" t="s">
        <v>239</v>
      </c>
      <c r="E462" s="23" t="s">
        <v>126</v>
      </c>
      <c r="F462" s="18" t="s">
        <v>479</v>
      </c>
      <c r="G462" s="47" t="s">
        <v>666</v>
      </c>
      <c r="H462" s="12">
        <v>1969000</v>
      </c>
      <c r="I462" s="18">
        <f t="shared" ca="1" si="30"/>
        <v>4</v>
      </c>
      <c r="J462" s="13" t="str">
        <f t="shared" ca="1" si="29"/>
        <v>정상</v>
      </c>
      <c r="K462" s="44"/>
      <c r="L462" s="44"/>
      <c r="M462" s="42"/>
      <c r="N462" s="10" t="s">
        <v>33</v>
      </c>
      <c r="Q462" s="46"/>
      <c r="R462" s="46"/>
    </row>
    <row r="463" spans="2:18" s="18" customFormat="1" ht="16.5" customHeight="1">
      <c r="B463" s="10">
        <f>IF(C463="","",COUNTA($C$2:C463))</f>
        <v>462</v>
      </c>
      <c r="C463" s="30" t="s">
        <v>664</v>
      </c>
      <c r="D463" s="42" t="s">
        <v>239</v>
      </c>
      <c r="E463" s="23" t="s">
        <v>366</v>
      </c>
      <c r="F463" s="18" t="s">
        <v>480</v>
      </c>
      <c r="G463" s="47" t="s">
        <v>666</v>
      </c>
      <c r="H463" s="12">
        <v>5047800</v>
      </c>
      <c r="I463" s="18">
        <f t="shared" ca="1" si="30"/>
        <v>1</v>
      </c>
      <c r="J463" s="13" t="str">
        <f t="shared" ca="1" si="29"/>
        <v>정상</v>
      </c>
      <c r="K463" s="44"/>
      <c r="L463" s="44"/>
      <c r="M463" s="42"/>
      <c r="N463" s="10" t="s">
        <v>33</v>
      </c>
      <c r="Q463" s="46"/>
      <c r="R463" s="46"/>
    </row>
    <row r="464" spans="2:18" s="18" customFormat="1" ht="16.5" customHeight="1">
      <c r="B464" s="10">
        <f>IF(C464="","",COUNTA($C$2:C464))</f>
        <v>463</v>
      </c>
      <c r="C464" s="30" t="s">
        <v>664</v>
      </c>
      <c r="D464" s="42" t="s">
        <v>239</v>
      </c>
      <c r="E464" s="23" t="s">
        <v>209</v>
      </c>
      <c r="F464" s="18" t="s">
        <v>650</v>
      </c>
      <c r="G464" s="47" t="s">
        <v>666</v>
      </c>
      <c r="H464" s="12">
        <v>56594600</v>
      </c>
      <c r="I464" s="18">
        <f t="shared" ca="1" si="30"/>
        <v>1</v>
      </c>
      <c r="J464" s="13" t="str">
        <f t="shared" ca="1" si="29"/>
        <v>정상</v>
      </c>
      <c r="K464" s="44"/>
      <c r="L464" s="44"/>
      <c r="M464" s="42"/>
      <c r="N464" s="10" t="s">
        <v>33</v>
      </c>
      <c r="Q464" s="46"/>
      <c r="R464" s="46"/>
    </row>
    <row r="465" spans="2:18" s="18" customFormat="1" ht="16.5" customHeight="1">
      <c r="B465" s="10">
        <f>IF(C465="","",COUNTA($C$2:C465))</f>
        <v>464</v>
      </c>
      <c r="C465" s="30" t="s">
        <v>664</v>
      </c>
      <c r="D465" s="42" t="s">
        <v>239</v>
      </c>
      <c r="E465" s="23" t="s">
        <v>209</v>
      </c>
      <c r="F465" s="18" t="s">
        <v>651</v>
      </c>
      <c r="G465" s="47" t="s">
        <v>666</v>
      </c>
      <c r="H465" s="12">
        <v>-1277000</v>
      </c>
      <c r="I465" s="18">
        <f t="shared" ca="1" si="30"/>
        <v>1</v>
      </c>
      <c r="J465" s="13" t="str">
        <f t="shared" ca="1" si="29"/>
        <v>정상</v>
      </c>
      <c r="K465" s="44"/>
      <c r="L465" s="44"/>
      <c r="M465" s="42"/>
      <c r="N465" s="10" t="s">
        <v>33</v>
      </c>
      <c r="Q465" s="46"/>
      <c r="R465" s="46"/>
    </row>
    <row r="466" spans="2:18" s="18" customFormat="1" ht="16.5" customHeight="1">
      <c r="B466" s="10">
        <f>IF(C466="","",COUNTA($C$2:C466))</f>
        <v>465</v>
      </c>
      <c r="C466" s="30" t="s">
        <v>664</v>
      </c>
      <c r="D466" s="42" t="s">
        <v>239</v>
      </c>
      <c r="E466" s="23" t="s">
        <v>128</v>
      </c>
      <c r="F466" s="18" t="s">
        <v>652</v>
      </c>
      <c r="G466" s="47" t="s">
        <v>666</v>
      </c>
      <c r="H466" s="12">
        <v>2242500</v>
      </c>
      <c r="I466" s="18">
        <f t="shared" ca="1" si="30"/>
        <v>1</v>
      </c>
      <c r="J466" s="13" t="str">
        <f t="shared" ca="1" si="29"/>
        <v>정상</v>
      </c>
      <c r="K466" s="44"/>
      <c r="L466" s="44"/>
      <c r="M466" s="42"/>
      <c r="N466" s="10" t="s">
        <v>33</v>
      </c>
      <c r="Q466" s="46"/>
      <c r="R466" s="46"/>
    </row>
    <row r="467" spans="2:18" s="18" customFormat="1" ht="16.5" customHeight="1">
      <c r="B467" s="10">
        <f>IF(C467="","",COUNTA($C$2:C467))</f>
        <v>466</v>
      </c>
      <c r="C467" s="30" t="s">
        <v>664</v>
      </c>
      <c r="D467" s="42" t="s">
        <v>239</v>
      </c>
      <c r="E467" s="23" t="s">
        <v>461</v>
      </c>
      <c r="F467" s="18" t="s">
        <v>653</v>
      </c>
      <c r="G467" s="47" t="s">
        <v>666</v>
      </c>
      <c r="H467" s="12">
        <v>2107200</v>
      </c>
      <c r="I467" s="18">
        <f t="shared" ca="1" si="30"/>
        <v>1</v>
      </c>
      <c r="J467" s="13" t="str">
        <f t="shared" ca="1" si="29"/>
        <v>정상</v>
      </c>
      <c r="K467" s="44"/>
      <c r="L467" s="44"/>
      <c r="M467" s="42"/>
      <c r="N467" s="10" t="s">
        <v>33</v>
      </c>
      <c r="Q467" s="46"/>
      <c r="R467" s="46"/>
    </row>
    <row r="468" spans="2:18" s="18" customFormat="1" ht="16.5" customHeight="1">
      <c r="B468" s="10">
        <f>IF(C468="","",COUNTA($C$2:C468))</f>
        <v>467</v>
      </c>
      <c r="C468" s="30" t="s">
        <v>664</v>
      </c>
      <c r="D468" s="42" t="s">
        <v>239</v>
      </c>
      <c r="E468" s="23" t="s">
        <v>128</v>
      </c>
      <c r="F468" s="18" t="s">
        <v>654</v>
      </c>
      <c r="G468" s="47" t="s">
        <v>666</v>
      </c>
      <c r="H468" s="12">
        <v>10709900</v>
      </c>
      <c r="I468" s="18">
        <f t="shared" ca="1" si="30"/>
        <v>1</v>
      </c>
      <c r="J468" s="13" t="str">
        <f t="shared" ca="1" si="29"/>
        <v>정상</v>
      </c>
      <c r="K468" s="44"/>
      <c r="L468" s="44"/>
      <c r="M468" s="42"/>
      <c r="N468" s="10" t="s">
        <v>33</v>
      </c>
      <c r="Q468" s="46"/>
      <c r="R468" s="46"/>
    </row>
    <row r="469" spans="2:18" s="18" customFormat="1" ht="16.5" customHeight="1">
      <c r="B469" s="10">
        <f>IF(C469="","",COUNTA($C$2:C469))</f>
        <v>468</v>
      </c>
      <c r="C469" s="30" t="s">
        <v>664</v>
      </c>
      <c r="D469" s="42" t="s">
        <v>239</v>
      </c>
      <c r="E469" s="23" t="s">
        <v>663</v>
      </c>
      <c r="F469" s="18" t="s">
        <v>655</v>
      </c>
      <c r="G469" s="47" t="s">
        <v>666</v>
      </c>
      <c r="H469" s="12">
        <v>8250000</v>
      </c>
      <c r="I469" s="18">
        <f t="shared" ca="1" si="30"/>
        <v>0</v>
      </c>
      <c r="J469" s="13" t="str">
        <f t="shared" ca="1" si="29"/>
        <v>정상</v>
      </c>
      <c r="K469" s="44"/>
      <c r="L469" s="44">
        <v>46132</v>
      </c>
      <c r="M469" s="42"/>
      <c r="N469" s="10" t="s">
        <v>33</v>
      </c>
      <c r="Q469" s="46"/>
      <c r="R469" s="46"/>
    </row>
    <row r="470" spans="2:18" s="18" customFormat="1" ht="16.5" customHeight="1">
      <c r="B470" s="10">
        <f>IF(C470="","",COUNTA($C$2:C470))</f>
        <v>469</v>
      </c>
      <c r="C470" s="30" t="s">
        <v>664</v>
      </c>
      <c r="D470" s="42" t="s">
        <v>239</v>
      </c>
      <c r="E470" s="23" t="s">
        <v>83</v>
      </c>
      <c r="F470" s="18" t="s">
        <v>493</v>
      </c>
      <c r="G470" s="47" t="s">
        <v>666</v>
      </c>
      <c r="H470" s="12">
        <v>7032000</v>
      </c>
      <c r="I470" s="18">
        <f t="shared" ca="1" si="30"/>
        <v>1</v>
      </c>
      <c r="J470" s="13" t="str">
        <f t="shared" ca="1" si="29"/>
        <v>정상</v>
      </c>
      <c r="K470" s="44"/>
      <c r="L470" s="44"/>
      <c r="M470" s="42"/>
      <c r="N470" s="10" t="s">
        <v>33</v>
      </c>
      <c r="Q470" s="46"/>
      <c r="R470" s="46"/>
    </row>
    <row r="471" spans="2:18" s="18" customFormat="1" ht="16.5" customHeight="1">
      <c r="B471" s="10">
        <f>IF(C471="","",COUNTA($C$2:C471))</f>
        <v>470</v>
      </c>
      <c r="C471" s="30" t="s">
        <v>664</v>
      </c>
      <c r="D471" s="42" t="s">
        <v>239</v>
      </c>
      <c r="E471" s="23" t="s">
        <v>110</v>
      </c>
      <c r="F471" s="18" t="s">
        <v>656</v>
      </c>
      <c r="G471" s="47" t="s">
        <v>666</v>
      </c>
      <c r="H471" s="12">
        <v>20070100</v>
      </c>
      <c r="I471" s="18">
        <f t="shared" ca="1" si="30"/>
        <v>1</v>
      </c>
      <c r="J471" s="13" t="str">
        <f t="shared" ca="1" si="29"/>
        <v>정상</v>
      </c>
      <c r="K471" s="44"/>
      <c r="L471" s="44"/>
      <c r="M471" s="42"/>
      <c r="N471" s="10" t="s">
        <v>33</v>
      </c>
      <c r="Q471" s="46"/>
      <c r="R471" s="46"/>
    </row>
    <row r="472" spans="2:18" s="18" customFormat="1" ht="16.5" customHeight="1">
      <c r="B472" s="10">
        <f>IF(C472="","",COUNTA($C$2:C472))</f>
        <v>471</v>
      </c>
      <c r="C472" s="30" t="s">
        <v>664</v>
      </c>
      <c r="D472" s="42" t="s">
        <v>239</v>
      </c>
      <c r="E472" s="23" t="s">
        <v>128</v>
      </c>
      <c r="F472" s="18" t="s">
        <v>553</v>
      </c>
      <c r="G472" s="47" t="s">
        <v>666</v>
      </c>
      <c r="H472" s="12">
        <v>25734800</v>
      </c>
      <c r="I472" s="18">
        <f t="shared" ca="1" si="30"/>
        <v>1</v>
      </c>
      <c r="J472" s="13" t="str">
        <f t="shared" ca="1" si="29"/>
        <v>정상</v>
      </c>
      <c r="K472" s="44"/>
      <c r="L472" s="44"/>
      <c r="M472" s="42"/>
      <c r="N472" s="10" t="s">
        <v>33</v>
      </c>
      <c r="Q472" s="46"/>
      <c r="R472" s="46"/>
    </row>
    <row r="473" spans="2:18" s="18" customFormat="1" ht="16.5" customHeight="1">
      <c r="B473" s="10">
        <f>IF(C473="","",COUNTA($C$2:C473))</f>
        <v>472</v>
      </c>
      <c r="C473" s="30" t="s">
        <v>665</v>
      </c>
      <c r="D473" s="42" t="s">
        <v>239</v>
      </c>
      <c r="E473" s="23" t="s">
        <v>585</v>
      </c>
      <c r="F473" s="18" t="s">
        <v>657</v>
      </c>
      <c r="G473" s="47" t="s">
        <v>666</v>
      </c>
      <c r="H473" s="12">
        <v>15595200</v>
      </c>
      <c r="I473" s="18">
        <f t="shared" ca="1" si="30"/>
        <v>0</v>
      </c>
      <c r="J473" s="13" t="str">
        <f t="shared" ca="1" si="29"/>
        <v>정상</v>
      </c>
      <c r="K473" s="44"/>
      <c r="L473" s="44"/>
      <c r="M473" s="42"/>
      <c r="N473" s="10" t="s">
        <v>33</v>
      </c>
      <c r="Q473" s="46"/>
      <c r="R473" s="46"/>
    </row>
    <row r="474" spans="2:18" s="18" customFormat="1" ht="16.5" customHeight="1">
      <c r="B474" s="10">
        <f>IF(C474="","",COUNTA($C$2:C474))</f>
        <v>473</v>
      </c>
      <c r="C474" s="30" t="s">
        <v>665</v>
      </c>
      <c r="D474" s="42" t="s">
        <v>239</v>
      </c>
      <c r="E474" s="23" t="s">
        <v>126</v>
      </c>
      <c r="F474" s="18" t="s">
        <v>484</v>
      </c>
      <c r="G474" s="47" t="s">
        <v>666</v>
      </c>
      <c r="H474" s="12">
        <v>484000</v>
      </c>
      <c r="I474" s="18">
        <f t="shared" ca="1" si="30"/>
        <v>0</v>
      </c>
      <c r="J474" s="13" t="str">
        <f t="shared" ca="1" si="29"/>
        <v>정상</v>
      </c>
      <c r="K474" s="44"/>
      <c r="L474" s="44"/>
      <c r="M474" s="42"/>
      <c r="N474" s="10" t="s">
        <v>33</v>
      </c>
      <c r="Q474" s="46"/>
      <c r="R474" s="46"/>
    </row>
    <row r="475" spans="2:18" s="18" customFormat="1" ht="16.5" customHeight="1">
      <c r="B475" s="10">
        <f>IF(C475="","",COUNTA($C$2:C475))</f>
        <v>474</v>
      </c>
      <c r="C475" s="30" t="s">
        <v>665</v>
      </c>
      <c r="D475" s="42" t="s">
        <v>239</v>
      </c>
      <c r="E475" s="23" t="s">
        <v>105</v>
      </c>
      <c r="F475" s="18" t="s">
        <v>658</v>
      </c>
      <c r="G475" s="47" t="s">
        <v>666</v>
      </c>
      <c r="H475" s="12">
        <v>972200</v>
      </c>
      <c r="I475" s="18">
        <f t="shared" ca="1" si="30"/>
        <v>0</v>
      </c>
      <c r="J475" s="13" t="str">
        <f t="shared" ca="1" si="29"/>
        <v>정상</v>
      </c>
      <c r="K475" s="44"/>
      <c r="L475" s="44"/>
      <c r="M475" s="42"/>
      <c r="N475" s="10" t="s">
        <v>33</v>
      </c>
      <c r="Q475" s="46"/>
      <c r="R475" s="46"/>
    </row>
    <row r="476" spans="2:18" s="18" customFormat="1" ht="16.5" customHeight="1">
      <c r="B476" s="10">
        <f>IF(C476="","",COUNTA($C$2:C476))</f>
        <v>475</v>
      </c>
      <c r="C476" s="30" t="s">
        <v>665</v>
      </c>
      <c r="D476" s="42" t="s">
        <v>239</v>
      </c>
      <c r="E476" s="23" t="s">
        <v>579</v>
      </c>
      <c r="F476" s="18" t="s">
        <v>659</v>
      </c>
      <c r="G476" s="47" t="s">
        <v>666</v>
      </c>
      <c r="H476" s="12">
        <v>498600</v>
      </c>
      <c r="I476" s="18">
        <f t="shared" ca="1" si="30"/>
        <v>0</v>
      </c>
      <c r="J476" s="13" t="str">
        <f t="shared" ca="1" si="29"/>
        <v>정상</v>
      </c>
      <c r="K476" s="44"/>
      <c r="L476" s="44"/>
      <c r="M476" s="42"/>
      <c r="N476" s="10" t="s">
        <v>33</v>
      </c>
      <c r="Q476" s="46"/>
      <c r="R476" s="46"/>
    </row>
    <row r="477" spans="2:18" s="18" customFormat="1" ht="16.5" customHeight="1">
      <c r="B477" s="10">
        <f>IF(C477="","",COUNTA($C$2:C477))</f>
        <v>476</v>
      </c>
      <c r="C477" s="30" t="s">
        <v>665</v>
      </c>
      <c r="D477" s="42" t="s">
        <v>239</v>
      </c>
      <c r="E477" s="23" t="s">
        <v>209</v>
      </c>
      <c r="F477" s="18" t="s">
        <v>650</v>
      </c>
      <c r="G477" s="47" t="s">
        <v>666</v>
      </c>
      <c r="H477" s="12">
        <v>18524900</v>
      </c>
      <c r="I477" s="18">
        <f t="shared" ca="1" si="30"/>
        <v>0</v>
      </c>
      <c r="J477" s="13" t="str">
        <f t="shared" ca="1" si="29"/>
        <v>정상</v>
      </c>
      <c r="K477" s="44"/>
      <c r="L477" s="44"/>
      <c r="M477" s="42"/>
      <c r="N477" s="10" t="s">
        <v>33</v>
      </c>
      <c r="Q477" s="46"/>
      <c r="R477" s="46"/>
    </row>
    <row r="478" spans="2:18" s="18" customFormat="1" ht="16.5" customHeight="1">
      <c r="B478" s="10">
        <f>IF(C478="","",COUNTA($C$2:C478))</f>
        <v>477</v>
      </c>
      <c r="C478" s="30" t="s">
        <v>665</v>
      </c>
      <c r="D478" s="42" t="s">
        <v>239</v>
      </c>
      <c r="E478" s="23" t="s">
        <v>207</v>
      </c>
      <c r="F478" s="18" t="s">
        <v>660</v>
      </c>
      <c r="G478" s="47" t="s">
        <v>666</v>
      </c>
      <c r="H478" s="12">
        <v>3547500</v>
      </c>
      <c r="I478" s="18">
        <f t="shared" ca="1" si="30"/>
        <v>0</v>
      </c>
      <c r="J478" s="13" t="str">
        <f t="shared" ca="1" si="29"/>
        <v>정상</v>
      </c>
      <c r="K478" s="44"/>
      <c r="L478" s="44"/>
      <c r="M478" s="42"/>
      <c r="N478" s="10" t="s">
        <v>33</v>
      </c>
      <c r="Q478" s="46"/>
      <c r="R478" s="46"/>
    </row>
    <row r="479" spans="2:18" s="18" customFormat="1" ht="16.5" customHeight="1">
      <c r="B479" s="10">
        <f>IF(C479="","",COUNTA($C$2:C479))</f>
        <v>478</v>
      </c>
      <c r="C479" s="30" t="s">
        <v>665</v>
      </c>
      <c r="D479" s="42" t="s">
        <v>239</v>
      </c>
      <c r="E479" s="23" t="s">
        <v>663</v>
      </c>
      <c r="F479" s="18" t="s">
        <v>661</v>
      </c>
      <c r="G479" s="47" t="s">
        <v>666</v>
      </c>
      <c r="H479" s="12">
        <v>5362500</v>
      </c>
      <c r="I479" s="18">
        <f t="shared" ca="1" si="30"/>
        <v>0</v>
      </c>
      <c r="J479" s="13" t="str">
        <f t="shared" ref="J479:J482" ca="1" si="31">IF(I479="","",
 IF(G479="선급금",
   IF(I479&lt;=20,"정상",IF(I479&lt;=90,"관리","장기미수")),
 IF(G479="자재",
   IF(I479&lt;=40,"정상",IF(I479&lt;=90,"관리","장기미수")),
   IF(I479&lt;=30,"정상",IF(I479&lt;=90,"관리","장기미수"))
  )
 )
)</f>
        <v>정상</v>
      </c>
      <c r="K479" s="44"/>
      <c r="L479" s="44"/>
      <c r="M479" s="42"/>
      <c r="N479" s="10" t="s">
        <v>33</v>
      </c>
      <c r="Q479" s="46"/>
      <c r="R479" s="46"/>
    </row>
    <row r="480" spans="2:18" s="18" customFormat="1" ht="16.5" customHeight="1">
      <c r="B480" s="10">
        <f>IF(C480="","",COUNTA($C$2:C480))</f>
        <v>479</v>
      </c>
      <c r="C480" s="30" t="s">
        <v>665</v>
      </c>
      <c r="D480" s="42" t="s">
        <v>239</v>
      </c>
      <c r="E480" s="23" t="s">
        <v>221</v>
      </c>
      <c r="F480" s="18" t="s">
        <v>216</v>
      </c>
      <c r="G480" s="47" t="s">
        <v>666</v>
      </c>
      <c r="H480" s="12">
        <v>4472000</v>
      </c>
      <c r="I480" s="18">
        <f t="shared" ca="1" si="30"/>
        <v>0</v>
      </c>
      <c r="J480" s="13" t="str">
        <f t="shared" ca="1" si="31"/>
        <v>정상</v>
      </c>
      <c r="K480" s="44"/>
      <c r="L480" s="44"/>
      <c r="M480" s="42"/>
      <c r="N480" s="10" t="s">
        <v>33</v>
      </c>
      <c r="Q480" s="46"/>
      <c r="R480" s="46"/>
    </row>
    <row r="481" spans="2:18" s="42" customFormat="1" ht="16.5" customHeight="1">
      <c r="B481" s="10">
        <f>IF(C481="","",COUNTA($C$2:C481))</f>
        <v>480</v>
      </c>
      <c r="C481" s="44" t="s">
        <v>643</v>
      </c>
      <c r="D481" s="42" t="s">
        <v>670</v>
      </c>
      <c r="E481" s="43" t="s">
        <v>669</v>
      </c>
      <c r="F481" s="43" t="s">
        <v>667</v>
      </c>
      <c r="G481" s="43" t="s">
        <v>668</v>
      </c>
      <c r="H481" s="49">
        <v>14255200</v>
      </c>
      <c r="I481" s="18">
        <f t="shared" ca="1" si="30"/>
        <v>4</v>
      </c>
      <c r="J481" s="13" t="str">
        <f t="shared" ca="1" si="31"/>
        <v>정상</v>
      </c>
      <c r="K481" s="44"/>
      <c r="L481" s="44"/>
      <c r="N481" s="10" t="s">
        <v>33</v>
      </c>
      <c r="Q481" s="44"/>
      <c r="R481" s="44"/>
    </row>
    <row r="482" spans="2:18" ht="16.5" customHeight="1">
      <c r="B482" s="10">
        <f>IF(C482="","",COUNTA($C$2:C482))</f>
        <v>481</v>
      </c>
      <c r="C482" s="44">
        <v>46132</v>
      </c>
      <c r="D482" s="42" t="s">
        <v>670</v>
      </c>
      <c r="E482" s="50" t="s">
        <v>672</v>
      </c>
      <c r="F482" s="47" t="s">
        <v>671</v>
      </c>
      <c r="G482" s="47" t="s">
        <v>673</v>
      </c>
      <c r="H482" s="4">
        <v>35447600</v>
      </c>
      <c r="I482" s="18">
        <f t="shared" ca="1" si="30"/>
        <v>1</v>
      </c>
      <c r="J482" s="13" t="str">
        <f t="shared" ca="1" si="31"/>
        <v>정상</v>
      </c>
      <c r="N482" s="10" t="s">
        <v>33</v>
      </c>
    </row>
  </sheetData>
  <autoFilter ref="A1:S457"/>
  <phoneticPr fontId="5" type="noConversion"/>
  <conditionalFormatting sqref="E3 F57:F60 E37">
    <cfRule type="expression" dxfId="101" priority="132">
      <formula>$J3="잔금"</formula>
    </cfRule>
  </conditionalFormatting>
  <conditionalFormatting sqref="E8">
    <cfRule type="expression" dxfId="100" priority="131">
      <formula>$J8="잔금"</formula>
    </cfRule>
  </conditionalFormatting>
  <conditionalFormatting sqref="E4">
    <cfRule type="expression" dxfId="99" priority="130">
      <formula>$J4="잔금"</formula>
    </cfRule>
  </conditionalFormatting>
  <conditionalFormatting sqref="E9">
    <cfRule type="expression" dxfId="98" priority="129">
      <formula>$J9="잔금"</formula>
    </cfRule>
  </conditionalFormatting>
  <conditionalFormatting sqref="E41">
    <cfRule type="expression" dxfId="97" priority="124">
      <formula>$J41="잔금"</formula>
    </cfRule>
  </conditionalFormatting>
  <conditionalFormatting sqref="E98:E99 E187:F193 H187:H193 F113 C187:C193 C423">
    <cfRule type="expression" dxfId="96" priority="114">
      <formula>$J98="잔금"</formula>
    </cfRule>
  </conditionalFormatting>
  <conditionalFormatting sqref="F98:F99">
    <cfRule type="expression" dxfId="95" priority="113">
      <formula>$J98="잔금"</formula>
    </cfRule>
  </conditionalFormatting>
  <conditionalFormatting sqref="F104:F105">
    <cfRule type="expression" dxfId="94" priority="111">
      <formula>$J104="잔금"</formula>
    </cfRule>
  </conditionalFormatting>
  <conditionalFormatting sqref="H104:H105">
    <cfRule type="expression" dxfId="93" priority="110">
      <formula>$J104="잔금"</formula>
    </cfRule>
  </conditionalFormatting>
  <conditionalFormatting sqref="E106:E108">
    <cfRule type="expression" dxfId="92" priority="109">
      <formula>$J106="잔금"</formula>
    </cfRule>
  </conditionalFormatting>
  <conditionalFormatting sqref="F106:F108">
    <cfRule type="expression" dxfId="91" priority="108">
      <formula>$J106="잔금"</formula>
    </cfRule>
  </conditionalFormatting>
  <conditionalFormatting sqref="H106:H108">
    <cfRule type="expression" dxfId="90" priority="107">
      <formula>$J106="잔금"</formula>
    </cfRule>
  </conditionalFormatting>
  <conditionalFormatting sqref="E110">
    <cfRule type="expression" dxfId="89" priority="106">
      <formula>$J110="잔금"</formula>
    </cfRule>
  </conditionalFormatting>
  <conditionalFormatting sqref="F110">
    <cfRule type="expression" dxfId="88" priority="105">
      <formula>$J110="잔금"</formula>
    </cfRule>
  </conditionalFormatting>
  <conditionalFormatting sqref="E111:E113">
    <cfRule type="expression" dxfId="87" priority="104">
      <formula>$J111="잔금"</formula>
    </cfRule>
  </conditionalFormatting>
  <conditionalFormatting sqref="F111">
    <cfRule type="expression" dxfId="86" priority="103">
      <formula>$J111="잔금"</formula>
    </cfRule>
  </conditionalFormatting>
  <conditionalFormatting sqref="F112">
    <cfRule type="expression" dxfId="85" priority="102">
      <formula>$J112="잔금"</formula>
    </cfRule>
  </conditionalFormatting>
  <conditionalFormatting sqref="H111:H113">
    <cfRule type="expression" dxfId="84" priority="101">
      <formula>$J111="잔금"</formula>
    </cfRule>
  </conditionalFormatting>
  <conditionalFormatting sqref="C111:C113">
    <cfRule type="expression" dxfId="83" priority="100">
      <formula>$J111="잔금"</formula>
    </cfRule>
  </conditionalFormatting>
  <conditionalFormatting sqref="E117">
    <cfRule type="expression" dxfId="82" priority="99">
      <formula>$J117="잔금"</formula>
    </cfRule>
  </conditionalFormatting>
  <conditionalFormatting sqref="F117">
    <cfRule type="expression" dxfId="81" priority="98">
      <formula>$J117="잔금"</formula>
    </cfRule>
  </conditionalFormatting>
  <conditionalFormatting sqref="F143:F150">
    <cfRule type="expression" dxfId="80" priority="97">
      <formula>$J143="잔금"</formula>
    </cfRule>
  </conditionalFormatting>
  <conditionalFormatting sqref="E143:E150">
    <cfRule type="expression" dxfId="79" priority="96">
      <formula>$J143="잔금"</formula>
    </cfRule>
  </conditionalFormatting>
  <conditionalFormatting sqref="H143:H150">
    <cfRule type="expression" dxfId="78" priority="95">
      <formula>$J143="잔금"</formula>
    </cfRule>
  </conditionalFormatting>
  <conditionalFormatting sqref="E152:E158">
    <cfRule type="expression" dxfId="77" priority="93">
      <formula>$J152="잔금"</formula>
    </cfRule>
  </conditionalFormatting>
  <conditionalFormatting sqref="F152:F158">
    <cfRule type="expression" dxfId="76" priority="92">
      <formula>$J152="잔금"</formula>
    </cfRule>
  </conditionalFormatting>
  <conditionalFormatting sqref="C152:C158">
    <cfRule type="expression" dxfId="75" priority="91">
      <formula>$J152="잔금"</formula>
    </cfRule>
  </conditionalFormatting>
  <conditionalFormatting sqref="H152:H158">
    <cfRule type="expression" dxfId="74" priority="90">
      <formula>$J152="잔금"</formula>
    </cfRule>
  </conditionalFormatting>
  <conditionalFormatting sqref="C159">
    <cfRule type="expression" dxfId="73" priority="89">
      <formula>$I159="잔금"</formula>
    </cfRule>
  </conditionalFormatting>
  <conditionalFormatting sqref="F160:F163">
    <cfRule type="expression" dxfId="72" priority="88">
      <formula>$J160="잔금"</formula>
    </cfRule>
  </conditionalFormatting>
  <conditionalFormatting sqref="E160:E163">
    <cfRule type="expression" dxfId="71" priority="87">
      <formula>$J160="잔금"</formula>
    </cfRule>
  </conditionalFormatting>
  <conditionalFormatting sqref="C160:C166">
    <cfRule type="expression" dxfId="70" priority="86">
      <formula>$J160="잔금"</formula>
    </cfRule>
  </conditionalFormatting>
  <conditionalFormatting sqref="H160:H163">
    <cfRule type="expression" dxfId="69" priority="85">
      <formula>$J160="잔금"</formula>
    </cfRule>
  </conditionalFormatting>
  <conditionalFormatting sqref="F167:F179">
    <cfRule type="expression" dxfId="68" priority="84">
      <formula>$J167="잔금"</formula>
    </cfRule>
  </conditionalFormatting>
  <conditionalFormatting sqref="F180:F186">
    <cfRule type="expression" dxfId="67" priority="83">
      <formula>$J180="잔금"</formula>
    </cfRule>
  </conditionalFormatting>
  <conditionalFormatting sqref="E167:E179">
    <cfRule type="expression" dxfId="66" priority="82">
      <formula>$J167="잔금"</formula>
    </cfRule>
  </conditionalFormatting>
  <conditionalFormatting sqref="E180:E186">
    <cfRule type="expression" dxfId="65" priority="81">
      <formula>$J180="잔금"</formula>
    </cfRule>
  </conditionalFormatting>
  <conditionalFormatting sqref="C180:C186">
    <cfRule type="expression" dxfId="64" priority="79">
      <formula>$J180="잔금"</formula>
    </cfRule>
  </conditionalFormatting>
  <conditionalFormatting sqref="H167:H179">
    <cfRule type="expression" dxfId="63" priority="78">
      <formula>$J167="잔금"</formula>
    </cfRule>
  </conditionalFormatting>
  <conditionalFormatting sqref="H180:H186">
    <cfRule type="expression" dxfId="62" priority="77">
      <formula>$J180="잔금"</formula>
    </cfRule>
  </conditionalFormatting>
  <conditionalFormatting sqref="F195:F201">
    <cfRule type="expression" dxfId="61" priority="72">
      <formula>$J195="잔금"</formula>
    </cfRule>
  </conditionalFormatting>
  <conditionalFormatting sqref="E195:E201">
    <cfRule type="expression" dxfId="60" priority="71">
      <formula>$J195="잔금"</formula>
    </cfRule>
  </conditionalFormatting>
  <conditionalFormatting sqref="C195:C202">
    <cfRule type="expression" dxfId="59" priority="70">
      <formula>$J195="잔금"</formula>
    </cfRule>
  </conditionalFormatting>
  <conditionalFormatting sqref="H195:H201">
    <cfRule type="expression" dxfId="58" priority="69">
      <formula>$J195="잔금"</formula>
    </cfRule>
  </conditionalFormatting>
  <conditionalFormatting sqref="C203:C216">
    <cfRule type="expression" dxfId="57" priority="68">
      <formula>$J203="잔금"</formula>
    </cfRule>
  </conditionalFormatting>
  <conditionalFormatting sqref="F203:F216">
    <cfRule type="expression" dxfId="56" priority="67">
      <formula>$J203="잔금"</formula>
    </cfRule>
  </conditionalFormatting>
  <conditionalFormatting sqref="H203:H216">
    <cfRule type="expression" dxfId="55" priority="66">
      <formula>$J203="잔금"</formula>
    </cfRule>
  </conditionalFormatting>
  <conditionalFormatting sqref="E203:E217">
    <cfRule type="expression" dxfId="54" priority="65">
      <formula>$J203="잔금"</formula>
    </cfRule>
  </conditionalFormatting>
  <conditionalFormatting sqref="C217">
    <cfRule type="expression" dxfId="53" priority="64">
      <formula>$I217="잔금"</formula>
    </cfRule>
  </conditionalFormatting>
  <conditionalFormatting sqref="H217">
    <cfRule type="expression" dxfId="52" priority="59">
      <formula>$I217="잔금"</formula>
    </cfRule>
  </conditionalFormatting>
  <conditionalFormatting sqref="C218">
    <cfRule type="expression" dxfId="51" priority="58">
      <formula>$I218="잔금"</formula>
    </cfRule>
  </conditionalFormatting>
  <conditionalFormatting sqref="C219">
    <cfRule type="expression" dxfId="50" priority="57">
      <formula>$I219="잔금"</formula>
    </cfRule>
  </conditionalFormatting>
  <conditionalFormatting sqref="C220">
    <cfRule type="expression" dxfId="49" priority="56">
      <formula>$I220="잔금"</formula>
    </cfRule>
  </conditionalFormatting>
  <conditionalFormatting sqref="F221:F230">
    <cfRule type="expression" dxfId="48" priority="55">
      <formula>$J221="잔금"</formula>
    </cfRule>
  </conditionalFormatting>
  <conditionalFormatting sqref="F231:F244">
    <cfRule type="expression" dxfId="47" priority="54">
      <formula>$J231="잔금"</formula>
    </cfRule>
  </conditionalFormatting>
  <conditionalFormatting sqref="E221:E230">
    <cfRule type="expression" dxfId="46" priority="53">
      <formula>$J221="잔금"</formula>
    </cfRule>
  </conditionalFormatting>
  <conditionalFormatting sqref="E231:E244">
    <cfRule type="expression" dxfId="45" priority="52">
      <formula>$J231="잔금"</formula>
    </cfRule>
  </conditionalFormatting>
  <conditionalFormatting sqref="H221:H230">
    <cfRule type="expression" dxfId="44" priority="51">
      <formula>$J221="잔금"</formula>
    </cfRule>
  </conditionalFormatting>
  <conditionalFormatting sqref="H231:H244">
    <cfRule type="expression" dxfId="43" priority="50">
      <formula>$J231="잔금"</formula>
    </cfRule>
  </conditionalFormatting>
  <conditionalFormatting sqref="C246">
    <cfRule type="expression" dxfId="42" priority="49">
      <formula>$I246="잔금"</formula>
    </cfRule>
  </conditionalFormatting>
  <conditionalFormatting sqref="C247">
    <cfRule type="expression" dxfId="41" priority="48">
      <formula>$I247="잔금"</formula>
    </cfRule>
  </conditionalFormatting>
  <conditionalFormatting sqref="C248">
    <cfRule type="expression" dxfId="40" priority="47">
      <formula>$I248="잔금"</formula>
    </cfRule>
  </conditionalFormatting>
  <conditionalFormatting sqref="F249:F253">
    <cfRule type="expression" dxfId="39" priority="46">
      <formula>$J249="잔금"</formula>
    </cfRule>
  </conditionalFormatting>
  <conditionalFormatting sqref="E249:E253">
    <cfRule type="expression" dxfId="38" priority="45">
      <formula>$J249="잔금"</formula>
    </cfRule>
  </conditionalFormatting>
  <conditionalFormatting sqref="C249:C253">
    <cfRule type="expression" dxfId="37" priority="44">
      <formula>$J249="잔금"</formula>
    </cfRule>
  </conditionalFormatting>
  <conditionalFormatting sqref="H249:H253">
    <cfRule type="expression" dxfId="36" priority="43">
      <formula>$J249="잔금"</formula>
    </cfRule>
  </conditionalFormatting>
  <conditionalFormatting sqref="C254:C257">
    <cfRule type="expression" dxfId="35" priority="42">
      <formula>$I254="잔금"</formula>
    </cfRule>
  </conditionalFormatting>
  <conditionalFormatting sqref="F258:F267">
    <cfRule type="expression" dxfId="34" priority="41">
      <formula>$J258="잔금"</formula>
    </cfRule>
  </conditionalFormatting>
  <conditionalFormatting sqref="F268:F276">
    <cfRule type="expression" dxfId="33" priority="40">
      <formula>$J268="잔금"</formula>
    </cfRule>
  </conditionalFormatting>
  <conditionalFormatting sqref="C115">
    <cfRule type="expression" dxfId="32" priority="34">
      <formula>$J115="잔금"</formula>
    </cfRule>
  </conditionalFormatting>
  <conditionalFormatting sqref="C114">
    <cfRule type="expression" dxfId="31" priority="35">
      <formula>$J114="잔금"</formula>
    </cfRule>
  </conditionalFormatting>
  <conditionalFormatting sqref="C167">
    <cfRule type="expression" dxfId="30" priority="33">
      <formula>$J167="잔금"</formula>
    </cfRule>
  </conditionalFormatting>
  <conditionalFormatting sqref="C168">
    <cfRule type="expression" dxfId="29" priority="32">
      <formula>$J168="잔금"</formula>
    </cfRule>
  </conditionalFormatting>
  <conditionalFormatting sqref="C169">
    <cfRule type="expression" dxfId="28" priority="31">
      <formula>$J169="잔금"</formula>
    </cfRule>
  </conditionalFormatting>
  <conditionalFormatting sqref="C170">
    <cfRule type="expression" dxfId="27" priority="30">
      <formula>$J170="잔금"</formula>
    </cfRule>
  </conditionalFormatting>
  <conditionalFormatting sqref="C171">
    <cfRule type="expression" dxfId="26" priority="29">
      <formula>$J171="잔금"</formula>
    </cfRule>
  </conditionalFormatting>
  <conditionalFormatting sqref="C172">
    <cfRule type="expression" dxfId="25" priority="28">
      <formula>$J172="잔금"</formula>
    </cfRule>
  </conditionalFormatting>
  <conditionalFormatting sqref="C173">
    <cfRule type="expression" dxfId="24" priority="27">
      <formula>$J173="잔금"</formula>
    </cfRule>
  </conditionalFormatting>
  <conditionalFormatting sqref="C174">
    <cfRule type="expression" dxfId="23" priority="26">
      <formula>$J174="잔금"</formula>
    </cfRule>
  </conditionalFormatting>
  <conditionalFormatting sqref="C175">
    <cfRule type="expression" dxfId="22" priority="24">
      <formula>$J175="잔금"</formula>
    </cfRule>
  </conditionalFormatting>
  <conditionalFormatting sqref="C176">
    <cfRule type="expression" dxfId="21" priority="23">
      <formula>$J176="잔금"</formula>
    </cfRule>
  </conditionalFormatting>
  <conditionalFormatting sqref="C177">
    <cfRule type="expression" dxfId="20" priority="22">
      <formula>$J177="잔금"</formula>
    </cfRule>
  </conditionalFormatting>
  <conditionalFormatting sqref="C178">
    <cfRule type="expression" dxfId="19" priority="21">
      <formula>$J178="잔금"</formula>
    </cfRule>
  </conditionalFormatting>
  <conditionalFormatting sqref="C179">
    <cfRule type="expression" dxfId="18" priority="20">
      <formula>$J179="잔금"</formula>
    </cfRule>
  </conditionalFormatting>
  <conditionalFormatting sqref="H309:H310">
    <cfRule type="expression" dxfId="17" priority="14">
      <formula>$J309="잔금"</formula>
    </cfRule>
  </conditionalFormatting>
  <conditionalFormatting sqref="F290:F303">
    <cfRule type="expression" dxfId="16" priority="19">
      <formula>$J290="잔금"</formula>
    </cfRule>
  </conditionalFormatting>
  <conditionalFormatting sqref="F304:F308">
    <cfRule type="expression" dxfId="15" priority="18">
      <formula>$J304="잔금"</formula>
    </cfRule>
  </conditionalFormatting>
  <conditionalFormatting sqref="F309:F310">
    <cfRule type="expression" dxfId="14" priority="17">
      <formula>$J309="잔금"</formula>
    </cfRule>
  </conditionalFormatting>
  <conditionalFormatting sqref="H290:H303">
    <cfRule type="expression" dxfId="13" priority="16">
      <formula>$J290="잔금"</formula>
    </cfRule>
  </conditionalFormatting>
  <conditionalFormatting sqref="H304:H308">
    <cfRule type="expression" dxfId="12" priority="15">
      <formula>$J304="잔금"</formula>
    </cfRule>
  </conditionalFormatting>
  <conditionalFormatting sqref="H313:H354">
    <cfRule type="expression" dxfId="11" priority="13">
      <formula>$J313="잔금"</formula>
    </cfRule>
  </conditionalFormatting>
  <conditionalFormatting sqref="C404:C422">
    <cfRule type="expression" dxfId="10" priority="12">
      <formula>$J404="잔금"</formula>
    </cfRule>
  </conditionalFormatting>
  <conditionalFormatting sqref="F443">
    <cfRule type="expression" dxfId="9" priority="10">
      <formula>$J443="잔금"</formula>
    </cfRule>
  </conditionalFormatting>
  <conditionalFormatting sqref="F444:F451">
    <cfRule type="expression" dxfId="8" priority="9">
      <formula>$J444="잔금"</formula>
    </cfRule>
  </conditionalFormatting>
  <conditionalFormatting sqref="F452:F456">
    <cfRule type="expression" dxfId="7" priority="8">
      <formula>$J452="잔금"</formula>
    </cfRule>
  </conditionalFormatting>
  <conditionalFormatting sqref="E443">
    <cfRule type="expression" dxfId="6" priority="7">
      <formula>$J443="잔금"</formula>
    </cfRule>
  </conditionalFormatting>
  <conditionalFormatting sqref="E444:E451">
    <cfRule type="expression" dxfId="5" priority="6">
      <formula>$J444="잔금"</formula>
    </cfRule>
  </conditionalFormatting>
  <conditionalFormatting sqref="E452:E456">
    <cfRule type="expression" dxfId="4" priority="5">
      <formula>$J452="잔금"</formula>
    </cfRule>
  </conditionalFormatting>
  <conditionalFormatting sqref="C444:C451">
    <cfRule type="expression" dxfId="3" priority="4">
      <formula>$J444="잔금"</formula>
    </cfRule>
  </conditionalFormatting>
  <conditionalFormatting sqref="C452:C457">
    <cfRule type="expression" dxfId="2" priority="3">
      <formula>$J452="잔금"</formula>
    </cfRule>
  </conditionalFormatting>
  <conditionalFormatting sqref="E458:E480 E482">
    <cfRule type="expression" dxfId="1" priority="2">
      <formula>$J458="잔금"</formula>
    </cfRule>
  </conditionalFormatting>
  <conditionalFormatting sqref="C458:C480">
    <cfRule type="expression" dxfId="0" priority="1">
      <formula>$J458="잔금"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482">
      <formula1>"Y,N"</formula1>
    </dataValidation>
    <dataValidation type="list" allowBlank="1" sqref="D2:D442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2026-04-21T04:09:53Z</dcterms:modified>
</cp:coreProperties>
</file>