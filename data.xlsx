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data!$A$1:$S$403</definedName>
    <definedName name="_xlnm._FilterDatabase">data!$A$1:$S$403</definedName>
  </definedNames>
  <calcPr calcId="162913"/>
</workbook>
</file>

<file path=xl/calcChain.xml><?xml version="1.0" encoding="utf-8"?>
<calcChain xmlns="http://schemas.openxmlformats.org/spreadsheetml/2006/main">
  <c r="I402" i="1" l="1"/>
  <c r="J402" i="1" s="1"/>
  <c r="B402" i="1"/>
  <c r="B401" i="1"/>
  <c r="B400" i="1"/>
  <c r="B399" i="1"/>
  <c r="D398" i="1"/>
  <c r="B397" i="1"/>
  <c r="B398" i="1"/>
  <c r="B385" i="1" l="1"/>
  <c r="B386" i="1"/>
  <c r="B387" i="1"/>
  <c r="B388" i="1"/>
  <c r="B389" i="1"/>
  <c r="B390" i="1"/>
  <c r="B391" i="1"/>
  <c r="B392" i="1"/>
  <c r="B393" i="1"/>
  <c r="B394" i="1"/>
  <c r="B395" i="1"/>
  <c r="B396" i="1"/>
  <c r="B384" i="1" l="1"/>
  <c r="B383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3" i="1" l="1"/>
  <c r="I401" i="1"/>
  <c r="J401" i="1" s="1"/>
  <c r="I400" i="1"/>
  <c r="J400" i="1" s="1"/>
  <c r="I399" i="1"/>
  <c r="J399" i="1" s="1"/>
  <c r="I398" i="1"/>
  <c r="J398" i="1" s="1"/>
  <c r="I397" i="1"/>
  <c r="J397" i="1" s="1"/>
  <c r="D397" i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<sst xmlns="http://schemas.openxmlformats.org/spreadsheetml/2006/main" count="2061" uniqueCount="577">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</sst>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404"/>
  <sheetViews>
    <sheetView tabSelected="1" zoomScaleNormal="100" workbookViewId="0">
      <pane xSplit="5" ySplit="1" topLeftCell="F257" activePane="bottomRight" state="frozen"/>
      <selection pane="topRight"/>
      <selection pane="bottomLeft"/>
      <selection pane="bottomRight" activeCell="K404" sqref="K404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328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308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210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160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115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110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293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153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468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888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692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532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670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669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761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403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398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388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382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378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378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377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375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354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340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319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307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277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255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326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250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228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223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180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178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167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420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285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285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236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87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63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62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98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61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61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60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60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59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58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47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45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45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45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41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41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41</v>
      </c>
      <c r="J135" s="13" t="str">
        <f t="shared" ca="1" si="13"/>
        <v>관리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41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39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39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39</v>
      </c>
      <c r="J145" s="13" t="str">
        <f t="shared" ca="1" si="13"/>
        <v>정상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39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39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39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39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38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38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35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35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35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33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34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34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34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34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34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34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34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34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33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33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33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33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33</v>
      </c>
      <c r="J186" s="13" t="str">
        <f t="shared" ca="1" si="15"/>
        <v>정상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32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32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32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32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32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32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31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31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31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31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31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27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27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27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27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27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27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27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27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27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27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27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27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27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26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26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26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26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26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26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26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25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25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25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25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25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25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25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25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25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25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25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24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24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24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21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21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20</v>
      </c>
      <c r="J257" s="13" t="str">
        <f t="shared" ca="1" si="21"/>
        <v>정상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21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21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21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21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21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21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21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20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20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20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20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20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20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20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20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18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19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19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19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19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19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19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19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19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19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18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18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18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18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18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18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18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18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18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18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18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18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18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17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17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17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17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17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14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14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10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10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10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10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10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10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10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10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10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10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10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10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10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10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10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10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10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10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7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7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7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7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7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7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7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7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7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7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7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7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7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7</v>
      </c>
      <c r="J350" s="13" t="str">
        <f t="shared" ref="J350:J40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7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7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7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10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7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12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7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10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10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10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12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11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7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12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12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6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6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5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5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5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5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5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5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5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5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5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5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5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485</v>
      </c>
      <c r="G382" s="6" t="s">
        <v>544</v>
      </c>
      <c r="H382" s="12">
        <v>3180000</v>
      </c>
      <c r="I382" s="6">
        <f t="shared" ref="I382:I402" ca="1" si="27">IF(C382="","",IF(L382="",TODAY()-C382,L382-C382))</f>
        <v>5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270</v>
      </c>
      <c r="F383" s="6" t="s">
        <v>545</v>
      </c>
      <c r="G383" s="6" t="s">
        <v>546</v>
      </c>
      <c r="H383" s="12">
        <v>20237900</v>
      </c>
      <c r="I383" s="6">
        <f t="shared" ca="1" si="27"/>
        <v>5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548</v>
      </c>
      <c r="F384" s="6" t="s">
        <v>547</v>
      </c>
      <c r="G384" s="6" t="s">
        <v>549</v>
      </c>
      <c r="H384" s="12">
        <v>6013200</v>
      </c>
      <c r="I384" s="6">
        <f t="shared" ca="1" si="27"/>
        <v>1</v>
      </c>
      <c r="J384" s="13" t="str">
        <f t="shared" ca="1" si="25"/>
        <v>정상</v>
      </c>
      <c r="K384" s="11"/>
      <c r="L384" s="11">
        <v>46121</v>
      </c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24</v>
      </c>
      <c r="F385" s="6" t="s">
        <v>550</v>
      </c>
      <c r="G385" s="6" t="s">
        <v>565</v>
      </c>
      <c r="H385" s="12">
        <v>4492000</v>
      </c>
      <c r="I385" s="6">
        <f t="shared" ca="1" si="27"/>
        <v>4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551</v>
      </c>
      <c r="G386" s="6" t="s">
        <v>565</v>
      </c>
      <c r="H386" s="12">
        <v>31045500</v>
      </c>
      <c r="I386" s="6">
        <f t="shared" ca="1" si="27"/>
        <v>4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552</v>
      </c>
      <c r="G387" s="6" t="s">
        <v>565</v>
      </c>
      <c r="H387" s="12">
        <v>574800</v>
      </c>
      <c r="I387" s="6">
        <f t="shared" ca="1" si="27"/>
        <v>4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128</v>
      </c>
      <c r="F388" s="6" t="s">
        <v>553</v>
      </c>
      <c r="G388" s="6" t="s">
        <v>565</v>
      </c>
      <c r="H388" s="12">
        <v>3687500</v>
      </c>
      <c r="I388" s="6">
        <f t="shared" ca="1" si="27"/>
        <v>4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208</v>
      </c>
      <c r="F389" s="6" t="s">
        <v>554</v>
      </c>
      <c r="G389" s="6" t="s">
        <v>565</v>
      </c>
      <c r="H389" s="12">
        <v>21780000</v>
      </c>
      <c r="I389" s="6">
        <f t="shared" ca="1" si="27"/>
        <v>4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561</v>
      </c>
      <c r="F390" s="6" t="s">
        <v>555</v>
      </c>
      <c r="G390" s="6" t="s">
        <v>565</v>
      </c>
      <c r="H390" s="12">
        <v>1630000</v>
      </c>
      <c r="I390" s="6">
        <f t="shared" ca="1" si="27"/>
        <v>4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395</v>
      </c>
      <c r="F391" s="6" t="s">
        <v>556</v>
      </c>
      <c r="G391" s="6" t="s">
        <v>565</v>
      </c>
      <c r="H391" s="12">
        <v>20219600</v>
      </c>
      <c r="I391" s="6">
        <f t="shared" ca="1" si="27"/>
        <v>4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126</v>
      </c>
      <c r="F392" s="6" t="s">
        <v>557</v>
      </c>
      <c r="G392" s="6" t="s">
        <v>565</v>
      </c>
      <c r="H392" s="12">
        <v>963200</v>
      </c>
      <c r="I392" s="6">
        <f t="shared" ca="1" si="27"/>
        <v>4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562</v>
      </c>
      <c r="F393" s="6" t="s">
        <v>558</v>
      </c>
      <c r="G393" s="6" t="s">
        <v>565</v>
      </c>
      <c r="H393" s="12">
        <v>1380000</v>
      </c>
      <c r="I393" s="6">
        <f t="shared" ca="1" si="27"/>
        <v>4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62</v>
      </c>
      <c r="F394" s="6" t="s">
        <v>559</v>
      </c>
      <c r="G394" s="6" t="s">
        <v>565</v>
      </c>
      <c r="H394" s="12">
        <v>410000</v>
      </c>
      <c r="I394" s="6">
        <f t="shared" ca="1" si="27"/>
        <v>3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126</v>
      </c>
      <c r="F395" s="6" t="s">
        <v>485</v>
      </c>
      <c r="G395" s="6" t="s">
        <v>565</v>
      </c>
      <c r="H395" s="12">
        <v>464000</v>
      </c>
      <c r="I395" s="6">
        <f t="shared" ca="1" si="27"/>
        <v>3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207</v>
      </c>
      <c r="F396" s="6" t="s">
        <v>560</v>
      </c>
      <c r="G396" s="6" t="s">
        <v>565</v>
      </c>
      <c r="H396" s="12">
        <v>1261000</v>
      </c>
      <c r="I396" s="6">
        <f t="shared" ca="1" si="27"/>
        <v>3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hidden="1" customHeight="1">
      <c r="B397" s="10">
        <f>IF(C397="","",COUNTA($C$2:C397))</f>
        <v>396</v>
      </c>
      <c r="C397" s="11" t="s">
        <v>564</v>
      </c>
      <c r="D397" s="10" t="str">
        <f t="shared" ref="D397:D403" si="28">IF(G397="","",IF(OR(G397="선급금",G397="중도금",G397="잔금"),"A",IF(G397="자재","B",IF(G397="특허료","C",""))))</f>
        <v>B</v>
      </c>
      <c r="E397" s="6" t="s">
        <v>124</v>
      </c>
      <c r="F397" s="6" t="s">
        <v>568</v>
      </c>
      <c r="G397" s="6" t="s">
        <v>172</v>
      </c>
      <c r="H397" s="12">
        <v>866400</v>
      </c>
      <c r="I397" s="6">
        <f t="shared" ca="1" si="27"/>
        <v>0</v>
      </c>
      <c r="J397" s="13" t="str">
        <f t="shared" ca="1" si="25"/>
        <v>정상</v>
      </c>
      <c r="K397" s="11"/>
      <c r="L397" s="11">
        <v>46122</v>
      </c>
      <c r="M397" s="10"/>
      <c r="N397" s="10" t="s">
        <v>33</v>
      </c>
      <c r="Q397" s="11"/>
      <c r="R397" s="11"/>
      <c r="S397" s="10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tr">
        <f t="shared" si="28"/>
        <v>B</v>
      </c>
      <c r="E398" s="18" t="s">
        <v>126</v>
      </c>
      <c r="F398" s="18" t="s">
        <v>569</v>
      </c>
      <c r="G398" s="6" t="s">
        <v>172</v>
      </c>
      <c r="H398" s="12">
        <v>-785400</v>
      </c>
      <c r="I398" s="18">
        <f t="shared" ca="1" si="27"/>
        <v>3</v>
      </c>
      <c r="J398" s="13" t="str">
        <f t="shared" ca="1" si="25"/>
        <v>정상</v>
      </c>
      <c r="K398" s="11"/>
      <c r="L398" s="11"/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 t="s">
        <v>564</v>
      </c>
      <c r="D399" s="10" t="s">
        <v>181</v>
      </c>
      <c r="E399" s="18" t="s">
        <v>421</v>
      </c>
      <c r="F399" s="18" t="s">
        <v>570</v>
      </c>
      <c r="G399" s="6" t="s">
        <v>571</v>
      </c>
      <c r="H399" s="12">
        <v>2421500</v>
      </c>
      <c r="I399" s="18">
        <f t="shared" ca="1" si="27"/>
        <v>3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>
      <c r="B400" s="10">
        <f>IF(C400="","",COUNTA($C$2:C400))</f>
        <v>399</v>
      </c>
      <c r="C400" s="11">
        <v>46122</v>
      </c>
      <c r="D400" s="42" t="s">
        <v>243</v>
      </c>
      <c r="E400" s="43" t="s">
        <v>573</v>
      </c>
      <c r="F400" s="43" t="s">
        <v>572</v>
      </c>
      <c r="G400" s="6" t="s">
        <v>230</v>
      </c>
      <c r="H400" s="4">
        <v>72676000</v>
      </c>
      <c r="I400" s="18">
        <f t="shared" ca="1" si="27"/>
        <v>3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126</v>
      </c>
      <c r="F401" s="18" t="s">
        <v>420</v>
      </c>
      <c r="G401" s="18" t="s">
        <v>574</v>
      </c>
      <c r="H401" s="12">
        <v>14760000</v>
      </c>
      <c r="I401" s="18">
        <f t="shared" ca="1" si="27"/>
        <v>3</v>
      </c>
      <c r="J401" s="13" t="str">
        <f t="shared" ca="1" si="25"/>
        <v>정상</v>
      </c>
      <c r="K401" s="44"/>
      <c r="L401" s="44"/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423</v>
      </c>
      <c r="F402" s="18" t="s">
        <v>575</v>
      </c>
      <c r="G402" s="18" t="s">
        <v>574</v>
      </c>
      <c r="H402" s="12">
        <v>2480000</v>
      </c>
      <c r="I402" s="18">
        <f t="shared" ca="1" si="27"/>
        <v>3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hidden="1">
      <c r="B403" s="10"/>
      <c r="C403" s="11"/>
      <c r="D403" s="1" t="str">
        <f t="shared" si="28"/>
        <v/>
      </c>
      <c r="Q403" s="11"/>
      <c r="R403" s="11"/>
    </row>
    <row r="404" spans="2:18" ht="16.5" customHeight="1">
      <c r="C404" s="35"/>
      <c r="F404" s="38"/>
    </row>
  </sheetData>
  <autoFilter ref="A1:S403">
    <filterColumn colId="3">
      <filters>
        <filter val="A"/>
      </filters>
    </filterColumn>
  </autoFilter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02">
      <formula1>"Y,N"</formula1>
    </dataValidation>
    <dataValidation type="list" allowBlank="1" sqref="D2:D40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2026-04-13T07:22:08Z</dcterms:modified>
</cp:coreProperties>
</file>