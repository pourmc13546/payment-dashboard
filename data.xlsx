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<sst xmlns="http://schemas.openxmlformats.org/spreadsheetml/2006/main" count="1161" uniqueCount="352">
  <si>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</si>
  <si>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</si>
  <si>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</si>
  <si>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</si>
  <si>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</si>
  <si>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</si>
  <si>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</si>
  <si>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</si>
  <si>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</si>
  <si>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</si>
  <si>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</si>
  <si>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</si>
  <si>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</si>
  <si>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</si>
  <si>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</si>
  <si>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</si>
  <si>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</si>
  <si>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</si>
  <si>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</si>
  <si>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</si>
  <si>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</si>
  <si>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</si>
  <si>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</si>
  <si>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</si>
  <si>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</si>
  <si>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</si>
  <si>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</si>
  <si>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</si>
  <si>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</si>
  <si>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</si>
  <si>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</si>
  <si>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</si>
  <si>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</si>
  <si>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</si>
  <si>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</si>
  <si>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</si>
  <si>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</si>
  <si>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</si>
  <si>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</si>
  <si>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</si>
  <si>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</si>
  <si>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</si>
  <si>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</si>
  <si>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</si>
  <si>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</si>
  <si>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</si>
  <si>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</si>
  <si>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</si>
  <si>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</si>
  <si>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</si>
  <si>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</si>
  <si>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</si>
  <si>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</si>
  <si>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</si>
  <si>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</si>
  <si>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</si>
  <si>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</si>
  <si>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</si>
  <si>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</si>
  <si>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</si>
  <si>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</si>
  <si>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</si>
  <si>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</si>
  <si>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</si>
  <si>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</si>
  <si>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</si>
  <si>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</si>
  <si>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</si>
  <si>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</si>
  <si>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</si>
  <si>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</si>
  <si>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</si>
  <si>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</si>
  <si>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</si>
  <si>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</si>
  <si>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</si>
  <si>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</si>
  <si>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</si>
  <si>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</si>
  <si>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</si>
  <si>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</si>
  <si>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</si>
  <si>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</si>
  <si>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</si>
  <si>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</si>
  <si>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</si>
  <si>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</si>
  <si>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</si>
  <si>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</si>
  <si>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</si>
  <si>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</si>
  <si>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</si>
  <si>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</si>
  <si>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</si>
  <si>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</si>
  <si>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</si>
  <si>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</si>
  <si>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</si>
  <si>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</si>
  <si>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</si>
  <si>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</si>
  <si>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</si>
  <si>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</si>
  <si>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</si>
  <si>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</si>
  <si>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</si>
  <si>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</si>
  <si>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</si>
  <si>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</si>
  <si>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</si>
  <si>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</si>
  <si>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</si>
  <si>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</si>
  <si>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</si>
  <si>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</si>
  <si>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</si>
  <si>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</si>
  <si>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</si>
  <si>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</si>
  <si>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</si>
  <si>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</si>
  <si>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</si>
  <si>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</si>
  <si>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</si>
  <si>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</si>
  <si>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</si>
  <si>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</si>
  <si>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</si>
  <si>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</si>
  <si>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</si>
  <si>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</si>
  <si>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</si>
  <si>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</si>
  <si>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</si>
  <si>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</si>
  <si>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</si>
  <si>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</si>
  <si>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</si>
  <si>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</si>
  <si>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</si>
  <si>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</si>
  <si>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</si>
  <si>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</si>
  <si>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</si>
  <si>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</si>
  <si>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</si>
  <si>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</si>
  <si>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</si>
  <si>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</si>
  <si>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</si>
  <si>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</si>
  <si>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</si>
  <si>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</si>
  <si>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</si>
  <si>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</si>
  <si>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</si>
  <si>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</si>
  <si>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</si>
  <si>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</si>
  <si>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</si>
  <si>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</si>
  <si>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</si>
  <si>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</si>
  <si>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</si>
  <si>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</si>
  <si>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</si>
  <si>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</si>
  <si>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</si>
  <si>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</si>
  <si>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</si>
  <si>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</si>
  <si>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</si>
  <si>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</si>
  <si>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</si>
  <si>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</si>
  <si>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</si>
  <si>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</si>
  <si>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</si>
  <si>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</si>
  <si>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</si>
  <si>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</si>
  <si>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</si>
  <si>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</si>
  <si>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</si>
  <si>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</si>
  <si>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</si>
  <si>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</si>
  <si>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</si>
  <si>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</si>
  <si>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</si>
  <si>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</si>
  <si>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</si>
  <si>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</si>
  <si>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</si>
  <si>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</si>
  <si>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</si>
  <si>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</si>
  <si>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</si>
  <si>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</si>
  <si>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</si>
  <si>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</si>
  <si>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</si>
  <si>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</si>
  <si>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</si>
  <si>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</si>
  <si>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</si>
  <si>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</si>
  <si>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</si>
  <si>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</si>
  <si>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</si>
  <si>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</si>
  <si>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</si>
  <si>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</si>
  <si>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</si>
  <si>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</si>
  <si>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</si>
  <si>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</si>
  <si>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</si>
  <si>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</si>
  <si>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</si>
  <si>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</si>
  <si>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</si>
  <si>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</si>
  <si>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</si>
  <si>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</si>
  <si>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</si>
  <si>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</si>
  <si>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</si>
  <si>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</si>
  <si>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</si>
  <si>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</si>
  <si>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</si>
  <si>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</si>
  <si>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</si>
  <si>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</si>
  <si>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</si>
  <si>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</si>
  <si>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</si>
  <si>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</si>
  <si>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</si>
  <si>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</si>
  <si>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</si>
  <si>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</si>
  <si>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</si>
  <si>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</si>
  <si>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</si>
  <si>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</si>
  <si>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</si>
  <si>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</si>
  <si>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</si>
  <si>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</si>
  <si>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</si>
  <si>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</si>
  <si>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</si>
  <si>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</si>
  <si>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</si>
  <si>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</si>
  <si>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</si>
  <si>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</si>
  <si>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</si>
  <si>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</si>
  <si>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</si>
  <si>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</si>
  <si>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</si>
  <si>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</si>
  <si>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</si>
  <si>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</si>
  <si>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</si>
  <si>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</si>
  <si>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</si>
  <si>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</si>
  <si>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</si>
  <si>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</si>
  <si>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</si>
  <si>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</si>
  <si>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</si>
  <si>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</si>
  <si>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</si>
  <si>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</si>
  <si>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</si>
  <si>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</si>
  <si>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</si>
  <si>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</si>
  <si>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</si>
  <si>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</si>
  <si>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</si>
  <si>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</si>
  <si>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</si>
  <si>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</si>
  <si>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</si>
  <si>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</si>
  <si>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</si>
  <si>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</si>
  <si>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</si>
  <si>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</si>
  <si>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</si>
  <si>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</si>
  <si>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</si>
  <si>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</si>
  <si>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</si>
  <si>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</si>
  <si>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</si>
  <si>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</si>
  <si>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</si>
  <si>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</si>
  <si>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</si>
  <si>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</si>
  <si>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</si>
  <si>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</si>
  <si>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</si>
  <si>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</si>
  <si>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</si>
  <si>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</si>
  <si>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</si>
  <si>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</si>
  <si>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</si>
  <si>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</si>
  <si>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</si>
  <si>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</si>
  <si>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</si>
  <si>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</si>
  <si>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</si>
  <si>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</si>
  <si>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</si>
  <si>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</si>
  <si>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</si>
  <si>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</si>
  <si>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</si>
  <si>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</si>
  <si>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</si>
  <si>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</si>
  <si>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</si>
  <si>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</si>
  <si>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</si>
  <si>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</si>
  <si>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</si>
  <si>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</si>
  <si>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2026-03-17</t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</si>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</sst>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0" fontId="0" fillId="0" borderId="0" xfId="0" applyAlignme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99" activePane="bottomRight" state="frozen"/>
      <selection pane="topRight"/>
      <selection pane="bottomLeft"/>
      <selection pane="bottomRight" activeCell="I222" sqref="I222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302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132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282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184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134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89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84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267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127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442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862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666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506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644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643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735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377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372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362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356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352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352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351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349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328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314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293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281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251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229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300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224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202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197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183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154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152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141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131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128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394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259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259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210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90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72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72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69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61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57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55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55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51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48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48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44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37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36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36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72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35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35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34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34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33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32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26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23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23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22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21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19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19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19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19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15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15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15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15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15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15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2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2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13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13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13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13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13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13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13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13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13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12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12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12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12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12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9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9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9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7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8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8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8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8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8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8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8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8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7</v>
      </c>
      <c r="J179" s="13" t="str">
        <f t="shared" ref="J179:J215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7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7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7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7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7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7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319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318</v>
      </c>
      <c r="D187" s="10" t="str">
        <f t="shared" si="12"/>
        <v>B</v>
      </c>
      <c r="E187" s="23" t="s">
        <v>30</v>
      </c>
      <c r="F187" s="23" t="s">
        <v>312</v>
      </c>
      <c r="G187" s="6" t="s">
        <v>319</v>
      </c>
      <c r="H187" s="25">
        <v>1000500</v>
      </c>
      <c r="I187" s="6">
        <f t="shared" ca="1" si="13"/>
        <v>6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203</v>
      </c>
      <c r="F188" s="23" t="s">
        <v>316</v>
      </c>
      <c r="G188" s="6" t="s">
        <v>319</v>
      </c>
      <c r="H188" s="25">
        <v>5775000</v>
      </c>
      <c r="I188" s="6">
        <f t="shared" ca="1" si="13"/>
        <v>6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207</v>
      </c>
      <c r="F189" s="23" t="s">
        <v>313</v>
      </c>
      <c r="G189" s="6" t="s">
        <v>319</v>
      </c>
      <c r="H189" s="25">
        <v>1190000</v>
      </c>
      <c r="I189" s="6">
        <f t="shared" ca="1" si="13"/>
        <v>6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101</v>
      </c>
      <c r="F190" s="23" t="s">
        <v>317</v>
      </c>
      <c r="G190" s="6" t="s">
        <v>319</v>
      </c>
      <c r="H190" s="25">
        <v>11147800</v>
      </c>
      <c r="I190" s="6">
        <f t="shared" ca="1" si="13"/>
        <v>6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227</v>
      </c>
      <c r="F191" s="23" t="s">
        <v>314</v>
      </c>
      <c r="G191" s="6" t="s">
        <v>319</v>
      </c>
      <c r="H191" s="25">
        <v>2613000</v>
      </c>
      <c r="I191" s="6">
        <f t="shared" ca="1" si="13"/>
        <v>6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112</v>
      </c>
      <c r="F192" s="23" t="s">
        <v>315</v>
      </c>
      <c r="G192" s="6" t="s">
        <v>319</v>
      </c>
      <c r="H192" s="25">
        <v>7339000</v>
      </c>
      <c r="I192" s="6">
        <f t="shared" ca="1" si="13"/>
        <v>6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2"/>
        <v>C</v>
      </c>
      <c r="E193" s="6" t="s">
        <v>320</v>
      </c>
      <c r="F193" s="6" t="s">
        <v>321</v>
      </c>
      <c r="G193" s="6" t="s">
        <v>322</v>
      </c>
      <c r="H193" s="4">
        <v>1291250</v>
      </c>
      <c r="I193" s="6">
        <f t="shared" ca="1" si="13"/>
        <v>5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5" t="s">
        <v>332</v>
      </c>
      <c r="D194" s="10" t="str">
        <f t="shared" si="12"/>
        <v>B</v>
      </c>
      <c r="E194" s="23" t="s">
        <v>330</v>
      </c>
      <c r="F194" s="23" t="s">
        <v>323</v>
      </c>
      <c r="G194" s="6" t="s">
        <v>333</v>
      </c>
      <c r="H194" s="25">
        <v>500500</v>
      </c>
      <c r="I194" s="6">
        <f t="shared" ca="1" si="13"/>
        <v>5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24</v>
      </c>
      <c r="F195" s="23" t="s">
        <v>324</v>
      </c>
      <c r="G195" s="6" t="s">
        <v>333</v>
      </c>
      <c r="H195" s="25">
        <v>3448000</v>
      </c>
      <c r="I195" s="6">
        <f t="shared" ca="1" si="13"/>
        <v>5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325</v>
      </c>
      <c r="G196" s="6" t="s">
        <v>333</v>
      </c>
      <c r="H196" s="25">
        <v>28750000</v>
      </c>
      <c r="I196" s="6">
        <f t="shared" ca="1" si="13"/>
        <v>5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229</v>
      </c>
      <c r="F197" s="23" t="s">
        <v>326</v>
      </c>
      <c r="G197" s="6" t="s">
        <v>333</v>
      </c>
      <c r="H197" s="25">
        <v>3430000</v>
      </c>
      <c r="I197" s="6">
        <f t="shared" ca="1" si="13"/>
        <v>3</v>
      </c>
      <c r="J197" s="13" t="str">
        <f t="shared" ca="1" si="14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227</v>
      </c>
      <c r="F198" s="23" t="s">
        <v>327</v>
      </c>
      <c r="G198" s="6" t="s">
        <v>333</v>
      </c>
      <c r="H198" s="25">
        <v>14700000</v>
      </c>
      <c r="I198" s="6">
        <f t="shared" ca="1" si="13"/>
        <v>5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331</v>
      </c>
      <c r="F199" s="23" t="s">
        <v>328</v>
      </c>
      <c r="G199" s="6" t="s">
        <v>333</v>
      </c>
      <c r="H199" s="25">
        <v>780000</v>
      </c>
      <c r="I199" s="6">
        <f t="shared" ca="1" si="13"/>
        <v>5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39</v>
      </c>
      <c r="F200" s="23" t="s">
        <v>329</v>
      </c>
      <c r="G200" s="6" t="s">
        <v>333</v>
      </c>
      <c r="H200" s="25">
        <v>220100</v>
      </c>
      <c r="I200" s="6">
        <f t="shared" ca="1" si="13"/>
        <v>5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5">
        <v>46097</v>
      </c>
      <c r="D201" s="10" t="str">
        <f t="shared" si="12"/>
        <v>A</v>
      </c>
      <c r="E201" s="6" t="s">
        <v>334</v>
      </c>
      <c r="F201" s="6" t="s">
        <v>335</v>
      </c>
      <c r="G201" s="6" t="s">
        <v>336</v>
      </c>
      <c r="H201" s="4">
        <v>22342800</v>
      </c>
      <c r="I201" s="6">
        <f t="shared" ca="1" si="13"/>
        <v>2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5" t="s">
        <v>337</v>
      </c>
      <c r="D202" s="10" t="str">
        <f t="shared" si="12"/>
        <v>B</v>
      </c>
      <c r="E202" s="23" t="s">
        <v>128</v>
      </c>
      <c r="F202" s="23" t="s">
        <v>338</v>
      </c>
      <c r="G202" s="6" t="s">
        <v>351</v>
      </c>
      <c r="H202" s="25">
        <v>19467400</v>
      </c>
      <c r="I202" s="6">
        <f t="shared" ca="1" si="13"/>
        <v>1</v>
      </c>
      <c r="J202" s="13" t="str">
        <f t="shared" ca="1" si="14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5" t="s">
        <v>337</v>
      </c>
      <c r="D203" s="10" t="str">
        <f t="shared" ref="D203:D266" si="15">IF(G203="","",IF(OR(G203="선급금",G203="중도금",G203="잔금"),"A",IF(G203="자재","B",IF(G203="특허료","C",""))))</f>
        <v>B</v>
      </c>
      <c r="E203" s="23" t="s">
        <v>128</v>
      </c>
      <c r="F203" s="23" t="s">
        <v>338</v>
      </c>
      <c r="G203" s="6" t="s">
        <v>351</v>
      </c>
      <c r="H203" s="25">
        <v>4765000</v>
      </c>
      <c r="I203" s="6">
        <f t="shared" ref="I203:I266" ca="1" si="16">IF(C203="","",IF(L203="",TODAY()-C203,L203-C203))</f>
        <v>1</v>
      </c>
      <c r="J203" s="13" t="str">
        <f t="shared" ca="1" si="14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5" t="s">
        <v>337</v>
      </c>
      <c r="D204" s="10" t="str">
        <f t="shared" si="15"/>
        <v>B</v>
      </c>
      <c r="E204" s="23" t="s">
        <v>231</v>
      </c>
      <c r="F204" s="23" t="s">
        <v>339</v>
      </c>
      <c r="G204" s="6" t="s">
        <v>351</v>
      </c>
      <c r="H204" s="25">
        <v>954500</v>
      </c>
      <c r="I204" s="6">
        <f t="shared" ca="1" si="16"/>
        <v>1</v>
      </c>
      <c r="J204" s="13" t="str">
        <f t="shared" ca="1" si="14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5" t="s">
        <v>337</v>
      </c>
      <c r="D205" s="10" t="str">
        <f t="shared" si="15"/>
        <v>B</v>
      </c>
      <c r="E205" s="23" t="s">
        <v>101</v>
      </c>
      <c r="F205" s="23" t="s">
        <v>340</v>
      </c>
      <c r="G205" s="6" t="s">
        <v>351</v>
      </c>
      <c r="H205" s="25">
        <v>9631000</v>
      </c>
      <c r="I205" s="6">
        <f t="shared" ca="1" si="16"/>
        <v>1</v>
      </c>
      <c r="J205" s="13" t="str">
        <f t="shared" ca="1" si="14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5" t="s">
        <v>337</v>
      </c>
      <c r="D206" s="10" t="str">
        <f t="shared" si="15"/>
        <v>B</v>
      </c>
      <c r="E206" s="23" t="s">
        <v>30</v>
      </c>
      <c r="F206" s="23" t="s">
        <v>341</v>
      </c>
      <c r="G206" s="6" t="s">
        <v>351</v>
      </c>
      <c r="H206" s="25">
        <v>1745000</v>
      </c>
      <c r="I206" s="6">
        <f t="shared" ca="1" si="16"/>
        <v>1</v>
      </c>
      <c r="J206" s="13" t="str">
        <f t="shared" ca="1" si="14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5" t="s">
        <v>337</v>
      </c>
      <c r="D207" s="10" t="str">
        <f t="shared" si="15"/>
        <v>B</v>
      </c>
      <c r="E207" s="23" t="s">
        <v>128</v>
      </c>
      <c r="F207" s="23" t="s">
        <v>342</v>
      </c>
      <c r="G207" s="6" t="s">
        <v>351</v>
      </c>
      <c r="H207" s="25">
        <v>493400</v>
      </c>
      <c r="I207" s="6">
        <f t="shared" ca="1" si="16"/>
        <v>1</v>
      </c>
      <c r="J207" s="13" t="str">
        <f t="shared" ca="1" si="14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5" t="s">
        <v>337</v>
      </c>
      <c r="D208" s="10" t="str">
        <f t="shared" si="15"/>
        <v>B</v>
      </c>
      <c r="E208" s="23" t="s">
        <v>128</v>
      </c>
      <c r="F208" s="23" t="s">
        <v>343</v>
      </c>
      <c r="G208" s="6" t="s">
        <v>351</v>
      </c>
      <c r="H208" s="25">
        <v>3568200</v>
      </c>
      <c r="I208" s="6">
        <f t="shared" ca="1" si="16"/>
        <v>1</v>
      </c>
      <c r="J208" s="13" t="str">
        <f t="shared" ca="1" si="14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5" t="s">
        <v>337</v>
      </c>
      <c r="D209" s="10" t="str">
        <f t="shared" si="15"/>
        <v>B</v>
      </c>
      <c r="E209" s="23" t="s">
        <v>128</v>
      </c>
      <c r="F209" s="23" t="s">
        <v>343</v>
      </c>
      <c r="G209" s="6" t="s">
        <v>351</v>
      </c>
      <c r="H209" s="25">
        <v>4110300</v>
      </c>
      <c r="I209" s="6">
        <f t="shared" ca="1" si="16"/>
        <v>1</v>
      </c>
      <c r="J209" s="13" t="str">
        <f t="shared" ca="1" si="14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5" t="s">
        <v>337</v>
      </c>
      <c r="D210" s="10" t="str">
        <f t="shared" si="15"/>
        <v>B</v>
      </c>
      <c r="E210" s="23" t="s">
        <v>166</v>
      </c>
      <c r="F210" s="23" t="s">
        <v>344</v>
      </c>
      <c r="G210" s="6" t="s">
        <v>351</v>
      </c>
      <c r="H210" s="25">
        <v>1318600</v>
      </c>
      <c r="I210" s="6">
        <f t="shared" ca="1" si="16"/>
        <v>1</v>
      </c>
      <c r="J210" s="13" t="str">
        <f t="shared" ca="1" si="14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5" t="s">
        <v>337</v>
      </c>
      <c r="D211" s="10" t="str">
        <f t="shared" si="15"/>
        <v>B</v>
      </c>
      <c r="E211" s="23" t="s">
        <v>350</v>
      </c>
      <c r="F211" s="23" t="s">
        <v>345</v>
      </c>
      <c r="G211" s="6" t="s">
        <v>351</v>
      </c>
      <c r="H211" s="25">
        <v>3541500</v>
      </c>
      <c r="I211" s="6">
        <f t="shared" ca="1" si="16"/>
        <v>1</v>
      </c>
      <c r="J211" s="13" t="str">
        <f t="shared" ca="1" si="14"/>
        <v>정상</v>
      </c>
      <c r="K211" s="11"/>
      <c r="L211" s="11"/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5" t="s">
        <v>337</v>
      </c>
      <c r="D212" s="10" t="str">
        <f t="shared" si="15"/>
        <v>B</v>
      </c>
      <c r="E212" s="23" t="s">
        <v>215</v>
      </c>
      <c r="F212" s="23" t="s">
        <v>346</v>
      </c>
      <c r="G212" s="6" t="s">
        <v>351</v>
      </c>
      <c r="H212" s="25">
        <v>3512300</v>
      </c>
      <c r="I212" s="6">
        <f t="shared" ca="1" si="16"/>
        <v>1</v>
      </c>
      <c r="J212" s="13" t="str">
        <f t="shared" ca="1" si="14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5" t="s">
        <v>337</v>
      </c>
      <c r="D213" s="10" t="str">
        <f t="shared" si="15"/>
        <v>B</v>
      </c>
      <c r="E213" s="23" t="s">
        <v>259</v>
      </c>
      <c r="F213" s="23" t="s">
        <v>347</v>
      </c>
      <c r="G213" s="6" t="s">
        <v>351</v>
      </c>
      <c r="H213" s="25">
        <v>11000000</v>
      </c>
      <c r="I213" s="6">
        <f t="shared" ca="1" si="16"/>
        <v>1</v>
      </c>
      <c r="J213" s="13" t="str">
        <f t="shared" ca="1" si="14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5" t="s">
        <v>337</v>
      </c>
      <c r="D214" s="10" t="str">
        <f t="shared" si="15"/>
        <v>B</v>
      </c>
      <c r="E214" s="23" t="s">
        <v>110</v>
      </c>
      <c r="F214" s="23" t="s">
        <v>348</v>
      </c>
      <c r="G214" s="6" t="s">
        <v>351</v>
      </c>
      <c r="H214" s="25">
        <v>21000000</v>
      </c>
      <c r="I214" s="6">
        <f t="shared" ca="1" si="16"/>
        <v>1</v>
      </c>
      <c r="J214" s="13" t="str">
        <f t="shared" ca="1" si="14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5" t="s">
        <v>337</v>
      </c>
      <c r="D215" s="10" t="str">
        <f t="shared" si="15"/>
        <v>B</v>
      </c>
      <c r="E215" s="23" t="s">
        <v>118</v>
      </c>
      <c r="F215" s="23" t="s">
        <v>349</v>
      </c>
      <c r="G215" s="6" t="s">
        <v>351</v>
      </c>
      <c r="H215" s="25">
        <v>806000</v>
      </c>
      <c r="I215" s="6">
        <f t="shared" ca="1" si="16"/>
        <v>1</v>
      </c>
      <c r="J215" s="13" t="str">
        <f t="shared" ca="1" si="14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F216" s="64"/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7">IF(G267="","",IF(OR(G267="선급금",G267="중도금",G267="잔금"),"A",IF(G267="자재","B",IF(G267="특허료","C",""))))</f>
        <v/>
      </c>
      <c r="H267" s="4"/>
      <c r="I267" s="6" t="str">
        <f t="shared" ref="I267:I330" ca="1" si="18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7"/>
        <v/>
      </c>
      <c r="H268" s="4"/>
      <c r="I268" s="6" t="str">
        <f t="shared" ca="1" si="18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19">IF(G331="","",IF(OR(G331="선급금",G331="중도금",G331="잔금"),"A",IF(G331="자재","B",IF(G331="특허료","C",""))))</f>
        <v/>
      </c>
      <c r="H331" s="4"/>
      <c r="I331" s="6" t="str">
        <f t="shared" ref="I331:I394" ca="1" si="20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9"/>
        <v/>
      </c>
      <c r="H332" s="4"/>
      <c r="I332" s="6" t="str">
        <f t="shared" ca="1" si="20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1">IF(G395="","",IF(OR(G395="선급금",G395="중도금",G395="잔금"),"A",IF(G395="자재","B",IF(G395="특허료","C",""))))</f>
        <v/>
      </c>
      <c r="H395" s="4"/>
      <c r="I395" s="6" t="str">
        <f t="shared" ref="I395:I405" ca="1" si="22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1"/>
        <v/>
      </c>
      <c r="H396" s="4"/>
      <c r="I396" s="6" t="str">
        <f t="shared" ca="1" si="22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1"/>
        <v/>
      </c>
      <c r="I402" s="1" t="str">
        <f t="shared" ca="1" si="22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 ht="16.5" customHeight="1">
      <c r="C408" s="58"/>
      <c r="F408" s="62"/>
    </row>
  </sheetData>
  <autoFilter ref="A1:S407"/>
  <phoneticPr fontId="5" type="noConversion"/>
  <conditionalFormatting sqref="E3 F57:F60">
    <cfRule type="expression" dxfId="48" priority="68">
      <formula>$J3="잔금"</formula>
    </cfRule>
  </conditionalFormatting>
  <conditionalFormatting sqref="E8">
    <cfRule type="expression" dxfId="47" priority="67">
      <formula>$J8="잔금"</formula>
    </cfRule>
  </conditionalFormatting>
  <conditionalFormatting sqref="E4">
    <cfRule type="expression" dxfId="46" priority="66">
      <formula>$J4="잔금"</formula>
    </cfRule>
  </conditionalFormatting>
  <conditionalFormatting sqref="E9">
    <cfRule type="expression" dxfId="45" priority="65">
      <formula>$J9="잔금"</formula>
    </cfRule>
  </conditionalFormatting>
  <conditionalFormatting sqref="E41 E37">
    <cfRule type="expression" dxfId="44" priority="60">
      <formula>$J37="잔금"</formula>
    </cfRule>
  </conditionalFormatting>
  <conditionalFormatting sqref="E98:E99 E186:F192 H186:H192 C186:C192">
    <cfRule type="expression" dxfId="43" priority="50">
      <formula>$J98="잔금"</formula>
    </cfRule>
  </conditionalFormatting>
  <conditionalFormatting sqref="F98:F99">
    <cfRule type="expression" dxfId="42" priority="49">
      <formula>$J98="잔금"</formula>
    </cfRule>
  </conditionalFormatting>
  <conditionalFormatting sqref="F104:F105">
    <cfRule type="expression" dxfId="41" priority="47">
      <formula>$J104="잔금"</formula>
    </cfRule>
  </conditionalFormatting>
  <conditionalFormatting sqref="H104:H105">
    <cfRule type="expression" dxfId="40" priority="46">
      <formula>$J104="잔금"</formula>
    </cfRule>
  </conditionalFormatting>
  <conditionalFormatting sqref="E106:E108">
    <cfRule type="expression" dxfId="39" priority="45">
      <formula>$J106="잔금"</formula>
    </cfRule>
  </conditionalFormatting>
  <conditionalFormatting sqref="F106:F108">
    <cfRule type="expression" dxfId="38" priority="44">
      <formula>$J106="잔금"</formula>
    </cfRule>
  </conditionalFormatting>
  <conditionalFormatting sqref="H106:H108">
    <cfRule type="expression" dxfId="37" priority="43">
      <formula>$J106="잔금"</formula>
    </cfRule>
  </conditionalFormatting>
  <conditionalFormatting sqref="E110">
    <cfRule type="expression" dxfId="36" priority="42">
      <formula>$J110="잔금"</formula>
    </cfRule>
  </conditionalFormatting>
  <conditionalFormatting sqref="F110">
    <cfRule type="expression" dxfId="35" priority="41">
      <formula>$J110="잔금"</formula>
    </cfRule>
  </conditionalFormatting>
  <conditionalFormatting sqref="E111:E113">
    <cfRule type="expression" dxfId="34" priority="40">
      <formula>$J111="잔금"</formula>
    </cfRule>
  </conditionalFormatting>
  <conditionalFormatting sqref="F111 F113">
    <cfRule type="expression" dxfId="33" priority="39">
      <formula>$J111="잔금"</formula>
    </cfRule>
  </conditionalFormatting>
  <conditionalFormatting sqref="F112">
    <cfRule type="expression" dxfId="32" priority="38">
      <formula>$J112="잔금"</formula>
    </cfRule>
  </conditionalFormatting>
  <conditionalFormatting sqref="H111:H113">
    <cfRule type="expression" dxfId="31" priority="37">
      <formula>$J111="잔금"</formula>
    </cfRule>
  </conditionalFormatting>
  <conditionalFormatting sqref="C111:C113">
    <cfRule type="expression" dxfId="30" priority="36">
      <formula>$J111="잔금"</formula>
    </cfRule>
  </conditionalFormatting>
  <conditionalFormatting sqref="E117">
    <cfRule type="expression" dxfId="29" priority="35">
      <formula>$J117="잔금"</formula>
    </cfRule>
  </conditionalFormatting>
  <conditionalFormatting sqref="F117">
    <cfRule type="expression" dxfId="28" priority="34">
      <formula>$J117="잔금"</formula>
    </cfRule>
  </conditionalFormatting>
  <conditionalFormatting sqref="F142:F149">
    <cfRule type="expression" dxfId="27" priority="33">
      <formula>$J142="잔금"</formula>
    </cfRule>
  </conditionalFormatting>
  <conditionalFormatting sqref="E142:E149">
    <cfRule type="expression" dxfId="26" priority="32">
      <formula>$J142="잔금"</formula>
    </cfRule>
  </conditionalFormatting>
  <conditionalFormatting sqref="H142:H149">
    <cfRule type="expression" dxfId="25" priority="31">
      <formula>$J142="잔금"</formula>
    </cfRule>
  </conditionalFormatting>
  <conditionalFormatting sqref="E151:E157">
    <cfRule type="expression" dxfId="24" priority="29">
      <formula>$J151="잔금"</formula>
    </cfRule>
  </conditionalFormatting>
  <conditionalFormatting sqref="F151:F157">
    <cfRule type="expression" dxfId="23" priority="28">
      <formula>$J151="잔금"</formula>
    </cfRule>
  </conditionalFormatting>
  <conditionalFormatting sqref="C151:C157">
    <cfRule type="expression" dxfId="22" priority="27">
      <formula>$J151="잔금"</formula>
    </cfRule>
  </conditionalFormatting>
  <conditionalFormatting sqref="H151:H157">
    <cfRule type="expression" dxfId="21" priority="26">
      <formula>$J151="잔금"</formula>
    </cfRule>
  </conditionalFormatting>
  <conditionalFormatting sqref="C158">
    <cfRule type="expression" dxfId="20" priority="25">
      <formula>$I158="잔금"</formula>
    </cfRule>
  </conditionalFormatting>
  <conditionalFormatting sqref="F159:F162">
    <cfRule type="expression" dxfId="19" priority="24">
      <formula>$J159="잔금"</formula>
    </cfRule>
  </conditionalFormatting>
  <conditionalFormatting sqref="E159:E162">
    <cfRule type="expression" dxfId="18" priority="23">
      <formula>$J159="잔금"</formula>
    </cfRule>
  </conditionalFormatting>
  <conditionalFormatting sqref="C159:C165">
    <cfRule type="expression" dxfId="17" priority="22">
      <formula>$J159="잔금"</formula>
    </cfRule>
  </conditionalFormatting>
  <conditionalFormatting sqref="H159:H162">
    <cfRule type="expression" dxfId="16" priority="21">
      <formula>$J159="잔금"</formula>
    </cfRule>
  </conditionalFormatting>
  <conditionalFormatting sqref="F166:F178">
    <cfRule type="expression" dxfId="15" priority="20">
      <formula>$J166="잔금"</formula>
    </cfRule>
  </conditionalFormatting>
  <conditionalFormatting sqref="F179:F185">
    <cfRule type="expression" dxfId="14" priority="19">
      <formula>$J179="잔금"</formula>
    </cfRule>
  </conditionalFormatting>
  <conditionalFormatting sqref="E166:E178">
    <cfRule type="expression" dxfId="13" priority="18">
      <formula>$J166="잔금"</formula>
    </cfRule>
  </conditionalFormatting>
  <conditionalFormatting sqref="E179:E185">
    <cfRule type="expression" dxfId="12" priority="17">
      <formula>$J179="잔금"</formula>
    </cfRule>
  </conditionalFormatting>
  <conditionalFormatting sqref="C166:C178">
    <cfRule type="expression" dxfId="11" priority="16">
      <formula>$J166="잔금"</formula>
    </cfRule>
  </conditionalFormatting>
  <conditionalFormatting sqref="C179:C185">
    <cfRule type="expression" dxfId="10" priority="15">
      <formula>$J179="잔금"</formula>
    </cfRule>
  </conditionalFormatting>
  <conditionalFormatting sqref="H166:H178">
    <cfRule type="expression" dxfId="9" priority="14">
      <formula>$J166="잔금"</formula>
    </cfRule>
  </conditionalFormatting>
  <conditionalFormatting sqref="H179:H185">
    <cfRule type="expression" dxfId="8" priority="13">
      <formula>$J179="잔금"</formula>
    </cfRule>
  </conditionalFormatting>
  <conditionalFormatting sqref="F194:F200">
    <cfRule type="expression" dxfId="7" priority="8">
      <formula>$J194="잔금"</formula>
    </cfRule>
  </conditionalFormatting>
  <conditionalFormatting sqref="E194:E200">
    <cfRule type="expression" dxfId="6" priority="7">
      <formula>$J194="잔금"</formula>
    </cfRule>
  </conditionalFormatting>
  <conditionalFormatting sqref="C194:C201">
    <cfRule type="expression" dxfId="5" priority="6">
      <formula>$J194="잔금"</formula>
    </cfRule>
  </conditionalFormatting>
  <conditionalFormatting sqref="H194:H200">
    <cfRule type="expression" dxfId="4" priority="5">
      <formula>$J194="잔금"</formula>
    </cfRule>
  </conditionalFormatting>
  <conditionalFormatting sqref="C202:C215">
    <cfRule type="expression" dxfId="3" priority="4">
      <formula>$J202="잔금"</formula>
    </cfRule>
  </conditionalFormatting>
  <conditionalFormatting sqref="F202:F215">
    <cfRule type="expression" dxfId="2" priority="3">
      <formula>$J202="잔금"</formula>
    </cfRule>
  </conditionalFormatting>
  <conditionalFormatting sqref="H202:H215">
    <cfRule type="expression" dxfId="1" priority="2">
      <formula>$J202="잔금"</formula>
    </cfRule>
  </conditionalFormatting>
  <conditionalFormatting sqref="E202:E215">
    <cfRule type="expression" dxfId="0" priority="1">
      <formula>$J202="잔금"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15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2026-03-18T04:08:59Z</dcterms:modified>
</cp:coreProperties>
</file>