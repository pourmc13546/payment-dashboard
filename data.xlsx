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data!$A$1:$S$665</definedName>
    <definedName name="_xlnm._FilterDatabase">data!$A$1:$S$402</definedName>
  </definedNames>
  <calcPr calcId="162913" iterateDelta="1E-4"/>
</workbook>
</file>

<file path=xl/calcChain.xml><?xml version="1.0" encoding="utf-8"?>
<calcChain xmlns="http://schemas.openxmlformats.org/spreadsheetml/2006/main">
  <c r="I652" i="1" l="1"/>
  <c r="J652" i="1" s="1"/>
  <c r="I653" i="1"/>
  <c r="J653" i="1" s="1"/>
  <c r="I654" i="1"/>
  <c r="J654" i="1" s="1"/>
  <c r="I655" i="1"/>
  <c r="J655" i="1" s="1"/>
  <c r="I656" i="1"/>
  <c r="J656" i="1" s="1"/>
  <c r="I657" i="1"/>
  <c r="J657" i="1" s="1"/>
  <c r="I658" i="1"/>
  <c r="J658" i="1" s="1"/>
  <c r="I659" i="1"/>
  <c r="J659" i="1" s="1"/>
  <c r="I660" i="1"/>
  <c r="J660" i="1" s="1"/>
  <c r="I661" i="1"/>
  <c r="J661" i="1" s="1"/>
  <c r="I662" i="1"/>
  <c r="J662" i="1" s="1"/>
  <c r="I663" i="1"/>
  <c r="J663" i="1" s="1"/>
  <c r="I664" i="1"/>
  <c r="J664" i="1" s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I650" i="1"/>
  <c r="J650" i="1" s="1"/>
  <c r="I651" i="1"/>
  <c r="J651" i="1" s="1"/>
  <c r="B650" i="1"/>
  <c r="B651" i="1"/>
  <c r="I647" i="1" l="1"/>
  <c r="J647" i="1" s="1"/>
  <c r="I648" i="1"/>
  <c r="J648" i="1" s="1"/>
  <c r="I649" i="1"/>
  <c r="J649" i="1" s="1"/>
  <c r="B646" i="1"/>
  <c r="B647" i="1"/>
  <c r="B648" i="1"/>
  <c r="B649" i="1"/>
  <c r="I646" i="1"/>
  <c r="J646" i="1" s="1"/>
  <c r="I645" i="1"/>
  <c r="J645" i="1" s="1"/>
  <c r="B644" i="1"/>
  <c r="B645" i="1"/>
  <c r="I621" i="1"/>
  <c r="J621" i="1" s="1"/>
  <c r="B621" i="1"/>
  <c r="I625" i="1"/>
  <c r="J625" i="1" s="1"/>
  <c r="I626" i="1"/>
  <c r="J626" i="1" s="1"/>
  <c r="I627" i="1"/>
  <c r="J627" i="1" s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I628" i="1"/>
  <c r="I629" i="1"/>
  <c r="J629" i="1" s="1"/>
  <c r="I630" i="1"/>
  <c r="J630" i="1" s="1"/>
  <c r="I631" i="1"/>
  <c r="J631" i="1" s="1"/>
  <c r="I632" i="1"/>
  <c r="J632" i="1" s="1"/>
  <c r="I633" i="1"/>
  <c r="J633" i="1" s="1"/>
  <c r="I634" i="1"/>
  <c r="J634" i="1" s="1"/>
  <c r="I635" i="1"/>
  <c r="J635" i="1" s="1"/>
  <c r="I636" i="1"/>
  <c r="J636" i="1" s="1"/>
  <c r="I637" i="1"/>
  <c r="J637" i="1" s="1"/>
  <c r="I638" i="1"/>
  <c r="J638" i="1" s="1"/>
  <c r="I639" i="1"/>
  <c r="J639" i="1" s="1"/>
  <c r="I640" i="1"/>
  <c r="J640" i="1" s="1"/>
  <c r="I641" i="1"/>
  <c r="J641" i="1" s="1"/>
  <c r="I642" i="1"/>
  <c r="J642" i="1" s="1"/>
  <c r="I643" i="1"/>
  <c r="J643" i="1" s="1"/>
  <c r="I644" i="1"/>
  <c r="J644" i="1" s="1"/>
  <c r="B643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2" i="1"/>
  <c r="B623" i="1"/>
  <c r="B624" i="1"/>
  <c r="J628" i="1" l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2" i="1"/>
  <c r="J622" i="1" s="1"/>
  <c r="I623" i="1"/>
  <c r="J623" i="1" s="1"/>
  <c r="I624" i="1"/>
  <c r="J624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B581" i="1"/>
  <c r="B582" i="1"/>
  <c r="B583" i="1"/>
  <c r="B584" i="1"/>
  <c r="B585" i="1"/>
  <c r="B586" i="1"/>
  <c r="I574" i="1" l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B574" i="1"/>
  <c r="B575" i="1"/>
  <c r="B576" i="1"/>
  <c r="B577" i="1"/>
  <c r="B578" i="1"/>
  <c r="B579" i="1"/>
  <c r="B580" i="1"/>
  <c r="B572" i="1"/>
  <c r="B573" i="1"/>
  <c r="I572" i="1"/>
  <c r="J572" i="1" s="1"/>
  <c r="I573" i="1"/>
  <c r="J573" i="1" s="1"/>
  <c r="I570" i="1" l="1"/>
  <c r="J570" i="1" s="1"/>
  <c r="I571" i="1"/>
  <c r="J571" i="1" s="1"/>
  <c r="B569" i="1"/>
  <c r="B570" i="1"/>
  <c r="B571" i="1"/>
  <c r="I568" i="1" l="1"/>
  <c r="J568" i="1" s="1"/>
  <c r="I569" i="1"/>
  <c r="J569" i="1" s="1"/>
  <c r="B567" i="1"/>
  <c r="B568" i="1"/>
  <c r="I563" i="1"/>
  <c r="J563" i="1" s="1"/>
  <c r="I564" i="1"/>
  <c r="J564" i="1" s="1"/>
  <c r="I565" i="1"/>
  <c r="J565" i="1" s="1"/>
  <c r="I566" i="1"/>
  <c r="J566" i="1" s="1"/>
  <c r="I567" i="1"/>
  <c r="J567" i="1" s="1"/>
  <c r="B562" i="1"/>
  <c r="B563" i="1"/>
  <c r="B564" i="1"/>
  <c r="B565" i="1"/>
  <c r="B566" i="1"/>
  <c r="I558" i="1" l="1"/>
  <c r="J558" i="1" s="1"/>
  <c r="I559" i="1"/>
  <c r="J559" i="1" s="1"/>
  <c r="I560" i="1"/>
  <c r="J560" i="1" s="1"/>
  <c r="I561" i="1"/>
  <c r="J561" i="1" s="1"/>
  <c r="I562" i="1"/>
  <c r="J562" i="1" s="1"/>
  <c r="B558" i="1"/>
  <c r="B559" i="1"/>
  <c r="B560" i="1"/>
  <c r="B561" i="1"/>
  <c r="B557" i="1"/>
  <c r="I557" i="1"/>
  <c r="J557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B548" i="1"/>
  <c r="B549" i="1"/>
  <c r="B550" i="1"/>
  <c r="B551" i="1"/>
  <c r="B552" i="1"/>
  <c r="B553" i="1"/>
  <c r="B554" i="1"/>
  <c r="B555" i="1"/>
  <c r="B556" i="1"/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I471" i="1" l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<sst xmlns="http://schemas.openxmlformats.org/spreadsheetml/2006/main" count="3579" uniqueCount="943">
  <si>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</si>
  <si>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</si>
  <si>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</si>
  <si>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</si>
  <si>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</si>
  <si>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</si>
  <si>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</si>
  <si>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</si>
  <si>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</si>
  <si>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</si>
  <si>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</si>
  <si>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</si>
  <si>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</si>
  <si>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</si>
  <si>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</si>
  <si>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</si>
  <si>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</si>
  <si>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</si>
  <si>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</si>
  <si>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</si>
  <si>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</si>
  <si>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</si>
  <si>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</si>
  <si>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</si>
  <si>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</si>
  <si>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</si>
  <si>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</si>
  <si>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</si>
  <si>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</si>
  <si>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</si>
  <si>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</si>
  <si>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</si>
  <si>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</si>
  <si>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</si>
  <si>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</si>
  <si>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</si>
  <si>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</si>
  <si>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</si>
  <si>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</si>
  <si>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</si>
  <si>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</si>
  <si>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</si>
  <si>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</si>
  <si>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</si>
  <si>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</si>
  <si>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</si>
  <si>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</si>
  <si>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</si>
  <si>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</si>
  <si>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</si>
  <si>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</si>
  <si>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</si>
  <si>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</si>
  <si>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</si>
  <si>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</si>
  <si>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</si>
  <si>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</si>
  <si>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</si>
  <si>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</si>
  <si>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</si>
  <si>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</si>
  <si>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</si>
  <si>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</si>
  <si>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</si>
  <si>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</si>
  <si>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</si>
  <si>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</si>
  <si>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</si>
  <si>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</si>
  <si>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</si>
  <si>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</si>
  <si>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</si>
  <si>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</si>
  <si>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</si>
  <si>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</si>
  <si>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</si>
  <si>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</si>
  <si>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</si>
  <si>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</si>
  <si>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</si>
  <si>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</si>
  <si>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</si>
  <si>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</si>
  <si>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</si>
  <si>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</si>
  <si>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</si>
  <si>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</si>
  <si>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</si>
  <si>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</si>
  <si>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</si>
  <si>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</si>
  <si>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</si>
  <si>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</si>
  <si>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</si>
  <si>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</si>
  <si>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</si>
  <si>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</si>
  <si>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</si>
  <si>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</si>
  <si>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</si>
  <si>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</si>
  <si>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</si>
  <si>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</si>
  <si>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</si>
  <si>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</si>
  <si>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</si>
  <si>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</si>
  <si>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</si>
  <si>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</si>
  <si>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</si>
  <si>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</si>
  <si>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</si>
  <si>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</si>
  <si>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</si>
  <si>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</si>
  <si>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</si>
  <si>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</si>
  <si>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</si>
  <si>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</si>
  <si>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</si>
  <si>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</si>
  <si>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</si>
  <si>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</si>
  <si>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</si>
  <si>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</si>
  <si>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</si>
  <si>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</si>
  <si>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</si>
  <si>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</si>
  <si>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</si>
  <si>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</si>
  <si>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</si>
  <si>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</si>
  <si>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</si>
  <si>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</si>
  <si>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</si>
  <si>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</si>
  <si>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</si>
  <si>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</si>
  <si>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</si>
  <si>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</si>
  <si>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</si>
  <si>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</si>
  <si>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</si>
  <si>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</si>
  <si>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</si>
  <si>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</si>
  <si>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</si>
  <si>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</si>
  <si>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</si>
  <si>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</si>
  <si>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</si>
  <si>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</si>
  <si>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</si>
  <si>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</si>
  <si>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</si>
  <si>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</si>
  <si>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</si>
  <si>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</si>
  <si>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</si>
  <si>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</si>
  <si>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</si>
  <si>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</si>
  <si>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</si>
  <si>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</si>
  <si>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</si>
  <si>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</si>
  <si>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</si>
  <si>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</si>
  <si>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</si>
  <si>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</si>
  <si>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</si>
  <si>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</si>
  <si>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</si>
  <si>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</si>
  <si>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</si>
  <si>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</si>
  <si>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</si>
  <si>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</si>
  <si>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</si>
  <si>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</si>
  <si>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</si>
  <si>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</si>
  <si>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</si>
  <si>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</si>
  <si>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</si>
  <si>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</si>
  <si>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</si>
  <si>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</si>
  <si>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</si>
  <si>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</si>
  <si>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</si>
  <si>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</si>
  <si>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</si>
  <si>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</si>
  <si>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</si>
  <si>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</si>
  <si>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</si>
  <si>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</si>
  <si>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</si>
  <si>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</si>
  <si>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</si>
  <si>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</si>
  <si>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</si>
  <si>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</si>
  <si>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</si>
  <si>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</si>
  <si>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</si>
  <si>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</si>
  <si>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</si>
  <si>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</si>
  <si>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</si>
  <si>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</si>
  <si>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</si>
  <si>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</si>
  <si>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</si>
  <si>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</si>
  <si>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</si>
  <si>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</si>
  <si>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</si>
  <si>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</si>
  <si>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</si>
  <si>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</si>
  <si>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</si>
  <si>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</si>
  <si>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</si>
  <si>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</si>
  <si>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</si>
  <si>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</si>
  <si>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</si>
  <si>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</si>
  <si>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</si>
  <si>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</si>
  <si>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</si>
  <si>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</si>
  <si>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</si>
  <si>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</si>
  <si>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</si>
  <si>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</si>
  <si>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</si>
  <si>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</si>
  <si>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</si>
  <si>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</si>
  <si>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</si>
  <si>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</si>
  <si>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</si>
  <si>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</si>
  <si>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</si>
  <si>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</si>
  <si>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</si>
  <si>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</si>
  <si>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</si>
  <si>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</si>
  <si>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</si>
  <si>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</si>
  <si>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</si>
  <si>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</si>
  <si>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</si>
  <si>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</si>
  <si>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</si>
  <si>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</si>
  <si>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</si>
  <si>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</si>
  <si>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</si>
  <si>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</si>
  <si>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</si>
  <si>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</si>
  <si>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</si>
  <si>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</si>
  <si>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</si>
  <si>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</si>
  <si>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</si>
  <si>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</si>
  <si>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</si>
  <si>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</si>
  <si>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</si>
  <si>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</si>
  <si>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</si>
  <si>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</si>
  <si>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</si>
  <si>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</si>
  <si>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</si>
  <si>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</si>
  <si>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</si>
  <si>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</si>
  <si>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</si>
  <si>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</si>
  <si>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</si>
  <si>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</si>
  <si>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</si>
  <si>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</si>
  <si>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</si>
  <si>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</si>
  <si>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</si>
  <si>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</si>
  <si>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</si>
  <si>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</si>
  <si>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</si>
  <si>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</si>
  <si>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</si>
  <si>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</si>
  <si>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</si>
  <si>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</si>
  <si>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</si>
  <si>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</si>
  <si>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</si>
  <si>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</si>
  <si>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</si>
  <si>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</si>
  <si>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</si>
  <si>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</si>
  <si>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</si>
  <si>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</si>
  <si>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</si>
  <si>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</si>
  <si>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</si>
  <si>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</si>
  <si>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</si>
  <si>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</si>
  <si>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</si>
  <si>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</si>
  <si>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</si>
  <si>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</si>
  <si>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</si>
  <si>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</si>
  <si>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</si>
  <si>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</si>
  <si>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</si>
  <si>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</si>
  <si>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</si>
  <si>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</si>
  <si>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</si>
  <si>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</si>
  <si>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</si>
  <si>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</si>
  <si>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</si>
  <si>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</si>
  <si>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</si>
  <si>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</si>
  <si>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</si>
  <si>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</si>
  <si>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</si>
  <si>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</si>
  <si>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</si>
  <si>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</si>
  <si>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</si>
  <si>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</si>
  <si>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</si>
  <si>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</si>
  <si>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</si>
  <si>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</si>
  <si>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</si>
  <si>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</si>
  <si>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</si>
  <si>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</si>
  <si>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</si>
  <si>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</si>
  <si>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</si>
  <si>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</si>
  <si>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</si>
  <si>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</si>
  <si>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</si>
  <si>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</si>
  <si>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</si>
  <si>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</si>
  <si>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</si>
  <si>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</si>
  <si>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</si>
  <si>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</si>
  <si>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</si>
  <si>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</si>
  <si>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</si>
  <si>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</si>
  <si>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</si>
  <si>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</si>
  <si>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</si>
  <si>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</si>
  <si>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</si>
  <si>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</si>
  <si>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</si>
  <si>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</si>
  <si>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</si>
  <si>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</si>
  <si>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</si>
  <si>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</si>
  <si>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</si>
  <si>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</si>
  <si>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</si>
  <si>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</si>
  <si>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</si>
  <si>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</si>
  <si>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</si>
  <si>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</si>
  <si>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</si>
  <si>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</si>
  <si>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</si>
  <si>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</si>
  <si>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</si>
  <si>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</si>
  <si>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</si>
  <si>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</si>
  <si>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</si>
  <si>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</si>
  <si>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</si>
  <si>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</si>
  <si>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</si>
  <si>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</si>
  <si>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</si>
  <si>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</si>
  <si>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</si>
  <si>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</si>
  <si>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</si>
  <si>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</si>
  <si>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</si>
  <si>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</si>
  <si>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</si>
  <si>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</si>
  <si>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</si>
  <si>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</si>
  <si>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</si>
  <si>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</si>
  <si>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</si>
  <si>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</si>
  <si>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</si>
  <si>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</si>
  <si>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</si>
  <si>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</si>
  <si>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</si>
  <si>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</si>
  <si>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</si>
  <si>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</si>
  <si>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</si>
  <si>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</si>
  <si>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</si>
  <si>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</si>
  <si>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</si>
  <si>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</si>
  <si>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</si>
  <si>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</si>
  <si>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</si>
  <si>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</si>
  <si>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</si>
  <si>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</si>
  <si>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</si>
  <si>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</si>
  <si>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</si>
  <si>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</si>
  <si>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</si>
  <si>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</si>
  <si>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</si>
  <si>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</si>
  <si>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</si>
  <si>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</si>
  <si>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</si>
  <si>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</si>
  <si>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</si>
  <si>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</si>
  <si>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</si>
  <si>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</si>
  <si>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</si>
  <si>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</si>
  <si>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</si>
  <si>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</si>
  <si>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</si>
  <si>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</si>
  <si>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</si>
  <si>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</si>
  <si>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</si>
  <si>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</si>
  <si>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</si>
  <si>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</si>
  <si>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</si>
  <si>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</si>
  <si>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</si>
  <si>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</si>
  <si>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</si>
  <si>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</si>
  <si>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</si>
  <si>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</si>
  <si>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</si>
  <si>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</si>
  <si>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</si>
  <si>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</si>
  <si>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</si>
  <si>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</si>
  <si>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</si>
  <si>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</si>
  <si>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</si>
  <si>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</si>
  <si>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</si>
  <si>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</si>
  <si>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</si>
  <si>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</si>
  <si>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</si>
  <si>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</si>
  <si>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</si>
  <si>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</si>
  <si>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</si>
  <si>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</si>
  <si>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</si>
  <si>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</si>
  <si>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</si>
  <si>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</si>
  <si>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</si>
  <si>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</si>
  <si>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</si>
  <si>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</si>
  <si>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</si>
  <si>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</si>
  <si>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</si>
  <si>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</si>
  <si>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</si>
  <si>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</si>
  <si>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</si>
  <si>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</si>
  <si>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</si>
  <si>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</si>
  <si>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</si>
  <si>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</si>
  <si>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</si>
  <si>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</si>
  <si>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</si>
  <si>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</si>
  <si>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</si>
  <si>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</si>
  <si>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</si>
  <si>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</si>
  <si>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</si>
  <si>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</si>
  <si>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</si>
  <si>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</si>
  <si>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</si>
  <si>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</si>
  <si>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</si>
  <si>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</si>
  <si>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</si>
  <si>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</si>
  <si>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</si>
  <si>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</si>
  <si>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</si>
  <si>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</si>
  <si>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</si>
  <si>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</si>
  <si>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</si>
  <si>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</si>
  <si>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</si>
  <si>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</si>
  <si>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</si>
  <si>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</si>
  <si>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</si>
  <si>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</si>
  <si>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</si>
  <si>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</si>
  <si>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</si>
  <si>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</si>
  <si>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</si>
  <si>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</si>
  <si>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</si>
  <si>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</si>
  <si>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</si>
  <si>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</si>
  <si>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</si>
  <si>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</si>
  <si>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</si>
  <si>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</si>
  <si>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</si>
  <si>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</si>
  <si>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</si>
  <si>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</si>
  <si>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</si>
  <si>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</si>
  <si>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</si>
  <si>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</si>
  <si>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</si>
  <si>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</si>
  <si>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</si>
  <si>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</si>
  <si>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</si>
  <si>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</si>
  <si>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</si>
  <si>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</si>
  <si>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</si>
  <si>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</si>
  <si>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</si>
  <si>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</si>
  <si>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</si>
  <si>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</si>
  <si>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</si>
  <si>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</si>
  <si>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</si>
  <si>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</si>
  <si>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</si>
  <si>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</si>
  <si>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</si>
  <si>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</si>
  <si>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</si>
  <si>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</si>
  <si>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</si>
  <si>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</si>
  <si>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</si>
  <si>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</si>
  <si>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</si>
  <si>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</si>
  <si>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</si>
  <si>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</si>
  <si>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</si>
  <si>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</si>
  <si>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</si>
  <si>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</si>
  <si>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</si>
  <si>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</si>
  <si>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</si>
  <si>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</si>
  <si>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</si>
  <si>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</si>
  <si>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</si>
  <si>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</si>
  <si>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</si>
  <si>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</si>
  <si>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</si>
  <si>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</si>
  <si>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</si>
  <si>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</si>
  <si>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</si>
  <si>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</si>
  <si>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</si>
  <si>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</si>
  <si>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</si>
  <si>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</si>
  <si>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</si>
  <si>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</si>
  <si>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</si>
  <si>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</si>
  <si>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</si>
  <si>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</si>
  <si>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</si>
  <si>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</si>
  <si>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</si>
  <si>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</si>
  <si>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</si>
  <si>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</si>
  <si>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</si>
  <si>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</si>
  <si>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</si>
  <si>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</si>
  <si>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</si>
  <si>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</si>
  <si>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</si>
  <si>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</si>
  <si>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</si>
  <si>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</si>
  <si>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</si>
  <si>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</si>
  <si>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</si>
  <si>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</si>
  <si>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</si>
  <si>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</si>
  <si>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</si>
  <si>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</si>
  <si>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</si>
  <si>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</si>
  <si>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</si>
  <si>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</si>
  <si>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</si>
  <si>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</si>
  <si>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</si>
  <si>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</si>
  <si>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</si>
  <si>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</si>
  <si>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</si>
  <si>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</si>
  <si>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</si>
  <si>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</si>
  <si>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</si>
  <si>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</si>
  <si>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</si>
  <si>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</si>
  <si>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</si>
  <si>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</si>
  <si>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</si>
  <si>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</si>
  <si>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</si>
  <si>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</si>
  <si>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</si>
  <si>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</si>
  <si>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</si>
  <si>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</si>
  <si>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</si>
  <si>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</si>
  <si>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</si>
  <si>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</si>
  <si>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</si>
  <si>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</si>
  <si>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</si>
  <si>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</si>
  <si>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</si>
  <si>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</si>
  <si>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</si>
  <si>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</si>
  <si>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</si>
  <si>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</si>
  <si>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</si>
  <si>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</si>
  <si>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</si>
  <si>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</si>
  <si>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</si>
  <si>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</si>
  <si>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</si>
  <si>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</si>
  <si>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</si>
  <si>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</si>
  <si>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</si>
  <si>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</si>
  <si>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</si>
  <si>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</si>
  <si>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</si>
  <si>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</si>
  <si>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</si>
  <si>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</si>
  <si>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</si>
  <si>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</si>
  <si>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</si>
  <si>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</si>
  <si>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</si>
  <si>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</si>
  <si>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</si>
  <si>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</si>
  <si>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</si>
  <si>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</si>
  <si>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</si>
  <si>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</si>
  <si>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</si>
  <si>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</si>
  <si>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</si>
  <si>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</si>
  <si>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</si>
  <si>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</si>
  <si>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</si>
  <si>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</si>
  <si>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</si>
  <si>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</si>
  <si>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</si>
  <si>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</si>
  <si>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</si>
  <si>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</si>
  <si>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</si>
  <si>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</si>
  <si>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</si>
  <si>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</si>
  <si>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</si>
  <si>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</si>
  <si>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</si>
  <si>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</si>
  <si>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</si>
  <si>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</si>
  <si>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</si>
  <si>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</si>
  <si>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</si>
  <si>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</si>
  <si>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</si>
  <si>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</si>
  <si>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</si>
  <si>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</si>
  <si>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</si>
  <si>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</si>
  <si>
    <t>2026-04-29</t>
  </si>
  <si>
    <t>2026-04-30</t>
  </si>
  <si>
    <t>B</t>
    <phoneticPr fontId="5" type="noConversion"/>
  </si>
  <si>
    <t>태왕아너스오션</t>
    <phoneticPr fontId="12" type="noConversion"/>
  </si>
  <si>
    <t>봉선지웰아파트</t>
    <phoneticPr fontId="12" type="noConversion"/>
  </si>
  <si>
    <t>삼호진덕아파트</t>
    <phoneticPr fontId="12" type="noConversion"/>
  </si>
  <si>
    <t>사무실</t>
    <phoneticPr fontId="12" type="noConversion"/>
  </si>
  <si>
    <t>금촌동문아파트</t>
    <phoneticPr fontId="12" type="noConversion"/>
  </si>
  <si>
    <t>원일가대라곡</t>
    <phoneticPr fontId="12" type="noConversion"/>
  </si>
  <si>
    <t>목동세종그랑시아</t>
    <phoneticPr fontId="12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</si>
  <si>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</si>
  <si>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</si>
  <si>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</si>
  <si>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</si>
  <si>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C</t>
    <phoneticPr fontId="5" type="noConversion"/>
  </si>
  <si>
    <t>천강건설㈜</t>
    <phoneticPr fontId="12" type="noConversion"/>
  </si>
  <si>
    <t>학마을서원아파트</t>
  </si>
  <si>
    <t>특허료</t>
    <phoneticPr fontId="5" type="noConversion"/>
  </si>
  <si>
    <t>A</t>
    <phoneticPr fontId="5" type="noConversion"/>
  </si>
  <si>
    <t>㈜기림이앤씨</t>
    <phoneticPr fontId="5" type="noConversion"/>
  </si>
  <si>
    <t>㈜에스엠에이</t>
    <phoneticPr fontId="5" type="noConversion"/>
  </si>
  <si>
    <t>㈜석민이앤씨</t>
    <phoneticPr fontId="5" type="noConversion"/>
  </si>
  <si>
    <t>두정이편한세상3차아파트</t>
    <phoneticPr fontId="5" type="noConversion"/>
  </si>
  <si>
    <t xml:space="preserve">신동아파밀리에아파트  </t>
    <phoneticPr fontId="5" type="noConversion"/>
  </si>
  <si>
    <t>이천신둔코아루아파트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</si>
  <si>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</si>
  <si>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</si>
  <si>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</si>
  <si>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선급금</t>
    <phoneticPr fontId="5" type="noConversion"/>
  </si>
  <si>
    <t>(주)이음건설</t>
    <phoneticPr fontId="12" type="noConversion"/>
  </si>
  <si>
    <t>당하동태평아파트</t>
    <phoneticPr fontId="12" type="noConversion"/>
  </si>
  <si>
    <t>사무실</t>
    <phoneticPr fontId="12" type="noConversion"/>
  </si>
  <si>
    <t>경동택배 무안청계882</t>
    <phoneticPr fontId="12" type="noConversion"/>
  </si>
  <si>
    <t>가람마을10단지</t>
    <phoneticPr fontId="12" type="noConversion"/>
  </si>
  <si>
    <t>자재</t>
    <phoneticPr fontId="5" type="noConversion"/>
  </si>
  <si>
    <t>㈜우인건설</t>
    <phoneticPr fontId="5" type="noConversion"/>
  </si>
  <si>
    <t>사무실</t>
    <phoneticPr fontId="5" type="noConversion"/>
  </si>
  <si>
    <t>B</t>
    <phoneticPr fontId="5" type="noConversion"/>
  </si>
  <si>
    <t>2026-05-04</t>
  </si>
  <si>
    <t>신일종합상사</t>
  </si>
  <si>
    <t>동촌연구소</t>
    <phoneticPr fontId="12" type="noConversion"/>
  </si>
  <si>
    <t>헬리오시티</t>
    <phoneticPr fontId="12" type="noConversion"/>
  </si>
  <si>
    <t>해가든더클래식아파트</t>
    <phoneticPr fontId="5" type="noConversion"/>
  </si>
  <si>
    <t>구로두산위브아파트</t>
    <phoneticPr fontId="5" type="noConversion"/>
  </si>
  <si>
    <t>오산대역 엘크루 아파트</t>
    <phoneticPr fontId="5" type="noConversion"/>
  </si>
  <si>
    <t>A</t>
    <phoneticPr fontId="5" type="noConversion"/>
  </si>
  <si>
    <t>여름건설(주)</t>
    <phoneticPr fontId="5" type="noConversion"/>
  </si>
  <si>
    <t>㈜방수존건설</t>
    <phoneticPr fontId="5" type="noConversion"/>
  </si>
  <si>
    <t>㈜이음건설</t>
    <phoneticPr fontId="5" type="noConversion"/>
  </si>
  <si>
    <t>선급금</t>
    <phoneticPr fontId="5" type="noConversion"/>
  </si>
  <si>
    <t>선급금</t>
    <phoneticPr fontId="5" type="noConversion"/>
  </si>
  <si>
    <t>선급금</t>
    <phoneticPr fontId="5" type="noConversion"/>
  </si>
  <si>
    <t>내서숲속마을주공그린빌4단지</t>
    <phoneticPr fontId="12" type="noConversion"/>
  </si>
  <si>
    <t>삼정그린코아포레스트2단지</t>
    <phoneticPr fontId="12" type="noConversion"/>
  </si>
  <si>
    <t>자재</t>
    <phoneticPr fontId="5" type="noConversion"/>
  </si>
  <si>
    <t>B</t>
    <phoneticPr fontId="5" type="noConversion"/>
  </si>
  <si>
    <t>디오공법(주)</t>
  </si>
  <si>
    <t>초담건설(주)</t>
  </si>
  <si>
    <t>대지마을현대홈타운3차</t>
    <phoneticPr fontId="12" type="noConversion"/>
  </si>
  <si>
    <t>연향금호타운</t>
    <phoneticPr fontId="12" type="noConversion"/>
  </si>
  <si>
    <t>창원트리비앙</t>
    <phoneticPr fontId="12" type="noConversion"/>
  </si>
  <si>
    <t>신월금용아파트</t>
    <phoneticPr fontId="12" type="noConversion"/>
  </si>
  <si>
    <t>원다빌2차아파트</t>
    <phoneticPr fontId="5" type="noConversion"/>
  </si>
  <si>
    <t>우미이노스빌아파트</t>
    <phoneticPr fontId="5" type="noConversion"/>
  </si>
  <si>
    <t>불당파크푸르지오2단지</t>
    <phoneticPr fontId="5" type="noConversion"/>
  </si>
  <si>
    <t>A</t>
    <phoneticPr fontId="5" type="noConversion"/>
  </si>
  <si>
    <t>고척파크푸르지오</t>
    <phoneticPr fontId="5" type="noConversion"/>
  </si>
  <si>
    <t>해가든더클래식아파트</t>
    <phoneticPr fontId="5" type="noConversion"/>
  </si>
  <si>
    <t>다솜아파트</t>
    <phoneticPr fontId="5" type="noConversion"/>
  </si>
  <si>
    <t>선급금</t>
    <phoneticPr fontId="5" type="noConversion"/>
  </si>
  <si>
    <t>중도금</t>
    <phoneticPr fontId="5" type="noConversion"/>
  </si>
  <si>
    <t>중도금</t>
    <phoneticPr fontId="5" type="noConversion"/>
  </si>
  <si>
    <t>중도금</t>
    <phoneticPr fontId="5" type="noConversion"/>
  </si>
  <si>
    <t>선급금</t>
    <phoneticPr fontId="5" type="noConversion"/>
  </si>
  <si>
    <t>초담건설(주)</t>
    <phoneticPr fontId="5" type="noConversion"/>
  </si>
  <si>
    <t>㈜다수건설</t>
    <phoneticPr fontId="5" type="noConversion"/>
  </si>
  <si>
    <t>㈜기림이앤씨</t>
    <phoneticPr fontId="5" type="noConversion"/>
  </si>
  <si>
    <t>㈜국제특수건설</t>
    <phoneticPr fontId="5" type="noConversion"/>
  </si>
  <si>
    <t>여름건설(주)</t>
    <phoneticPr fontId="5" type="noConversion"/>
  </si>
  <si>
    <t>㈜적산건설</t>
    <phoneticPr fontId="5" type="noConversion"/>
  </si>
  <si>
    <t>김포호반베르디움</t>
  </si>
  <si>
    <t>경동택배대전서구정림416</t>
  </si>
  <si>
    <t>힐스테이트광교</t>
    <phoneticPr fontId="12" type="noConversion"/>
  </si>
  <si>
    <t>작전미도아파트</t>
    <phoneticPr fontId="12" type="noConversion"/>
  </si>
  <si>
    <t>서울역센트럴자이</t>
    <phoneticPr fontId="12" type="noConversion"/>
  </si>
  <si>
    <t>정평역하늘채리버파크</t>
    <phoneticPr fontId="12" type="noConversion"/>
  </si>
  <si>
    <t>민락엘레트19</t>
    <phoneticPr fontId="12" type="noConversion"/>
  </si>
  <si>
    <t>포천극동2차스타클래스</t>
    <phoneticPr fontId="12" type="noConversion"/>
  </si>
  <si>
    <t>초원성원아파트</t>
    <phoneticPr fontId="12" type="noConversion"/>
  </si>
  <si>
    <t>운남우방아이유쉘</t>
    <phoneticPr fontId="12" type="noConversion"/>
  </si>
  <si>
    <t>늘푸른마을코오롱</t>
    <phoneticPr fontId="12" type="noConversion"/>
  </si>
  <si>
    <t>봉선지웰아파트</t>
    <phoneticPr fontId="12" type="noConversion"/>
  </si>
  <si>
    <t>남악경남아너스빌</t>
    <phoneticPr fontId="12" type="noConversion"/>
  </si>
  <si>
    <t>병점한신아파트</t>
    <phoneticPr fontId="12" type="noConversion"/>
  </si>
  <si>
    <t>모락산현대아파트</t>
    <phoneticPr fontId="12" type="noConversion"/>
  </si>
  <si>
    <t>목동세종그랑시아</t>
    <phoneticPr fontId="12" type="noConversion"/>
  </si>
  <si>
    <t>황성현대5차</t>
    <phoneticPr fontId="12" type="noConversion"/>
  </si>
  <si>
    <t>삼송호반베르디움9단지</t>
    <phoneticPr fontId="12" type="noConversion"/>
  </si>
  <si>
    <t>여주하리현대</t>
    <phoneticPr fontId="12" type="noConversion"/>
  </si>
  <si>
    <t>작전미도아파트</t>
    <phoneticPr fontId="12" type="noConversion"/>
  </si>
  <si>
    <t>죽림푸르지오3차</t>
    <phoneticPr fontId="12" type="noConversion"/>
  </si>
  <si>
    <t>서정마을금호타운</t>
    <phoneticPr fontId="12" type="noConversion"/>
  </si>
  <si>
    <t>구월동아아파트</t>
    <phoneticPr fontId="12" type="noConversion"/>
  </si>
  <si>
    <t>일광자이푸르지오2단지</t>
    <phoneticPr fontId="12" type="noConversion"/>
  </si>
  <si>
    <t>신흥역하늘채랜더스원1단지</t>
    <phoneticPr fontId="12" type="noConversion"/>
  </si>
  <si>
    <t>진달래마을신동아</t>
    <phoneticPr fontId="12" type="noConversion"/>
  </si>
  <si>
    <t>백현마을롯데캐슬</t>
    <phoneticPr fontId="12" type="noConversion"/>
  </si>
  <si>
    <t>진산마을성원상떼빌</t>
    <phoneticPr fontId="12" type="noConversion"/>
  </si>
  <si>
    <t>주식회사 세오엔지니어링</t>
  </si>
  <si>
    <t>(주)더원산업개발</t>
  </si>
  <si>
    <t>B</t>
    <phoneticPr fontId="5" type="noConversion"/>
  </si>
  <si>
    <t>2026-05-06</t>
  </si>
  <si>
    <t>2026-05-07</t>
  </si>
  <si>
    <t>2026-05-08</t>
  </si>
  <si>
    <t>자재</t>
    <phoneticPr fontId="5" type="noConversion"/>
  </si>
  <si>
    <t>(주)삼성리페어링</t>
  </si>
  <si>
    <t>여주현대하리</t>
  </si>
  <si>
    <t>송정풍산아파트</t>
  </si>
  <si>
    <t>구로한신휴플러스</t>
    <phoneticPr fontId="12" type="noConversion"/>
  </si>
  <si>
    <t>하계극동건영벽산</t>
    <phoneticPr fontId="12" type="noConversion"/>
  </si>
  <si>
    <t>1/12 계산서 취소건</t>
    <phoneticPr fontId="12" type="noConversion"/>
  </si>
  <si>
    <t>늘푸른마을코오롱 추가</t>
    <phoneticPr fontId="12" type="noConversion"/>
  </si>
  <si>
    <t>삼정그린코아포레스트2단지</t>
    <phoneticPr fontId="12" type="noConversion"/>
  </si>
  <si>
    <t>늘푸른마을코오롱</t>
    <phoneticPr fontId="12" type="noConversion"/>
  </si>
  <si>
    <t>화봉쌍용예가</t>
    <phoneticPr fontId="12" type="noConversion"/>
  </si>
  <si>
    <t>대전한우리아파트</t>
    <phoneticPr fontId="12" type="noConversion"/>
  </si>
  <si>
    <t>한빛마을8단지운정아모리움</t>
    <phoneticPr fontId="12" type="noConversion"/>
  </si>
  <si>
    <t>성산마을서해그랑블</t>
    <phoneticPr fontId="12" type="noConversion"/>
  </si>
  <si>
    <t>현대한강아파트</t>
    <phoneticPr fontId="12" type="noConversion"/>
  </si>
  <si>
    <t>삼송리슈빌센트럴파크</t>
    <phoneticPr fontId="12" type="noConversion"/>
  </si>
  <si>
    <t>2026-05-11</t>
  </si>
  <si>
    <t>용인공장 방문건</t>
    <phoneticPr fontId="12" type="noConversion"/>
  </si>
  <si>
    <t>여주하리현대</t>
  </si>
  <si>
    <t>봉선지웰아파트</t>
  </si>
  <si>
    <t>㈜석민이앤씨</t>
    <phoneticPr fontId="5" type="noConversion"/>
  </si>
  <si>
    <t>㈜수안건설</t>
    <phoneticPr fontId="5" type="noConversion"/>
  </si>
  <si>
    <t>㈜에이치제이건설</t>
    <phoneticPr fontId="5" type="noConversion"/>
  </si>
  <si>
    <t>㈜청명이앤디</t>
    <phoneticPr fontId="5" type="noConversion"/>
  </si>
  <si>
    <t>서면동일파크스위트3차</t>
    <phoneticPr fontId="5" type="noConversion"/>
  </si>
  <si>
    <t>기술자문료</t>
    <phoneticPr fontId="5" type="noConversion"/>
  </si>
  <si>
    <t xml:space="preserve">일광자이푸르지오1단지 </t>
    <phoneticPr fontId="5" type="noConversion"/>
  </si>
  <si>
    <t>일광자이푸르지오2단지</t>
    <phoneticPr fontId="5" type="noConversion"/>
  </si>
  <si>
    <t>A</t>
    <phoneticPr fontId="5" type="noConversion"/>
  </si>
  <si>
    <t>지웰시티푸르지오1단지오피스텔</t>
    <phoneticPr fontId="5" type="noConversion"/>
  </si>
  <si>
    <t>영산대학교</t>
    <phoneticPr fontId="5" type="noConversion"/>
  </si>
  <si>
    <t>서강쌍용예가아파트</t>
    <phoneticPr fontId="5" type="noConversion"/>
  </si>
  <si>
    <t xml:space="preserve">송산푸르지오아파트 </t>
    <phoneticPr fontId="5" type="noConversion"/>
  </si>
  <si>
    <t>㈜기림이앤씨</t>
    <phoneticPr fontId="5" type="noConversion"/>
  </si>
  <si>
    <t>주식회사 대신하우징</t>
    <phoneticPr fontId="5" type="noConversion"/>
  </si>
  <si>
    <t>코지건설(주)</t>
    <phoneticPr fontId="5" type="noConversion"/>
  </si>
  <si>
    <t>선급금</t>
    <phoneticPr fontId="5" type="noConversion"/>
  </si>
  <si>
    <t>잔금</t>
    <phoneticPr fontId="5" type="noConversion"/>
  </si>
  <si>
    <t>선급금</t>
    <phoneticPr fontId="5" type="noConversion"/>
  </si>
  <si>
    <t>확인후</t>
    <phoneticPr fontId="5" type="noConversion"/>
  </si>
  <si>
    <t>확인후</t>
    <phoneticPr fontId="5" type="noConversion"/>
  </si>
  <si>
    <t>이천롯데캐슬골드스카이 아파트</t>
    <phoneticPr fontId="12" type="noConversion"/>
  </si>
  <si>
    <t>은행마을녹원아파트</t>
    <phoneticPr fontId="12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</si>
  <si>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경하이앤씨</t>
    </r>
    <phoneticPr fontId="12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</si>
  <si>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도원씨엔씨</t>
    </r>
    <phoneticPr fontId="12" type="noConversion"/>
  </si>
  <si>
    <t>c</t>
    <phoneticPr fontId="5" type="noConversion"/>
  </si>
  <si>
    <t>c</t>
    <phoneticPr fontId="5" type="noConversion"/>
  </si>
  <si>
    <t>이루미건설(주)</t>
  </si>
  <si>
    <t>2026-05-12</t>
  </si>
  <si>
    <t>잠실리센츠</t>
    <phoneticPr fontId="12" type="noConversion"/>
  </si>
  <si>
    <t>보성우산주공</t>
    <phoneticPr fontId="12" type="noConversion"/>
  </si>
  <si>
    <t>효천1지구중흥S클래스</t>
    <phoneticPr fontId="12" type="noConversion"/>
  </si>
  <si>
    <t>내서숲속마을주공그린빌4단지</t>
    <phoneticPr fontId="12" type="noConversion"/>
  </si>
  <si>
    <t>신정마을극동임광</t>
    <phoneticPr fontId="12" type="noConversion"/>
  </si>
  <si>
    <t>김포이편한세상한강신도시2차</t>
    <phoneticPr fontId="12" type="noConversion"/>
  </si>
  <si>
    <t>이편한세상밀양삼문</t>
    <phoneticPr fontId="12" type="noConversion"/>
  </si>
  <si>
    <t>평택장당우미이노스빌3차</t>
    <phoneticPr fontId="12" type="noConversion"/>
  </si>
  <si>
    <t>흥한웰가아파트</t>
    <phoneticPr fontId="12" type="noConversion"/>
  </si>
  <si>
    <t>씨엘늘채움아파트</t>
    <phoneticPr fontId="12" type="noConversion"/>
  </si>
  <si>
    <t>군문주공2단지</t>
    <phoneticPr fontId="12" type="noConversion"/>
  </si>
  <si>
    <t>죽림푸르지오3차</t>
    <phoneticPr fontId="12" type="noConversion"/>
  </si>
  <si>
    <t>자재</t>
    <phoneticPr fontId="5" type="noConversion"/>
  </si>
  <si>
    <t>B</t>
    <phoneticPr fontId="5" type="noConversion"/>
  </si>
  <si>
    <t>대표님 협의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</si>
</sst>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41" fontId="7" fillId="2" borderId="1" xfId="17" applyFont="1" applyFill="1" applyBorder="1">
      <alignment vertical="center"/>
    </xf>
    <xf numFmtId="178" fontId="7" fillId="2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7" fillId="0" borderId="1" xfId="0" applyFont="1" applyFill="1" applyBorder="1" applyAlignment="1">
      <alignment vertical="center"/>
    </xf>
    <xf numFmtId="178" fontId="7" fillId="0" borderId="1" xfId="0" applyNumberFormat="1" applyFont="1" applyFill="1" applyBorder="1" applyAlignment="1">
      <alignment horizontal="center" vertical="center"/>
    </xf>
    <xf numFmtId="41" fontId="7" fillId="0" borderId="1" xfId="17" applyFont="1" applyFill="1" applyBorder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7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665"/>
  <sheetViews>
    <sheetView tabSelected="1" zoomScaleNormal="100" workbookViewId="0">
      <pane xSplit="5" ySplit="1" topLeftCell="F9" activePane="bottomRight" state="frozen"/>
      <selection pane="topRight"/>
      <selection pane="bottomLeft"/>
      <selection pane="bottomRight" activeCell="H675" sqref="H675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358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175</v>
      </c>
      <c r="J4" s="13" t="str">
        <f t="shared" ca="1" si="2"/>
        <v>장기미수</v>
      </c>
      <c r="K4" s="11">
        <v>46111</v>
      </c>
      <c r="L4" s="11">
        <v>46142</v>
      </c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338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240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>
        <v>46141</v>
      </c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145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140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323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183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498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918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722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562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700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699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791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433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428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418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412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408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408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407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405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384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370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349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337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307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285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356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280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258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253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210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208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197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450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315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315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266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121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80</v>
      </c>
      <c r="J96" s="13" t="str">
        <f t="shared" ca="1" si="7"/>
        <v>관리</v>
      </c>
      <c r="K96" s="11">
        <v>46142</v>
      </c>
      <c r="L96" s="11">
        <v>46142</v>
      </c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>
        <v>46142</v>
      </c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115</v>
      </c>
      <c r="J100" s="13" t="str">
        <f t="shared" ca="1" si="11"/>
        <v>장기미수</v>
      </c>
      <c r="K100" s="11"/>
      <c r="L100" s="11">
        <v>46142</v>
      </c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78</v>
      </c>
      <c r="J104" s="13" t="str">
        <f t="shared" ca="1" si="11"/>
        <v>관리</v>
      </c>
      <c r="K104" s="11">
        <v>46142</v>
      </c>
      <c r="L104" s="11">
        <v>46142</v>
      </c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78</v>
      </c>
      <c r="J105" s="13" t="str">
        <f t="shared" ca="1" si="11"/>
        <v>관리</v>
      </c>
      <c r="K105" s="11">
        <v>46142</v>
      </c>
      <c r="L105" s="11">
        <v>46142</v>
      </c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90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77</v>
      </c>
      <c r="J108" s="13" t="str">
        <f t="shared" ca="1" si="11"/>
        <v>관리</v>
      </c>
      <c r="K108" s="11">
        <v>46142</v>
      </c>
      <c r="L108" s="11">
        <v>46142</v>
      </c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/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89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88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77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62</v>
      </c>
      <c r="J122" s="13" t="str">
        <f t="shared" ca="1" si="11"/>
        <v>관리</v>
      </c>
      <c r="K122" s="11"/>
      <c r="L122" s="11">
        <v>46142</v>
      </c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62</v>
      </c>
      <c r="J123" s="13" t="str">
        <f t="shared" ca="1" si="11"/>
        <v>관리</v>
      </c>
      <c r="K123" s="11">
        <v>46142</v>
      </c>
      <c r="L123" s="11">
        <v>46142</v>
      </c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71</v>
      </c>
      <c r="J128" s="13" t="str">
        <f t="shared" ca="1" si="13"/>
        <v>관리</v>
      </c>
      <c r="K128" s="11">
        <v>46173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71</v>
      </c>
      <c r="J130" s="13" t="str">
        <f t="shared" ca="1" si="13"/>
        <v>관리</v>
      </c>
      <c r="K130" s="11">
        <v>46173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56</v>
      </c>
      <c r="J143" s="13" t="str">
        <f t="shared" ca="1" si="13"/>
        <v>관리</v>
      </c>
      <c r="K143" s="11">
        <v>46142</v>
      </c>
      <c r="L143" s="11">
        <v>46142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69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>
        <v>46141</v>
      </c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69</v>
      </c>
      <c r="J147" s="13" t="str">
        <f t="shared" ca="1" si="13"/>
        <v>관리</v>
      </c>
      <c r="K147" s="11">
        <v>46173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69</v>
      </c>
      <c r="J148" s="13" t="str">
        <f t="shared" ca="1" si="13"/>
        <v>관리</v>
      </c>
      <c r="K148" s="11">
        <v>46173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69</v>
      </c>
      <c r="J149" s="13" t="str">
        <f t="shared" ca="1" si="13"/>
        <v>관리</v>
      </c>
      <c r="K149" s="11">
        <v>46173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62</v>
      </c>
      <c r="J157" s="13" t="str">
        <f t="shared" ca="1" si="13"/>
        <v>관리</v>
      </c>
      <c r="K157" s="11"/>
      <c r="L157" s="11">
        <v>46149</v>
      </c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52</v>
      </c>
      <c r="J159" s="13" t="str">
        <f t="shared" ca="1" si="15"/>
        <v>관리</v>
      </c>
      <c r="K159" s="11"/>
      <c r="L159" s="11">
        <v>46142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52</v>
      </c>
      <c r="J161" s="13" t="str">
        <f t="shared" ca="1" si="15"/>
        <v>관리</v>
      </c>
      <c r="K161" s="11">
        <v>46142</v>
      </c>
      <c r="L161" s="11">
        <v>46142</v>
      </c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64</v>
      </c>
      <c r="J166" s="13" t="str">
        <f t="shared" ca="1" si="15"/>
        <v>관리</v>
      </c>
      <c r="K166" s="11">
        <v>46173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64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942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64</v>
      </c>
      <c r="J172" s="13" t="str">
        <f t="shared" ca="1" si="15"/>
        <v>관리</v>
      </c>
      <c r="K172" s="11">
        <v>46164</v>
      </c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64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64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51</v>
      </c>
      <c r="J177" s="13" t="str">
        <f t="shared" ca="1" si="15"/>
        <v>관리</v>
      </c>
      <c r="K177" s="11">
        <v>46142</v>
      </c>
      <c r="L177" s="11">
        <v>46142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63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62</v>
      </c>
      <c r="J183" s="13" t="str">
        <f t="shared" ca="1" si="15"/>
        <v>관리</v>
      </c>
      <c r="K183" s="11"/>
      <c r="L183" s="11">
        <v>46154</v>
      </c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63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63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49</v>
      </c>
      <c r="J187" s="13" t="str">
        <f t="shared" ca="1" si="15"/>
        <v>관리</v>
      </c>
      <c r="K187" s="11"/>
      <c r="L187" s="11">
        <v>46142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49</v>
      </c>
      <c r="J189" s="13" t="str">
        <f t="shared" ca="1" si="15"/>
        <v>관리</v>
      </c>
      <c r="K189" s="11"/>
      <c r="L189" s="11">
        <v>46142</v>
      </c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62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62</v>
      </c>
      <c r="J191" s="13" t="str">
        <f t="shared" ca="1" si="17"/>
        <v>관리</v>
      </c>
      <c r="K191" s="11">
        <v>46173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62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61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61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61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61</v>
      </c>
      <c r="J198" s="13" t="str">
        <f t="shared" ca="1" si="17"/>
        <v>관리</v>
      </c>
      <c r="K198" s="11">
        <v>46173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61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>
        <v>46141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>
        <v>46141</v>
      </c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57</v>
      </c>
      <c r="J204" s="13" t="str">
        <f t="shared" ca="1" si="17"/>
        <v>관리</v>
      </c>
      <c r="K204" s="11">
        <v>46164</v>
      </c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57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44</v>
      </c>
      <c r="J206" s="13" t="str">
        <f t="shared" ca="1" si="17"/>
        <v>관리</v>
      </c>
      <c r="K206" s="11"/>
      <c r="L206" s="11">
        <v>46142</v>
      </c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>
        <v>46141</v>
      </c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>
        <v>46141</v>
      </c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>
        <v>46141</v>
      </c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44</v>
      </c>
      <c r="J212" s="13" t="str">
        <f t="shared" ca="1" si="17"/>
        <v>관리</v>
      </c>
      <c r="K212" s="11">
        <v>46142</v>
      </c>
      <c r="L212" s="11">
        <v>46142</v>
      </c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44</v>
      </c>
      <c r="J213" s="13" t="str">
        <f t="shared" ca="1" si="17"/>
        <v>관리</v>
      </c>
      <c r="K213" s="11">
        <v>46142</v>
      </c>
      <c r="L213" s="11">
        <v>46142</v>
      </c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57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>
        <v>46141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>
        <v>46141</v>
      </c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56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55</v>
      </c>
      <c r="J226" s="13" t="str">
        <f t="shared" ca="1" si="19"/>
        <v>관리</v>
      </c>
      <c r="K226" s="11" t="s">
        <v>919</v>
      </c>
      <c r="L226" s="11">
        <v>46154</v>
      </c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43</v>
      </c>
      <c r="J229" s="13" t="str">
        <f t="shared" ca="1" si="19"/>
        <v>관리</v>
      </c>
      <c r="K229" s="11"/>
      <c r="L229" s="11">
        <v>46142</v>
      </c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55</v>
      </c>
      <c r="J230" s="13" t="str">
        <f t="shared" ca="1" si="19"/>
        <v>관리</v>
      </c>
      <c r="K230" s="11">
        <v>46173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>
        <v>46141</v>
      </c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49</v>
      </c>
      <c r="J233" s="13" t="str">
        <f t="shared" ca="1" si="19"/>
        <v>관리</v>
      </c>
      <c r="K233" s="11"/>
      <c r="L233" s="11">
        <v>46149</v>
      </c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55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42</v>
      </c>
      <c r="J238" s="13" t="str">
        <f t="shared" ca="1" si="19"/>
        <v>관리</v>
      </c>
      <c r="K238" s="11"/>
      <c r="L238" s="11">
        <v>46142</v>
      </c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55</v>
      </c>
      <c r="J241" s="13" t="str">
        <f t="shared" ca="1" si="19"/>
        <v>관리</v>
      </c>
      <c r="K241" s="11">
        <v>46173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55</v>
      </c>
      <c r="J243" s="13" t="str">
        <f t="shared" ca="1" si="19"/>
        <v>관리</v>
      </c>
      <c r="K243" s="11">
        <v>46173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54</v>
      </c>
      <c r="J249" s="13" t="str">
        <f t="shared" ca="1" si="19"/>
        <v>관리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54</v>
      </c>
      <c r="J250" s="13" t="str">
        <f t="shared" ca="1" si="19"/>
        <v>관리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51</v>
      </c>
      <c r="J257" s="13" t="str">
        <f t="shared" ca="1" si="21"/>
        <v>관리</v>
      </c>
      <c r="K257" s="11">
        <v>46173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51</v>
      </c>
      <c r="J259" s="13" t="str">
        <f t="shared" ca="1" si="21"/>
        <v>관리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>
        <v>46141</v>
      </c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38</v>
      </c>
      <c r="J262" s="13" t="str">
        <f t="shared" ca="1" si="21"/>
        <v>정상</v>
      </c>
      <c r="K262" s="11">
        <v>46142</v>
      </c>
      <c r="L262" s="11">
        <v>46142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51</v>
      </c>
      <c r="J267" s="13" t="str">
        <f t="shared" ca="1" si="21"/>
        <v>관리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>
        <v>46141</v>
      </c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>
        <v>46141</v>
      </c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50</v>
      </c>
      <c r="J270" s="13" t="str">
        <f t="shared" ca="1" si="21"/>
        <v>관리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50</v>
      </c>
      <c r="J271" s="13" t="str">
        <f t="shared" ca="1" si="21"/>
        <v>관리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50</v>
      </c>
      <c r="J272" s="13" t="str">
        <f t="shared" ca="1" si="21"/>
        <v>관리</v>
      </c>
      <c r="K272" s="11">
        <v>46173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>
        <v>46141</v>
      </c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50</v>
      </c>
      <c r="J275" s="13" t="str">
        <f t="shared" ca="1" si="21"/>
        <v>관리</v>
      </c>
      <c r="K275" s="11">
        <v>46173</v>
      </c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47</v>
      </c>
      <c r="J277" s="13" t="str">
        <f t="shared" ca="1" si="21"/>
        <v>관리</v>
      </c>
      <c r="K277" s="11"/>
      <c r="L277" s="11">
        <v>46154</v>
      </c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>
        <v>46141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>
        <v>46141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36</v>
      </c>
      <c r="J282" s="13" t="str">
        <f t="shared" ca="1" si="21"/>
        <v>정상</v>
      </c>
      <c r="K282" s="11">
        <v>46142</v>
      </c>
      <c r="L282" s="11">
        <v>46142</v>
      </c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>
        <v>46141</v>
      </c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>
        <v>46141</v>
      </c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36</v>
      </c>
      <c r="J285" s="13" t="str">
        <f t="shared" ca="1" si="21"/>
        <v>정상</v>
      </c>
      <c r="K285" s="11">
        <v>46142</v>
      </c>
      <c r="L285" s="11">
        <v>46142</v>
      </c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49</v>
      </c>
      <c r="J287" s="13" t="str">
        <f t="shared" ca="1" si="23"/>
        <v>관리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49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35</v>
      </c>
      <c r="J290" s="13" t="str">
        <f t="shared" ca="1" si="23"/>
        <v>정상</v>
      </c>
      <c r="K290" s="11"/>
      <c r="L290" s="11">
        <v>46142</v>
      </c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35</v>
      </c>
      <c r="J291" s="13" t="str">
        <f t="shared" ca="1" si="23"/>
        <v>정상</v>
      </c>
      <c r="K291" s="11">
        <v>46142</v>
      </c>
      <c r="L291" s="11">
        <v>46142</v>
      </c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35</v>
      </c>
      <c r="J292" s="13" t="str">
        <f t="shared" ca="1" si="23"/>
        <v>정상</v>
      </c>
      <c r="K292" s="11"/>
      <c r="L292" s="11">
        <v>46142</v>
      </c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48</v>
      </c>
      <c r="J293" s="13" t="str">
        <f t="shared" ca="1" si="23"/>
        <v>관리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48</v>
      </c>
      <c r="J294" s="13" t="str">
        <f t="shared" ca="1" si="23"/>
        <v>관리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48</v>
      </c>
      <c r="J295" s="13" t="str">
        <f t="shared" ca="1" si="23"/>
        <v>관리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48</v>
      </c>
      <c r="J296" s="13" t="str">
        <f t="shared" ca="1" si="23"/>
        <v>관리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35</v>
      </c>
      <c r="J299" s="13" t="str">
        <f t="shared" ca="1" si="23"/>
        <v>정상</v>
      </c>
      <c r="K299" s="11"/>
      <c r="L299" s="11">
        <v>46142</v>
      </c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>
        <v>46141</v>
      </c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48</v>
      </c>
      <c r="J302" s="13" t="str">
        <f t="shared" ca="1" si="23"/>
        <v>관리</v>
      </c>
      <c r="K302" s="11">
        <v>46173</v>
      </c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41</v>
      </c>
      <c r="J303" s="13" t="str">
        <f t="shared" ca="1" si="23"/>
        <v>관리</v>
      </c>
      <c r="K303" s="11"/>
      <c r="L303" s="11">
        <v>46149</v>
      </c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47</v>
      </c>
      <c r="J304" s="13" t="str">
        <f t="shared" ca="1" si="23"/>
        <v>관리</v>
      </c>
      <c r="K304" s="11" t="s">
        <v>918</v>
      </c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47</v>
      </c>
      <c r="J305" s="13" t="str">
        <f t="shared" ca="1" si="23"/>
        <v>관리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47</v>
      </c>
      <c r="J306" s="13" t="str">
        <f t="shared" ca="1" si="23"/>
        <v>관리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44</v>
      </c>
      <c r="J309" s="13" t="str">
        <f t="shared" ca="1" si="23"/>
        <v>관리</v>
      </c>
      <c r="K309" s="11">
        <v>46157</v>
      </c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40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40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40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40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40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40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40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40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27</v>
      </c>
      <c r="J324" s="13" t="str">
        <f t="shared" ca="1" si="23"/>
        <v>정상</v>
      </c>
      <c r="K324" s="11">
        <v>46142</v>
      </c>
      <c r="L324" s="11">
        <v>46142</v>
      </c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40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40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40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40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40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40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40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40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37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24</v>
      </c>
      <c r="J336" s="13" t="str">
        <f t="shared" ca="1" si="23"/>
        <v>정상</v>
      </c>
      <c r="K336" s="11"/>
      <c r="L336" s="11">
        <v>46142</v>
      </c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37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37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37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24</v>
      </c>
      <c r="J342" s="13" t="str">
        <f t="shared" ca="1" si="23"/>
        <v>정상</v>
      </c>
      <c r="K342" s="11"/>
      <c r="L342" s="11">
        <v>46142</v>
      </c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37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24</v>
      </c>
      <c r="J344" s="13" t="str">
        <f t="shared" ca="1" si="23"/>
        <v>정상</v>
      </c>
      <c r="K344" s="11"/>
      <c r="L344" s="11">
        <v>46142</v>
      </c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37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37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37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37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37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37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37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37</v>
      </c>
      <c r="J355" s="13" t="str">
        <f t="shared" ca="1" si="25"/>
        <v>관리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37</v>
      </c>
      <c r="J357" s="13" t="str">
        <f t="shared" ca="1" si="25"/>
        <v>관리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27</v>
      </c>
      <c r="J359" s="13" t="str">
        <f t="shared" ca="1" si="25"/>
        <v>정상</v>
      </c>
      <c r="K359" s="11">
        <v>46142</v>
      </c>
      <c r="L359" s="11">
        <v>46142</v>
      </c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40</v>
      </c>
      <c r="J360" s="13" t="str">
        <f t="shared" ca="1" si="25"/>
        <v>관리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36</v>
      </c>
      <c r="J362" s="13" t="str">
        <f t="shared" ca="1" si="25"/>
        <v>관리</v>
      </c>
      <c r="K362" s="11"/>
      <c r="L362" s="11">
        <v>46150</v>
      </c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36</v>
      </c>
      <c r="J363" s="13" t="str">
        <f t="shared" ca="1" si="25"/>
        <v>관리</v>
      </c>
      <c r="K363" s="11">
        <v>46142</v>
      </c>
      <c r="L363" s="11">
        <v>46154</v>
      </c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36</v>
      </c>
      <c r="J368" s="13" t="str">
        <f t="shared" ca="1" si="25"/>
        <v>관리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35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35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35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35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35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35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35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35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35</v>
      </c>
      <c r="J382" s="13" t="str">
        <f t="shared" ca="1" si="25"/>
        <v>관리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34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34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34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34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34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34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33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20</v>
      </c>
      <c r="J395" s="13" t="str">
        <f t="shared" ca="1" si="25"/>
        <v>정상</v>
      </c>
      <c r="K395" s="11"/>
      <c r="L395" s="11">
        <v>46142</v>
      </c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33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33</v>
      </c>
      <c r="J400" s="13" t="str">
        <f t="shared" ca="1" si="25"/>
        <v>관리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29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16</v>
      </c>
      <c r="J403" s="13" t="str">
        <f t="shared" ca="1" si="25"/>
        <v>정상</v>
      </c>
      <c r="K403" s="44"/>
      <c r="L403" s="44">
        <v>46142</v>
      </c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30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30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17</v>
      </c>
      <c r="J409" s="13" t="str">
        <f t="shared" ca="1" si="25"/>
        <v>정상</v>
      </c>
      <c r="K409" s="44"/>
      <c r="L409" s="44">
        <v>46142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30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30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30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30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30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30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30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30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30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30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6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17</v>
      </c>
      <c r="J422" s="13" t="str">
        <f t="shared" ca="1" si="29"/>
        <v>정상</v>
      </c>
      <c r="K422" s="44"/>
      <c r="L422" s="44">
        <v>46142</v>
      </c>
      <c r="M422" s="42"/>
      <c r="N422" s="10" t="s">
        <v>33</v>
      </c>
      <c r="Q422" s="46"/>
      <c r="R422" s="46"/>
    </row>
    <row r="423" spans="2:18" ht="16.5" hidden="1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29</v>
      </c>
      <c r="J423" s="13" t="str">
        <f t="shared" ca="1" si="29"/>
        <v>정상</v>
      </c>
      <c r="N423" s="10" t="s">
        <v>33</v>
      </c>
    </row>
    <row r="424" spans="2:18" ht="16.5" hidden="1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29</v>
      </c>
      <c r="J424" s="13" t="str">
        <f t="shared" ca="1" si="29"/>
        <v>정상</v>
      </c>
      <c r="N424" s="10" t="s">
        <v>33</v>
      </c>
    </row>
    <row r="425" spans="2:18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29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hidden="1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16</v>
      </c>
      <c r="J429" s="13" t="str">
        <f t="shared" ca="1" si="29"/>
        <v>정상</v>
      </c>
      <c r="K429" s="44"/>
      <c r="L429" s="44">
        <v>46142</v>
      </c>
      <c r="M429" s="42"/>
      <c r="N429" s="10" t="s">
        <v>33</v>
      </c>
      <c r="Q429" s="46"/>
      <c r="R429" s="46"/>
    </row>
    <row r="430" spans="2:18" s="18" customFormat="1" ht="16.5" hidden="1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28</v>
      </c>
      <c r="J430" s="13" t="str">
        <f t="shared" ca="1" si="29"/>
        <v>정상</v>
      </c>
      <c r="K430" s="44"/>
      <c r="L430" s="44">
        <v>46154</v>
      </c>
      <c r="M430" s="42"/>
      <c r="N430" s="10" t="s">
        <v>33</v>
      </c>
      <c r="Q430" s="46"/>
      <c r="R430" s="46"/>
    </row>
    <row r="431" spans="2:18" s="18" customFormat="1" ht="16.5" hidden="1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20</v>
      </c>
      <c r="J431" s="13" t="str">
        <f t="shared" ca="1" si="29"/>
        <v>정상</v>
      </c>
      <c r="K431" s="44"/>
      <c r="L431" s="44">
        <v>46146</v>
      </c>
      <c r="M431" s="42"/>
      <c r="N431" s="10" t="s">
        <v>33</v>
      </c>
      <c r="Q431" s="46"/>
      <c r="R431" s="46"/>
    </row>
    <row r="432" spans="2:18" s="18" customFormat="1" ht="16.5" hidden="1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28</v>
      </c>
      <c r="J432" s="13" t="str">
        <f t="shared" ca="1" si="29"/>
        <v>정상</v>
      </c>
      <c r="K432" s="44"/>
      <c r="L432" s="44">
        <v>46154</v>
      </c>
      <c r="M432" s="42"/>
      <c r="N432" s="10" t="s">
        <v>33</v>
      </c>
      <c r="Q432" s="46"/>
      <c r="R432" s="46"/>
    </row>
    <row r="433" spans="2:18" s="18" customFormat="1" ht="16.5" hidden="1" customHeight="1">
      <c r="B433" s="10">
        <f>IF(C433="","",COUNTA($C$2:C433))</f>
        <v>432</v>
      </c>
      <c r="C433" s="44" t="s">
        <v>586</v>
      </c>
      <c r="D433" s="42" t="s">
        <v>243</v>
      </c>
      <c r="E433" s="6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29</v>
      </c>
      <c r="J433" s="13" t="str">
        <f t="shared" ca="1" si="29"/>
        <v>정상</v>
      </c>
      <c r="K433" s="44"/>
      <c r="L433" s="44"/>
      <c r="M433" s="42"/>
      <c r="N433" s="10" t="s">
        <v>33</v>
      </c>
      <c r="Q433" s="46"/>
      <c r="R433" s="46"/>
    </row>
    <row r="434" spans="2:18" ht="16.5" hidden="1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28</v>
      </c>
      <c r="J434" s="13" t="str">
        <f t="shared" ca="1" si="29"/>
        <v>정상</v>
      </c>
      <c r="N434" s="10" t="s">
        <v>33</v>
      </c>
    </row>
    <row r="435" spans="2:18" ht="16.5" hidden="1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28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hidden="1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28</v>
      </c>
      <c r="J436" s="13" t="str">
        <f t="shared" ca="1" si="29"/>
        <v>정상</v>
      </c>
      <c r="N436" s="10" t="s">
        <v>33</v>
      </c>
    </row>
    <row r="437" spans="2:18" ht="16.5" hidden="1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22</v>
      </c>
      <c r="J437" s="13" t="str">
        <f t="shared" ca="1" si="29"/>
        <v>정상</v>
      </c>
      <c r="L437" s="44">
        <v>46149</v>
      </c>
      <c r="N437" s="10" t="s">
        <v>33</v>
      </c>
    </row>
    <row r="438" spans="2:18" ht="16.5" hidden="1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28</v>
      </c>
      <c r="J438" s="13" t="str">
        <f t="shared" ca="1" si="29"/>
        <v>정상</v>
      </c>
      <c r="N438" s="10" t="s">
        <v>33</v>
      </c>
    </row>
    <row r="439" spans="2:18" ht="16.5" hidden="1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28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15</v>
      </c>
      <c r="J440" s="13" t="str">
        <f t="shared" ca="1" si="29"/>
        <v>정상</v>
      </c>
      <c r="L440" s="44">
        <v>46142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28</v>
      </c>
      <c r="J441" s="13" t="str">
        <f t="shared" ca="1" si="29"/>
        <v>정상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27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27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27</v>
      </c>
      <c r="J445" s="13" t="str">
        <f t="shared" ca="1" si="29"/>
        <v>정상</v>
      </c>
      <c r="N445" s="10" t="s">
        <v>33</v>
      </c>
    </row>
    <row r="446" spans="2:18" s="18" customFormat="1" ht="16.5" hidden="1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hidden="1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hidden="1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hidden="1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hidden="1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26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hidden="1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26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hidden="1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26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23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23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23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23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23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23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23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23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23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22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22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9</v>
      </c>
      <c r="J465" s="13" t="str">
        <f t="shared" ca="1" si="29"/>
        <v>정상</v>
      </c>
      <c r="K465" s="44"/>
      <c r="L465" s="44">
        <v>46142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22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22</v>
      </c>
      <c r="J468" s="13" t="str">
        <f t="shared" ca="1" si="29"/>
        <v>정상</v>
      </c>
      <c r="K468" s="44">
        <v>46142</v>
      </c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22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hidden="1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26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hidden="1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21</v>
      </c>
      <c r="J472" s="13" t="str">
        <f t="shared" ca="1" si="31"/>
        <v>정상</v>
      </c>
      <c r="L472" s="44">
        <v>46153</v>
      </c>
      <c r="N472" s="10" t="s">
        <v>33</v>
      </c>
    </row>
    <row r="473" spans="2:18" ht="16.5" hidden="1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hidden="1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22</v>
      </c>
      <c r="J474" s="13" t="str">
        <f t="shared" ca="1" si="31"/>
        <v>정상</v>
      </c>
      <c r="N474" s="10" t="s">
        <v>33</v>
      </c>
    </row>
    <row r="475" spans="2:18" ht="16.5" hidden="1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20</v>
      </c>
      <c r="J475" s="13" t="str">
        <f t="shared" ca="1" si="31"/>
        <v>정상</v>
      </c>
      <c r="L475" s="44">
        <v>46153</v>
      </c>
      <c r="N475" s="10" t="s">
        <v>33</v>
      </c>
    </row>
    <row r="476" spans="2:18" ht="16.5" hidden="1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22</v>
      </c>
      <c r="J476" s="13" t="str">
        <f t="shared" ca="1" si="31"/>
        <v>정상</v>
      </c>
      <c r="N476" s="10" t="s">
        <v>33</v>
      </c>
    </row>
    <row r="477" spans="2:18" ht="16.5" hidden="1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22</v>
      </c>
      <c r="J477" s="13" t="str">
        <f t="shared" ca="1" si="31"/>
        <v>정상</v>
      </c>
      <c r="N477" s="10" t="s">
        <v>33</v>
      </c>
    </row>
    <row r="478" spans="2:18" ht="16.5" hidden="1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22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9</v>
      </c>
      <c r="J479" s="13" t="str">
        <f t="shared" ca="1" si="31"/>
        <v>정상</v>
      </c>
      <c r="L479" s="44">
        <v>46142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21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21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21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21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21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21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21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21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21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21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21</v>
      </c>
      <c r="J490" s="13" t="str">
        <f t="shared" ca="1" si="31"/>
        <v>정상</v>
      </c>
      <c r="K490" s="44">
        <v>46142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21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8</v>
      </c>
      <c r="J492" s="13" t="str">
        <f t="shared" ca="1" si="31"/>
        <v>정상</v>
      </c>
      <c r="L492" s="44">
        <v>46142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20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18</v>
      </c>
      <c r="J494" s="13" t="str">
        <f t="shared" ca="1" si="31"/>
        <v>정상</v>
      </c>
      <c r="L494" s="44">
        <v>46153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14</v>
      </c>
      <c r="J496" s="13" t="str">
        <f t="shared" ca="1" si="31"/>
        <v>정상</v>
      </c>
      <c r="L496" s="44">
        <v>46149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20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L498" s="44">
        <v>46141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20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63" ca="1" si="32">IF(C500="","",IF(L500="",TODAY()-C500,L500-C500))</f>
        <v>20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20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20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20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20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20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20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20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20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7</v>
      </c>
      <c r="J510" s="13" t="str">
        <f t="shared" ca="1" si="31"/>
        <v>정상</v>
      </c>
      <c r="L510" s="44">
        <v>46142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20</v>
      </c>
      <c r="J511" s="13" t="str">
        <f t="shared" ca="1" si="31"/>
        <v>정상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7</v>
      </c>
      <c r="J512" s="13" t="str">
        <f t="shared" ca="1" si="31"/>
        <v>정상</v>
      </c>
      <c r="L512" s="44">
        <v>46141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21</v>
      </c>
      <c r="J513" s="13" t="str">
        <f t="shared" ca="1" si="31"/>
        <v>정상</v>
      </c>
      <c r="N513" s="10" t="s">
        <v>33</v>
      </c>
    </row>
    <row r="514" spans="2:14" ht="16.5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21</v>
      </c>
      <c r="J514" s="13" t="str">
        <f t="shared" ca="1" si="31"/>
        <v>관리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19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19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19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19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19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6</v>
      </c>
      <c r="J523" s="13" t="str">
        <f t="shared" ca="1" si="31"/>
        <v>정상</v>
      </c>
      <c r="L523" s="44">
        <v>46142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6</v>
      </c>
      <c r="J524" s="13" t="str">
        <f t="shared" ca="1" si="31"/>
        <v>정상</v>
      </c>
      <c r="L524" s="44">
        <v>46142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16</v>
      </c>
      <c r="J525" s="13" t="str">
        <f t="shared" ca="1" si="31"/>
        <v>정상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16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16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3</v>
      </c>
      <c r="J528" s="13" t="str">
        <f t="shared" ca="1" si="31"/>
        <v>정상</v>
      </c>
      <c r="L528" s="44">
        <v>46142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L529" s="44">
        <v>46141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15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15</v>
      </c>
      <c r="J532" s="13" t="str">
        <f t="shared" ref="J532:J595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15</v>
      </c>
      <c r="J533" s="13" t="str">
        <f t="shared" ca="1" si="33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15</v>
      </c>
      <c r="J534" s="13" t="str">
        <f t="shared" ca="1" si="33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16</v>
      </c>
      <c r="J535" s="13" t="str">
        <f t="shared" ca="1" si="33"/>
        <v>정상</v>
      </c>
      <c r="N535" s="10" t="s">
        <v>33</v>
      </c>
    </row>
    <row r="536" spans="2:14" ht="16.5" hidden="1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16</v>
      </c>
      <c r="J536" s="13" t="str">
        <f t="shared" ca="1" si="33"/>
        <v>정상</v>
      </c>
      <c r="N536" s="10" t="s">
        <v>33</v>
      </c>
    </row>
    <row r="537" spans="2:14" ht="16.5" hidden="1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3</v>
      </c>
      <c r="J537" s="13" t="str">
        <f t="shared" ca="1" si="33"/>
        <v>정상</v>
      </c>
      <c r="L537" s="44">
        <v>46142</v>
      </c>
      <c r="N537" s="10" t="s">
        <v>33</v>
      </c>
    </row>
    <row r="538" spans="2:14" ht="16.5" hidden="1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3</v>
      </c>
      <c r="J538" s="13" t="str">
        <f t="shared" ca="1" si="33"/>
        <v>정상</v>
      </c>
      <c r="L538" s="44">
        <v>46142</v>
      </c>
      <c r="N538" s="10" t="s">
        <v>33</v>
      </c>
    </row>
    <row r="539" spans="2:14" ht="16.5" hidden="1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16</v>
      </c>
      <c r="J539" s="13" t="str">
        <f t="shared" ca="1" si="33"/>
        <v>정상</v>
      </c>
      <c r="N539" s="10" t="s">
        <v>33</v>
      </c>
    </row>
    <row r="540" spans="2:14" ht="16.5" hidden="1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hidden="1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3</v>
      </c>
      <c r="J541" s="13" t="str">
        <f t="shared" ca="1" si="33"/>
        <v>정상</v>
      </c>
      <c r="L541" s="44">
        <v>46142</v>
      </c>
      <c r="N541" s="10" t="s">
        <v>33</v>
      </c>
    </row>
    <row r="542" spans="2:14" ht="16.5" hidden="1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16</v>
      </c>
      <c r="J542" s="13" t="str">
        <f t="shared" ca="1" si="33"/>
        <v>정상</v>
      </c>
      <c r="N542" s="10" t="s">
        <v>33</v>
      </c>
    </row>
    <row r="543" spans="2:14" ht="16.5" hidden="1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9</v>
      </c>
      <c r="J543" s="13" t="str">
        <f t="shared" ca="1" si="33"/>
        <v>정상</v>
      </c>
      <c r="L543" s="44">
        <v>46148</v>
      </c>
      <c r="N543" s="10" t="s">
        <v>33</v>
      </c>
    </row>
    <row r="544" spans="2:14" ht="16.5" hidden="1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16</v>
      </c>
      <c r="J544" s="13" t="str">
        <f t="shared" ca="1" si="33"/>
        <v>정상</v>
      </c>
      <c r="N544" s="10" t="s">
        <v>33</v>
      </c>
    </row>
    <row r="545" spans="2:14" ht="16.5" hidden="1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16</v>
      </c>
      <c r="J545" s="13" t="str">
        <f t="shared" ca="1" si="33"/>
        <v>정상</v>
      </c>
      <c r="N545" s="10" t="s">
        <v>33</v>
      </c>
    </row>
    <row r="546" spans="2:14" ht="16.5" hidden="1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16</v>
      </c>
      <c r="J546" s="13" t="str">
        <f t="shared" ca="1" si="33"/>
        <v>정상</v>
      </c>
      <c r="N546" s="10" t="s">
        <v>33</v>
      </c>
    </row>
    <row r="547" spans="2:14" ht="16.5" hidden="1" customHeight="1">
      <c r="B547" s="10">
        <f>IF(C547="","",COUNTA($C$2:C547))</f>
        <v>546</v>
      </c>
      <c r="C547" s="30" t="s">
        <v>765</v>
      </c>
      <c r="D547" s="51" t="s">
        <v>767</v>
      </c>
      <c r="E547" s="23" t="s">
        <v>83</v>
      </c>
      <c r="F547" s="23" t="s">
        <v>768</v>
      </c>
      <c r="G547" s="47" t="s">
        <v>778</v>
      </c>
      <c r="H547" s="52">
        <v>1466000</v>
      </c>
      <c r="I547" s="18">
        <f t="shared" ca="1" si="32"/>
        <v>14</v>
      </c>
      <c r="J547" s="13" t="str">
        <f t="shared" ca="1" si="33"/>
        <v>정상</v>
      </c>
      <c r="N547" s="10" t="s">
        <v>33</v>
      </c>
    </row>
    <row r="548" spans="2:14" ht="16.5" hidden="1" customHeight="1">
      <c r="B548" s="10">
        <f>IF(C548="","",COUNTA($C$2:C548))</f>
        <v>547</v>
      </c>
      <c r="C548" s="30" t="s">
        <v>765</v>
      </c>
      <c r="D548" s="51" t="s">
        <v>767</v>
      </c>
      <c r="E548" s="23" t="s">
        <v>267</v>
      </c>
      <c r="F548" s="23" t="s">
        <v>769</v>
      </c>
      <c r="G548" s="47" t="s">
        <v>778</v>
      </c>
      <c r="H548" s="52">
        <v>27350000</v>
      </c>
      <c r="I548" s="18">
        <f t="shared" ca="1" si="32"/>
        <v>7</v>
      </c>
      <c r="J548" s="13" t="str">
        <f t="shared" ca="1" si="33"/>
        <v>정상</v>
      </c>
      <c r="L548" s="44">
        <v>46148</v>
      </c>
      <c r="N548" s="10" t="s">
        <v>33</v>
      </c>
    </row>
    <row r="549" spans="2:14" ht="16.5" hidden="1" customHeight="1">
      <c r="B549" s="10">
        <f>IF(C549="","",COUNTA($C$2:C549))</f>
        <v>548</v>
      </c>
      <c r="C549" s="30" t="s">
        <v>765</v>
      </c>
      <c r="D549" s="51" t="s">
        <v>767</v>
      </c>
      <c r="E549" s="23" t="s">
        <v>105</v>
      </c>
      <c r="F549" s="23" t="s">
        <v>770</v>
      </c>
      <c r="G549" s="47" t="s">
        <v>778</v>
      </c>
      <c r="H549" s="52">
        <v>141100</v>
      </c>
      <c r="I549" s="18">
        <f t="shared" ca="1" si="32"/>
        <v>14</v>
      </c>
      <c r="J549" s="13" t="str">
        <f t="shared" ca="1" si="33"/>
        <v>정상</v>
      </c>
      <c r="N549" s="10" t="s">
        <v>33</v>
      </c>
    </row>
    <row r="550" spans="2:14" ht="16.5" hidden="1" customHeight="1">
      <c r="B550" s="10">
        <f>IF(C550="","",COUNTA($C$2:C550))</f>
        <v>549</v>
      </c>
      <c r="C550" s="30" t="s">
        <v>765</v>
      </c>
      <c r="D550" s="51" t="s">
        <v>767</v>
      </c>
      <c r="E550" s="23" t="s">
        <v>17</v>
      </c>
      <c r="F550" s="23" t="s">
        <v>771</v>
      </c>
      <c r="G550" s="47" t="s">
        <v>778</v>
      </c>
      <c r="H550" s="52">
        <v>410000</v>
      </c>
      <c r="I550" s="18">
        <f t="shared" ca="1" si="32"/>
        <v>8</v>
      </c>
      <c r="J550" s="13" t="str">
        <f t="shared" ca="1" si="33"/>
        <v>정상</v>
      </c>
      <c r="L550" s="44">
        <v>46149</v>
      </c>
      <c r="N550" s="10" t="s">
        <v>33</v>
      </c>
    </row>
    <row r="551" spans="2:14" ht="16.5" hidden="1" customHeight="1">
      <c r="B551" s="10">
        <f>IF(C551="","",COUNTA($C$2:C551))</f>
        <v>550</v>
      </c>
      <c r="C551" s="30" t="s">
        <v>765</v>
      </c>
      <c r="D551" s="51" t="s">
        <v>767</v>
      </c>
      <c r="E551" s="23" t="s">
        <v>218</v>
      </c>
      <c r="F551" s="23" t="s">
        <v>772</v>
      </c>
      <c r="G551" s="47" t="s">
        <v>778</v>
      </c>
      <c r="H551" s="52">
        <v>510000</v>
      </c>
      <c r="I551" s="18">
        <f t="shared" ca="1" si="32"/>
        <v>14</v>
      </c>
      <c r="J551" s="13" t="str">
        <f t="shared" ca="1" si="33"/>
        <v>정상</v>
      </c>
      <c r="N551" s="10" t="s">
        <v>33</v>
      </c>
    </row>
    <row r="552" spans="2:14" ht="16.5" hidden="1" customHeight="1">
      <c r="B552" s="10">
        <f>IF(C552="","",COUNTA($C$2:C552))</f>
        <v>551</v>
      </c>
      <c r="C552" s="30" t="s">
        <v>765</v>
      </c>
      <c r="D552" s="51" t="s">
        <v>767</v>
      </c>
      <c r="E552" s="23" t="s">
        <v>110</v>
      </c>
      <c r="F552" s="23" t="s">
        <v>773</v>
      </c>
      <c r="G552" s="47" t="s">
        <v>778</v>
      </c>
      <c r="H552" s="52">
        <v>1229300</v>
      </c>
      <c r="I552" s="18">
        <f t="shared" ca="1" si="32"/>
        <v>14</v>
      </c>
      <c r="J552" s="13" t="str">
        <f t="shared" ca="1" si="33"/>
        <v>정상</v>
      </c>
      <c r="N552" s="10" t="s">
        <v>33</v>
      </c>
    </row>
    <row r="553" spans="2:14" ht="16.5" hidden="1" customHeight="1">
      <c r="B553" s="10">
        <f>IF(C553="","",COUNTA($C$2:C553))</f>
        <v>552</v>
      </c>
      <c r="C553" s="30" t="s">
        <v>765</v>
      </c>
      <c r="D553" s="51" t="s">
        <v>767</v>
      </c>
      <c r="E553" s="23" t="s">
        <v>434</v>
      </c>
      <c r="F553" s="23" t="s">
        <v>774</v>
      </c>
      <c r="G553" s="47" t="s">
        <v>778</v>
      </c>
      <c r="H553" s="52">
        <v>12067400</v>
      </c>
      <c r="I553" s="18">
        <f t="shared" ca="1" si="32"/>
        <v>14</v>
      </c>
      <c r="J553" s="13" t="str">
        <f t="shared" ca="1" si="33"/>
        <v>정상</v>
      </c>
      <c r="N553" s="10" t="s">
        <v>33</v>
      </c>
    </row>
    <row r="554" spans="2:14" ht="16.5" hidden="1" customHeight="1">
      <c r="B554" s="10">
        <f>IF(C554="","",COUNTA($C$2:C554))</f>
        <v>553</v>
      </c>
      <c r="C554" s="30" t="s">
        <v>766</v>
      </c>
      <c r="D554" s="51" t="s">
        <v>767</v>
      </c>
      <c r="E554" s="23" t="s">
        <v>395</v>
      </c>
      <c r="F554" s="23" t="s">
        <v>775</v>
      </c>
      <c r="G554" s="47" t="s">
        <v>778</v>
      </c>
      <c r="H554" s="52">
        <v>450300</v>
      </c>
      <c r="I554" s="18">
        <f t="shared" ca="1" si="32"/>
        <v>13</v>
      </c>
      <c r="J554" s="13" t="str">
        <f t="shared" ca="1" si="33"/>
        <v>정상</v>
      </c>
      <c r="N554" s="10" t="s">
        <v>33</v>
      </c>
    </row>
    <row r="555" spans="2:14" ht="16.5" hidden="1" customHeight="1">
      <c r="B555" s="10">
        <f>IF(C555="","",COUNTA($C$2:C555))</f>
        <v>554</v>
      </c>
      <c r="C555" s="30" t="s">
        <v>766</v>
      </c>
      <c r="D555" s="51" t="s">
        <v>767</v>
      </c>
      <c r="E555" s="23" t="s">
        <v>507</v>
      </c>
      <c r="F555" s="23" t="s">
        <v>776</v>
      </c>
      <c r="G555" s="47" t="s">
        <v>778</v>
      </c>
      <c r="H555" s="52">
        <v>572800</v>
      </c>
      <c r="I555" s="18">
        <f t="shared" ca="1" si="32"/>
        <v>13</v>
      </c>
      <c r="J555" s="13" t="str">
        <f t="shared" ca="1" si="33"/>
        <v>정상</v>
      </c>
      <c r="N555" s="10" t="s">
        <v>33</v>
      </c>
    </row>
    <row r="556" spans="2:14" ht="16.5" hidden="1" customHeight="1">
      <c r="B556" s="10">
        <f>IF(C556="","",COUNTA($C$2:C556))</f>
        <v>555</v>
      </c>
      <c r="C556" s="30" t="s">
        <v>766</v>
      </c>
      <c r="D556" s="51" t="s">
        <v>767</v>
      </c>
      <c r="E556" s="23" t="s">
        <v>662</v>
      </c>
      <c r="F556" s="23" t="s">
        <v>777</v>
      </c>
      <c r="G556" s="47" t="s">
        <v>778</v>
      </c>
      <c r="H556" s="52">
        <v>5500000</v>
      </c>
      <c r="I556" s="18">
        <f t="shared" ca="1" si="32"/>
        <v>0</v>
      </c>
      <c r="J556" s="13" t="str">
        <f t="shared" ca="1" si="33"/>
        <v>정상</v>
      </c>
      <c r="L556" s="44">
        <v>46142</v>
      </c>
      <c r="N556" s="10" t="s">
        <v>33</v>
      </c>
    </row>
    <row r="557" spans="2:14" ht="16.5" hidden="1" customHeight="1">
      <c r="B557" s="10">
        <f>IF(C557="","",COUNTA($C$2:C557))</f>
        <v>556</v>
      </c>
      <c r="C557" s="53">
        <v>46140</v>
      </c>
      <c r="D557" s="51" t="s">
        <v>779</v>
      </c>
      <c r="E557" s="55" t="s">
        <v>780</v>
      </c>
      <c r="F557" s="54" t="s">
        <v>781</v>
      </c>
      <c r="G557" s="47" t="s">
        <v>782</v>
      </c>
      <c r="H557" s="4">
        <v>467000</v>
      </c>
      <c r="I557" s="18">
        <f t="shared" ca="1" si="32"/>
        <v>2</v>
      </c>
      <c r="J557" s="13" t="str">
        <f t="shared" ca="1" si="33"/>
        <v>정상</v>
      </c>
      <c r="L557" s="44">
        <v>46142</v>
      </c>
      <c r="N557" s="10" t="s">
        <v>33</v>
      </c>
    </row>
    <row r="558" spans="2:14" ht="16.5" hidden="1" customHeight="1">
      <c r="B558" s="10">
        <f>IF(C558="","",COUNTA($C$2:C558))</f>
        <v>557</v>
      </c>
      <c r="C558" s="53">
        <v>46141</v>
      </c>
      <c r="D558" s="51" t="s">
        <v>783</v>
      </c>
      <c r="E558" s="55" t="s">
        <v>794</v>
      </c>
      <c r="F558" s="48" t="s">
        <v>467</v>
      </c>
      <c r="G558" s="47" t="s">
        <v>790</v>
      </c>
      <c r="H558" s="4">
        <v>87705200</v>
      </c>
      <c r="I558" s="18">
        <f t="shared" ca="1" si="32"/>
        <v>14</v>
      </c>
      <c r="J558" s="13" t="str">
        <f t="shared" ca="1" si="33"/>
        <v>정상</v>
      </c>
      <c r="N558" s="10" t="s">
        <v>33</v>
      </c>
    </row>
    <row r="559" spans="2:14" ht="16.5" hidden="1" customHeight="1">
      <c r="B559" s="10">
        <f>IF(C559="","",COUNTA($C$2:C559))</f>
        <v>558</v>
      </c>
      <c r="C559" s="53">
        <v>46141</v>
      </c>
      <c r="D559" s="51" t="s">
        <v>783</v>
      </c>
      <c r="E559" s="48" t="s">
        <v>784</v>
      </c>
      <c r="F559" s="48" t="s">
        <v>787</v>
      </c>
      <c r="G559" s="47" t="s">
        <v>791</v>
      </c>
      <c r="H559" s="4">
        <v>30836400</v>
      </c>
      <c r="I559" s="18">
        <f t="shared" ca="1" si="32"/>
        <v>14</v>
      </c>
      <c r="J559" s="13" t="str">
        <f t="shared" ca="1" si="33"/>
        <v>정상</v>
      </c>
      <c r="N559" s="10" t="s">
        <v>33</v>
      </c>
    </row>
    <row r="560" spans="2:14" ht="16.5" hidden="1" customHeight="1">
      <c r="B560" s="10">
        <f>IF(C560="","",COUNTA($C$2:C560))</f>
        <v>559</v>
      </c>
      <c r="C560" s="53">
        <v>46141</v>
      </c>
      <c r="D560" s="51" t="s">
        <v>783</v>
      </c>
      <c r="E560" s="48" t="s">
        <v>785</v>
      </c>
      <c r="F560" s="48" t="s">
        <v>788</v>
      </c>
      <c r="G560" s="47" t="s">
        <v>792</v>
      </c>
      <c r="H560" s="4">
        <v>11426400</v>
      </c>
      <c r="I560" s="18">
        <f t="shared" ca="1" si="32"/>
        <v>14</v>
      </c>
      <c r="J560" s="13" t="str">
        <f t="shared" ca="1" si="33"/>
        <v>정상</v>
      </c>
      <c r="N560" s="10" t="s">
        <v>33</v>
      </c>
    </row>
    <row r="561" spans="2:14" ht="16.5" hidden="1" customHeight="1">
      <c r="B561" s="10">
        <f>IF(C561="","",COUNTA($C$2:C561))</f>
        <v>560</v>
      </c>
      <c r="C561" s="53">
        <v>46141</v>
      </c>
      <c r="D561" s="51" t="s">
        <v>783</v>
      </c>
      <c r="E561" s="48" t="s">
        <v>786</v>
      </c>
      <c r="F561" s="48" t="s">
        <v>789</v>
      </c>
      <c r="G561" s="47" t="s">
        <v>793</v>
      </c>
      <c r="H561" s="4">
        <v>7962400</v>
      </c>
      <c r="I561" s="18">
        <f t="shared" ca="1" si="32"/>
        <v>1</v>
      </c>
      <c r="J561" s="13" t="str">
        <f t="shared" ca="1" si="33"/>
        <v>정상</v>
      </c>
      <c r="L561" s="44">
        <v>46142</v>
      </c>
      <c r="N561" s="10" t="s">
        <v>33</v>
      </c>
    </row>
    <row r="562" spans="2:14" ht="16.5" hidden="1" customHeight="1">
      <c r="B562" s="10">
        <f>IF(C562="","",COUNTA($C$2:C562))</f>
        <v>561</v>
      </c>
      <c r="C562" s="30" t="s">
        <v>766</v>
      </c>
      <c r="D562" s="51" t="s">
        <v>802</v>
      </c>
      <c r="E562" s="23" t="s">
        <v>39</v>
      </c>
      <c r="F562" s="23" t="s">
        <v>795</v>
      </c>
      <c r="G562" s="47" t="s">
        <v>799</v>
      </c>
      <c r="H562" s="52">
        <v>1797000</v>
      </c>
      <c r="I562" s="18">
        <f t="shared" ca="1" si="32"/>
        <v>13</v>
      </c>
      <c r="J562" s="13" t="str">
        <f t="shared" ca="1" si="33"/>
        <v>정상</v>
      </c>
      <c r="N562" s="10" t="s">
        <v>33</v>
      </c>
    </row>
    <row r="563" spans="2:14" ht="16.5" hidden="1" customHeight="1">
      <c r="B563" s="10">
        <f>IF(C563="","",COUNTA($C$2:C563))</f>
        <v>562</v>
      </c>
      <c r="C563" s="30" t="s">
        <v>766</v>
      </c>
      <c r="D563" s="51" t="s">
        <v>802</v>
      </c>
      <c r="E563" s="23" t="s">
        <v>69</v>
      </c>
      <c r="F563" s="23" t="s">
        <v>796</v>
      </c>
      <c r="G563" s="47" t="s">
        <v>799</v>
      </c>
      <c r="H563" s="52">
        <v>4116100</v>
      </c>
      <c r="I563" s="18">
        <f t="shared" ca="1" si="32"/>
        <v>13</v>
      </c>
      <c r="J563" s="13" t="str">
        <f t="shared" ca="1" si="33"/>
        <v>정상</v>
      </c>
      <c r="N563" s="10" t="s">
        <v>33</v>
      </c>
    </row>
    <row r="564" spans="2:14" ht="16.5" hidden="1" customHeight="1">
      <c r="B564" s="10">
        <f>IF(C564="","",COUNTA($C$2:C564))</f>
        <v>563</v>
      </c>
      <c r="C564" s="30" t="s">
        <v>766</v>
      </c>
      <c r="D564" s="51" t="s">
        <v>802</v>
      </c>
      <c r="E564" s="23" t="s">
        <v>542</v>
      </c>
      <c r="F564" s="23" t="s">
        <v>797</v>
      </c>
      <c r="G564" s="47" t="s">
        <v>799</v>
      </c>
      <c r="H564" s="52">
        <v>1437500</v>
      </c>
      <c r="I564" s="18">
        <f t="shared" ref="I564:I631" ca="1" si="34">IF(C564="","",IF(L564="",TODAY()-C564,L564-C564))</f>
        <v>13</v>
      </c>
      <c r="J564" s="13" t="str">
        <f t="shared" ca="1" si="33"/>
        <v>정상</v>
      </c>
      <c r="N564" s="10" t="s">
        <v>33</v>
      </c>
    </row>
    <row r="565" spans="2:14" ht="16.5" hidden="1" customHeight="1">
      <c r="B565" s="10">
        <f>IF(C565="","",COUNTA($C$2:C565))</f>
        <v>564</v>
      </c>
      <c r="C565" s="30" t="s">
        <v>766</v>
      </c>
      <c r="D565" s="51" t="s">
        <v>802</v>
      </c>
      <c r="E565" s="23" t="s">
        <v>17</v>
      </c>
      <c r="F565" s="23" t="s">
        <v>798</v>
      </c>
      <c r="G565" s="47" t="s">
        <v>799</v>
      </c>
      <c r="H565" s="52">
        <v>410000</v>
      </c>
      <c r="I565" s="18">
        <f t="shared" ca="1" si="34"/>
        <v>7</v>
      </c>
      <c r="J565" s="13" t="str">
        <f t="shared" ca="1" si="33"/>
        <v>정상</v>
      </c>
      <c r="L565" s="44">
        <v>46149</v>
      </c>
      <c r="N565" s="10" t="s">
        <v>33</v>
      </c>
    </row>
    <row r="566" spans="2:14" ht="16.5" hidden="1" customHeight="1">
      <c r="B566" s="10">
        <f>IF(C566="","",COUNTA($C$2:C566))</f>
        <v>565</v>
      </c>
      <c r="C566" s="30">
        <v>46142</v>
      </c>
      <c r="D566" s="51" t="s">
        <v>802</v>
      </c>
      <c r="E566" s="48" t="s">
        <v>800</v>
      </c>
      <c r="F566" s="48" t="s">
        <v>801</v>
      </c>
      <c r="G566" s="47" t="s">
        <v>799</v>
      </c>
      <c r="H566" s="52">
        <v>1094000</v>
      </c>
      <c r="I566" s="18">
        <f t="shared" ca="1" si="34"/>
        <v>13</v>
      </c>
      <c r="J566" s="13" t="str">
        <f t="shared" ca="1" si="33"/>
        <v>정상</v>
      </c>
      <c r="N566" s="10" t="s">
        <v>33</v>
      </c>
    </row>
    <row r="567" spans="2:14" ht="16.5" hidden="1" customHeight="1">
      <c r="B567" s="10">
        <f>IF(C567="","",COUNTA($C$2:C567))</f>
        <v>566</v>
      </c>
      <c r="C567" s="30" t="s">
        <v>803</v>
      </c>
      <c r="D567" s="51" t="s">
        <v>802</v>
      </c>
      <c r="E567" s="23" t="s">
        <v>804</v>
      </c>
      <c r="F567" s="23" t="s">
        <v>805</v>
      </c>
      <c r="G567" s="47" t="s">
        <v>799</v>
      </c>
      <c r="H567" s="52">
        <v>3624000</v>
      </c>
      <c r="I567" s="18">
        <f t="shared" ca="1" si="34"/>
        <v>7</v>
      </c>
      <c r="J567" s="13" t="str">
        <f t="shared" ca="1" si="33"/>
        <v>정상</v>
      </c>
      <c r="L567" s="44">
        <v>46153</v>
      </c>
      <c r="N567" s="10" t="s">
        <v>33</v>
      </c>
    </row>
    <row r="568" spans="2:14" ht="16.5" hidden="1" customHeight="1">
      <c r="B568" s="10">
        <f>IF(C568="","",COUNTA($C$2:C568))</f>
        <v>567</v>
      </c>
      <c r="C568" s="30" t="s">
        <v>803</v>
      </c>
      <c r="D568" s="51" t="s">
        <v>802</v>
      </c>
      <c r="E568" s="23" t="s">
        <v>266</v>
      </c>
      <c r="F568" s="23" t="s">
        <v>806</v>
      </c>
      <c r="G568" s="47" t="s">
        <v>799</v>
      </c>
      <c r="H568" s="52">
        <v>27500000</v>
      </c>
      <c r="I568" s="18">
        <f t="shared" ca="1" si="34"/>
        <v>9</v>
      </c>
      <c r="J568" s="13" t="str">
        <f t="shared" ca="1" si="33"/>
        <v>정상</v>
      </c>
      <c r="N568" s="10" t="s">
        <v>33</v>
      </c>
    </row>
    <row r="569" spans="2:14" ht="16.5" hidden="1" customHeight="1">
      <c r="B569" s="10">
        <f>IF(C569="","",COUNTA($C$2:C569))</f>
        <v>568</v>
      </c>
      <c r="C569" s="44">
        <v>46142</v>
      </c>
      <c r="D569" s="51" t="s">
        <v>810</v>
      </c>
      <c r="E569" s="48" t="s">
        <v>811</v>
      </c>
      <c r="F569" s="48" t="s">
        <v>807</v>
      </c>
      <c r="G569" s="47" t="s">
        <v>814</v>
      </c>
      <c r="H569" s="4">
        <v>3448000</v>
      </c>
      <c r="I569" s="18">
        <f t="shared" ca="1" si="34"/>
        <v>13</v>
      </c>
      <c r="J569" s="13" t="str">
        <f t="shared" ca="1" si="33"/>
        <v>정상</v>
      </c>
      <c r="N569" s="10" t="s">
        <v>33</v>
      </c>
    </row>
    <row r="570" spans="2:14" ht="16.5" hidden="1" customHeight="1">
      <c r="B570" s="10">
        <f>IF(C570="","",COUNTA($C$2:C570))</f>
        <v>569</v>
      </c>
      <c r="C570" s="44">
        <v>46142</v>
      </c>
      <c r="D570" s="51" t="s">
        <v>810</v>
      </c>
      <c r="E570" s="48" t="s">
        <v>812</v>
      </c>
      <c r="F570" s="48" t="s">
        <v>808</v>
      </c>
      <c r="G570" s="47" t="s">
        <v>815</v>
      </c>
      <c r="H570" s="4">
        <v>18544800</v>
      </c>
      <c r="I570" s="18">
        <f t="shared" ca="1" si="34"/>
        <v>11</v>
      </c>
      <c r="J570" s="13" t="str">
        <f t="shared" ca="1" si="33"/>
        <v>정상</v>
      </c>
      <c r="L570" s="44">
        <v>46153</v>
      </c>
      <c r="N570" s="10" t="s">
        <v>33</v>
      </c>
    </row>
    <row r="571" spans="2:14" ht="16.5" hidden="1" customHeight="1">
      <c r="B571" s="10">
        <f>IF(C571="","",COUNTA($C$2:C571))</f>
        <v>570</v>
      </c>
      <c r="C571" s="44">
        <v>46142</v>
      </c>
      <c r="D571" s="51" t="s">
        <v>810</v>
      </c>
      <c r="E571" s="48" t="s">
        <v>813</v>
      </c>
      <c r="F571" s="48" t="s">
        <v>809</v>
      </c>
      <c r="G571" s="47" t="s">
        <v>816</v>
      </c>
      <c r="H571" s="4">
        <v>15813600</v>
      </c>
      <c r="I571" s="18">
        <f t="shared" ca="1" si="34"/>
        <v>13</v>
      </c>
      <c r="J571" s="13" t="str">
        <f t="shared" ca="1" si="33"/>
        <v>정상</v>
      </c>
      <c r="N571" s="10" t="s">
        <v>33</v>
      </c>
    </row>
    <row r="572" spans="2:14" ht="16.5" hidden="1" customHeight="1">
      <c r="B572" s="10">
        <f>IF(C572="","",COUNTA($C$2:C572))</f>
        <v>571</v>
      </c>
      <c r="C572" s="30" t="s">
        <v>766</v>
      </c>
      <c r="D572" s="51" t="s">
        <v>820</v>
      </c>
      <c r="E572" s="23" t="s">
        <v>395</v>
      </c>
      <c r="F572" s="23" t="s">
        <v>817</v>
      </c>
      <c r="G572" s="47" t="s">
        <v>819</v>
      </c>
      <c r="H572" s="52">
        <v>450300</v>
      </c>
      <c r="I572" s="18">
        <f t="shared" ca="1" si="34"/>
        <v>13</v>
      </c>
      <c r="J572" s="13" t="str">
        <f t="shared" ca="1" si="33"/>
        <v>정상</v>
      </c>
      <c r="N572" s="10" t="s">
        <v>33</v>
      </c>
    </row>
    <row r="573" spans="2:14" ht="16.5" hidden="1" customHeight="1">
      <c r="B573" s="10">
        <f>IF(C573="","",COUNTA($C$2:C573))</f>
        <v>572</v>
      </c>
      <c r="C573" s="30" t="s">
        <v>766</v>
      </c>
      <c r="D573" s="51" t="s">
        <v>820</v>
      </c>
      <c r="E573" s="23" t="s">
        <v>507</v>
      </c>
      <c r="F573" s="23" t="s">
        <v>818</v>
      </c>
      <c r="G573" s="47" t="s">
        <v>819</v>
      </c>
      <c r="H573" s="52">
        <v>572800</v>
      </c>
      <c r="I573" s="18">
        <f t="shared" ca="1" si="34"/>
        <v>13</v>
      </c>
      <c r="J573" s="13" t="str">
        <f t="shared" ca="1" si="33"/>
        <v>정상</v>
      </c>
      <c r="N573" s="10" t="s">
        <v>33</v>
      </c>
    </row>
    <row r="574" spans="2:14" ht="16.5" hidden="1" customHeight="1">
      <c r="B574" s="10">
        <f>IF(C574="","",COUNTA($C$2:C574))</f>
        <v>573</v>
      </c>
      <c r="C574" s="30" t="s">
        <v>803</v>
      </c>
      <c r="D574" s="51" t="s">
        <v>820</v>
      </c>
      <c r="E574" s="23" t="s">
        <v>126</v>
      </c>
      <c r="F574" s="23" t="s">
        <v>326</v>
      </c>
      <c r="G574" s="47" t="s">
        <v>819</v>
      </c>
      <c r="H574" s="52">
        <v>260000</v>
      </c>
      <c r="I574" s="18">
        <f t="shared" ca="1" si="34"/>
        <v>9</v>
      </c>
      <c r="J574" s="13" t="str">
        <f t="shared" ca="1" si="33"/>
        <v>정상</v>
      </c>
      <c r="N574" s="10" t="s">
        <v>33</v>
      </c>
    </row>
    <row r="575" spans="2:14" ht="16.5" hidden="1" customHeight="1">
      <c r="B575" s="10">
        <f>IF(C575="","",COUNTA($C$2:C575))</f>
        <v>574</v>
      </c>
      <c r="C575" s="30" t="s">
        <v>803</v>
      </c>
      <c r="D575" s="51" t="s">
        <v>820</v>
      </c>
      <c r="E575" s="23" t="s">
        <v>821</v>
      </c>
      <c r="F575" s="23" t="s">
        <v>746</v>
      </c>
      <c r="G575" s="47" t="s">
        <v>819</v>
      </c>
      <c r="H575" s="52">
        <v>208000</v>
      </c>
      <c r="I575" s="18">
        <f t="shared" ca="1" si="34"/>
        <v>9</v>
      </c>
      <c r="J575" s="13" t="str">
        <f t="shared" ca="1" si="33"/>
        <v>정상</v>
      </c>
      <c r="N575" s="10" t="s">
        <v>33</v>
      </c>
    </row>
    <row r="576" spans="2:14" ht="16.5" hidden="1" customHeight="1">
      <c r="B576" s="10">
        <f>IF(C576="","",COUNTA($C$2:C576))</f>
        <v>575</v>
      </c>
      <c r="C576" s="30" t="s">
        <v>803</v>
      </c>
      <c r="D576" s="51" t="s">
        <v>820</v>
      </c>
      <c r="E576" s="23" t="s">
        <v>822</v>
      </c>
      <c r="F576" s="23" t="s">
        <v>823</v>
      </c>
      <c r="G576" s="47" t="s">
        <v>819</v>
      </c>
      <c r="H576" s="52">
        <v>2128400</v>
      </c>
      <c r="I576" s="18">
        <f t="shared" ca="1" si="34"/>
        <v>3</v>
      </c>
      <c r="J576" s="13" t="str">
        <f t="shared" ca="1" si="33"/>
        <v>정상</v>
      </c>
      <c r="L576" s="44">
        <v>46149</v>
      </c>
      <c r="N576" s="10" t="s">
        <v>33</v>
      </c>
    </row>
    <row r="577" spans="2:14" ht="16.5" hidden="1" customHeight="1">
      <c r="B577" s="10">
        <f>IF(C577="","",COUNTA($C$2:C577))</f>
        <v>576</v>
      </c>
      <c r="C577" s="30" t="s">
        <v>803</v>
      </c>
      <c r="D577" s="51" t="s">
        <v>820</v>
      </c>
      <c r="E577" s="23" t="s">
        <v>81</v>
      </c>
      <c r="F577" s="23" t="s">
        <v>824</v>
      </c>
      <c r="G577" s="47" t="s">
        <v>819</v>
      </c>
      <c r="H577" s="52">
        <v>178600</v>
      </c>
      <c r="I577" s="18">
        <f t="shared" ca="1" si="34"/>
        <v>9</v>
      </c>
      <c r="J577" s="13" t="str">
        <f t="shared" ca="1" si="33"/>
        <v>정상</v>
      </c>
      <c r="N577" s="10" t="s">
        <v>33</v>
      </c>
    </row>
    <row r="578" spans="2:14" ht="16.5" hidden="1" customHeight="1">
      <c r="B578" s="10">
        <f>IF(C578="","",COUNTA($C$2:C578))</f>
        <v>577</v>
      </c>
      <c r="C578" s="30" t="s">
        <v>803</v>
      </c>
      <c r="D578" s="51" t="s">
        <v>820</v>
      </c>
      <c r="E578" s="23" t="s">
        <v>294</v>
      </c>
      <c r="F578" s="23" t="s">
        <v>825</v>
      </c>
      <c r="G578" s="47" t="s">
        <v>819</v>
      </c>
      <c r="H578" s="52">
        <v>601600</v>
      </c>
      <c r="I578" s="18">
        <f t="shared" ca="1" si="34"/>
        <v>9</v>
      </c>
      <c r="J578" s="13" t="str">
        <f t="shared" ca="1" si="33"/>
        <v>정상</v>
      </c>
      <c r="N578" s="10" t="s">
        <v>33</v>
      </c>
    </row>
    <row r="579" spans="2:14" ht="16.5" hidden="1" customHeight="1">
      <c r="B579" s="10">
        <f>IF(C579="","",COUNTA($C$2:C579))</f>
        <v>578</v>
      </c>
      <c r="C579" s="30" t="s">
        <v>803</v>
      </c>
      <c r="D579" s="51" t="s">
        <v>820</v>
      </c>
      <c r="E579" s="23" t="s">
        <v>821</v>
      </c>
      <c r="F579" s="23" t="s">
        <v>746</v>
      </c>
      <c r="G579" s="47" t="s">
        <v>819</v>
      </c>
      <c r="H579" s="52">
        <v>675800</v>
      </c>
      <c r="I579" s="18">
        <f t="shared" ca="1" si="34"/>
        <v>9</v>
      </c>
      <c r="J579" s="13" t="str">
        <f t="shared" ca="1" si="33"/>
        <v>정상</v>
      </c>
      <c r="N579" s="10" t="s">
        <v>33</v>
      </c>
    </row>
    <row r="580" spans="2:14" ht="16.5" hidden="1" customHeight="1">
      <c r="B580" s="10">
        <f>IF(C580="","",COUNTA($C$2:C580))</f>
        <v>579</v>
      </c>
      <c r="C580" s="30" t="s">
        <v>803</v>
      </c>
      <c r="D580" s="51" t="s">
        <v>820</v>
      </c>
      <c r="E580" s="23" t="s">
        <v>726</v>
      </c>
      <c r="F580" s="23" t="s">
        <v>826</v>
      </c>
      <c r="G580" s="47" t="s">
        <v>819</v>
      </c>
      <c r="H580" s="52">
        <v>1776900</v>
      </c>
      <c r="I580" s="18">
        <f t="shared" ca="1" si="34"/>
        <v>9</v>
      </c>
      <c r="J580" s="13" t="str">
        <f t="shared" ca="1" si="33"/>
        <v>정상</v>
      </c>
      <c r="N580" s="10" t="s">
        <v>33</v>
      </c>
    </row>
    <row r="581" spans="2:14" ht="16.5" hidden="1" customHeight="1">
      <c r="B581" s="10">
        <f>IF(C581="","",COUNTA($C$2:C581))</f>
        <v>580</v>
      </c>
      <c r="C581" s="44">
        <v>46146</v>
      </c>
      <c r="D581" s="51" t="s">
        <v>830</v>
      </c>
      <c r="E581" s="48" t="s">
        <v>839</v>
      </c>
      <c r="F581" s="48" t="s">
        <v>827</v>
      </c>
      <c r="G581" s="47" t="s">
        <v>838</v>
      </c>
      <c r="H581" s="4">
        <v>1773000</v>
      </c>
      <c r="I581" s="18">
        <f t="shared" ca="1" si="34"/>
        <v>3</v>
      </c>
      <c r="J581" s="13" t="str">
        <f t="shared" ca="1" si="33"/>
        <v>정상</v>
      </c>
      <c r="L581" s="44">
        <v>46149</v>
      </c>
      <c r="N581" s="10" t="s">
        <v>33</v>
      </c>
    </row>
    <row r="582" spans="2:14" ht="16.5" hidden="1" customHeight="1">
      <c r="B582" s="10">
        <f>IF(C582="","",COUNTA($C$2:C582))</f>
        <v>581</v>
      </c>
      <c r="C582" s="44">
        <v>46148</v>
      </c>
      <c r="D582" s="51" t="s">
        <v>830</v>
      </c>
      <c r="E582" s="48" t="s">
        <v>840</v>
      </c>
      <c r="F582" s="48" t="s">
        <v>828</v>
      </c>
      <c r="G582" s="47" t="s">
        <v>837</v>
      </c>
      <c r="H582" s="4">
        <v>47676800</v>
      </c>
      <c r="I582" s="18">
        <f t="shared" ca="1" si="34"/>
        <v>2</v>
      </c>
      <c r="J582" s="13" t="str">
        <f t="shared" ca="1" si="33"/>
        <v>정상</v>
      </c>
      <c r="L582" s="44">
        <v>46150</v>
      </c>
      <c r="N582" s="10" t="s">
        <v>33</v>
      </c>
    </row>
    <row r="583" spans="2:14" ht="16.5" hidden="1" customHeight="1">
      <c r="B583" s="10">
        <f>IF(C583="","",COUNTA($C$2:C583))</f>
        <v>582</v>
      </c>
      <c r="C583" s="44">
        <v>46148</v>
      </c>
      <c r="D583" s="51" t="s">
        <v>830</v>
      </c>
      <c r="E583" s="48" t="s">
        <v>841</v>
      </c>
      <c r="F583" s="48" t="s">
        <v>829</v>
      </c>
      <c r="G583" s="47" t="s">
        <v>838</v>
      </c>
      <c r="H583" s="4">
        <v>21454800</v>
      </c>
      <c r="I583" s="18">
        <f t="shared" ca="1" si="34"/>
        <v>7</v>
      </c>
      <c r="J583" s="13" t="str">
        <f t="shared" ca="1" si="33"/>
        <v>정상</v>
      </c>
      <c r="N583" s="10" t="s">
        <v>33</v>
      </c>
    </row>
    <row r="584" spans="2:14" ht="16.5" hidden="1" customHeight="1">
      <c r="B584" s="10">
        <f>IF(C584="","",COUNTA($C$2:C584))</f>
        <v>583</v>
      </c>
      <c r="C584" s="44">
        <v>46149</v>
      </c>
      <c r="D584" s="51" t="s">
        <v>830</v>
      </c>
      <c r="E584" s="48" t="s">
        <v>842</v>
      </c>
      <c r="F584" s="48" t="s">
        <v>831</v>
      </c>
      <c r="G584" s="18" t="s">
        <v>835</v>
      </c>
      <c r="H584" s="4">
        <v>38041200</v>
      </c>
      <c r="I584" s="18">
        <f t="shared" ca="1" si="34"/>
        <v>6</v>
      </c>
      <c r="J584" s="13" t="str">
        <f t="shared" ca="1" si="33"/>
        <v>정상</v>
      </c>
      <c r="N584" s="10" t="s">
        <v>33</v>
      </c>
    </row>
    <row r="585" spans="2:14" ht="16.5" hidden="1" customHeight="1">
      <c r="B585" s="10">
        <f>IF(C585="","",COUNTA($C$2:C585))</f>
        <v>584</v>
      </c>
      <c r="C585" s="44">
        <v>46149</v>
      </c>
      <c r="D585" s="51" t="s">
        <v>830</v>
      </c>
      <c r="E585" s="48" t="s">
        <v>843</v>
      </c>
      <c r="F585" s="48" t="s">
        <v>832</v>
      </c>
      <c r="G585" s="18" t="s">
        <v>836</v>
      </c>
      <c r="H585" s="4">
        <v>6896000</v>
      </c>
      <c r="I585" s="18">
        <f t="shared" ca="1" si="34"/>
        <v>6</v>
      </c>
      <c r="J585" s="13" t="str">
        <f t="shared" ca="1" si="33"/>
        <v>정상</v>
      </c>
      <c r="N585" s="10" t="s">
        <v>33</v>
      </c>
    </row>
    <row r="586" spans="2:14" ht="16.5" hidden="1" customHeight="1">
      <c r="B586" s="10">
        <f>IF(C586="","",COUNTA($C$2:C586))</f>
        <v>585</v>
      </c>
      <c r="C586" s="44">
        <v>46149</v>
      </c>
      <c r="D586" s="51" t="s">
        <v>830</v>
      </c>
      <c r="E586" s="23" t="s">
        <v>844</v>
      </c>
      <c r="F586" s="48" t="s">
        <v>833</v>
      </c>
      <c r="G586" s="18" t="s">
        <v>834</v>
      </c>
      <c r="H586" s="4">
        <v>12611400</v>
      </c>
      <c r="I586" s="18">
        <f t="shared" ca="1" si="34"/>
        <v>6</v>
      </c>
      <c r="J586" s="13" t="str">
        <f t="shared" ca="1" si="33"/>
        <v>정상</v>
      </c>
      <c r="N586" s="10" t="s">
        <v>33</v>
      </c>
    </row>
    <row r="587" spans="2:14" ht="16.5" hidden="1" customHeight="1">
      <c r="B587" s="10">
        <f>IF(C587="","",COUNTA($C$2:C587))</f>
        <v>586</v>
      </c>
      <c r="C587" s="30" t="s">
        <v>803</v>
      </c>
      <c r="D587" s="51" t="s">
        <v>875</v>
      </c>
      <c r="E587" s="23" t="s">
        <v>804</v>
      </c>
      <c r="F587" s="23" t="s">
        <v>805</v>
      </c>
      <c r="G587" s="18" t="s">
        <v>879</v>
      </c>
      <c r="H587" s="52">
        <v>3624000</v>
      </c>
      <c r="I587" s="18">
        <f t="shared" ca="1" si="34"/>
        <v>9</v>
      </c>
      <c r="J587" s="13" t="str">
        <f t="shared" ca="1" si="33"/>
        <v>정상</v>
      </c>
      <c r="N587" s="10" t="s">
        <v>33</v>
      </c>
    </row>
    <row r="588" spans="2:14" ht="16.5" hidden="1" customHeight="1">
      <c r="B588" s="10">
        <f>IF(C588="","",COUNTA($C$2:C588))</f>
        <v>587</v>
      </c>
      <c r="C588" s="30" t="s">
        <v>803</v>
      </c>
      <c r="D588" s="51" t="s">
        <v>875</v>
      </c>
      <c r="E588" s="23" t="s">
        <v>266</v>
      </c>
      <c r="F588" s="23" t="s">
        <v>253</v>
      </c>
      <c r="G588" s="18" t="s">
        <v>879</v>
      </c>
      <c r="H588" s="52">
        <v>27500000</v>
      </c>
      <c r="I588" s="18">
        <f t="shared" ca="1" si="34"/>
        <v>9</v>
      </c>
      <c r="J588" s="13" t="str">
        <f t="shared" ca="1" si="33"/>
        <v>정상</v>
      </c>
      <c r="N588" s="10" t="s">
        <v>33</v>
      </c>
    </row>
    <row r="589" spans="2:14" ht="16.5" hidden="1" customHeight="1">
      <c r="B589" s="10">
        <f>IF(C589="","",COUNTA($C$2:C589))</f>
        <v>588</v>
      </c>
      <c r="C589" s="30" t="s">
        <v>876</v>
      </c>
      <c r="D589" s="51" t="s">
        <v>875</v>
      </c>
      <c r="E589" s="23" t="s">
        <v>873</v>
      </c>
      <c r="F589" s="23" t="s">
        <v>850</v>
      </c>
      <c r="G589" s="18" t="s">
        <v>879</v>
      </c>
      <c r="H589" s="52">
        <v>752000</v>
      </c>
      <c r="I589" s="18">
        <f t="shared" ca="1" si="34"/>
        <v>0</v>
      </c>
      <c r="J589" s="13" t="str">
        <f t="shared" ca="1" si="33"/>
        <v>정상</v>
      </c>
      <c r="L589" s="44">
        <v>46148</v>
      </c>
      <c r="N589" s="10" t="s">
        <v>33</v>
      </c>
    </row>
    <row r="590" spans="2:14" ht="16.5" hidden="1" customHeight="1">
      <c r="B590" s="10">
        <f>IF(C590="","",COUNTA($C$2:C590))</f>
        <v>589</v>
      </c>
      <c r="C590" s="30" t="s">
        <v>876</v>
      </c>
      <c r="D590" s="51" t="s">
        <v>875</v>
      </c>
      <c r="E590" s="23" t="s">
        <v>580</v>
      </c>
      <c r="F590" s="23" t="s">
        <v>845</v>
      </c>
      <c r="G590" s="18" t="s">
        <v>879</v>
      </c>
      <c r="H590" s="52">
        <v>-1560000</v>
      </c>
      <c r="I590" s="18">
        <f t="shared" ca="1" si="34"/>
        <v>7</v>
      </c>
      <c r="J590" s="13" t="str">
        <f t="shared" ca="1" si="33"/>
        <v>정상</v>
      </c>
      <c r="N590" s="10" t="s">
        <v>33</v>
      </c>
    </row>
    <row r="591" spans="2:14" ht="16.5" hidden="1" customHeight="1">
      <c r="B591" s="10">
        <f>IF(C591="","",COUNTA($C$2:C591))</f>
        <v>590</v>
      </c>
      <c r="C591" s="30" t="s">
        <v>876</v>
      </c>
      <c r="D591" s="51" t="s">
        <v>875</v>
      </c>
      <c r="E591" s="23" t="s">
        <v>163</v>
      </c>
      <c r="F591" s="23" t="s">
        <v>851</v>
      </c>
      <c r="G591" s="18" t="s">
        <v>879</v>
      </c>
      <c r="H591" s="52">
        <v>88935000</v>
      </c>
      <c r="I591" s="18">
        <f t="shared" ca="1" si="34"/>
        <v>7</v>
      </c>
      <c r="J591" s="13" t="str">
        <f t="shared" ca="1" si="33"/>
        <v>정상</v>
      </c>
      <c r="N591" s="10" t="s">
        <v>33</v>
      </c>
    </row>
    <row r="592" spans="2:14" ht="16.5" hidden="1" customHeight="1">
      <c r="B592" s="10">
        <f>IF(C592="","",COUNTA($C$2:C592))</f>
        <v>591</v>
      </c>
      <c r="C592" s="30" t="s">
        <v>876</v>
      </c>
      <c r="D592" s="51" t="s">
        <v>875</v>
      </c>
      <c r="E592" s="23" t="s">
        <v>365</v>
      </c>
      <c r="F592" s="23" t="s">
        <v>771</v>
      </c>
      <c r="G592" s="18" t="s">
        <v>879</v>
      </c>
      <c r="H592" s="52">
        <v>111000</v>
      </c>
      <c r="I592" s="18">
        <f t="shared" ca="1" si="34"/>
        <v>1</v>
      </c>
      <c r="J592" s="13" t="str">
        <f t="shared" ca="1" si="33"/>
        <v>정상</v>
      </c>
      <c r="L592" s="44">
        <v>46149</v>
      </c>
      <c r="N592" s="10" t="s">
        <v>33</v>
      </c>
    </row>
    <row r="593" spans="2:14" ht="16.5" hidden="1" customHeight="1">
      <c r="B593" s="10">
        <f>IF(C593="","",COUNTA($C$2:C593))</f>
        <v>592</v>
      </c>
      <c r="C593" s="30" t="s">
        <v>876</v>
      </c>
      <c r="D593" s="51" t="s">
        <v>875</v>
      </c>
      <c r="E593" s="23" t="s">
        <v>706</v>
      </c>
      <c r="F593" s="23" t="s">
        <v>847</v>
      </c>
      <c r="G593" s="18" t="s">
        <v>879</v>
      </c>
      <c r="H593" s="52">
        <v>2142500</v>
      </c>
      <c r="I593" s="18">
        <f t="shared" ca="1" si="34"/>
        <v>7</v>
      </c>
      <c r="J593" s="13" t="str">
        <f t="shared" ca="1" si="33"/>
        <v>정상</v>
      </c>
      <c r="N593" s="10" t="s">
        <v>33</v>
      </c>
    </row>
    <row r="594" spans="2:14" ht="16.5" hidden="1" customHeight="1">
      <c r="B594" s="10">
        <f>IF(C594="","",COUNTA($C$2:C594))</f>
        <v>593</v>
      </c>
      <c r="C594" s="30" t="s">
        <v>876</v>
      </c>
      <c r="D594" s="51" t="s">
        <v>875</v>
      </c>
      <c r="E594" s="23" t="s">
        <v>249</v>
      </c>
      <c r="F594" s="23" t="s">
        <v>852</v>
      </c>
      <c r="G594" s="18" t="s">
        <v>879</v>
      </c>
      <c r="H594" s="52">
        <v>3547500</v>
      </c>
      <c r="I594" s="18">
        <f t="shared" ca="1" si="34"/>
        <v>7</v>
      </c>
      <c r="J594" s="13" t="str">
        <f t="shared" ca="1" si="33"/>
        <v>정상</v>
      </c>
      <c r="N594" s="10" t="s">
        <v>33</v>
      </c>
    </row>
    <row r="595" spans="2:14" ht="16.5" hidden="1" customHeight="1">
      <c r="B595" s="10">
        <f>IF(C595="","",COUNTA($C$2:C595))</f>
        <v>594</v>
      </c>
      <c r="C595" s="30" t="s">
        <v>876</v>
      </c>
      <c r="D595" s="51" t="s">
        <v>875</v>
      </c>
      <c r="E595" s="23" t="s">
        <v>249</v>
      </c>
      <c r="F595" s="23" t="s">
        <v>853</v>
      </c>
      <c r="G595" s="18" t="s">
        <v>879</v>
      </c>
      <c r="H595" s="52">
        <v>775700</v>
      </c>
      <c r="I595" s="18">
        <f t="shared" ca="1" si="34"/>
        <v>7</v>
      </c>
      <c r="J595" s="13" t="str">
        <f t="shared" ca="1" si="33"/>
        <v>정상</v>
      </c>
      <c r="N595" s="10" t="s">
        <v>33</v>
      </c>
    </row>
    <row r="596" spans="2:14" ht="16.5" hidden="1" customHeight="1">
      <c r="B596" s="10">
        <f>IF(C596="","",COUNTA($C$2:C596))</f>
        <v>595</v>
      </c>
      <c r="C596" s="30" t="s">
        <v>876</v>
      </c>
      <c r="D596" s="51" t="s">
        <v>875</v>
      </c>
      <c r="E596" s="23" t="s">
        <v>584</v>
      </c>
      <c r="F596" s="23" t="s">
        <v>846</v>
      </c>
      <c r="G596" s="18" t="s">
        <v>879</v>
      </c>
      <c r="H596" s="52">
        <v>1162000</v>
      </c>
      <c r="I596" s="18">
        <f t="shared" ca="1" si="34"/>
        <v>7</v>
      </c>
      <c r="J596" s="13" t="str">
        <f t="shared" ref="J596:J659" ca="1" si="35">IF(I596="","",
 IF(G596="선급금",
   IF(I596&lt;=20,"정상",IF(I596&lt;=90,"관리","장기미수")),
 IF(G596="자재",
   IF(I596&lt;=40,"정상",IF(I596&lt;=90,"관리","장기미수")),
   IF(I596&lt;=30,"정상",IF(I596&lt;=90,"관리","장기미수"))
  )
 )
)</f>
        <v>정상</v>
      </c>
      <c r="N596" s="10" t="s">
        <v>33</v>
      </c>
    </row>
    <row r="597" spans="2:14" ht="16.5" hidden="1" customHeight="1">
      <c r="B597" s="10">
        <f>IF(C597="","",COUNTA($C$2:C597))</f>
        <v>596</v>
      </c>
      <c r="C597" s="30" t="s">
        <v>876</v>
      </c>
      <c r="D597" s="51" t="s">
        <v>875</v>
      </c>
      <c r="E597" s="23" t="s">
        <v>577</v>
      </c>
      <c r="F597" s="23" t="s">
        <v>848</v>
      </c>
      <c r="G597" s="18" t="s">
        <v>879</v>
      </c>
      <c r="H597" s="52">
        <v>1369300</v>
      </c>
      <c r="I597" s="18">
        <f t="shared" ca="1" si="34"/>
        <v>7</v>
      </c>
      <c r="J597" s="13" t="str">
        <f t="shared" ca="1" si="35"/>
        <v>정상</v>
      </c>
      <c r="N597" s="10" t="s">
        <v>33</v>
      </c>
    </row>
    <row r="598" spans="2:14" ht="16.5" hidden="1" customHeight="1">
      <c r="B598" s="10">
        <f>IF(C598="","",COUNTA($C$2:C598))</f>
        <v>597</v>
      </c>
      <c r="C598" s="30" t="s">
        <v>876</v>
      </c>
      <c r="D598" s="51" t="s">
        <v>875</v>
      </c>
      <c r="E598" s="23" t="s">
        <v>209</v>
      </c>
      <c r="F598" s="23" t="s">
        <v>854</v>
      </c>
      <c r="G598" s="18" t="s">
        <v>879</v>
      </c>
      <c r="H598" s="52">
        <v>2001500</v>
      </c>
      <c r="I598" s="18">
        <f t="shared" ca="1" si="34"/>
        <v>7</v>
      </c>
      <c r="J598" s="13" t="str">
        <f t="shared" ca="1" si="35"/>
        <v>정상</v>
      </c>
      <c r="N598" s="10" t="s">
        <v>33</v>
      </c>
    </row>
    <row r="599" spans="2:14" ht="16.5" hidden="1" customHeight="1">
      <c r="B599" s="10">
        <f>IF(C599="","",COUNTA($C$2:C599))</f>
        <v>598</v>
      </c>
      <c r="C599" s="30" t="s">
        <v>876</v>
      </c>
      <c r="D599" s="51" t="s">
        <v>875</v>
      </c>
      <c r="E599" s="23" t="s">
        <v>122</v>
      </c>
      <c r="F599" s="23" t="s">
        <v>855</v>
      </c>
      <c r="G599" s="18" t="s">
        <v>879</v>
      </c>
      <c r="H599" s="52">
        <v>38948500</v>
      </c>
      <c r="I599" s="18">
        <f t="shared" ca="1" si="34"/>
        <v>7</v>
      </c>
      <c r="J599" s="13" t="str">
        <f t="shared" ca="1" si="35"/>
        <v>정상</v>
      </c>
      <c r="N599" s="10" t="s">
        <v>33</v>
      </c>
    </row>
    <row r="600" spans="2:14" ht="16.5" hidden="1" customHeight="1">
      <c r="B600" s="10">
        <f>IF(C600="","",COUNTA($C$2:C600))</f>
        <v>599</v>
      </c>
      <c r="C600" s="30" t="s">
        <v>876</v>
      </c>
      <c r="D600" s="51" t="s">
        <v>875</v>
      </c>
      <c r="E600" s="23" t="s">
        <v>900</v>
      </c>
      <c r="F600" s="23" t="s">
        <v>856</v>
      </c>
      <c r="G600" s="18" t="s">
        <v>879</v>
      </c>
      <c r="H600" s="52">
        <v>1367800</v>
      </c>
      <c r="I600" s="18">
        <f t="shared" ca="1" si="34"/>
        <v>5</v>
      </c>
      <c r="J600" s="13" t="str">
        <f t="shared" ca="1" si="35"/>
        <v>정상</v>
      </c>
      <c r="L600" s="44">
        <v>46153</v>
      </c>
      <c r="N600" s="10" t="s">
        <v>33</v>
      </c>
    </row>
    <row r="601" spans="2:14" ht="16.5" hidden="1" customHeight="1">
      <c r="B601" s="10">
        <f>IF(C601="","",COUNTA($C$2:C601))</f>
        <v>600</v>
      </c>
      <c r="C601" s="30" t="s">
        <v>876</v>
      </c>
      <c r="D601" s="51" t="s">
        <v>875</v>
      </c>
      <c r="E601" s="23" t="s">
        <v>542</v>
      </c>
      <c r="F601" s="23" t="s">
        <v>857</v>
      </c>
      <c r="G601" s="18" t="s">
        <v>879</v>
      </c>
      <c r="H601" s="52">
        <v>6565000</v>
      </c>
      <c r="I601" s="18">
        <f t="shared" ca="1" si="34"/>
        <v>7</v>
      </c>
      <c r="J601" s="13" t="str">
        <f t="shared" ca="1" si="35"/>
        <v>정상</v>
      </c>
      <c r="N601" s="10" t="s">
        <v>33</v>
      </c>
    </row>
    <row r="602" spans="2:14" ht="16.5" hidden="1" customHeight="1">
      <c r="B602" s="10">
        <f>IF(C602="","",COUNTA($C$2:C602))</f>
        <v>601</v>
      </c>
      <c r="C602" s="30" t="s">
        <v>876</v>
      </c>
      <c r="D602" s="51" t="s">
        <v>875</v>
      </c>
      <c r="E602" s="23" t="s">
        <v>100</v>
      </c>
      <c r="F602" s="23" t="s">
        <v>858</v>
      </c>
      <c r="G602" s="18" t="s">
        <v>879</v>
      </c>
      <c r="H602" s="52">
        <v>8250000</v>
      </c>
      <c r="I602" s="18">
        <f t="shared" ca="1" si="34"/>
        <v>7</v>
      </c>
      <c r="J602" s="13" t="str">
        <f t="shared" ca="1" si="35"/>
        <v>정상</v>
      </c>
      <c r="N602" s="10" t="s">
        <v>33</v>
      </c>
    </row>
    <row r="603" spans="2:14" ht="16.5" hidden="1" customHeight="1">
      <c r="B603" s="10">
        <f>IF(C603="","",COUNTA($C$2:C603))</f>
        <v>602</v>
      </c>
      <c r="C603" s="30" t="s">
        <v>876</v>
      </c>
      <c r="D603" s="51" t="s">
        <v>875</v>
      </c>
      <c r="E603" s="23" t="s">
        <v>62</v>
      </c>
      <c r="F603" s="23" t="s">
        <v>859</v>
      </c>
      <c r="G603" s="18" t="s">
        <v>879</v>
      </c>
      <c r="H603" s="52">
        <v>13750000</v>
      </c>
      <c r="I603" s="18">
        <f t="shared" ca="1" si="34"/>
        <v>7</v>
      </c>
      <c r="J603" s="13" t="str">
        <f t="shared" ca="1" si="35"/>
        <v>정상</v>
      </c>
      <c r="N603" s="10" t="s">
        <v>33</v>
      </c>
    </row>
    <row r="604" spans="2:14" ht="16.5" hidden="1" customHeight="1">
      <c r="B604" s="10">
        <f>IF(C604="","",COUNTA($C$2:C604))</f>
        <v>603</v>
      </c>
      <c r="C604" s="30" t="s">
        <v>877</v>
      </c>
      <c r="D604" s="51" t="s">
        <v>875</v>
      </c>
      <c r="E604" s="23" t="s">
        <v>584</v>
      </c>
      <c r="F604" s="23" t="s">
        <v>846</v>
      </c>
      <c r="G604" s="18" t="s">
        <v>879</v>
      </c>
      <c r="H604" s="52">
        <v>1890000</v>
      </c>
      <c r="I604" s="18">
        <f t="shared" ca="1" si="34"/>
        <v>6</v>
      </c>
      <c r="J604" s="13" t="str">
        <f t="shared" ca="1" si="35"/>
        <v>정상</v>
      </c>
      <c r="N604" s="10" t="s">
        <v>33</v>
      </c>
    </row>
    <row r="605" spans="2:14" ht="16.5" hidden="1" customHeight="1">
      <c r="B605" s="10">
        <f>IF(C605="","",COUNTA($C$2:C605))</f>
        <v>604</v>
      </c>
      <c r="C605" s="30" t="s">
        <v>877</v>
      </c>
      <c r="D605" s="51" t="s">
        <v>875</v>
      </c>
      <c r="E605" s="23" t="s">
        <v>584</v>
      </c>
      <c r="F605" s="23" t="s">
        <v>846</v>
      </c>
      <c r="G605" s="18" t="s">
        <v>879</v>
      </c>
      <c r="H605" s="52">
        <v>-1030400</v>
      </c>
      <c r="I605" s="18">
        <f t="shared" ca="1" si="34"/>
        <v>6</v>
      </c>
      <c r="J605" s="13" t="str">
        <f t="shared" ca="1" si="35"/>
        <v>정상</v>
      </c>
      <c r="N605" s="10" t="s">
        <v>33</v>
      </c>
    </row>
    <row r="606" spans="2:14" ht="16.5" hidden="1" customHeight="1">
      <c r="B606" s="10">
        <f>IF(C606="","",COUNTA($C$2:C606))</f>
        <v>605</v>
      </c>
      <c r="C606" s="30" t="s">
        <v>877</v>
      </c>
      <c r="D606" s="51" t="s">
        <v>875</v>
      </c>
      <c r="E606" s="23" t="s">
        <v>434</v>
      </c>
      <c r="F606" s="23" t="s">
        <v>860</v>
      </c>
      <c r="G606" s="18" t="s">
        <v>879</v>
      </c>
      <c r="H606" s="52">
        <v>9426100</v>
      </c>
      <c r="I606" s="18">
        <f t="shared" ca="1" si="34"/>
        <v>6</v>
      </c>
      <c r="J606" s="13" t="str">
        <f t="shared" ca="1" si="35"/>
        <v>정상</v>
      </c>
      <c r="N606" s="10" t="s">
        <v>33</v>
      </c>
    </row>
    <row r="607" spans="2:14" ht="16.5" hidden="1" customHeight="1">
      <c r="B607" s="10">
        <f>IF(C607="","",COUNTA($C$2:C607))</f>
        <v>606</v>
      </c>
      <c r="C607" s="30" t="s">
        <v>877</v>
      </c>
      <c r="D607" s="51" t="s">
        <v>875</v>
      </c>
      <c r="E607" s="23" t="s">
        <v>249</v>
      </c>
      <c r="F607" s="23" t="s">
        <v>441</v>
      </c>
      <c r="G607" s="18" t="s">
        <v>879</v>
      </c>
      <c r="H607" s="52">
        <v>2715000</v>
      </c>
      <c r="I607" s="18">
        <f t="shared" ca="1" si="34"/>
        <v>6</v>
      </c>
      <c r="J607" s="13" t="str">
        <f t="shared" ca="1" si="35"/>
        <v>정상</v>
      </c>
      <c r="N607" s="10" t="s">
        <v>33</v>
      </c>
    </row>
    <row r="608" spans="2:14" ht="16.5" hidden="1" customHeight="1">
      <c r="B608" s="10">
        <f>IF(C608="","",COUNTA($C$2:C608))</f>
        <v>607</v>
      </c>
      <c r="C608" s="30" t="s">
        <v>877</v>
      </c>
      <c r="D608" s="51" t="s">
        <v>875</v>
      </c>
      <c r="E608" s="23" t="s">
        <v>740</v>
      </c>
      <c r="F608" s="23" t="s">
        <v>861</v>
      </c>
      <c r="G608" s="18" t="s">
        <v>879</v>
      </c>
      <c r="H608" s="52">
        <v>1808000</v>
      </c>
      <c r="I608" s="18">
        <f t="shared" ca="1" si="34"/>
        <v>6</v>
      </c>
      <c r="J608" s="13" t="str">
        <f t="shared" ca="1" si="35"/>
        <v>정상</v>
      </c>
      <c r="N608" s="10" t="s">
        <v>33</v>
      </c>
    </row>
    <row r="609" spans="2:14" ht="16.5" hidden="1" customHeight="1">
      <c r="B609" s="10">
        <f>IF(C609="","",COUNTA($C$2:C609))</f>
        <v>608</v>
      </c>
      <c r="C609" s="30" t="s">
        <v>877</v>
      </c>
      <c r="D609" s="51" t="s">
        <v>875</v>
      </c>
      <c r="E609" s="23" t="s">
        <v>395</v>
      </c>
      <c r="F609" s="23" t="s">
        <v>849</v>
      </c>
      <c r="G609" s="18" t="s">
        <v>879</v>
      </c>
      <c r="H609" s="52">
        <v>94290000</v>
      </c>
      <c r="I609" s="18">
        <f t="shared" ca="1" si="34"/>
        <v>6</v>
      </c>
      <c r="J609" s="13" t="str">
        <f t="shared" ca="1" si="35"/>
        <v>정상</v>
      </c>
      <c r="N609" s="10" t="s">
        <v>33</v>
      </c>
    </row>
    <row r="610" spans="2:14" ht="16.5" hidden="1" customHeight="1">
      <c r="B610" s="10">
        <f>IF(C610="","",COUNTA($C$2:C610))</f>
        <v>609</v>
      </c>
      <c r="C610" s="30" t="s">
        <v>877</v>
      </c>
      <c r="D610" s="51" t="s">
        <v>875</v>
      </c>
      <c r="E610" s="23" t="s">
        <v>105</v>
      </c>
      <c r="F610" s="23" t="s">
        <v>862</v>
      </c>
      <c r="G610" s="18" t="s">
        <v>879</v>
      </c>
      <c r="H610" s="52">
        <v>2170000</v>
      </c>
      <c r="I610" s="18">
        <f t="shared" ca="1" si="34"/>
        <v>6</v>
      </c>
      <c r="J610" s="13" t="str">
        <f t="shared" ca="1" si="35"/>
        <v>정상</v>
      </c>
      <c r="N610" s="10" t="s">
        <v>33</v>
      </c>
    </row>
    <row r="611" spans="2:14" ht="16.5" hidden="1" customHeight="1">
      <c r="B611" s="10">
        <f>IF(C611="","",COUNTA($C$2:C611))</f>
        <v>610</v>
      </c>
      <c r="C611" s="30" t="s">
        <v>877</v>
      </c>
      <c r="D611" s="51" t="s">
        <v>875</v>
      </c>
      <c r="E611" s="23" t="s">
        <v>821</v>
      </c>
      <c r="F611" s="23" t="s">
        <v>863</v>
      </c>
      <c r="G611" s="18" t="s">
        <v>879</v>
      </c>
      <c r="H611" s="52">
        <v>4468000</v>
      </c>
      <c r="I611" s="18">
        <f t="shared" ca="1" si="34"/>
        <v>6</v>
      </c>
      <c r="J611" s="13" t="str">
        <f t="shared" ca="1" si="35"/>
        <v>정상</v>
      </c>
      <c r="N611" s="10" t="s">
        <v>33</v>
      </c>
    </row>
    <row r="612" spans="2:14" ht="16.5" hidden="1" customHeight="1">
      <c r="B612" s="10">
        <f>IF(C612="","",COUNTA($C$2:C612))</f>
        <v>611</v>
      </c>
      <c r="C612" s="30" t="s">
        <v>877</v>
      </c>
      <c r="D612" s="51" t="s">
        <v>875</v>
      </c>
      <c r="E612" s="23" t="s">
        <v>577</v>
      </c>
      <c r="F612" s="23" t="s">
        <v>864</v>
      </c>
      <c r="G612" s="18" t="s">
        <v>879</v>
      </c>
      <c r="H612" s="52">
        <v>205300</v>
      </c>
      <c r="I612" s="18">
        <f t="shared" ca="1" si="34"/>
        <v>6</v>
      </c>
      <c r="J612" s="13" t="str">
        <f t="shared" ca="1" si="35"/>
        <v>정상</v>
      </c>
      <c r="N612" s="10" t="s">
        <v>33</v>
      </c>
    </row>
    <row r="613" spans="2:14" ht="16.5" hidden="1" customHeight="1">
      <c r="B613" s="10">
        <f>IF(C613="","",COUNTA($C$2:C613))</f>
        <v>612</v>
      </c>
      <c r="C613" s="30" t="s">
        <v>877</v>
      </c>
      <c r="D613" s="51" t="s">
        <v>875</v>
      </c>
      <c r="E613" s="23" t="s">
        <v>821</v>
      </c>
      <c r="F613" s="23" t="s">
        <v>321</v>
      </c>
      <c r="G613" s="18" t="s">
        <v>879</v>
      </c>
      <c r="H613" s="52">
        <v>282000</v>
      </c>
      <c r="I613" s="18">
        <f t="shared" ca="1" si="34"/>
        <v>6</v>
      </c>
      <c r="J613" s="13" t="str">
        <f t="shared" ca="1" si="35"/>
        <v>정상</v>
      </c>
      <c r="N613" s="10" t="s">
        <v>33</v>
      </c>
    </row>
    <row r="614" spans="2:14" ht="16.5" hidden="1" customHeight="1">
      <c r="B614" s="10">
        <f>IF(C614="","",COUNTA($C$2:C614))</f>
        <v>613</v>
      </c>
      <c r="C614" s="30" t="s">
        <v>877</v>
      </c>
      <c r="D614" s="51" t="s">
        <v>875</v>
      </c>
      <c r="E614" s="23" t="s">
        <v>128</v>
      </c>
      <c r="F614" s="23" t="s">
        <v>865</v>
      </c>
      <c r="G614" s="18" t="s">
        <v>879</v>
      </c>
      <c r="H614" s="52">
        <v>13074100</v>
      </c>
      <c r="I614" s="18">
        <f t="shared" ca="1" si="34"/>
        <v>6</v>
      </c>
      <c r="J614" s="13" t="str">
        <f t="shared" ca="1" si="35"/>
        <v>정상</v>
      </c>
      <c r="N614" s="10" t="s">
        <v>33</v>
      </c>
    </row>
    <row r="615" spans="2:14" ht="16.5" hidden="1" customHeight="1">
      <c r="B615" s="10">
        <f>IF(C615="","",COUNTA($C$2:C615))</f>
        <v>614</v>
      </c>
      <c r="C615" s="30" t="s">
        <v>877</v>
      </c>
      <c r="D615" s="51" t="s">
        <v>875</v>
      </c>
      <c r="E615" s="23" t="s">
        <v>578</v>
      </c>
      <c r="F615" s="23" t="s">
        <v>866</v>
      </c>
      <c r="G615" s="18" t="s">
        <v>879</v>
      </c>
      <c r="H615" s="52">
        <v>4100000</v>
      </c>
      <c r="I615" s="18">
        <f t="shared" ca="1" si="34"/>
        <v>4</v>
      </c>
      <c r="J615" s="13" t="str">
        <f t="shared" ca="1" si="35"/>
        <v>정상</v>
      </c>
      <c r="L615" s="44">
        <v>46153</v>
      </c>
      <c r="N615" s="10" t="s">
        <v>33</v>
      </c>
    </row>
    <row r="616" spans="2:14" ht="16.5" hidden="1" customHeight="1">
      <c r="B616" s="10">
        <f>IF(C616="","",COUNTA($C$2:C616))</f>
        <v>615</v>
      </c>
      <c r="C616" s="30" t="s">
        <v>877</v>
      </c>
      <c r="D616" s="51" t="s">
        <v>875</v>
      </c>
      <c r="E616" s="23" t="s">
        <v>207</v>
      </c>
      <c r="F616" s="23" t="s">
        <v>867</v>
      </c>
      <c r="G616" s="18" t="s">
        <v>879</v>
      </c>
      <c r="H616" s="52">
        <v>8604400</v>
      </c>
      <c r="I616" s="18">
        <f t="shared" ca="1" si="34"/>
        <v>6</v>
      </c>
      <c r="J616" s="13" t="str">
        <f t="shared" ca="1" si="35"/>
        <v>정상</v>
      </c>
      <c r="N616" s="10" t="s">
        <v>33</v>
      </c>
    </row>
    <row r="617" spans="2:14" ht="16.5" hidden="1" customHeight="1">
      <c r="B617" s="10">
        <f>IF(C617="","",COUNTA($C$2:C617))</f>
        <v>616</v>
      </c>
      <c r="C617" s="30" t="s">
        <v>877</v>
      </c>
      <c r="D617" s="51" t="s">
        <v>875</v>
      </c>
      <c r="E617" s="23" t="s">
        <v>69</v>
      </c>
      <c r="F617" s="23" t="s">
        <v>868</v>
      </c>
      <c r="G617" s="18" t="s">
        <v>879</v>
      </c>
      <c r="H617" s="52">
        <v>500500</v>
      </c>
      <c r="I617" s="18">
        <f t="shared" ca="1" si="34"/>
        <v>6</v>
      </c>
      <c r="J617" s="13" t="str">
        <f t="shared" ca="1" si="35"/>
        <v>정상</v>
      </c>
      <c r="N617" s="10" t="s">
        <v>33</v>
      </c>
    </row>
    <row r="618" spans="2:14" ht="16.5" hidden="1" customHeight="1">
      <c r="B618" s="10">
        <f>IF(C618="","",COUNTA($C$2:C618))</f>
        <v>617</v>
      </c>
      <c r="C618" s="30" t="s">
        <v>877</v>
      </c>
      <c r="D618" s="51" t="s">
        <v>875</v>
      </c>
      <c r="E618" s="23" t="s">
        <v>584</v>
      </c>
      <c r="F618" s="23" t="s">
        <v>846</v>
      </c>
      <c r="G618" s="18" t="s">
        <v>879</v>
      </c>
      <c r="H618" s="52">
        <v>1030400</v>
      </c>
      <c r="I618" s="18">
        <f t="shared" ca="1" si="34"/>
        <v>6</v>
      </c>
      <c r="J618" s="13" t="str">
        <f t="shared" ca="1" si="35"/>
        <v>정상</v>
      </c>
      <c r="N618" s="10" t="s">
        <v>33</v>
      </c>
    </row>
    <row r="619" spans="2:14" ht="16.5" hidden="1" customHeight="1">
      <c r="B619" s="10">
        <f>IF(C619="","",COUNTA($C$2:C619))</f>
        <v>618</v>
      </c>
      <c r="C619" s="30" t="s">
        <v>877</v>
      </c>
      <c r="D619" s="51" t="s">
        <v>875</v>
      </c>
      <c r="E619" s="23" t="s">
        <v>39</v>
      </c>
      <c r="F619" s="23" t="s">
        <v>869</v>
      </c>
      <c r="G619" s="18" t="s">
        <v>879</v>
      </c>
      <c r="H619" s="52">
        <v>46400</v>
      </c>
      <c r="I619" s="18">
        <f t="shared" ca="1" si="34"/>
        <v>6</v>
      </c>
      <c r="J619" s="13" t="str">
        <f t="shared" ca="1" si="35"/>
        <v>정상</v>
      </c>
      <c r="N619" s="10" t="s">
        <v>33</v>
      </c>
    </row>
    <row r="620" spans="2:14" ht="16.5" hidden="1" customHeight="1">
      <c r="B620" s="10">
        <f>IF(C620="","",COUNTA($C$2:C620))</f>
        <v>619</v>
      </c>
      <c r="C620" s="30" t="s">
        <v>877</v>
      </c>
      <c r="D620" s="51" t="s">
        <v>875</v>
      </c>
      <c r="E620" s="23" t="s">
        <v>874</v>
      </c>
      <c r="F620" s="23" t="s">
        <v>870</v>
      </c>
      <c r="G620" s="18" t="s">
        <v>879</v>
      </c>
      <c r="H620" s="52">
        <v>16665500</v>
      </c>
      <c r="I620" s="18">
        <f t="shared" ca="1" si="34"/>
        <v>0</v>
      </c>
      <c r="J620" s="13" t="str">
        <f t="shared" ca="1" si="35"/>
        <v>정상</v>
      </c>
      <c r="L620" s="44">
        <v>46149</v>
      </c>
      <c r="N620" s="10" t="s">
        <v>33</v>
      </c>
    </row>
    <row r="621" spans="2:14" ht="16.5" hidden="1" customHeight="1">
      <c r="B621" s="10">
        <f>IF(C621="","",COUNTA($C$2:C621))</f>
        <v>620</v>
      </c>
      <c r="C621" s="30">
        <v>46142</v>
      </c>
      <c r="D621" s="51" t="s">
        <v>638</v>
      </c>
      <c r="E621" s="23" t="s">
        <v>899</v>
      </c>
      <c r="F621" s="23"/>
      <c r="G621" s="18" t="s">
        <v>879</v>
      </c>
      <c r="H621" s="52">
        <v>2137800</v>
      </c>
      <c r="I621" s="18">
        <f t="shared" ca="1" si="34"/>
        <v>13</v>
      </c>
      <c r="J621" s="13" t="str">
        <f t="shared" ca="1" si="35"/>
        <v>정상</v>
      </c>
      <c r="N621" s="10" t="s">
        <v>33</v>
      </c>
    </row>
    <row r="622" spans="2:14" ht="16.5" hidden="1" customHeight="1">
      <c r="B622" s="10">
        <f>IF(C622="","",COUNTA($C$2:C622))</f>
        <v>621</v>
      </c>
      <c r="C622" s="30" t="s">
        <v>878</v>
      </c>
      <c r="D622" s="51" t="s">
        <v>875</v>
      </c>
      <c r="E622" s="23" t="s">
        <v>179</v>
      </c>
      <c r="F622" s="23" t="s">
        <v>745</v>
      </c>
      <c r="G622" s="18" t="s">
        <v>879</v>
      </c>
      <c r="H622" s="52">
        <v>6875000</v>
      </c>
      <c r="I622" s="18">
        <f t="shared" ca="1" si="34"/>
        <v>5</v>
      </c>
      <c r="J622" s="13" t="str">
        <f t="shared" ca="1" si="35"/>
        <v>정상</v>
      </c>
      <c r="N622" s="10" t="s">
        <v>33</v>
      </c>
    </row>
    <row r="623" spans="2:14" ht="16.5" hidden="1" customHeight="1">
      <c r="B623" s="10">
        <f>IF(C623="","",COUNTA($C$2:C623))</f>
        <v>622</v>
      </c>
      <c r="C623" s="30" t="s">
        <v>878</v>
      </c>
      <c r="D623" s="51" t="s">
        <v>875</v>
      </c>
      <c r="E623" s="23" t="s">
        <v>578</v>
      </c>
      <c r="F623" s="23" t="s">
        <v>871</v>
      </c>
      <c r="G623" s="18" t="s">
        <v>879</v>
      </c>
      <c r="H623" s="52">
        <v>1842000</v>
      </c>
      <c r="I623" s="18">
        <f t="shared" ca="1" si="34"/>
        <v>5</v>
      </c>
      <c r="J623" s="13" t="str">
        <f t="shared" ca="1" si="35"/>
        <v>정상</v>
      </c>
      <c r="N623" s="10" t="s">
        <v>33</v>
      </c>
    </row>
    <row r="624" spans="2:14" ht="16.5" hidden="1" customHeight="1">
      <c r="B624" s="10">
        <f>IF(C624="","",COUNTA($C$2:C624))</f>
        <v>623</v>
      </c>
      <c r="C624" s="30" t="s">
        <v>878</v>
      </c>
      <c r="D624" s="51" t="s">
        <v>875</v>
      </c>
      <c r="E624" s="23" t="s">
        <v>821</v>
      </c>
      <c r="F624" s="23" t="s">
        <v>872</v>
      </c>
      <c r="G624" s="18" t="s">
        <v>879</v>
      </c>
      <c r="H624" s="52">
        <v>334200</v>
      </c>
      <c r="I624" s="18">
        <f t="shared" ca="1" si="34"/>
        <v>5</v>
      </c>
      <c r="J624" s="13" t="str">
        <f t="shared" ca="1" si="35"/>
        <v>정상</v>
      </c>
      <c r="N624" s="10" t="s">
        <v>33</v>
      </c>
    </row>
    <row r="625" spans="2:14" ht="16.5" hidden="1" customHeight="1">
      <c r="B625" s="10">
        <f>IF(C625="","",COUNTA($C$2:C625))</f>
        <v>624</v>
      </c>
      <c r="C625" s="30" t="s">
        <v>878</v>
      </c>
      <c r="D625" s="51" t="s">
        <v>638</v>
      </c>
      <c r="E625" s="23" t="s">
        <v>206</v>
      </c>
      <c r="F625" s="23" t="s">
        <v>896</v>
      </c>
      <c r="G625" s="18" t="s">
        <v>879</v>
      </c>
      <c r="H625" s="52">
        <v>875000</v>
      </c>
      <c r="I625" s="18">
        <f t="shared" ca="1" si="34"/>
        <v>5</v>
      </c>
      <c r="J625" s="13" t="str">
        <f t="shared" ca="1" si="35"/>
        <v>정상</v>
      </c>
      <c r="N625" s="10" t="s">
        <v>33</v>
      </c>
    </row>
    <row r="626" spans="2:14" ht="16.5" hidden="1" customHeight="1">
      <c r="B626" s="10">
        <f>IF(C626="","",COUNTA($C$2:C626))</f>
        <v>625</v>
      </c>
      <c r="C626" s="30" t="s">
        <v>878</v>
      </c>
      <c r="D626" s="51" t="s">
        <v>638</v>
      </c>
      <c r="E626" s="23" t="s">
        <v>821</v>
      </c>
      <c r="F626" s="23" t="s">
        <v>897</v>
      </c>
      <c r="G626" s="18" t="s">
        <v>879</v>
      </c>
      <c r="H626" s="52">
        <v>5364000</v>
      </c>
      <c r="I626" s="18">
        <f t="shared" ca="1" si="34"/>
        <v>5</v>
      </c>
      <c r="J626" s="13" t="str">
        <f t="shared" ca="1" si="35"/>
        <v>정상</v>
      </c>
      <c r="N626" s="10" t="s">
        <v>33</v>
      </c>
    </row>
    <row r="627" spans="2:14" ht="16.5" hidden="1" customHeight="1">
      <c r="B627" s="10">
        <f>IF(C627="","",COUNTA($C$2:C627))</f>
        <v>626</v>
      </c>
      <c r="C627" s="30" t="s">
        <v>878</v>
      </c>
      <c r="D627" s="51" t="s">
        <v>638</v>
      </c>
      <c r="E627" s="23" t="s">
        <v>267</v>
      </c>
      <c r="F627" s="23" t="s">
        <v>898</v>
      </c>
      <c r="G627" s="18" t="s">
        <v>879</v>
      </c>
      <c r="H627" s="52">
        <v>532800</v>
      </c>
      <c r="I627" s="18">
        <f t="shared" ca="1" si="34"/>
        <v>3</v>
      </c>
      <c r="J627" s="13" t="str">
        <f t="shared" ca="1" si="35"/>
        <v>정상</v>
      </c>
      <c r="L627" s="44">
        <v>46153</v>
      </c>
      <c r="N627" s="10" t="s">
        <v>33</v>
      </c>
    </row>
    <row r="628" spans="2:14" ht="16.5" hidden="1" customHeight="1">
      <c r="B628" s="10">
        <f>IF(C628="","",COUNTA($C$2:C628))</f>
        <v>627</v>
      </c>
      <c r="C628" s="30" t="s">
        <v>739</v>
      </c>
      <c r="D628" s="51" t="s">
        <v>638</v>
      </c>
      <c r="E628" s="23" t="s">
        <v>821</v>
      </c>
      <c r="F628" s="23" t="s">
        <v>881</v>
      </c>
      <c r="G628" s="18" t="s">
        <v>879</v>
      </c>
      <c r="H628" s="52">
        <v>334200</v>
      </c>
      <c r="I628" s="18">
        <f t="shared" ca="1" si="34"/>
        <v>15</v>
      </c>
      <c r="J628" s="13" t="str">
        <f t="shared" ca="1" si="35"/>
        <v>정상</v>
      </c>
      <c r="N628" s="10" t="s">
        <v>33</v>
      </c>
    </row>
    <row r="629" spans="2:14" ht="16.5" hidden="1" customHeight="1">
      <c r="B629" s="10">
        <f>IF(C629="","",COUNTA($C$2:C629))</f>
        <v>628</v>
      </c>
      <c r="C629" s="30" t="s">
        <v>739</v>
      </c>
      <c r="D629" s="51" t="s">
        <v>638</v>
      </c>
      <c r="E629" s="23" t="s">
        <v>821</v>
      </c>
      <c r="F629" s="23" t="s">
        <v>882</v>
      </c>
      <c r="G629" s="18" t="s">
        <v>879</v>
      </c>
      <c r="H629" s="52">
        <v>334200</v>
      </c>
      <c r="I629" s="18">
        <f t="shared" ca="1" si="34"/>
        <v>15</v>
      </c>
      <c r="J629" s="13" t="str">
        <f t="shared" ca="1" si="35"/>
        <v>정상</v>
      </c>
      <c r="N629" s="10" t="s">
        <v>33</v>
      </c>
    </row>
    <row r="630" spans="2:14" ht="16.5" hidden="1" customHeight="1">
      <c r="B630" s="10">
        <f>IF(C630="","",COUNTA($C$2:C630))</f>
        <v>629</v>
      </c>
      <c r="C630" s="30" t="s">
        <v>639</v>
      </c>
      <c r="D630" s="51" t="s">
        <v>638</v>
      </c>
      <c r="E630" s="23" t="s">
        <v>821</v>
      </c>
      <c r="F630" s="23" t="s">
        <v>484</v>
      </c>
      <c r="G630" s="18" t="s">
        <v>879</v>
      </c>
      <c r="H630" s="52">
        <v>334200</v>
      </c>
      <c r="I630" s="18">
        <f t="shared" ca="1" si="34"/>
        <v>28</v>
      </c>
      <c r="J630" s="13" t="str">
        <f t="shared" ca="1" si="35"/>
        <v>정상</v>
      </c>
      <c r="N630" s="10" t="s">
        <v>33</v>
      </c>
    </row>
    <row r="631" spans="2:14" ht="16.5" hidden="1" customHeight="1">
      <c r="B631" s="10">
        <f>IF(C631="","",COUNTA($C$2:C631))</f>
        <v>630</v>
      </c>
      <c r="C631" s="30" t="s">
        <v>510</v>
      </c>
      <c r="D631" s="51" t="s">
        <v>638</v>
      </c>
      <c r="E631" s="23" t="s">
        <v>821</v>
      </c>
      <c r="F631" s="23" t="s">
        <v>884</v>
      </c>
      <c r="G631" s="18" t="s">
        <v>879</v>
      </c>
      <c r="H631" s="52">
        <v>334200</v>
      </c>
      <c r="I631" s="18">
        <f t="shared" ca="1" si="34"/>
        <v>40</v>
      </c>
      <c r="J631" s="13" t="str">
        <f t="shared" ca="1" si="35"/>
        <v>정상</v>
      </c>
      <c r="N631" s="10" t="s">
        <v>33</v>
      </c>
    </row>
    <row r="632" spans="2:14" ht="16.5" hidden="1" customHeight="1">
      <c r="B632" s="10">
        <f>IF(C632="","",COUNTA($C$2:C632))</f>
        <v>631</v>
      </c>
      <c r="C632" s="30" t="s">
        <v>895</v>
      </c>
      <c r="D632" s="51" t="s">
        <v>638</v>
      </c>
      <c r="E632" s="23" t="s">
        <v>24</v>
      </c>
      <c r="F632" s="23" t="s">
        <v>885</v>
      </c>
      <c r="G632" s="18" t="s">
        <v>879</v>
      </c>
      <c r="H632" s="52">
        <v>334200</v>
      </c>
      <c r="I632" s="18">
        <f t="shared" ref="I632:I664" ca="1" si="36">IF(C632="","",IF(L632="",TODAY()-C632,L632-C632))</f>
        <v>2</v>
      </c>
      <c r="J632" s="13" t="str">
        <f t="shared" ca="1" si="35"/>
        <v>정상</v>
      </c>
      <c r="N632" s="10" t="s">
        <v>33</v>
      </c>
    </row>
    <row r="633" spans="2:14" ht="16.5" hidden="1" customHeight="1">
      <c r="B633" s="10">
        <f>IF(C633="","",COUNTA($C$2:C633))</f>
        <v>632</v>
      </c>
      <c r="C633" s="30" t="s">
        <v>895</v>
      </c>
      <c r="D633" s="51" t="s">
        <v>638</v>
      </c>
      <c r="E633" s="23" t="s">
        <v>122</v>
      </c>
      <c r="F633" s="23" t="s">
        <v>886</v>
      </c>
      <c r="G633" s="18" t="s">
        <v>879</v>
      </c>
      <c r="H633" s="52">
        <v>334200</v>
      </c>
      <c r="I633" s="18">
        <f t="shared" ca="1" si="36"/>
        <v>2</v>
      </c>
      <c r="J633" s="13" t="str">
        <f t="shared" ca="1" si="35"/>
        <v>정상</v>
      </c>
      <c r="N633" s="10" t="s">
        <v>33</v>
      </c>
    </row>
    <row r="634" spans="2:14" ht="16.5" hidden="1" customHeight="1">
      <c r="B634" s="10">
        <f>IF(C634="","",COUNTA($C$2:C634))</f>
        <v>633</v>
      </c>
      <c r="C634" s="30" t="s">
        <v>895</v>
      </c>
      <c r="D634" s="51" t="s">
        <v>638</v>
      </c>
      <c r="E634" s="23" t="s">
        <v>507</v>
      </c>
      <c r="F634" s="23" t="s">
        <v>887</v>
      </c>
      <c r="G634" s="18" t="s">
        <v>879</v>
      </c>
      <c r="H634" s="52">
        <v>334200</v>
      </c>
      <c r="I634" s="18">
        <f t="shared" ca="1" si="36"/>
        <v>2</v>
      </c>
      <c r="J634" s="13" t="str">
        <f t="shared" ca="1" si="35"/>
        <v>정상</v>
      </c>
      <c r="N634" s="10" t="s">
        <v>33</v>
      </c>
    </row>
    <row r="635" spans="2:14" ht="16.5" hidden="1" customHeight="1">
      <c r="B635" s="10">
        <f>IF(C635="","",COUNTA($C$2:C635))</f>
        <v>634</v>
      </c>
      <c r="C635" s="30" t="s">
        <v>895</v>
      </c>
      <c r="D635" s="51" t="s">
        <v>638</v>
      </c>
      <c r="E635" s="23" t="s">
        <v>122</v>
      </c>
      <c r="F635" s="23" t="s">
        <v>888</v>
      </c>
      <c r="G635" s="18" t="s">
        <v>879</v>
      </c>
      <c r="H635" s="52">
        <v>334200</v>
      </c>
      <c r="I635" s="18">
        <f t="shared" ca="1" si="36"/>
        <v>2</v>
      </c>
      <c r="J635" s="13" t="str">
        <f t="shared" ca="1" si="35"/>
        <v>정상</v>
      </c>
      <c r="N635" s="10" t="s">
        <v>33</v>
      </c>
    </row>
    <row r="636" spans="2:14" ht="16.5" hidden="1" customHeight="1">
      <c r="B636" s="10">
        <f>IF(C636="","",COUNTA($C$2:C636))</f>
        <v>635</v>
      </c>
      <c r="C636" s="30" t="s">
        <v>895</v>
      </c>
      <c r="D636" s="51" t="s">
        <v>638</v>
      </c>
      <c r="E636" s="23" t="s">
        <v>460</v>
      </c>
      <c r="F636" s="23" t="s">
        <v>889</v>
      </c>
      <c r="G636" s="18" t="s">
        <v>879</v>
      </c>
      <c r="H636" s="52">
        <v>334200</v>
      </c>
      <c r="I636" s="18">
        <f t="shared" ca="1" si="36"/>
        <v>2</v>
      </c>
      <c r="J636" s="13" t="str">
        <f t="shared" ca="1" si="35"/>
        <v>정상</v>
      </c>
      <c r="N636" s="10" t="s">
        <v>33</v>
      </c>
    </row>
    <row r="637" spans="2:14" ht="16.5" hidden="1" customHeight="1">
      <c r="B637" s="10">
        <f>IF(C637="","",COUNTA($C$2:C637))</f>
        <v>636</v>
      </c>
      <c r="C637" s="30" t="s">
        <v>895</v>
      </c>
      <c r="D637" s="51" t="s">
        <v>638</v>
      </c>
      <c r="E637" s="23" t="s">
        <v>383</v>
      </c>
      <c r="F637" s="23" t="s">
        <v>883</v>
      </c>
      <c r="G637" s="18" t="s">
        <v>879</v>
      </c>
      <c r="H637" s="52">
        <v>334200</v>
      </c>
      <c r="I637" s="18">
        <f t="shared" ca="1" si="36"/>
        <v>2</v>
      </c>
      <c r="J637" s="13" t="str">
        <f t="shared" ca="1" si="35"/>
        <v>정상</v>
      </c>
      <c r="N637" s="10" t="s">
        <v>33</v>
      </c>
    </row>
    <row r="638" spans="2:14" ht="16.5" hidden="1" customHeight="1">
      <c r="B638" s="10">
        <f>IF(C638="","",COUNTA($C$2:C638))</f>
        <v>637</v>
      </c>
      <c r="C638" s="30" t="s">
        <v>895</v>
      </c>
      <c r="D638" s="51" t="s">
        <v>638</v>
      </c>
      <c r="E638" s="23" t="s">
        <v>606</v>
      </c>
      <c r="F638" s="23" t="s">
        <v>890</v>
      </c>
      <c r="G638" s="18" t="s">
        <v>879</v>
      </c>
      <c r="H638" s="52">
        <v>334200</v>
      </c>
      <c r="I638" s="18">
        <f t="shared" ca="1" si="36"/>
        <v>2</v>
      </c>
      <c r="J638" s="13" t="str">
        <f t="shared" ca="1" si="35"/>
        <v>정상</v>
      </c>
      <c r="N638" s="10" t="s">
        <v>33</v>
      </c>
    </row>
    <row r="639" spans="2:14" ht="16.5" hidden="1" customHeight="1">
      <c r="B639" s="10">
        <f>IF(C639="","",COUNTA($C$2:C639))</f>
        <v>638</v>
      </c>
      <c r="C639" s="30" t="s">
        <v>895</v>
      </c>
      <c r="D639" s="51" t="s">
        <v>638</v>
      </c>
      <c r="E639" s="23" t="s">
        <v>880</v>
      </c>
      <c r="F639" s="23" t="s">
        <v>891</v>
      </c>
      <c r="G639" s="18" t="s">
        <v>879</v>
      </c>
      <c r="H639" s="52">
        <v>334200</v>
      </c>
      <c r="I639" s="18">
        <f t="shared" ca="1" si="36"/>
        <v>2</v>
      </c>
      <c r="J639" s="13" t="str">
        <f t="shared" ca="1" si="35"/>
        <v>정상</v>
      </c>
      <c r="N639" s="10" t="s">
        <v>33</v>
      </c>
    </row>
    <row r="640" spans="2:14" ht="16.5" hidden="1" customHeight="1">
      <c r="B640" s="10">
        <f>IF(C640="","",COUNTA($C$2:C640))</f>
        <v>639</v>
      </c>
      <c r="C640" s="30" t="s">
        <v>895</v>
      </c>
      <c r="D640" s="51" t="s">
        <v>638</v>
      </c>
      <c r="E640" s="23" t="s">
        <v>24</v>
      </c>
      <c r="F640" s="23" t="s">
        <v>892</v>
      </c>
      <c r="G640" s="18" t="s">
        <v>879</v>
      </c>
      <c r="H640" s="52">
        <v>334200</v>
      </c>
      <c r="I640" s="18">
        <f t="shared" ca="1" si="36"/>
        <v>2</v>
      </c>
      <c r="J640" s="13" t="str">
        <f t="shared" ca="1" si="35"/>
        <v>정상</v>
      </c>
      <c r="N640" s="10" t="s">
        <v>33</v>
      </c>
    </row>
    <row r="641" spans="2:14" ht="16.5" hidden="1" customHeight="1">
      <c r="B641" s="10">
        <f>IF(C641="","",COUNTA($C$2:C641))</f>
        <v>640</v>
      </c>
      <c r="C641" s="30" t="s">
        <v>895</v>
      </c>
      <c r="D641" s="51" t="s">
        <v>638</v>
      </c>
      <c r="E641" s="23" t="s">
        <v>166</v>
      </c>
      <c r="F641" s="23" t="s">
        <v>893</v>
      </c>
      <c r="G641" s="18" t="s">
        <v>879</v>
      </c>
      <c r="H641" s="52">
        <v>334200</v>
      </c>
      <c r="I641" s="18">
        <f t="shared" ca="1" si="36"/>
        <v>2</v>
      </c>
      <c r="J641" s="13" t="str">
        <f t="shared" ca="1" si="35"/>
        <v>정상</v>
      </c>
      <c r="N641" s="10" t="s">
        <v>33</v>
      </c>
    </row>
    <row r="642" spans="2:14" ht="16.5" hidden="1" customHeight="1">
      <c r="B642" s="10">
        <f>IF(C642="","",COUNTA($C$2:C642))</f>
        <v>641</v>
      </c>
      <c r="C642" s="30" t="s">
        <v>895</v>
      </c>
      <c r="D642" s="51" t="s">
        <v>638</v>
      </c>
      <c r="E642" s="23" t="s">
        <v>94</v>
      </c>
      <c r="F642" s="23" t="s">
        <v>894</v>
      </c>
      <c r="G642" s="18" t="s">
        <v>879</v>
      </c>
      <c r="H642" s="52">
        <v>334200</v>
      </c>
      <c r="I642" s="18">
        <f t="shared" ca="1" si="36"/>
        <v>2</v>
      </c>
      <c r="J642" s="13" t="str">
        <f t="shared" ca="1" si="35"/>
        <v>정상</v>
      </c>
      <c r="N642" s="10" t="s">
        <v>33</v>
      </c>
    </row>
    <row r="643" spans="2:14" ht="16.5" hidden="1" customHeight="1">
      <c r="B643" s="10">
        <f>IF(C643="","",COUNTA($C$2:C643))</f>
        <v>642</v>
      </c>
      <c r="C643" s="44">
        <v>46153</v>
      </c>
      <c r="E643" s="48" t="s">
        <v>901</v>
      </c>
      <c r="F643" s="48" t="s">
        <v>903</v>
      </c>
      <c r="G643" s="18" t="s">
        <v>904</v>
      </c>
      <c r="H643" s="4">
        <v>13660000</v>
      </c>
      <c r="I643" s="18">
        <f t="shared" ca="1" si="36"/>
        <v>2</v>
      </c>
      <c r="J643" s="13" t="str">
        <f t="shared" ca="1" si="35"/>
        <v>정상</v>
      </c>
      <c r="N643" s="10" t="s">
        <v>33</v>
      </c>
    </row>
    <row r="644" spans="2:14" ht="16.5" hidden="1" customHeight="1">
      <c r="B644" s="10">
        <f>IF(C644="","",COUNTA($C$2:C644))</f>
        <v>643</v>
      </c>
      <c r="C644" s="44">
        <v>46148</v>
      </c>
      <c r="E644" s="48" t="s">
        <v>902</v>
      </c>
      <c r="F644" s="48" t="s">
        <v>905</v>
      </c>
      <c r="G644" s="18" t="s">
        <v>904</v>
      </c>
      <c r="H644" s="4">
        <v>12000000</v>
      </c>
      <c r="I644" s="18">
        <f t="shared" ca="1" si="36"/>
        <v>7</v>
      </c>
      <c r="J644" s="13" t="str">
        <f t="shared" ca="1" si="35"/>
        <v>정상</v>
      </c>
      <c r="N644" s="10" t="s">
        <v>33</v>
      </c>
    </row>
    <row r="645" spans="2:14" ht="16.5" hidden="1" customHeight="1">
      <c r="B645" s="10">
        <f>IF(C645="","",COUNTA($C$2:C645))</f>
        <v>644</v>
      </c>
      <c r="C645" s="44">
        <v>46148</v>
      </c>
      <c r="E645" s="48" t="s">
        <v>902</v>
      </c>
      <c r="F645" s="48" t="s">
        <v>906</v>
      </c>
      <c r="G645" s="18" t="s">
        <v>904</v>
      </c>
      <c r="H645" s="4">
        <v>15880000</v>
      </c>
      <c r="I645" s="18">
        <f t="shared" ca="1" si="36"/>
        <v>7</v>
      </c>
      <c r="J645" s="13" t="str">
        <f t="shared" ca="1" si="35"/>
        <v>정상</v>
      </c>
      <c r="N645" s="10" t="s">
        <v>33</v>
      </c>
    </row>
    <row r="646" spans="2:14" ht="16.5" hidden="1" customHeight="1">
      <c r="B646" s="10">
        <f>IF(C646="","",COUNTA($C$2:C646))</f>
        <v>645</v>
      </c>
      <c r="C646" s="44">
        <v>46153</v>
      </c>
      <c r="D646" s="42" t="s">
        <v>907</v>
      </c>
      <c r="E646" s="48" t="s">
        <v>912</v>
      </c>
      <c r="F646" s="48" t="s">
        <v>908</v>
      </c>
      <c r="G646" s="18" t="s">
        <v>915</v>
      </c>
      <c r="H646" s="4">
        <v>17212000</v>
      </c>
      <c r="I646" s="47">
        <f t="shared" ca="1" si="36"/>
        <v>2</v>
      </c>
      <c r="J646" s="13" t="str">
        <f t="shared" ca="1" si="35"/>
        <v>정상</v>
      </c>
      <c r="N646" s="10" t="s">
        <v>33</v>
      </c>
    </row>
    <row r="647" spans="2:14" ht="16.5" hidden="1" customHeight="1">
      <c r="B647" s="10">
        <f>IF(C647="","",COUNTA($C$2:C647))</f>
        <v>646</v>
      </c>
      <c r="C647" s="44">
        <v>46153</v>
      </c>
      <c r="D647" s="42" t="s">
        <v>907</v>
      </c>
      <c r="E647" s="48" t="s">
        <v>913</v>
      </c>
      <c r="F647" s="48" t="s">
        <v>909</v>
      </c>
      <c r="G647" s="18" t="s">
        <v>916</v>
      </c>
      <c r="H647" s="4">
        <v>12318000</v>
      </c>
      <c r="I647" s="47">
        <f t="shared" ca="1" si="36"/>
        <v>2</v>
      </c>
      <c r="J647" s="13" t="str">
        <f t="shared" ca="1" si="35"/>
        <v>정상</v>
      </c>
      <c r="N647" s="10" t="s">
        <v>33</v>
      </c>
    </row>
    <row r="648" spans="2:14" ht="16.5" hidden="1" customHeight="1">
      <c r="B648" s="10">
        <f>IF(C648="","",COUNTA($C$2:C648))</f>
        <v>647</v>
      </c>
      <c r="C648" s="44">
        <v>46153</v>
      </c>
      <c r="D648" s="42" t="s">
        <v>907</v>
      </c>
      <c r="E648" s="48" t="s">
        <v>914</v>
      </c>
      <c r="F648" s="48" t="s">
        <v>910</v>
      </c>
      <c r="G648" s="18" t="s">
        <v>917</v>
      </c>
      <c r="H648" s="4">
        <v>23405200</v>
      </c>
      <c r="I648" s="47">
        <f t="shared" ca="1" si="36"/>
        <v>2</v>
      </c>
      <c r="J648" s="13" t="str">
        <f t="shared" ca="1" si="35"/>
        <v>정상</v>
      </c>
      <c r="N648" s="10" t="s">
        <v>33</v>
      </c>
    </row>
    <row r="649" spans="2:14" ht="16.5" hidden="1" customHeight="1">
      <c r="B649" s="10">
        <f>IF(C649="","",COUNTA($C$2:C649))</f>
        <v>648</v>
      </c>
      <c r="C649" s="44">
        <v>46153</v>
      </c>
      <c r="D649" s="42" t="s">
        <v>907</v>
      </c>
      <c r="E649" s="48" t="s">
        <v>387</v>
      </c>
      <c r="F649" s="48" t="s">
        <v>911</v>
      </c>
      <c r="G649" s="18" t="s">
        <v>917</v>
      </c>
      <c r="H649" s="4">
        <v>13652000</v>
      </c>
      <c r="I649" s="47">
        <f t="shared" ca="1" si="36"/>
        <v>2</v>
      </c>
      <c r="J649" s="13" t="str">
        <f t="shared" ca="1" si="35"/>
        <v>정상</v>
      </c>
      <c r="N649" s="10" t="s">
        <v>33</v>
      </c>
    </row>
    <row r="650" spans="2:14" ht="16.5" hidden="1" customHeight="1">
      <c r="B650" s="10">
        <f>IF(C650="","",COUNTA($C$2:C650))</f>
        <v>649</v>
      </c>
      <c r="C650" s="44">
        <v>46154</v>
      </c>
      <c r="D650" s="42" t="s">
        <v>924</v>
      </c>
      <c r="E650" s="56" t="s">
        <v>922</v>
      </c>
      <c r="F650" s="54" t="s">
        <v>920</v>
      </c>
      <c r="G650" s="18" t="s">
        <v>169</v>
      </c>
      <c r="H650" s="4">
        <v>350000</v>
      </c>
      <c r="I650" s="47">
        <f t="shared" ca="1" si="36"/>
        <v>0</v>
      </c>
      <c r="J650" s="13" t="str">
        <f t="shared" ca="1" si="35"/>
        <v>정상</v>
      </c>
      <c r="L650" s="44">
        <v>46154</v>
      </c>
      <c r="N650" s="10" t="s">
        <v>33</v>
      </c>
    </row>
    <row r="651" spans="2:14" ht="16.5" hidden="1" customHeight="1">
      <c r="B651" s="10">
        <f>IF(C651="","",COUNTA($C$2:C651))</f>
        <v>650</v>
      </c>
      <c r="C651" s="44">
        <v>46154</v>
      </c>
      <c r="D651" s="51" t="s">
        <v>925</v>
      </c>
      <c r="E651" s="56" t="s">
        <v>923</v>
      </c>
      <c r="F651" s="54" t="s">
        <v>921</v>
      </c>
      <c r="G651" s="18" t="s">
        <v>169</v>
      </c>
      <c r="H651" s="4">
        <v>1380000</v>
      </c>
      <c r="I651" s="47">
        <f t="shared" ca="1" si="36"/>
        <v>1</v>
      </c>
      <c r="J651" s="13" t="str">
        <f t="shared" ca="1" si="35"/>
        <v>정상</v>
      </c>
      <c r="N651" s="10" t="s">
        <v>33</v>
      </c>
    </row>
    <row r="652" spans="2:14" ht="16.5" hidden="1" customHeight="1">
      <c r="B652" s="10">
        <f>IF(C652="","",COUNTA($C$2:C652))</f>
        <v>651</v>
      </c>
      <c r="C652" s="58" t="s">
        <v>895</v>
      </c>
      <c r="D652" s="51" t="s">
        <v>941</v>
      </c>
      <c r="E652" s="57" t="s">
        <v>24</v>
      </c>
      <c r="F652" s="57" t="s">
        <v>928</v>
      </c>
      <c r="G652" s="18" t="s">
        <v>940</v>
      </c>
      <c r="H652" s="59">
        <v>-2200000</v>
      </c>
      <c r="I652" s="47">
        <f t="shared" ca="1" si="36"/>
        <v>2</v>
      </c>
      <c r="J652" s="13" t="str">
        <f t="shared" ca="1" si="35"/>
        <v>정상</v>
      </c>
      <c r="N652" s="10" t="s">
        <v>33</v>
      </c>
    </row>
    <row r="653" spans="2:14" ht="16.5" hidden="1" customHeight="1">
      <c r="B653" s="10">
        <f>IF(C653="","",COUNTA($C$2:C653))</f>
        <v>652</v>
      </c>
      <c r="C653" s="58" t="s">
        <v>927</v>
      </c>
      <c r="D653" s="51" t="s">
        <v>941</v>
      </c>
      <c r="E653" s="57" t="s">
        <v>76</v>
      </c>
      <c r="F653" s="57" t="s">
        <v>929</v>
      </c>
      <c r="G653" s="18" t="s">
        <v>940</v>
      </c>
      <c r="H653" s="59">
        <v>5569000</v>
      </c>
      <c r="I653" s="47">
        <f t="shared" ca="1" si="36"/>
        <v>1</v>
      </c>
      <c r="J653" s="13" t="str">
        <f t="shared" ca="1" si="35"/>
        <v>정상</v>
      </c>
      <c r="N653" s="10" t="s">
        <v>33</v>
      </c>
    </row>
    <row r="654" spans="2:14" ht="16.5" hidden="1" customHeight="1">
      <c r="B654" s="10">
        <f>IF(C654="","",COUNTA($C$2:C654))</f>
        <v>653</v>
      </c>
      <c r="C654" s="58" t="s">
        <v>927</v>
      </c>
      <c r="D654" s="51" t="s">
        <v>941</v>
      </c>
      <c r="E654" s="57" t="s">
        <v>120</v>
      </c>
      <c r="F654" s="57" t="s">
        <v>930</v>
      </c>
      <c r="G654" s="18" t="s">
        <v>940</v>
      </c>
      <c r="H654" s="59">
        <v>321000</v>
      </c>
      <c r="I654" s="47">
        <f t="shared" ca="1" si="36"/>
        <v>1</v>
      </c>
      <c r="J654" s="13" t="str">
        <f t="shared" ca="1" si="35"/>
        <v>정상</v>
      </c>
      <c r="N654" s="10" t="s">
        <v>33</v>
      </c>
    </row>
    <row r="655" spans="2:14" ht="16.5" hidden="1" customHeight="1">
      <c r="B655" s="10">
        <f>IF(C655="","",COUNTA($C$2:C655))</f>
        <v>654</v>
      </c>
      <c r="C655" s="58" t="s">
        <v>927</v>
      </c>
      <c r="D655" s="51" t="s">
        <v>941</v>
      </c>
      <c r="E655" s="57" t="s">
        <v>209</v>
      </c>
      <c r="F655" s="57" t="s">
        <v>854</v>
      </c>
      <c r="G655" s="18" t="s">
        <v>940</v>
      </c>
      <c r="H655" s="59">
        <v>7775400</v>
      </c>
      <c r="I655" s="47">
        <f t="shared" ca="1" si="36"/>
        <v>1</v>
      </c>
      <c r="J655" s="13" t="str">
        <f t="shared" ca="1" si="35"/>
        <v>정상</v>
      </c>
      <c r="N655" s="10" t="s">
        <v>33</v>
      </c>
    </row>
    <row r="656" spans="2:14" ht="16.5" hidden="1" customHeight="1">
      <c r="B656" s="10">
        <f>IF(C656="","",COUNTA($C$2:C656))</f>
        <v>655</v>
      </c>
      <c r="C656" s="58" t="s">
        <v>927</v>
      </c>
      <c r="D656" s="51" t="s">
        <v>941</v>
      </c>
      <c r="E656" s="57" t="s">
        <v>395</v>
      </c>
      <c r="F656" s="57" t="s">
        <v>931</v>
      </c>
      <c r="G656" s="18" t="s">
        <v>940</v>
      </c>
      <c r="H656" s="59">
        <v>365000</v>
      </c>
      <c r="I656" s="47">
        <f t="shared" ca="1" si="36"/>
        <v>1</v>
      </c>
      <c r="J656" s="13" t="str">
        <f t="shared" ca="1" si="35"/>
        <v>정상</v>
      </c>
      <c r="N656" s="10" t="s">
        <v>33</v>
      </c>
    </row>
    <row r="657" spans="2:14" ht="16.5" hidden="1" customHeight="1">
      <c r="B657" s="10">
        <f>IF(C657="","",COUNTA($C$2:C657))</f>
        <v>656</v>
      </c>
      <c r="C657" s="58" t="s">
        <v>927</v>
      </c>
      <c r="D657" s="51" t="s">
        <v>941</v>
      </c>
      <c r="E657" s="57" t="s">
        <v>542</v>
      </c>
      <c r="F657" s="57" t="s">
        <v>932</v>
      </c>
      <c r="G657" s="18" t="s">
        <v>940</v>
      </c>
      <c r="H657" s="59">
        <v>1184000</v>
      </c>
      <c r="I657" s="47">
        <f t="shared" ca="1" si="36"/>
        <v>1</v>
      </c>
      <c r="J657" s="13" t="str">
        <f t="shared" ca="1" si="35"/>
        <v>정상</v>
      </c>
      <c r="N657" s="10" t="s">
        <v>33</v>
      </c>
    </row>
    <row r="658" spans="2:14" ht="16.5" hidden="1" customHeight="1">
      <c r="B658" s="10">
        <f>IF(C658="","",COUNTA($C$2:C658))</f>
        <v>657</v>
      </c>
      <c r="C658" s="58" t="s">
        <v>927</v>
      </c>
      <c r="D658" s="51" t="s">
        <v>941</v>
      </c>
      <c r="E658" s="57" t="s">
        <v>926</v>
      </c>
      <c r="F658" s="57" t="s">
        <v>933</v>
      </c>
      <c r="G658" s="18" t="s">
        <v>940</v>
      </c>
      <c r="H658" s="59">
        <v>7360700</v>
      </c>
      <c r="I658" s="47">
        <f t="shared" ca="1" si="36"/>
        <v>1</v>
      </c>
      <c r="J658" s="13" t="str">
        <f t="shared" ca="1" si="35"/>
        <v>정상</v>
      </c>
      <c r="N658" s="10" t="s">
        <v>33</v>
      </c>
    </row>
    <row r="659" spans="2:14" ht="16.5" hidden="1" customHeight="1">
      <c r="B659" s="10">
        <f>IF(C659="","",COUNTA($C$2:C659))</f>
        <v>658</v>
      </c>
      <c r="C659" s="58" t="s">
        <v>927</v>
      </c>
      <c r="D659" s="51" t="s">
        <v>941</v>
      </c>
      <c r="E659" s="57" t="s">
        <v>122</v>
      </c>
      <c r="F659" s="57" t="s">
        <v>934</v>
      </c>
      <c r="G659" s="18" t="s">
        <v>940</v>
      </c>
      <c r="H659" s="59">
        <v>50957500</v>
      </c>
      <c r="I659" s="47">
        <f t="shared" ca="1" si="36"/>
        <v>1</v>
      </c>
      <c r="J659" s="13" t="str">
        <f t="shared" ca="1" si="35"/>
        <v>정상</v>
      </c>
      <c r="N659" s="10" t="s">
        <v>33</v>
      </c>
    </row>
    <row r="660" spans="2:14" ht="16.5" hidden="1" customHeight="1">
      <c r="B660" s="10">
        <f>IF(C660="","",COUNTA($C$2:C660))</f>
        <v>659</v>
      </c>
      <c r="C660" s="58" t="s">
        <v>927</v>
      </c>
      <c r="D660" s="51" t="s">
        <v>941</v>
      </c>
      <c r="E660" s="57" t="s">
        <v>821</v>
      </c>
      <c r="F660" s="57" t="s">
        <v>935</v>
      </c>
      <c r="G660" s="18" t="s">
        <v>940</v>
      </c>
      <c r="H660" s="59">
        <v>508700</v>
      </c>
      <c r="I660" s="47">
        <f t="shared" ca="1" si="36"/>
        <v>1</v>
      </c>
      <c r="J660" s="13" t="str">
        <f t="shared" ref="J660:J664" ca="1" si="37">IF(I660="","",
 IF(G660="선급금",
   IF(I660&lt;=20,"정상",IF(I660&lt;=90,"관리","장기미수")),
 IF(G660="자재",
   IF(I660&lt;=40,"정상",IF(I660&lt;=90,"관리","장기미수")),
   IF(I660&lt;=30,"정상",IF(I660&lt;=90,"관리","장기미수"))
  )
 )
)</f>
        <v>정상</v>
      </c>
      <c r="N660" s="10" t="s">
        <v>33</v>
      </c>
    </row>
    <row r="661" spans="2:14" ht="16.5" hidden="1" customHeight="1">
      <c r="B661" s="10">
        <f>IF(C661="","",COUNTA($C$2:C661))</f>
        <v>660</v>
      </c>
      <c r="C661" s="58" t="s">
        <v>927</v>
      </c>
      <c r="D661" s="51" t="s">
        <v>941</v>
      </c>
      <c r="E661" s="57" t="s">
        <v>128</v>
      </c>
      <c r="F661" s="57" t="s">
        <v>936</v>
      </c>
      <c r="G661" s="18" t="s">
        <v>940</v>
      </c>
      <c r="H661" s="59">
        <v>6565000</v>
      </c>
      <c r="I661" s="47">
        <f t="shared" ca="1" si="36"/>
        <v>1</v>
      </c>
      <c r="J661" s="13" t="str">
        <f t="shared" ca="1" si="37"/>
        <v>정상</v>
      </c>
      <c r="N661" s="10" t="s">
        <v>33</v>
      </c>
    </row>
    <row r="662" spans="2:14" ht="16.5" hidden="1" customHeight="1">
      <c r="B662" s="10">
        <f>IF(C662="","",COUNTA($C$2:C662))</f>
        <v>661</v>
      </c>
      <c r="C662" s="58" t="s">
        <v>927</v>
      </c>
      <c r="D662" s="51" t="s">
        <v>941</v>
      </c>
      <c r="E662" s="57" t="s">
        <v>366</v>
      </c>
      <c r="F662" s="57" t="s">
        <v>937</v>
      </c>
      <c r="G662" s="18" t="s">
        <v>940</v>
      </c>
      <c r="H662" s="59">
        <v>3096900</v>
      </c>
      <c r="I662" s="47">
        <f t="shared" ca="1" si="36"/>
        <v>1</v>
      </c>
      <c r="J662" s="13" t="str">
        <f t="shared" ca="1" si="37"/>
        <v>정상</v>
      </c>
      <c r="N662" s="10" t="s">
        <v>33</v>
      </c>
    </row>
    <row r="663" spans="2:14" ht="16.5" hidden="1" customHeight="1">
      <c r="B663" s="10">
        <f>IF(C663="","",COUNTA($C$2:C663))</f>
        <v>662</v>
      </c>
      <c r="C663" s="58" t="s">
        <v>927</v>
      </c>
      <c r="D663" s="51" t="s">
        <v>941</v>
      </c>
      <c r="E663" s="57" t="s">
        <v>706</v>
      </c>
      <c r="F663" s="57" t="s">
        <v>938</v>
      </c>
      <c r="G663" s="18" t="s">
        <v>940</v>
      </c>
      <c r="H663" s="59">
        <v>15595200</v>
      </c>
      <c r="I663" s="47">
        <f t="shared" ca="1" si="36"/>
        <v>1</v>
      </c>
      <c r="J663" s="13" t="str">
        <f t="shared" ca="1" si="37"/>
        <v>정상</v>
      </c>
      <c r="N663" s="10" t="s">
        <v>33</v>
      </c>
    </row>
    <row r="664" spans="2:14" ht="16.5" hidden="1" customHeight="1">
      <c r="B664" s="10">
        <f>IF(C664="","",COUNTA($C$2:C664))</f>
        <v>663</v>
      </c>
      <c r="C664" s="58" t="s">
        <v>927</v>
      </c>
      <c r="D664" s="51" t="s">
        <v>941</v>
      </c>
      <c r="E664" s="57" t="s">
        <v>128</v>
      </c>
      <c r="F664" s="57" t="s">
        <v>939</v>
      </c>
      <c r="G664" s="18" t="s">
        <v>940</v>
      </c>
      <c r="H664" s="59">
        <v>5146300</v>
      </c>
      <c r="I664" s="47">
        <f t="shared" ca="1" si="36"/>
        <v>1</v>
      </c>
      <c r="J664" s="13" t="str">
        <f t="shared" ca="1" si="37"/>
        <v>정상</v>
      </c>
      <c r="N664" s="10" t="s">
        <v>33</v>
      </c>
    </row>
    <row r="665" spans="2:14" ht="16.5" hidden="1" customHeight="1">
      <c r="B665" s="10" t="str">
        <f>IF(C665="","",COUNTA($C$2:C665))</f>
        <v/>
      </c>
    </row>
  </sheetData>
  <autoFilter ref="A1:S665">
    <filterColumn colId="4">
      <filters>
        <filter val="(주)에이치제이건설"/>
        <filter val="㈜에이치제이건설"/>
      </filters>
    </filterColumn>
    <filterColumn colId="9">
      <filters>
        <filter val="관리"/>
        <filter val="장기미수"/>
      </filters>
    </filterColumn>
    <filterColumn colId="11">
      <filters blank="1"/>
    </filterColumn>
  </autoFilter>
  <phoneticPr fontId="5" type="noConversion"/>
  <conditionalFormatting sqref="E3 F57:F60 E37">
    <cfRule type="expression" dxfId="171" priority="211">
      <formula>$J3="잔금"</formula>
    </cfRule>
  </conditionalFormatting>
  <conditionalFormatting sqref="E8">
    <cfRule type="expression" dxfId="170" priority="210">
      <formula>$J8="잔금"</formula>
    </cfRule>
  </conditionalFormatting>
  <conditionalFormatting sqref="E4">
    <cfRule type="expression" dxfId="169" priority="209">
      <formula>$J4="잔금"</formula>
    </cfRule>
  </conditionalFormatting>
  <conditionalFormatting sqref="E9">
    <cfRule type="expression" dxfId="168" priority="208">
      <formula>$J9="잔금"</formula>
    </cfRule>
  </conditionalFormatting>
  <conditionalFormatting sqref="E41">
    <cfRule type="expression" dxfId="167" priority="203">
      <formula>$J41="잔금"</formula>
    </cfRule>
  </conditionalFormatting>
  <conditionalFormatting sqref="E98:E99 E186:F192 H186:H192 F113 C186:C192 C402:C418 C572:C573 H572:H573 E572:F573">
    <cfRule type="expression" dxfId="166" priority="193">
      <formula>$J98="잔금"</formula>
    </cfRule>
  </conditionalFormatting>
  <conditionalFormatting sqref="F98:F99">
    <cfRule type="expression" dxfId="165" priority="192">
      <formula>$J98="잔금"</formula>
    </cfRule>
  </conditionalFormatting>
  <conditionalFormatting sqref="F104:F105">
    <cfRule type="expression" dxfId="164" priority="190">
      <formula>$J104="잔금"</formula>
    </cfRule>
  </conditionalFormatting>
  <conditionalFormatting sqref="H104:H105">
    <cfRule type="expression" dxfId="163" priority="189">
      <formula>$J104="잔금"</formula>
    </cfRule>
  </conditionalFormatting>
  <conditionalFormatting sqref="E106:E108">
    <cfRule type="expression" dxfId="162" priority="188">
      <formula>$J106="잔금"</formula>
    </cfRule>
  </conditionalFormatting>
  <conditionalFormatting sqref="F106:F108">
    <cfRule type="expression" dxfId="161" priority="187">
      <formula>$J106="잔금"</formula>
    </cfRule>
  </conditionalFormatting>
  <conditionalFormatting sqref="H106:H108">
    <cfRule type="expression" dxfId="160" priority="186">
      <formula>$J106="잔금"</formula>
    </cfRule>
  </conditionalFormatting>
  <conditionalFormatting sqref="E110">
    <cfRule type="expression" dxfId="159" priority="185">
      <formula>$J110="잔금"</formula>
    </cfRule>
  </conditionalFormatting>
  <conditionalFormatting sqref="F110">
    <cfRule type="expression" dxfId="158" priority="184">
      <formula>$J110="잔금"</formula>
    </cfRule>
  </conditionalFormatting>
  <conditionalFormatting sqref="E111:E113">
    <cfRule type="expression" dxfId="157" priority="183">
      <formula>$J111="잔금"</formula>
    </cfRule>
  </conditionalFormatting>
  <conditionalFormatting sqref="F111">
    <cfRule type="expression" dxfId="156" priority="182">
      <formula>$J111="잔금"</formula>
    </cfRule>
  </conditionalFormatting>
  <conditionalFormatting sqref="F112">
    <cfRule type="expression" dxfId="155" priority="181">
      <formula>$J112="잔금"</formula>
    </cfRule>
  </conditionalFormatting>
  <conditionalFormatting sqref="H111:H113">
    <cfRule type="expression" dxfId="154" priority="180">
      <formula>$J111="잔금"</formula>
    </cfRule>
  </conditionalFormatting>
  <conditionalFormatting sqref="C111:C113">
    <cfRule type="expression" dxfId="153" priority="179">
      <formula>$J111="잔금"</formula>
    </cfRule>
  </conditionalFormatting>
  <conditionalFormatting sqref="E117">
    <cfRule type="expression" dxfId="152" priority="178">
      <formula>$J117="잔금"</formula>
    </cfRule>
  </conditionalFormatting>
  <conditionalFormatting sqref="F117">
    <cfRule type="expression" dxfId="151" priority="177">
      <formula>$J117="잔금"</formula>
    </cfRule>
  </conditionalFormatting>
  <conditionalFormatting sqref="F142:F149">
    <cfRule type="expression" dxfId="150" priority="176">
      <formula>$J142="잔금"</formula>
    </cfRule>
  </conditionalFormatting>
  <conditionalFormatting sqref="E142:E149">
    <cfRule type="expression" dxfId="149" priority="175">
      <formula>$J142="잔금"</formula>
    </cfRule>
  </conditionalFormatting>
  <conditionalFormatting sqref="H142:H149">
    <cfRule type="expression" dxfId="148" priority="174">
      <formula>$J142="잔금"</formula>
    </cfRule>
  </conditionalFormatting>
  <conditionalFormatting sqref="E151:E157">
    <cfRule type="expression" dxfId="147" priority="172">
      <formula>$J151="잔금"</formula>
    </cfRule>
  </conditionalFormatting>
  <conditionalFormatting sqref="F151:F157">
    <cfRule type="expression" dxfId="146" priority="171">
      <formula>$J151="잔금"</formula>
    </cfRule>
  </conditionalFormatting>
  <conditionalFormatting sqref="C151:C157">
    <cfRule type="expression" dxfId="145" priority="170">
      <formula>$J151="잔금"</formula>
    </cfRule>
  </conditionalFormatting>
  <conditionalFormatting sqref="H151:H157">
    <cfRule type="expression" dxfId="144" priority="169">
      <formula>$J151="잔금"</formula>
    </cfRule>
  </conditionalFormatting>
  <conditionalFormatting sqref="C158">
    <cfRule type="expression" dxfId="143" priority="168">
      <formula>$I158="잔금"</formula>
    </cfRule>
  </conditionalFormatting>
  <conditionalFormatting sqref="F159:F162">
    <cfRule type="expression" dxfId="142" priority="167">
      <formula>$J159="잔금"</formula>
    </cfRule>
  </conditionalFormatting>
  <conditionalFormatting sqref="E159:E162">
    <cfRule type="expression" dxfId="141" priority="166">
      <formula>$J159="잔금"</formula>
    </cfRule>
  </conditionalFormatting>
  <conditionalFormatting sqref="C159:C165">
    <cfRule type="expression" dxfId="140" priority="165">
      <formula>$J159="잔금"</formula>
    </cfRule>
  </conditionalFormatting>
  <conditionalFormatting sqref="H159:H162">
    <cfRule type="expression" dxfId="139" priority="164">
      <formula>$J159="잔금"</formula>
    </cfRule>
  </conditionalFormatting>
  <conditionalFormatting sqref="F166:F178">
    <cfRule type="expression" dxfId="138" priority="163">
      <formula>$J166="잔금"</formula>
    </cfRule>
  </conditionalFormatting>
  <conditionalFormatting sqref="F179:F185">
    <cfRule type="expression" dxfId="137" priority="162">
      <formula>$J179="잔금"</formula>
    </cfRule>
  </conditionalFormatting>
  <conditionalFormatting sqref="E166:E178">
    <cfRule type="expression" dxfId="136" priority="161">
      <formula>$J166="잔금"</formula>
    </cfRule>
  </conditionalFormatting>
  <conditionalFormatting sqref="E179:E185">
    <cfRule type="expression" dxfId="135" priority="160">
      <formula>$J179="잔금"</formula>
    </cfRule>
  </conditionalFormatting>
  <conditionalFormatting sqref="C179:C185">
    <cfRule type="expression" dxfId="134" priority="158">
      <formula>$J179="잔금"</formula>
    </cfRule>
  </conditionalFormatting>
  <conditionalFormatting sqref="H166:H178">
    <cfRule type="expression" dxfId="133" priority="157">
      <formula>$J166="잔금"</formula>
    </cfRule>
  </conditionalFormatting>
  <conditionalFormatting sqref="H179:H185">
    <cfRule type="expression" dxfId="132" priority="156">
      <formula>$J179="잔금"</formula>
    </cfRule>
  </conditionalFormatting>
  <conditionalFormatting sqref="F194:F200">
    <cfRule type="expression" dxfId="131" priority="151">
      <formula>$J194="잔금"</formula>
    </cfRule>
  </conditionalFormatting>
  <conditionalFormatting sqref="E194:E200">
    <cfRule type="expression" dxfId="130" priority="150">
      <formula>$J194="잔금"</formula>
    </cfRule>
  </conditionalFormatting>
  <conditionalFormatting sqref="C194:C201">
    <cfRule type="expression" dxfId="129" priority="149">
      <formula>$J194="잔금"</formula>
    </cfRule>
  </conditionalFormatting>
  <conditionalFormatting sqref="H194:H200">
    <cfRule type="expression" dxfId="128" priority="148">
      <formula>$J194="잔금"</formula>
    </cfRule>
  </conditionalFormatting>
  <conditionalFormatting sqref="C202:C215">
    <cfRule type="expression" dxfId="127" priority="147">
      <formula>$J202="잔금"</formula>
    </cfRule>
  </conditionalFormatting>
  <conditionalFormatting sqref="F202:F215">
    <cfRule type="expression" dxfId="126" priority="146">
      <formula>$J202="잔금"</formula>
    </cfRule>
  </conditionalFormatting>
  <conditionalFormatting sqref="H202:H215">
    <cfRule type="expression" dxfId="125" priority="145">
      <formula>$J202="잔금"</formula>
    </cfRule>
  </conditionalFormatting>
  <conditionalFormatting sqref="E202:E216">
    <cfRule type="expression" dxfId="124" priority="144">
      <formula>$J202="잔금"</formula>
    </cfRule>
  </conditionalFormatting>
  <conditionalFormatting sqref="C216">
    <cfRule type="expression" dxfId="123" priority="143">
      <formula>$I216="잔금"</formula>
    </cfRule>
  </conditionalFormatting>
  <conditionalFormatting sqref="H216">
    <cfRule type="expression" dxfId="122" priority="138">
      <formula>$I216="잔금"</formula>
    </cfRule>
  </conditionalFormatting>
  <conditionalFormatting sqref="C217">
    <cfRule type="expression" dxfId="121" priority="137">
      <formula>$I217="잔금"</formula>
    </cfRule>
  </conditionalFormatting>
  <conditionalFormatting sqref="C218">
    <cfRule type="expression" dxfId="120" priority="136">
      <formula>$I218="잔금"</formula>
    </cfRule>
  </conditionalFormatting>
  <conditionalFormatting sqref="C219">
    <cfRule type="expression" dxfId="119" priority="135">
      <formula>$I219="잔금"</formula>
    </cfRule>
  </conditionalFormatting>
  <conditionalFormatting sqref="F220:F229">
    <cfRule type="expression" dxfId="118" priority="134">
      <formula>$J220="잔금"</formula>
    </cfRule>
  </conditionalFormatting>
  <conditionalFormatting sqref="F230:F243">
    <cfRule type="expression" dxfId="117" priority="133">
      <formula>$J230="잔금"</formula>
    </cfRule>
  </conditionalFormatting>
  <conditionalFormatting sqref="E220:E229">
    <cfRule type="expression" dxfId="116" priority="132">
      <formula>$J220="잔금"</formula>
    </cfRule>
  </conditionalFormatting>
  <conditionalFormatting sqref="E230:E243">
    <cfRule type="expression" dxfId="115" priority="131">
      <formula>$J230="잔금"</formula>
    </cfRule>
  </conditionalFormatting>
  <conditionalFormatting sqref="H220:H229">
    <cfRule type="expression" dxfId="114" priority="130">
      <formula>$J220="잔금"</formula>
    </cfRule>
  </conditionalFormatting>
  <conditionalFormatting sqref="H230:H243">
    <cfRule type="expression" dxfId="113" priority="129">
      <formula>$J230="잔금"</formula>
    </cfRule>
  </conditionalFormatting>
  <conditionalFormatting sqref="C245">
    <cfRule type="expression" dxfId="112" priority="128">
      <formula>$I245="잔금"</formula>
    </cfRule>
  </conditionalFormatting>
  <conditionalFormatting sqref="C246">
    <cfRule type="expression" dxfId="111" priority="127">
      <formula>$I246="잔금"</formula>
    </cfRule>
  </conditionalFormatting>
  <conditionalFormatting sqref="C247">
    <cfRule type="expression" dxfId="110" priority="126">
      <formula>$I247="잔금"</formula>
    </cfRule>
  </conditionalFormatting>
  <conditionalFormatting sqref="F248:F252">
    <cfRule type="expression" dxfId="109" priority="125">
      <formula>$J248="잔금"</formula>
    </cfRule>
  </conditionalFormatting>
  <conditionalFormatting sqref="E248:E252">
    <cfRule type="expression" dxfId="108" priority="124">
      <formula>$J248="잔금"</formula>
    </cfRule>
  </conditionalFormatting>
  <conditionalFormatting sqref="C248:C252">
    <cfRule type="expression" dxfId="107" priority="123">
      <formula>$J248="잔금"</formula>
    </cfRule>
  </conditionalFormatting>
  <conditionalFormatting sqref="H248:H252">
    <cfRule type="expression" dxfId="106" priority="122">
      <formula>$J248="잔금"</formula>
    </cfRule>
  </conditionalFormatting>
  <conditionalFormatting sqref="C253:C256">
    <cfRule type="expression" dxfId="105" priority="121">
      <formula>$I253="잔금"</formula>
    </cfRule>
  </conditionalFormatting>
  <conditionalFormatting sqref="F257:F266">
    <cfRule type="expression" dxfId="104" priority="120">
      <formula>$J257="잔금"</formula>
    </cfRule>
  </conditionalFormatting>
  <conditionalFormatting sqref="F267:F275">
    <cfRule type="expression" dxfId="103" priority="119">
      <formula>$J267="잔금"</formula>
    </cfRule>
  </conditionalFormatting>
  <conditionalFormatting sqref="C115">
    <cfRule type="expression" dxfId="102" priority="113">
      <formula>$J115="잔금"</formula>
    </cfRule>
  </conditionalFormatting>
  <conditionalFormatting sqref="C114">
    <cfRule type="expression" dxfId="101" priority="114">
      <formula>$J114="잔금"</formula>
    </cfRule>
  </conditionalFormatting>
  <conditionalFormatting sqref="C166">
    <cfRule type="expression" dxfId="100" priority="112">
      <formula>$J166="잔금"</formula>
    </cfRule>
  </conditionalFormatting>
  <conditionalFormatting sqref="C167">
    <cfRule type="expression" dxfId="99" priority="111">
      <formula>$J167="잔금"</formula>
    </cfRule>
  </conditionalFormatting>
  <conditionalFormatting sqref="C168">
    <cfRule type="expression" dxfId="98" priority="110">
      <formula>$J168="잔금"</formula>
    </cfRule>
  </conditionalFormatting>
  <conditionalFormatting sqref="C169">
    <cfRule type="expression" dxfId="97" priority="109">
      <formula>$J169="잔금"</formula>
    </cfRule>
  </conditionalFormatting>
  <conditionalFormatting sqref="C170">
    <cfRule type="expression" dxfId="96" priority="108">
      <formula>$J170="잔금"</formula>
    </cfRule>
  </conditionalFormatting>
  <conditionalFormatting sqref="C171">
    <cfRule type="expression" dxfId="95" priority="107">
      <formula>$J171="잔금"</formula>
    </cfRule>
  </conditionalFormatting>
  <conditionalFormatting sqref="C172">
    <cfRule type="expression" dxfId="94" priority="106">
      <formula>$J172="잔금"</formula>
    </cfRule>
  </conditionalFormatting>
  <conditionalFormatting sqref="C173">
    <cfRule type="expression" dxfId="93" priority="105">
      <formula>$J173="잔금"</formula>
    </cfRule>
  </conditionalFormatting>
  <conditionalFormatting sqref="C174">
    <cfRule type="expression" dxfId="92" priority="103">
      <formula>$J174="잔금"</formula>
    </cfRule>
  </conditionalFormatting>
  <conditionalFormatting sqref="C175">
    <cfRule type="expression" dxfId="91" priority="102">
      <formula>$J175="잔금"</formula>
    </cfRule>
  </conditionalFormatting>
  <conditionalFormatting sqref="C176">
    <cfRule type="expression" dxfId="90" priority="101">
      <formula>$J176="잔금"</formula>
    </cfRule>
  </conditionalFormatting>
  <conditionalFormatting sqref="C177">
    <cfRule type="expression" dxfId="89" priority="100">
      <formula>$J177="잔금"</formula>
    </cfRule>
  </conditionalFormatting>
  <conditionalFormatting sqref="C178">
    <cfRule type="expression" dxfId="88" priority="99">
      <formula>$J178="잔금"</formula>
    </cfRule>
  </conditionalFormatting>
  <conditionalFormatting sqref="H308:H309">
    <cfRule type="expression" dxfId="87" priority="93">
      <formula>$J308="잔금"</formula>
    </cfRule>
  </conditionalFormatting>
  <conditionalFormatting sqref="F289:F302">
    <cfRule type="expression" dxfId="86" priority="98">
      <formula>$J289="잔금"</formula>
    </cfRule>
  </conditionalFormatting>
  <conditionalFormatting sqref="F303:F307">
    <cfRule type="expression" dxfId="85" priority="97">
      <formula>$J303="잔금"</formula>
    </cfRule>
  </conditionalFormatting>
  <conditionalFormatting sqref="F308:F309">
    <cfRule type="expression" dxfId="84" priority="96">
      <formula>$J308="잔금"</formula>
    </cfRule>
  </conditionalFormatting>
  <conditionalFormatting sqref="H289:H302">
    <cfRule type="expression" dxfId="83" priority="95">
      <formula>$J289="잔금"</formula>
    </cfRule>
  </conditionalFormatting>
  <conditionalFormatting sqref="H303:H307">
    <cfRule type="expression" dxfId="82" priority="94">
      <formula>$J303="잔금"</formula>
    </cfRule>
  </conditionalFormatting>
  <conditionalFormatting sqref="H312:H353">
    <cfRule type="expression" dxfId="81" priority="92">
      <formula>$J312="잔금"</formula>
    </cfRule>
  </conditionalFormatting>
  <conditionalFormatting sqref="F434:F441">
    <cfRule type="expression" dxfId="80" priority="88">
      <formula>$J434="잔금"</formula>
    </cfRule>
  </conditionalFormatting>
  <conditionalFormatting sqref="F442:F446">
    <cfRule type="expression" dxfId="79" priority="87">
      <formula>$J442="잔금"</formula>
    </cfRule>
  </conditionalFormatting>
  <conditionalFormatting sqref="E434:E441">
    <cfRule type="expression" dxfId="78" priority="85">
      <formula>$J434="잔금"</formula>
    </cfRule>
  </conditionalFormatting>
  <conditionalFormatting sqref="E442:E446">
    <cfRule type="expression" dxfId="77" priority="84">
      <formula>$J442="잔금"</formula>
    </cfRule>
  </conditionalFormatting>
  <conditionalFormatting sqref="C434:C441">
    <cfRule type="expression" dxfId="76" priority="83">
      <formula>$J434="잔금"</formula>
    </cfRule>
  </conditionalFormatting>
  <conditionalFormatting sqref="C442:C447">
    <cfRule type="expression" dxfId="75" priority="82">
      <formula>$J442="잔금"</formula>
    </cfRule>
  </conditionalFormatting>
  <conditionalFormatting sqref="E448:E470 E472">
    <cfRule type="expression" dxfId="74" priority="81">
      <formula>$J448="잔금"</formula>
    </cfRule>
  </conditionalFormatting>
  <conditionalFormatting sqref="C448:C470">
    <cfRule type="expression" dxfId="73" priority="80">
      <formula>$J448="잔금"</formula>
    </cfRule>
  </conditionalFormatting>
  <conditionalFormatting sqref="E473:E478">
    <cfRule type="expression" dxfId="72" priority="79">
      <formula>$J473="잔금"</formula>
    </cfRule>
  </conditionalFormatting>
  <conditionalFormatting sqref="F473:F478">
    <cfRule type="expression" dxfId="71" priority="78">
      <formula>$J473="잔금"</formula>
    </cfRule>
  </conditionalFormatting>
  <conditionalFormatting sqref="C473:C478">
    <cfRule type="expression" dxfId="70" priority="77">
      <formula>$J473="잔금"</formula>
    </cfRule>
  </conditionalFormatting>
  <conditionalFormatting sqref="C479">
    <cfRule type="expression" dxfId="69" priority="76">
      <formula>$J479="잔금"</formula>
    </cfRule>
  </conditionalFormatting>
  <conditionalFormatting sqref="F480:F514">
    <cfRule type="expression" dxfId="68" priority="75">
      <formula>$J480="잔금"</formula>
    </cfRule>
  </conditionalFormatting>
  <conditionalFormatting sqref="E480:E514">
    <cfRule type="expression" dxfId="67" priority="74">
      <formula>$J480="잔금"</formula>
    </cfRule>
  </conditionalFormatting>
  <conditionalFormatting sqref="C480:C514">
    <cfRule type="expression" dxfId="66" priority="73">
      <formula>$J480="잔금"</formula>
    </cfRule>
  </conditionalFormatting>
  <conditionalFormatting sqref="H480:H511">
    <cfRule type="expression" dxfId="65" priority="72">
      <formula>$J480="잔금"</formula>
    </cfRule>
  </conditionalFormatting>
  <conditionalFormatting sqref="E515:E524">
    <cfRule type="expression" dxfId="64" priority="71">
      <formula>$J515="잔금"</formula>
    </cfRule>
  </conditionalFormatting>
  <conditionalFormatting sqref="E525:E528">
    <cfRule type="expression" dxfId="63" priority="70">
      <formula>$J525="잔금"</formula>
    </cfRule>
  </conditionalFormatting>
  <conditionalFormatting sqref="C515:C524">
    <cfRule type="expression" dxfId="62" priority="69">
      <formula>$J515="잔금"</formula>
    </cfRule>
  </conditionalFormatting>
  <conditionalFormatting sqref="C525:C528">
    <cfRule type="expression" dxfId="61" priority="68">
      <formula>$J525="잔금"</formula>
    </cfRule>
  </conditionalFormatting>
  <conditionalFormatting sqref="H515:H524">
    <cfRule type="expression" dxfId="60" priority="67">
      <formula>$J515="잔금"</formula>
    </cfRule>
  </conditionalFormatting>
  <conditionalFormatting sqref="H525:H528">
    <cfRule type="expression" dxfId="59" priority="66">
      <formula>$J525="잔금"</formula>
    </cfRule>
  </conditionalFormatting>
  <conditionalFormatting sqref="C529:C534">
    <cfRule type="expression" dxfId="58" priority="65">
      <formula>$J529="잔금"</formula>
    </cfRule>
  </conditionalFormatting>
  <conditionalFormatting sqref="E529:E534">
    <cfRule type="expression" dxfId="57" priority="64">
      <formula>$J529="잔금"</formula>
    </cfRule>
  </conditionalFormatting>
  <conditionalFormatting sqref="H529:H534">
    <cfRule type="expression" dxfId="56" priority="63">
      <formula>$J529="잔금"</formula>
    </cfRule>
  </conditionalFormatting>
  <conditionalFormatting sqref="F529:F534">
    <cfRule type="expression" dxfId="55" priority="62">
      <formula>$J529="잔금"</formula>
    </cfRule>
  </conditionalFormatting>
  <conditionalFormatting sqref="C535:C542">
    <cfRule type="expression" dxfId="54" priority="61">
      <formula>$J535="잔금"</formula>
    </cfRule>
  </conditionalFormatting>
  <conditionalFormatting sqref="E535:E546">
    <cfRule type="expression" dxfId="53" priority="60">
      <formula>$J535="잔금"</formula>
    </cfRule>
  </conditionalFormatting>
  <conditionalFormatting sqref="F535:F546">
    <cfRule type="expression" dxfId="52" priority="59">
      <formula>$J535="잔금"</formula>
    </cfRule>
  </conditionalFormatting>
  <conditionalFormatting sqref="C543">
    <cfRule type="expression" dxfId="51" priority="58">
      <formula>$J543="잔금"</formula>
    </cfRule>
  </conditionalFormatting>
  <conditionalFormatting sqref="C544">
    <cfRule type="expression" dxfId="50" priority="57">
      <formula>$J544="잔금"</formula>
    </cfRule>
  </conditionalFormatting>
  <conditionalFormatting sqref="C545">
    <cfRule type="expression" dxfId="49" priority="56">
      <formula>$J545="잔금"</formula>
    </cfRule>
  </conditionalFormatting>
  <conditionalFormatting sqref="C546">
    <cfRule type="expression" dxfId="48" priority="55">
      <formula>$J546="잔금"</formula>
    </cfRule>
  </conditionalFormatting>
  <conditionalFormatting sqref="C547:C553">
    <cfRule type="expression" dxfId="47" priority="54">
      <formula>$J547="잔금"</formula>
    </cfRule>
  </conditionalFormatting>
  <conditionalFormatting sqref="C554:C556">
    <cfRule type="expression" dxfId="46" priority="53">
      <formula>$J554="잔금"</formula>
    </cfRule>
  </conditionalFormatting>
  <conditionalFormatting sqref="E547:E553">
    <cfRule type="expression" dxfId="45" priority="52">
      <formula>$J547="잔금"</formula>
    </cfRule>
  </conditionalFormatting>
  <conditionalFormatting sqref="E554:E556 E559:E561">
    <cfRule type="expression" dxfId="44" priority="51">
      <formula>$J554="잔금"</formula>
    </cfRule>
  </conditionalFormatting>
  <conditionalFormatting sqref="F547:F553">
    <cfRule type="expression" dxfId="43" priority="50">
      <formula>$J547="잔금"</formula>
    </cfRule>
  </conditionalFormatting>
  <conditionalFormatting sqref="F554:F556 F558:F561">
    <cfRule type="expression" dxfId="42" priority="49">
      <formula>$J554="잔금"</formula>
    </cfRule>
  </conditionalFormatting>
  <conditionalFormatting sqref="H547:H553">
    <cfRule type="expression" dxfId="41" priority="48">
      <formula>$J547="잔금"</formula>
    </cfRule>
  </conditionalFormatting>
  <conditionalFormatting sqref="H554:H556">
    <cfRule type="expression" dxfId="40" priority="47">
      <formula>$J554="잔금"</formula>
    </cfRule>
  </conditionalFormatting>
  <conditionalFormatting sqref="C562:C566">
    <cfRule type="expression" dxfId="39" priority="41">
      <formula>$J562="잔금"</formula>
    </cfRule>
  </conditionalFormatting>
  <conditionalFormatting sqref="E562:E566 E569:E571">
    <cfRule type="expression" dxfId="38" priority="40">
      <formula>$J562="잔금"</formula>
    </cfRule>
  </conditionalFormatting>
  <conditionalFormatting sqref="F562:F566 F569:F571">
    <cfRule type="expression" dxfId="37" priority="39">
      <formula>$J562="잔금"</formula>
    </cfRule>
  </conditionalFormatting>
  <conditionalFormatting sqref="H562:H566">
    <cfRule type="expression" dxfId="36" priority="38">
      <formula>$J562="잔금"</formula>
    </cfRule>
  </conditionalFormatting>
  <conditionalFormatting sqref="C567:C568">
    <cfRule type="expression" dxfId="35" priority="37">
      <formula>$J567="잔금"</formula>
    </cfRule>
  </conditionalFormatting>
  <conditionalFormatting sqref="E567:E568">
    <cfRule type="expression" dxfId="34" priority="36">
      <formula>$J567="잔금"</formula>
    </cfRule>
  </conditionalFormatting>
  <conditionalFormatting sqref="H567:H568">
    <cfRule type="expression" dxfId="33" priority="35">
      <formula>$J567="잔금"</formula>
    </cfRule>
  </conditionalFormatting>
  <conditionalFormatting sqref="F567:F568">
    <cfRule type="expression" dxfId="32" priority="34">
      <formula>$J567="잔금"</formula>
    </cfRule>
  </conditionalFormatting>
  <conditionalFormatting sqref="C574:C580">
    <cfRule type="expression" dxfId="31" priority="28">
      <formula>$J574="잔금"</formula>
    </cfRule>
  </conditionalFormatting>
  <conditionalFormatting sqref="H574:H580">
    <cfRule type="expression" dxfId="30" priority="27">
      <formula>$J574="잔금"</formula>
    </cfRule>
  </conditionalFormatting>
  <conditionalFormatting sqref="E586">
    <cfRule type="expression" dxfId="29" priority="25">
      <formula>$J586="잔금"</formula>
    </cfRule>
  </conditionalFormatting>
  <conditionalFormatting sqref="E574:E585">
    <cfRule type="expression" dxfId="28" priority="24">
      <formula>$J574="잔금"</formula>
    </cfRule>
  </conditionalFormatting>
  <conditionalFormatting sqref="F574:F586">
    <cfRule type="expression" dxfId="27" priority="23">
      <formula>$J574="잔금"</formula>
    </cfRule>
  </conditionalFormatting>
  <conditionalFormatting sqref="F587:F624">
    <cfRule type="expression" dxfId="26" priority="22">
      <formula>$J587="잔금"</formula>
    </cfRule>
  </conditionalFormatting>
  <conditionalFormatting sqref="E587:E624">
    <cfRule type="expression" dxfId="25" priority="21">
      <formula>$J587="잔금"</formula>
    </cfRule>
  </conditionalFormatting>
  <conditionalFormatting sqref="C587:C627">
    <cfRule type="expression" dxfId="24" priority="20">
      <formula>$J587="잔금"</formula>
    </cfRule>
  </conditionalFormatting>
  <conditionalFormatting sqref="H587:H624 H628:H642">
    <cfRule type="expression" dxfId="23" priority="19">
      <formula>$J587="잔금"</formula>
    </cfRule>
  </conditionalFormatting>
  <conditionalFormatting sqref="C632:C642">
    <cfRule type="expression" dxfId="22" priority="13">
      <formula>$J632="잔금"</formula>
    </cfRule>
  </conditionalFormatting>
  <conditionalFormatting sqref="H625:H627">
    <cfRule type="expression" dxfId="21" priority="9">
      <formula>$J625="잔금"</formula>
    </cfRule>
  </conditionalFormatting>
  <conditionalFormatting sqref="E628:E631">
    <cfRule type="expression" dxfId="20" priority="18">
      <formula>$J628="잔금"</formula>
    </cfRule>
  </conditionalFormatting>
  <conditionalFormatting sqref="E632:E649">
    <cfRule type="expression" dxfId="19" priority="17">
      <formula>$J632="잔금"</formula>
    </cfRule>
  </conditionalFormatting>
  <conditionalFormatting sqref="F628:F631">
    <cfRule type="expression" dxfId="18" priority="16">
      <formula>$J628="잔금"</formula>
    </cfRule>
  </conditionalFormatting>
  <conditionalFormatting sqref="F632:F649">
    <cfRule type="expression" dxfId="17" priority="15">
      <formula>$J632="잔금"</formula>
    </cfRule>
  </conditionalFormatting>
  <conditionalFormatting sqref="C628:C631">
    <cfRule type="expression" dxfId="16" priority="14">
      <formula>$J628="잔금"</formula>
    </cfRule>
  </conditionalFormatting>
  <conditionalFormatting sqref="E625:E627">
    <cfRule type="expression" dxfId="15" priority="10">
      <formula>$J625="잔금"</formula>
    </cfRule>
  </conditionalFormatting>
  <conditionalFormatting sqref="F625:F627">
    <cfRule type="expression" dxfId="14" priority="11">
      <formula>$J625="잔금"</formula>
    </cfRule>
  </conditionalFormatting>
  <conditionalFormatting sqref="E653:E664">
    <cfRule type="expression" dxfId="13" priority="8">
      <formula>$J653="잔금"</formula>
    </cfRule>
  </conditionalFormatting>
  <conditionalFormatting sqref="E652">
    <cfRule type="expression" dxfId="12" priority="7">
      <formula>$J652="잔금"</formula>
    </cfRule>
  </conditionalFormatting>
  <conditionalFormatting sqref="C653:C664">
    <cfRule type="expression" dxfId="11" priority="6">
      <formula>$J653="잔금"</formula>
    </cfRule>
  </conditionalFormatting>
  <conditionalFormatting sqref="C652">
    <cfRule type="expression" dxfId="10" priority="5">
      <formula>$J652="잔금"</formula>
    </cfRule>
  </conditionalFormatting>
  <conditionalFormatting sqref="F653:F664">
    <cfRule type="expression" dxfId="7" priority="4">
      <formula>$J653="잔금"</formula>
    </cfRule>
  </conditionalFormatting>
  <conditionalFormatting sqref="F652">
    <cfRule type="expression" dxfId="6" priority="3">
      <formula>$J652="잔금"</formula>
    </cfRule>
  </conditionalFormatting>
  <conditionalFormatting sqref="H653:H664">
    <cfRule type="expression" dxfId="1" priority="2">
      <formula>$J653="잔금"</formula>
    </cfRule>
  </conditionalFormatting>
  <conditionalFormatting sqref="H652">
    <cfRule type="expression" dxfId="0" priority="1">
      <formula>$J652="잔금"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664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2026-05-13T06:26:44Z</dcterms:modified>
</cp:coreProperties>
</file>