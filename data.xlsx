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93" i="1" l="1"/>
  <c r="I94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D110" i="1"/>
  <c r="B110" i="1"/>
  <c r="I109" i="1"/>
  <c r="J109" i="1" s="1"/>
  <c r="D109" i="1"/>
  <c r="B109" i="1"/>
  <c r="I108" i="1"/>
  <c r="J108" i="1" s="1"/>
  <c r="D108" i="1"/>
  <c r="B108" i="1"/>
  <c r="I107" i="1"/>
  <c r="J107" i="1" s="1"/>
  <c r="D107" i="1"/>
  <c r="B107" i="1"/>
  <c r="I106" i="1"/>
  <c r="J106" i="1" s="1"/>
  <c r="D106" i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D101" i="1"/>
  <c r="B101" i="1"/>
  <c r="I100" i="1"/>
  <c r="J100" i="1" s="1"/>
  <c r="D100" i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J94" i="1"/>
  <c r="D94" i="1"/>
  <c r="B94" i="1"/>
  <c r="J93" i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<sst xmlns="http://schemas.openxmlformats.org/spreadsheetml/2006/main" count="575" uniqueCount="169">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</sst>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3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</cellXfs>
  <cellStyles count="1">
    <cellStyle name="표준" xfId="0" builtinId="0"/>
  </cellStyles>
  <dxfs count="7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89" activePane="bottomRight" state="frozen"/>
      <selection pane="topRight"/>
      <selection pane="bottomLeft"/>
      <selection pane="bottomRight" activeCell="K99" sqref="K99"/>
    </sheetView>
  </sheetViews>
  <sheetFormatPr defaultRowHeight="16.5" customHeight="1" x14ac:dyDescent="0.3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 x14ac:dyDescent="0.3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 x14ac:dyDescent="0.3">
      <c r="B2" s="10">
        <v>1</v>
      </c>
      <c r="C2" s="11">
        <v>45797</v>
      </c>
      <c r="D2" s="10" t="str">
        <f t="shared" ref="D2:D55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5" ca="1" si="1">IF(C2="","",IF(L2="",TODAY()-C2,L2-C2))</f>
        <v>267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 x14ac:dyDescent="0.3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117</v>
      </c>
      <c r="J3" s="13" t="str">
        <f t="shared" ref="J3:J58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 x14ac:dyDescent="0.3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97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 x14ac:dyDescent="0.3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 x14ac:dyDescent="0.3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247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 x14ac:dyDescent="0.3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149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 x14ac:dyDescent="0.3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99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 x14ac:dyDescent="0.3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54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 x14ac:dyDescent="0.3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49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 x14ac:dyDescent="0.3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58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 x14ac:dyDescent="0.3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 x14ac:dyDescent="0.3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232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 x14ac:dyDescent="0.3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92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 x14ac:dyDescent="0.3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407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 x14ac:dyDescent="0.3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827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 x14ac:dyDescent="0.3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631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 x14ac:dyDescent="0.3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471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 x14ac:dyDescent="0.3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609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 x14ac:dyDescent="0.3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608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 x14ac:dyDescent="0.3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700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 x14ac:dyDescent="0.3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342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 x14ac:dyDescent="0.3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337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 x14ac:dyDescent="0.3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327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 x14ac:dyDescent="0.3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321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 x14ac:dyDescent="0.3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317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 x14ac:dyDescent="0.3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317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 x14ac:dyDescent="0.3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316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 x14ac:dyDescent="0.3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314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 x14ac:dyDescent="0.3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293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 x14ac:dyDescent="0.3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279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 x14ac:dyDescent="0.3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258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 x14ac:dyDescent="0.3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246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 x14ac:dyDescent="0.3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216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 x14ac:dyDescent="0.3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194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 x14ac:dyDescent="0.3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265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 x14ac:dyDescent="0.3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189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 x14ac:dyDescent="0.3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167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 x14ac:dyDescent="0.3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162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 x14ac:dyDescent="0.3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148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 x14ac:dyDescent="0.3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119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 x14ac:dyDescent="0.3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117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 x14ac:dyDescent="0.3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46066</v>
      </c>
      <c r="L43" s="11"/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 x14ac:dyDescent="0.3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106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 x14ac:dyDescent="0.3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100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 x14ac:dyDescent="0.3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97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 x14ac:dyDescent="0.3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96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 x14ac:dyDescent="0.3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93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 x14ac:dyDescent="0.3">
      <c r="B49" s="10">
        <f>IF(C49="","",COUNTA($C$2:C49))</f>
        <v>48</v>
      </c>
      <c r="C49" s="11">
        <v>45993</v>
      </c>
      <c r="D49" s="10" t="str">
        <f t="shared" si="0"/>
        <v>B</v>
      </c>
      <c r="E49" s="6" t="s">
        <v>26</v>
      </c>
      <c r="F49" s="6" t="s">
        <v>164</v>
      </c>
      <c r="G49" s="6" t="s">
        <v>48</v>
      </c>
      <c r="H49" s="4">
        <v>7920000</v>
      </c>
      <c r="I49" s="12">
        <f t="shared" ca="1" si="1"/>
        <v>71</v>
      </c>
      <c r="J49" s="13" t="str">
        <f t="shared" ca="1" si="2"/>
        <v>관리</v>
      </c>
      <c r="K49" s="11">
        <v>46080</v>
      </c>
      <c r="L49" s="11"/>
      <c r="M49" s="10"/>
      <c r="N49" s="10" t="s">
        <v>33</v>
      </c>
      <c r="P49" s="6" t="s">
        <v>81</v>
      </c>
      <c r="Q49" s="11"/>
      <c r="R49" s="11"/>
      <c r="S49" s="10"/>
    </row>
    <row r="50" spans="2:19" s="6" customFormat="1" ht="16.5" customHeight="1" x14ac:dyDescent="0.3">
      <c r="B50" s="10">
        <f>IF(C50="","",COUNTA($C$2:C50))</f>
        <v>49</v>
      </c>
      <c r="C50" s="11">
        <v>45999</v>
      </c>
      <c r="D50" s="10" t="str">
        <f t="shared" si="0"/>
        <v>B</v>
      </c>
      <c r="E50" s="6" t="s">
        <v>82</v>
      </c>
      <c r="F50" s="6" t="s">
        <v>163</v>
      </c>
      <c r="G50" s="6" t="s">
        <v>48</v>
      </c>
      <c r="H50" s="4">
        <v>5253000</v>
      </c>
      <c r="I50" s="12">
        <f t="shared" ca="1" si="1"/>
        <v>65</v>
      </c>
      <c r="J50" s="13" t="str">
        <f t="shared" ca="1" si="2"/>
        <v>관리</v>
      </c>
      <c r="K50" s="11">
        <v>46081</v>
      </c>
      <c r="L50" s="11"/>
      <c r="M50" s="10"/>
      <c r="N50" s="10" t="s">
        <v>33</v>
      </c>
      <c r="Q50" s="11"/>
      <c r="R50" s="11"/>
      <c r="S50" s="10"/>
    </row>
    <row r="51" spans="2:19" s="6" customFormat="1" ht="16.5" customHeight="1" x14ac:dyDescent="0.3">
      <c r="B51" s="10">
        <f>IF(C51="","",COUNTA($C$2:C51))</f>
        <v>50</v>
      </c>
      <c r="C51" s="11">
        <v>46006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1120000</v>
      </c>
      <c r="I51" s="12">
        <f t="shared" ca="1" si="1"/>
        <v>58</v>
      </c>
      <c r="J51" s="13" t="str">
        <f t="shared" ca="1" si="2"/>
        <v>관리</v>
      </c>
      <c r="K51" s="11">
        <v>46081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 x14ac:dyDescent="0.3">
      <c r="B52" s="10">
        <f>IF(C52="","",COUNTA($C$2:C52))</f>
        <v>51</v>
      </c>
      <c r="C52" s="11">
        <v>46007</v>
      </c>
      <c r="D52" s="10" t="str">
        <f t="shared" si="0"/>
        <v>B</v>
      </c>
      <c r="E52" s="6" t="s">
        <v>26</v>
      </c>
      <c r="F52" s="6" t="s">
        <v>83</v>
      </c>
      <c r="G52" s="6" t="s">
        <v>48</v>
      </c>
      <c r="H52" s="4">
        <v>1969400</v>
      </c>
      <c r="I52" s="12">
        <f t="shared" ca="1" si="1"/>
        <v>57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P52" s="6" t="s">
        <v>81</v>
      </c>
      <c r="Q52" s="11"/>
      <c r="R52" s="11"/>
      <c r="S52" s="10"/>
    </row>
    <row r="53" spans="2:19" s="6" customFormat="1" ht="16.5" customHeight="1" x14ac:dyDescent="0.3">
      <c r="B53" s="10">
        <f>IF(C53="","",COUNTA($C$2:C53))</f>
        <v>52</v>
      </c>
      <c r="C53" s="11">
        <v>46008</v>
      </c>
      <c r="D53" s="10" t="str">
        <f t="shared" si="0"/>
        <v>B</v>
      </c>
      <c r="E53" s="6" t="s">
        <v>24</v>
      </c>
      <c r="F53" s="6" t="s">
        <v>161</v>
      </c>
      <c r="G53" s="6" t="s">
        <v>48</v>
      </c>
      <c r="H53" s="4">
        <v>54744000</v>
      </c>
      <c r="I53" s="12">
        <f t="shared" ca="1" si="1"/>
        <v>56</v>
      </c>
      <c r="J53" s="13" t="str">
        <f t="shared" ca="1" si="2"/>
        <v>관리</v>
      </c>
      <c r="K53" s="11"/>
      <c r="L53" s="11"/>
      <c r="M53" s="10"/>
      <c r="N53" s="10" t="s">
        <v>20</v>
      </c>
      <c r="O53" s="6" t="s">
        <v>154</v>
      </c>
      <c r="P53" s="6" t="s">
        <v>155</v>
      </c>
      <c r="Q53" s="11">
        <v>46036</v>
      </c>
      <c r="R53" s="10" t="s">
        <v>59</v>
      </c>
      <c r="S53" s="10"/>
    </row>
    <row r="54" spans="2:19" s="6" customFormat="1" ht="16.5" customHeight="1" x14ac:dyDescent="0.3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84</v>
      </c>
      <c r="F54" s="6" t="s">
        <v>85</v>
      </c>
      <c r="G54" s="6" t="s">
        <v>48</v>
      </c>
      <c r="H54" s="4">
        <v>321000</v>
      </c>
      <c r="I54" s="12">
        <f t="shared" ca="1" si="1"/>
        <v>55</v>
      </c>
      <c r="J54" s="13" t="str">
        <f t="shared" ca="1" si="2"/>
        <v>관리</v>
      </c>
      <c r="K54" s="11"/>
      <c r="L54" s="11">
        <v>46063</v>
      </c>
      <c r="M54" s="10"/>
      <c r="N54" s="10" t="s">
        <v>33</v>
      </c>
      <c r="Q54" s="11"/>
      <c r="R54" s="11"/>
      <c r="S54" s="10"/>
    </row>
    <row r="55" spans="2:19" s="6" customFormat="1" ht="16.5" customHeight="1" x14ac:dyDescent="0.3">
      <c r="B55" s="10">
        <f>IF(C55="","",COUNTA($C$2:C55))</f>
        <v>54</v>
      </c>
      <c r="C55" s="11">
        <v>46013</v>
      </c>
      <c r="D55" s="10" t="str">
        <f t="shared" si="0"/>
        <v>B</v>
      </c>
      <c r="E55" s="6" t="s">
        <v>26</v>
      </c>
      <c r="F55" s="6" t="s">
        <v>162</v>
      </c>
      <c r="G55" s="6" t="s">
        <v>48</v>
      </c>
      <c r="H55" s="4">
        <v>15840000</v>
      </c>
      <c r="I55" s="12">
        <f t="shared" ca="1" si="1"/>
        <v>51</v>
      </c>
      <c r="J55" s="13" t="str">
        <f t="shared" ca="1" si="2"/>
        <v>관리</v>
      </c>
      <c r="K55" s="11">
        <v>46080</v>
      </c>
      <c r="L55" s="11"/>
      <c r="M55" s="10"/>
      <c r="N55" s="10" t="s">
        <v>33</v>
      </c>
      <c r="P55" s="6" t="s">
        <v>81</v>
      </c>
      <c r="Q55" s="11"/>
      <c r="R55" s="11"/>
      <c r="S55" s="10"/>
    </row>
    <row r="56" spans="2:19" s="6" customFormat="1" ht="16.5" customHeight="1" x14ac:dyDescent="0.3">
      <c r="B56" s="10">
        <f>IF(C56="","",COUNTA($C$2:C56))</f>
        <v>55</v>
      </c>
      <c r="C56" s="11">
        <v>45705</v>
      </c>
      <c r="D56" s="10" t="str">
        <f t="shared" ref="D56:D65" si="3">IF(G56="","",IF(OR(G56="선급금",G56="중도금",G56="잔금"),"A",IF(G56="자재","B",IF(G56="특허료","C",""))))</f>
        <v>C</v>
      </c>
      <c r="E56" s="6" t="s">
        <v>46</v>
      </c>
      <c r="F56" s="6" t="s">
        <v>86</v>
      </c>
      <c r="G56" s="6" t="s">
        <v>43</v>
      </c>
      <c r="H56" s="4">
        <v>1632000</v>
      </c>
      <c r="I56" s="12">
        <f t="shared" ref="I56:I65" ca="1" si="4">IF(C56="","",IF(L56="",TODAY()-C56,L56-C56))</f>
        <v>359</v>
      </c>
      <c r="J56" s="13" t="str">
        <f t="shared" ca="1" si="2"/>
        <v>장기미수</v>
      </c>
      <c r="K56" s="11"/>
      <c r="L56" s="11"/>
      <c r="M56" s="10" t="s">
        <v>153</v>
      </c>
      <c r="N56" s="10" t="s">
        <v>20</v>
      </c>
      <c r="O56" s="6" t="s">
        <v>49</v>
      </c>
      <c r="Q56" s="14"/>
      <c r="R56" s="14"/>
      <c r="S56" s="10"/>
    </row>
    <row r="57" spans="2:19" s="6" customFormat="1" ht="16.5" customHeight="1" x14ac:dyDescent="0.3">
      <c r="B57" s="10">
        <f>IF(C57="","",COUNTA($C$2:C57))</f>
        <v>56</v>
      </c>
      <c r="C57" s="11">
        <v>45840</v>
      </c>
      <c r="D57" s="10" t="str">
        <f t="shared" si="3"/>
        <v>C</v>
      </c>
      <c r="E57" s="6" t="s">
        <v>46</v>
      </c>
      <c r="F57" s="6" t="s">
        <v>87</v>
      </c>
      <c r="G57" s="6" t="s">
        <v>43</v>
      </c>
      <c r="H57" s="4">
        <v>5380000</v>
      </c>
      <c r="I57" s="12">
        <f t="shared" ca="1" si="4"/>
        <v>224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 x14ac:dyDescent="0.3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88</v>
      </c>
      <c r="G58" s="6" t="s">
        <v>43</v>
      </c>
      <c r="H58" s="4">
        <v>765000</v>
      </c>
      <c r="I58" s="12">
        <f t="shared" ca="1" si="4"/>
        <v>224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 x14ac:dyDescent="0.3">
      <c r="B59" s="10">
        <f>IF(C59="","",COUNTA($C$2:C59))</f>
        <v>58</v>
      </c>
      <c r="C59" s="11">
        <v>45889</v>
      </c>
      <c r="D59" s="10" t="str">
        <f t="shared" si="3"/>
        <v>C</v>
      </c>
      <c r="E59" s="6" t="s">
        <v>46</v>
      </c>
      <c r="F59" s="6" t="s">
        <v>89</v>
      </c>
      <c r="G59" s="6" t="s">
        <v>43</v>
      </c>
      <c r="H59" s="4">
        <v>2738900</v>
      </c>
      <c r="I59" s="12">
        <f t="shared" ca="1" si="4"/>
        <v>175</v>
      </c>
      <c r="J59" s="13" t="str">
        <f t="shared" ref="J59:J113" ca="1" si="5">IF(I59="","",
 IF(G59="선급금",
   IF(I59&lt;=20,"정상",IF(I59&lt;=90,"관리","장기미수")),
 IF(G59="자재",
   IF(I59&lt;=40,"정상",IF(I59&lt;=90,"관리","장기미수")),
   IF(I59&lt;=30,"정상",IF(I59&lt;=90,"관리","장기미수"))
  )
 )
)</f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 x14ac:dyDescent="0.3">
      <c r="B60" s="10">
        <f>IF(C60="","",COUNTA($C$2:C60))</f>
        <v>59</v>
      </c>
      <c r="C60" s="11">
        <v>46006</v>
      </c>
      <c r="D60" s="10" t="str">
        <f t="shared" si="3"/>
        <v>C</v>
      </c>
      <c r="E60" s="6" t="s">
        <v>62</v>
      </c>
      <c r="F60" s="6" t="s">
        <v>90</v>
      </c>
      <c r="G60" s="6" t="s">
        <v>43</v>
      </c>
      <c r="H60" s="4">
        <v>1648500</v>
      </c>
      <c r="I60" s="12">
        <f t="shared" ca="1" si="4"/>
        <v>58</v>
      </c>
      <c r="J60" s="13" t="str">
        <f t="shared" ca="1" si="5"/>
        <v>관리</v>
      </c>
      <c r="K60" s="11">
        <v>46052</v>
      </c>
      <c r="L60" s="11"/>
      <c r="M60" s="10"/>
      <c r="N60" s="10" t="s">
        <v>33</v>
      </c>
      <c r="Q60" s="14"/>
      <c r="R60" s="14"/>
      <c r="S60" s="10"/>
    </row>
    <row r="61" spans="2:19" s="6" customFormat="1" ht="16.5" customHeight="1" x14ac:dyDescent="0.3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91</v>
      </c>
      <c r="G61" s="6" t="s">
        <v>43</v>
      </c>
      <c r="H61" s="4">
        <v>2625000</v>
      </c>
      <c r="I61" s="12">
        <f t="shared" ca="1" si="4"/>
        <v>58</v>
      </c>
      <c r="J61" s="13" t="str">
        <f t="shared" ca="1" si="5"/>
        <v>관리</v>
      </c>
      <c r="K61" s="11">
        <v>46052</v>
      </c>
      <c r="L61" s="11"/>
      <c r="M61" s="10"/>
      <c r="N61" s="10" t="s">
        <v>33</v>
      </c>
      <c r="Q61" s="14"/>
      <c r="R61" s="14"/>
      <c r="S61" s="10"/>
    </row>
    <row r="62" spans="2:19" s="6" customFormat="1" ht="16.5" customHeight="1" x14ac:dyDescent="0.3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92</v>
      </c>
      <c r="F62" s="6" t="s">
        <v>93</v>
      </c>
      <c r="G62" s="6" t="s">
        <v>43</v>
      </c>
      <c r="H62" s="4">
        <v>495000</v>
      </c>
      <c r="I62" s="12">
        <f t="shared" ca="1" si="4"/>
        <v>58</v>
      </c>
      <c r="J62" s="13" t="str">
        <f t="shared" ca="1" si="5"/>
        <v>관리</v>
      </c>
      <c r="K62" s="11">
        <v>46087</v>
      </c>
      <c r="L62" s="11"/>
      <c r="M62" s="10"/>
      <c r="N62" s="10" t="s">
        <v>33</v>
      </c>
      <c r="Q62" s="14"/>
      <c r="R62" s="14"/>
      <c r="S62" s="10"/>
    </row>
    <row r="63" spans="2:19" s="6" customFormat="1" ht="16.5" customHeight="1" x14ac:dyDescent="0.3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94</v>
      </c>
      <c r="G63" s="6" t="s">
        <v>43</v>
      </c>
      <c r="H63" s="4">
        <v>485000</v>
      </c>
      <c r="I63" s="12">
        <f t="shared" ca="1" si="4"/>
        <v>58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 x14ac:dyDescent="0.3">
      <c r="B64" s="10">
        <f>IF(C64="","",COUNTA($C$2:C64))</f>
        <v>63</v>
      </c>
      <c r="C64" s="11">
        <v>46009</v>
      </c>
      <c r="D64" s="10" t="str">
        <f t="shared" si="3"/>
        <v>C</v>
      </c>
      <c r="E64" s="6" t="s">
        <v>95</v>
      </c>
      <c r="F64" s="6" t="s">
        <v>96</v>
      </c>
      <c r="G64" s="6" t="s">
        <v>43</v>
      </c>
      <c r="H64" s="4">
        <v>662500</v>
      </c>
      <c r="I64" s="12">
        <f t="shared" ca="1" si="4"/>
        <v>55</v>
      </c>
      <c r="J64" s="13" t="str">
        <f t="shared" ca="1" si="5"/>
        <v>관리</v>
      </c>
      <c r="K64" s="11">
        <v>46052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 x14ac:dyDescent="0.3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97</v>
      </c>
      <c r="F65" s="6" t="s">
        <v>98</v>
      </c>
      <c r="G65" s="6" t="s">
        <v>43</v>
      </c>
      <c r="H65" s="4">
        <v>3537700</v>
      </c>
      <c r="I65" s="12">
        <f t="shared" ca="1" si="4"/>
        <v>55</v>
      </c>
      <c r="J65" s="13" t="str">
        <f t="shared" ca="1" si="5"/>
        <v>관리</v>
      </c>
      <c r="K65" s="11">
        <v>46052</v>
      </c>
      <c r="L65" s="11"/>
      <c r="M65" s="10"/>
      <c r="N65" s="10" t="s">
        <v>33</v>
      </c>
      <c r="Q65" s="14"/>
      <c r="R65" s="14"/>
      <c r="S65" s="10"/>
    </row>
    <row r="66" spans="2:19" s="6" customFormat="1" ht="16.5" customHeight="1" x14ac:dyDescent="0.3">
      <c r="B66" s="10">
        <f>IF(C66="","",COUNTA($C$2:C66))</f>
        <v>65</v>
      </c>
      <c r="C66" s="11">
        <v>46027</v>
      </c>
      <c r="D66" s="10" t="str">
        <f t="shared" ref="D66:D75" si="6">IF(G66="","",IF(OR(G66="선급금",G66="중도금",G66="잔금"),"A",IF(G66="자재","B",IF(G66="특허료","C",""))))</f>
        <v>C</v>
      </c>
      <c r="E66" s="6" t="s">
        <v>99</v>
      </c>
      <c r="F66" s="6" t="s">
        <v>100</v>
      </c>
      <c r="G66" s="6" t="s">
        <v>43</v>
      </c>
      <c r="H66" s="4">
        <v>3802500</v>
      </c>
      <c r="I66" s="6">
        <f t="shared" ref="I66:I71" ca="1" si="7">IF(C66="","",IF(L66="",TODAY()-C66,L66-C66))</f>
        <v>37</v>
      </c>
      <c r="J66" s="13" t="str">
        <f t="shared" ca="1" si="5"/>
        <v>관리</v>
      </c>
      <c r="K66" s="11"/>
      <c r="L66" s="11"/>
      <c r="M66" s="10"/>
      <c r="N66" s="10" t="s">
        <v>33</v>
      </c>
      <c r="Q66" s="11"/>
      <c r="R66" s="11"/>
      <c r="S66" s="10"/>
    </row>
    <row r="67" spans="2:19" s="6" customFormat="1" ht="16.5" customHeight="1" x14ac:dyDescent="0.3">
      <c r="B67" s="10">
        <f>IF(C67="","",COUNTA($C$2:C67))</f>
        <v>66</v>
      </c>
      <c r="C67" s="11">
        <v>46028</v>
      </c>
      <c r="D67" s="10" t="str">
        <f t="shared" si="6"/>
        <v>C</v>
      </c>
      <c r="E67" s="6" t="s">
        <v>101</v>
      </c>
      <c r="F67" s="6" t="s">
        <v>102</v>
      </c>
      <c r="G67" s="6" t="s">
        <v>43</v>
      </c>
      <c r="H67" s="4">
        <v>138050</v>
      </c>
      <c r="I67" s="6">
        <f t="shared" ca="1" si="7"/>
        <v>36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 x14ac:dyDescent="0.3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103</v>
      </c>
      <c r="G68" s="6" t="s">
        <v>43</v>
      </c>
      <c r="H68" s="4">
        <v>6675050</v>
      </c>
      <c r="I68" s="6">
        <f t="shared" ca="1" si="7"/>
        <v>36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 x14ac:dyDescent="0.3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104</v>
      </c>
      <c r="F69" s="6" t="s">
        <v>105</v>
      </c>
      <c r="G69" s="6" t="s">
        <v>43</v>
      </c>
      <c r="H69" s="4">
        <v>7500000</v>
      </c>
      <c r="I69" s="6">
        <f t="shared" ca="1" si="7"/>
        <v>36</v>
      </c>
      <c r="J69" s="13" t="str">
        <f t="shared" ca="1" si="5"/>
        <v>관리</v>
      </c>
      <c r="K69" s="11"/>
      <c r="L69" s="11"/>
      <c r="M69" s="10"/>
      <c r="N69" s="10" t="s">
        <v>20</v>
      </c>
      <c r="O69" s="6" t="s">
        <v>28</v>
      </c>
      <c r="Q69" s="11"/>
      <c r="R69" s="11"/>
      <c r="S69" s="10"/>
    </row>
    <row r="70" spans="2:19" s="6" customFormat="1" ht="16.5" customHeight="1" x14ac:dyDescent="0.3">
      <c r="B70" s="10">
        <f>IF(C70="","",COUNTA($C$2:C70))</f>
        <v>69</v>
      </c>
      <c r="C70" s="11">
        <v>46034</v>
      </c>
      <c r="D70" s="10" t="str">
        <f t="shared" si="6"/>
        <v>C</v>
      </c>
      <c r="E70" s="6" t="s">
        <v>106</v>
      </c>
      <c r="F70" s="6" t="s">
        <v>107</v>
      </c>
      <c r="G70" s="6" t="s">
        <v>43</v>
      </c>
      <c r="H70" s="4">
        <v>179500</v>
      </c>
      <c r="I70" s="6">
        <f t="shared" ca="1" si="7"/>
        <v>3</v>
      </c>
      <c r="J70" s="13" t="str">
        <f ca="1">IF(I70="","",
 IF(G70="선급금",
   IF(I70&lt;=20,"정상",IF(I70&lt;=90,"관리","장기미수")),
 IF(G70="자재",
   IF(I70&lt;=40,"정상",IF(I70&lt;=90,"관리","장기미수")),
   IF(I70&lt;=30,"정상",IF(I70&lt;=90,"관리","장기미수"))
  )
 )
)</f>
        <v>정상</v>
      </c>
      <c r="K70" s="11"/>
      <c r="L70" s="11">
        <v>46037</v>
      </c>
      <c r="M70" s="10"/>
      <c r="N70" s="10" t="s">
        <v>33</v>
      </c>
      <c r="Q70" s="11"/>
      <c r="R70" s="11"/>
      <c r="S70" s="10"/>
    </row>
    <row r="71" spans="2:19" s="6" customFormat="1" ht="16.5" customHeight="1" x14ac:dyDescent="0.3">
      <c r="B71" s="10">
        <f>IF(C71="","",COUNTA($C$2:C71))</f>
        <v>70</v>
      </c>
      <c r="C71" s="11">
        <v>46027</v>
      </c>
      <c r="D71" s="10" t="str">
        <f t="shared" si="6"/>
        <v>B</v>
      </c>
      <c r="E71" s="6" t="s">
        <v>24</v>
      </c>
      <c r="F71" s="6" t="s">
        <v>108</v>
      </c>
      <c r="G71" s="6" t="s">
        <v>48</v>
      </c>
      <c r="H71" s="4">
        <v>26182000</v>
      </c>
      <c r="I71" s="6">
        <f t="shared" ca="1" si="7"/>
        <v>37</v>
      </c>
      <c r="J71" s="13" t="str">
        <f t="shared" ca="1" si="5"/>
        <v>정상</v>
      </c>
      <c r="K71" s="11"/>
      <c r="L71" s="11"/>
      <c r="M71" s="10"/>
      <c r="N71" s="10" t="s">
        <v>20</v>
      </c>
      <c r="O71" s="6" t="s">
        <v>154</v>
      </c>
      <c r="P71" s="6" t="s">
        <v>156</v>
      </c>
      <c r="Q71" s="11">
        <v>46036</v>
      </c>
      <c r="R71" s="10" t="s">
        <v>59</v>
      </c>
      <c r="S71" s="10"/>
    </row>
    <row r="72" spans="2:19" s="6" customFormat="1" ht="16.5" customHeight="1" x14ac:dyDescent="0.3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26</v>
      </c>
      <c r="F72" s="6" t="s">
        <v>109</v>
      </c>
      <c r="G72" s="6" t="s">
        <v>48</v>
      </c>
      <c r="H72" s="4">
        <v>1100000</v>
      </c>
      <c r="I72" s="6">
        <f t="shared" ref="I72:I75" ca="1" si="8">IF(C72="","",IF(L72="",TODAY()-C72,L72-C72))</f>
        <v>37</v>
      </c>
      <c r="J72" s="13" t="str">
        <f t="shared" ca="1" si="5"/>
        <v>정상</v>
      </c>
      <c r="K72" s="11">
        <v>46112</v>
      </c>
      <c r="L72" s="11"/>
      <c r="M72" s="10"/>
      <c r="N72" s="10" t="s">
        <v>33</v>
      </c>
      <c r="P72" s="6" t="s">
        <v>81</v>
      </c>
      <c r="Q72" s="11"/>
      <c r="R72" s="11"/>
      <c r="S72" s="10"/>
    </row>
    <row r="73" spans="2:19" s="6" customFormat="1" ht="16.5" customHeight="1" x14ac:dyDescent="0.3">
      <c r="B73" s="10">
        <f>IF(C73="","",COUNTA($C$2:C73))</f>
        <v>72</v>
      </c>
      <c r="C73" s="11">
        <v>46028</v>
      </c>
      <c r="D73" s="10" t="str">
        <f t="shared" si="6"/>
        <v>B</v>
      </c>
      <c r="E73" s="6" t="s">
        <v>24</v>
      </c>
      <c r="F73" s="6" t="s">
        <v>108</v>
      </c>
      <c r="G73" s="6" t="s">
        <v>48</v>
      </c>
      <c r="H73" s="4">
        <v>799000</v>
      </c>
      <c r="I73" s="6">
        <f t="shared" ca="1" si="8"/>
        <v>17</v>
      </c>
      <c r="J73" s="13" t="str">
        <f t="shared" ca="1" si="5"/>
        <v>정상</v>
      </c>
      <c r="K73" s="11"/>
      <c r="L73" s="11">
        <v>46045</v>
      </c>
      <c r="M73" s="10"/>
      <c r="N73" s="10" t="s">
        <v>20</v>
      </c>
      <c r="O73" s="6" t="s">
        <v>154</v>
      </c>
      <c r="P73" s="6" t="s">
        <v>155</v>
      </c>
      <c r="Q73" s="11">
        <v>46036</v>
      </c>
      <c r="R73" s="10" t="s">
        <v>59</v>
      </c>
      <c r="S73" s="10"/>
    </row>
    <row r="74" spans="2:19" s="6" customFormat="1" ht="16.5" customHeight="1" x14ac:dyDescent="0.3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110</v>
      </c>
      <c r="F74" s="6" t="s">
        <v>111</v>
      </c>
      <c r="G74" s="6" t="s">
        <v>48</v>
      </c>
      <c r="H74" s="4">
        <v>3430000</v>
      </c>
      <c r="I74" s="6">
        <f t="shared" ca="1" si="8"/>
        <v>24</v>
      </c>
      <c r="J74" s="13" t="str">
        <f t="shared" ca="1" si="5"/>
        <v>정상</v>
      </c>
      <c r="K74" s="11"/>
      <c r="L74" s="11">
        <v>46052</v>
      </c>
      <c r="M74" s="10"/>
      <c r="N74" s="10" t="s">
        <v>33</v>
      </c>
      <c r="Q74" s="11"/>
      <c r="R74" s="11"/>
      <c r="S74" s="10"/>
    </row>
    <row r="75" spans="2:19" s="6" customFormat="1" ht="16.5" customHeight="1" x14ac:dyDescent="0.3">
      <c r="B75" s="10">
        <f>IF(C75="","",COUNTA($C$2:C75))</f>
        <v>74</v>
      </c>
      <c r="C75" s="11">
        <v>46030</v>
      </c>
      <c r="D75" s="10" t="str">
        <f t="shared" si="6"/>
        <v>B</v>
      </c>
      <c r="E75" s="6" t="s">
        <v>112</v>
      </c>
      <c r="F75" s="6" t="s">
        <v>113</v>
      </c>
      <c r="G75" s="6" t="s">
        <v>48</v>
      </c>
      <c r="H75" s="4">
        <v>528000</v>
      </c>
      <c r="I75" s="6">
        <f t="shared" ca="1" si="8"/>
        <v>34</v>
      </c>
      <c r="J75" s="13" t="str">
        <f t="shared" ca="1" si="5"/>
        <v>정상</v>
      </c>
      <c r="K75" s="11"/>
      <c r="L75" s="11"/>
      <c r="M75" s="10"/>
      <c r="N75" s="10" t="s">
        <v>33</v>
      </c>
      <c r="Q75" s="11"/>
      <c r="R75" s="11"/>
      <c r="S75" s="10"/>
    </row>
    <row r="76" spans="2:19" s="6" customFormat="1" ht="16.5" customHeight="1" x14ac:dyDescent="0.3">
      <c r="B76" s="10">
        <f>IF(C76="","",COUNTA($C$2:C76))</f>
        <v>75</v>
      </c>
      <c r="C76" s="11">
        <v>46034</v>
      </c>
      <c r="D76" s="10" t="str">
        <f t="shared" ref="D76:D139" si="9">IF(G76="","",IF(OR(G76="선급금",G76="중도금",G76="잔금"),"A",IF(G76="자재","B",IF(G76="특허료","C",""))))</f>
        <v>B</v>
      </c>
      <c r="E76" s="6" t="s">
        <v>24</v>
      </c>
      <c r="F76" s="6" t="s">
        <v>108</v>
      </c>
      <c r="G76" s="6" t="s">
        <v>48</v>
      </c>
      <c r="H76" s="4">
        <v>2200000</v>
      </c>
      <c r="I76" s="6">
        <f t="shared" ref="I76:I139" ca="1" si="10">IF(C76="","",IF(L76="",TODAY()-C76,L76-C76))</f>
        <v>11</v>
      </c>
      <c r="J76" s="13" t="str">
        <f t="shared" ca="1" si="5"/>
        <v>정상</v>
      </c>
      <c r="K76" s="11"/>
      <c r="L76" s="11">
        <v>46045</v>
      </c>
      <c r="M76" s="10"/>
      <c r="N76" s="10" t="s">
        <v>20</v>
      </c>
      <c r="O76" s="6" t="s">
        <v>154</v>
      </c>
      <c r="P76" s="6" t="s">
        <v>155</v>
      </c>
      <c r="Q76" s="11">
        <v>46036</v>
      </c>
      <c r="R76" s="10" t="s">
        <v>59</v>
      </c>
      <c r="S76" s="10"/>
    </row>
    <row r="77" spans="2:19" s="6" customFormat="1" ht="16.5" customHeight="1" x14ac:dyDescent="0.3">
      <c r="B77" s="10">
        <f>IF(C77="","",COUNTA($C$2:C77))</f>
        <v>76</v>
      </c>
      <c r="C77" s="11">
        <v>46034</v>
      </c>
      <c r="D77" s="10" t="str">
        <f t="shared" si="9"/>
        <v>B</v>
      </c>
      <c r="E77" s="6" t="s">
        <v>24</v>
      </c>
      <c r="F77" s="6" t="s">
        <v>108</v>
      </c>
      <c r="G77" s="6" t="s">
        <v>48</v>
      </c>
      <c r="H77" s="4">
        <v>580000</v>
      </c>
      <c r="I77" s="6">
        <f t="shared" ca="1" si="10"/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 x14ac:dyDescent="0.3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114</v>
      </c>
      <c r="F78" s="6" t="s">
        <v>115</v>
      </c>
      <c r="G78" s="6" t="s">
        <v>48</v>
      </c>
      <c r="H78" s="4">
        <v>3418000</v>
      </c>
      <c r="I78" s="6">
        <f t="shared" ca="1" si="10"/>
        <v>0</v>
      </c>
      <c r="J78" s="13" t="str">
        <f t="shared" ca="1" si="5"/>
        <v>정상</v>
      </c>
      <c r="K78" s="11"/>
      <c r="L78" s="11">
        <v>46034</v>
      </c>
      <c r="M78" s="10"/>
      <c r="N78" s="10" t="s">
        <v>33</v>
      </c>
      <c r="Q78" s="11"/>
      <c r="R78" s="11"/>
      <c r="S78" s="10"/>
    </row>
    <row r="79" spans="2:19" s="6" customFormat="1" ht="16.5" customHeight="1" x14ac:dyDescent="0.3">
      <c r="B79" s="10">
        <f>IF(C79="","",COUNTA($C$2:C79))</f>
        <v>78</v>
      </c>
      <c r="C79" s="11">
        <v>46036</v>
      </c>
      <c r="D79" s="10" t="str">
        <f t="shared" si="9"/>
        <v>B</v>
      </c>
      <c r="E79" s="6" t="s">
        <v>116</v>
      </c>
      <c r="F79" s="6" t="s">
        <v>117</v>
      </c>
      <c r="G79" s="6" t="s">
        <v>48</v>
      </c>
      <c r="H79" s="4">
        <v>496500</v>
      </c>
      <c r="I79" s="6">
        <f t="shared" ca="1" si="10"/>
        <v>0</v>
      </c>
      <c r="J79" s="13" t="str">
        <f t="shared" ca="1" si="5"/>
        <v>정상</v>
      </c>
      <c r="K79" s="11"/>
      <c r="L79" s="11">
        <v>46036</v>
      </c>
      <c r="M79" s="10"/>
      <c r="N79" s="10" t="s">
        <v>33</v>
      </c>
      <c r="Q79" s="11"/>
      <c r="R79" s="11"/>
      <c r="S79" s="10"/>
    </row>
    <row r="80" spans="2:19" s="6" customFormat="1" ht="16.5" customHeight="1" x14ac:dyDescent="0.3">
      <c r="B80" s="10">
        <f>IF(C80="","",COUNTA($C$2:C80))</f>
        <v>79</v>
      </c>
      <c r="C80" s="11">
        <v>46038</v>
      </c>
      <c r="D80" s="10" t="str">
        <f t="shared" si="9"/>
        <v>B</v>
      </c>
      <c r="E80" s="6" t="s">
        <v>118</v>
      </c>
      <c r="F80" s="6" t="s">
        <v>119</v>
      </c>
      <c r="G80" s="6" t="s">
        <v>48</v>
      </c>
      <c r="H80" s="4">
        <v>280000</v>
      </c>
      <c r="I80" s="6">
        <f t="shared" ca="1" si="10"/>
        <v>26</v>
      </c>
      <c r="J80" s="13" t="str">
        <f t="shared" ca="1" si="5"/>
        <v>정상</v>
      </c>
      <c r="K80" s="11"/>
      <c r="L80" s="11"/>
      <c r="M80" s="10"/>
      <c r="N80" s="10" t="s">
        <v>33</v>
      </c>
      <c r="Q80" s="11"/>
      <c r="R80" s="11"/>
      <c r="S80" s="10"/>
    </row>
    <row r="81" spans="2:19" s="6" customFormat="1" ht="16.5" customHeight="1" x14ac:dyDescent="0.3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120</v>
      </c>
      <c r="F81" s="6" t="s">
        <v>121</v>
      </c>
      <c r="G81" s="6" t="s">
        <v>48</v>
      </c>
      <c r="H81" s="4">
        <v>380000</v>
      </c>
      <c r="I81" s="6">
        <f t="shared" ca="1" si="10"/>
        <v>0</v>
      </c>
      <c r="J81" s="13" t="str">
        <f t="shared" ca="1" si="5"/>
        <v>정상</v>
      </c>
      <c r="K81" s="11"/>
      <c r="L81" s="11">
        <v>46038</v>
      </c>
      <c r="M81" s="10"/>
      <c r="N81" s="10" t="s">
        <v>33</v>
      </c>
      <c r="Q81" s="11"/>
      <c r="R81" s="11"/>
      <c r="S81" s="10"/>
    </row>
    <row r="82" spans="2:19" s="6" customFormat="1" ht="16.5" customHeight="1" x14ac:dyDescent="0.3">
      <c r="B82" s="10">
        <f>IF(C82="","",COUNTA($C$2:C82))</f>
        <v>81</v>
      </c>
      <c r="C82" s="11">
        <v>46042</v>
      </c>
      <c r="D82" s="10" t="str">
        <f t="shared" si="9"/>
        <v>B</v>
      </c>
      <c r="E82" s="6" t="s">
        <v>24</v>
      </c>
      <c r="F82" s="6" t="s">
        <v>108</v>
      </c>
      <c r="G82" s="6" t="s">
        <v>48</v>
      </c>
      <c r="H82" s="4">
        <v>36816000</v>
      </c>
      <c r="I82" s="6">
        <f t="shared" ca="1" si="10"/>
        <v>22</v>
      </c>
      <c r="J82" s="13" t="str">
        <f t="shared" ca="1" si="5"/>
        <v>정상</v>
      </c>
      <c r="K82" s="11"/>
      <c r="L82" s="11"/>
      <c r="M82" s="10"/>
      <c r="N82" s="10" t="s">
        <v>20</v>
      </c>
      <c r="O82" s="6" t="s">
        <v>58</v>
      </c>
      <c r="P82" s="6" t="s">
        <v>155</v>
      </c>
      <c r="Q82" s="11">
        <v>46036</v>
      </c>
      <c r="R82" s="10" t="s">
        <v>59</v>
      </c>
      <c r="S82" s="10"/>
    </row>
    <row r="83" spans="2:19" s="6" customFormat="1" ht="16.5" customHeight="1" x14ac:dyDescent="0.3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7390000</v>
      </c>
      <c r="I83" s="6">
        <f t="shared" ca="1" si="10"/>
        <v>22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 x14ac:dyDescent="0.3">
      <c r="B84" s="10">
        <f>IF(C84="","",COUNTA($C$2:C84))</f>
        <v>83</v>
      </c>
      <c r="C84" s="11">
        <v>46044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56770000</v>
      </c>
      <c r="I84" s="6">
        <f t="shared" ca="1" si="10"/>
        <v>20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 x14ac:dyDescent="0.3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122</v>
      </c>
      <c r="F85" s="6" t="s">
        <v>123</v>
      </c>
      <c r="G85" s="6" t="s">
        <v>48</v>
      </c>
      <c r="H85" s="4">
        <v>321000</v>
      </c>
      <c r="I85" s="6">
        <f t="shared" ca="1" si="10"/>
        <v>20</v>
      </c>
      <c r="J85" s="13" t="str">
        <f t="shared" ca="1" si="5"/>
        <v>정상</v>
      </c>
      <c r="K85" s="11"/>
      <c r="L85" s="11"/>
      <c r="M85" s="10"/>
      <c r="N85" s="10" t="s">
        <v>33</v>
      </c>
      <c r="Q85" s="11"/>
      <c r="R85" s="11"/>
      <c r="S85" s="10"/>
    </row>
    <row r="86" spans="2:19" s="6" customFormat="1" ht="16.5" customHeight="1" x14ac:dyDescent="0.3">
      <c r="B86" s="10">
        <f>IF(C86="","",COUNTA($C$2:C86))</f>
        <v>85</v>
      </c>
      <c r="C86" s="11">
        <v>46048</v>
      </c>
      <c r="D86" s="10" t="str">
        <f t="shared" si="9"/>
        <v>B</v>
      </c>
      <c r="E86" s="6" t="s">
        <v>24</v>
      </c>
      <c r="F86" s="6" t="s">
        <v>108</v>
      </c>
      <c r="G86" s="6" t="s">
        <v>48</v>
      </c>
      <c r="H86" s="4">
        <v>4784000</v>
      </c>
      <c r="I86" s="6">
        <f t="shared" ca="1" si="10"/>
        <v>16</v>
      </c>
      <c r="J86" s="13" t="str">
        <f t="shared" ca="1" si="5"/>
        <v>정상</v>
      </c>
      <c r="K86" s="11"/>
      <c r="L86" s="11"/>
      <c r="M86" s="10"/>
      <c r="N86" s="10" t="s">
        <v>20</v>
      </c>
      <c r="O86" s="6" t="s">
        <v>58</v>
      </c>
      <c r="P86" s="6" t="s">
        <v>155</v>
      </c>
      <c r="Q86" s="11">
        <v>46036</v>
      </c>
      <c r="R86" s="10" t="s">
        <v>59</v>
      </c>
      <c r="S86" s="10"/>
    </row>
    <row r="87" spans="2:19" s="6" customFormat="1" ht="16.5" customHeight="1" x14ac:dyDescent="0.3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124</v>
      </c>
      <c r="F87" s="6" t="s">
        <v>125</v>
      </c>
      <c r="G87" s="6" t="s">
        <v>48</v>
      </c>
      <c r="H87" s="4">
        <v>15356500</v>
      </c>
      <c r="I87" s="6">
        <f t="shared" ca="1" si="10"/>
        <v>15</v>
      </c>
      <c r="J87" s="13" t="str">
        <f t="shared" ca="1" si="5"/>
        <v>정상</v>
      </c>
      <c r="K87" s="11"/>
      <c r="L87" s="11">
        <v>46063</v>
      </c>
      <c r="M87" s="10"/>
      <c r="N87" s="10" t="s">
        <v>33</v>
      </c>
      <c r="Q87" s="11"/>
      <c r="R87" s="11"/>
      <c r="S87" s="10"/>
    </row>
    <row r="88" spans="2:19" s="6" customFormat="1" ht="16.5" customHeight="1" x14ac:dyDescent="0.3">
      <c r="B88" s="10">
        <f>IF(C88="","",COUNTA($C$2:C88))</f>
        <v>87</v>
      </c>
      <c r="C88" s="11">
        <v>46051</v>
      </c>
      <c r="D88" s="10" t="str">
        <f t="shared" si="9"/>
        <v>B</v>
      </c>
      <c r="E88" s="6" t="s">
        <v>24</v>
      </c>
      <c r="F88" s="6" t="s">
        <v>108</v>
      </c>
      <c r="G88" s="6" t="s">
        <v>48</v>
      </c>
      <c r="H88" s="4">
        <v>17250000</v>
      </c>
      <c r="I88" s="6">
        <f t="shared" ca="1" si="10"/>
        <v>13</v>
      </c>
      <c r="J88" s="13" t="str">
        <f t="shared" ca="1" si="5"/>
        <v>정상</v>
      </c>
      <c r="K88" s="11"/>
      <c r="L88" s="11"/>
      <c r="M88" s="10"/>
      <c r="N88" s="10" t="s">
        <v>20</v>
      </c>
      <c r="O88" s="6" t="s">
        <v>58</v>
      </c>
      <c r="P88" s="6" t="s">
        <v>155</v>
      </c>
      <c r="Q88" s="11">
        <v>46036</v>
      </c>
      <c r="R88" s="10" t="s">
        <v>59</v>
      </c>
      <c r="S88" s="10"/>
    </row>
    <row r="89" spans="2:19" s="6" customFormat="1" ht="16.5" customHeight="1" x14ac:dyDescent="0.3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5750000</v>
      </c>
      <c r="I89" s="6">
        <f t="shared" ca="1" si="10"/>
        <v>13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 x14ac:dyDescent="0.3">
      <c r="B90" s="10">
        <f>IF(C90="","",COUNTA($C$2:C90))</f>
        <v>89</v>
      </c>
      <c r="C90" s="11">
        <v>46055</v>
      </c>
      <c r="D90" s="10" t="str">
        <f t="shared" si="9"/>
        <v>B</v>
      </c>
      <c r="E90" s="6" t="s">
        <v>126</v>
      </c>
      <c r="F90" s="6" t="s">
        <v>127</v>
      </c>
      <c r="G90" s="6" t="s">
        <v>48</v>
      </c>
      <c r="H90" s="4">
        <v>231000</v>
      </c>
      <c r="I90" s="6">
        <f t="shared" ca="1" si="10"/>
        <v>0</v>
      </c>
      <c r="J90" s="13" t="str">
        <f t="shared" ca="1" si="5"/>
        <v>정상</v>
      </c>
      <c r="K90" s="11"/>
      <c r="L90" s="11">
        <v>46055</v>
      </c>
      <c r="M90" s="10"/>
      <c r="N90" s="10" t="s">
        <v>33</v>
      </c>
      <c r="Q90" s="11"/>
      <c r="R90" s="11"/>
      <c r="S90" s="10"/>
    </row>
    <row r="91" spans="2:19" s="6" customFormat="1" ht="16.5" customHeight="1" x14ac:dyDescent="0.3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128</v>
      </c>
      <c r="F91" s="6" t="s">
        <v>129</v>
      </c>
      <c r="G91" s="6" t="s">
        <v>48</v>
      </c>
      <c r="H91" s="4">
        <v>219000</v>
      </c>
      <c r="I91" s="6">
        <f t="shared" ca="1" si="10"/>
        <v>9</v>
      </c>
      <c r="J91" s="13" t="str">
        <f t="shared" ca="1" si="5"/>
        <v>정상</v>
      </c>
      <c r="K91" s="11"/>
      <c r="L91" s="11"/>
      <c r="M91" s="10"/>
      <c r="N91" s="10" t="s">
        <v>33</v>
      </c>
      <c r="Q91" s="11"/>
      <c r="R91" s="11"/>
      <c r="S91" s="10"/>
    </row>
    <row r="92" spans="2:19" s="6" customFormat="1" ht="16.5" customHeight="1" x14ac:dyDescent="0.3">
      <c r="B92" s="10">
        <f>IF(C92="","",COUNTA($C$2:C92))</f>
        <v>91</v>
      </c>
      <c r="C92" s="11">
        <v>46056</v>
      </c>
      <c r="D92" s="10" t="str">
        <f t="shared" si="9"/>
        <v>B</v>
      </c>
      <c r="E92" s="6" t="s">
        <v>130</v>
      </c>
      <c r="F92" s="6" t="s">
        <v>131</v>
      </c>
      <c r="G92" s="6" t="s">
        <v>48</v>
      </c>
      <c r="H92" s="4">
        <v>432000</v>
      </c>
      <c r="I92" s="6">
        <f t="shared" ca="1" si="10"/>
        <v>1</v>
      </c>
      <c r="J92" s="13" t="str">
        <f t="shared" ca="1" si="5"/>
        <v>정상</v>
      </c>
      <c r="K92" s="11"/>
      <c r="L92" s="11">
        <v>46057</v>
      </c>
      <c r="M92" s="10"/>
      <c r="N92" s="10" t="s">
        <v>33</v>
      </c>
      <c r="Q92" s="11"/>
      <c r="R92" s="11"/>
      <c r="S92" s="10"/>
    </row>
    <row r="93" spans="2:19" s="6" customFormat="1" ht="16.5" customHeight="1" x14ac:dyDescent="0.3">
      <c r="B93" s="10">
        <f>IF(C93="","",COUNTA($C$2:C93))</f>
        <v>92</v>
      </c>
      <c r="C93" s="11">
        <v>46052</v>
      </c>
      <c r="D93" s="10" t="str">
        <f t="shared" si="9"/>
        <v>C</v>
      </c>
      <c r="E93" s="6" t="s">
        <v>136</v>
      </c>
      <c r="F93" s="6" t="s">
        <v>137</v>
      </c>
      <c r="G93" s="6" t="s">
        <v>140</v>
      </c>
      <c r="H93" s="4">
        <v>478000</v>
      </c>
      <c r="I93" s="6">
        <f t="shared" ca="1" si="10"/>
        <v>7</v>
      </c>
      <c r="J93" s="13" t="str">
        <f t="shared" ca="1" si="5"/>
        <v>정상</v>
      </c>
      <c r="K93" s="11"/>
      <c r="L93" s="11">
        <v>46059</v>
      </c>
      <c r="M93" s="10"/>
      <c r="N93" s="10" t="s">
        <v>33</v>
      </c>
      <c r="Q93" s="11"/>
      <c r="R93" s="11"/>
      <c r="S93" s="10"/>
    </row>
    <row r="94" spans="2:19" s="6" customFormat="1" ht="16.5" customHeight="1" x14ac:dyDescent="0.3">
      <c r="B94" s="10">
        <f>IF(C94="","",COUNTA($C$2:C94))</f>
        <v>93</v>
      </c>
      <c r="C94" s="11">
        <v>46058</v>
      </c>
      <c r="D94" s="10" t="str">
        <f t="shared" si="9"/>
        <v>C</v>
      </c>
      <c r="E94" s="6" t="s">
        <v>138</v>
      </c>
      <c r="F94" s="6" t="s">
        <v>139</v>
      </c>
      <c r="G94" s="6" t="s">
        <v>140</v>
      </c>
      <c r="H94" s="4">
        <v>1206700</v>
      </c>
      <c r="I94" s="6">
        <f t="shared" ca="1" si="10"/>
        <v>6</v>
      </c>
      <c r="J94" s="13" t="str">
        <f t="shared" ca="1" si="5"/>
        <v>정상</v>
      </c>
      <c r="K94" s="11"/>
      <c r="L94" s="11"/>
      <c r="M94" s="10"/>
      <c r="N94" s="10" t="s">
        <v>33</v>
      </c>
      <c r="Q94" s="11"/>
      <c r="R94" s="11"/>
      <c r="S94" s="10"/>
    </row>
    <row r="95" spans="2:19" s="6" customFormat="1" ht="16.5" customHeight="1" x14ac:dyDescent="0.3">
      <c r="B95" s="10">
        <f>IF(C95="","",COUNTA($C$2:C95))</f>
        <v>94</v>
      </c>
      <c r="C95" s="11" t="s">
        <v>160</v>
      </c>
      <c r="D95" s="10" t="str">
        <f t="shared" si="9"/>
        <v>B</v>
      </c>
      <c r="E95" s="6" t="s">
        <v>110</v>
      </c>
      <c r="F95" s="6" t="s">
        <v>158</v>
      </c>
      <c r="G95" s="6" t="s">
        <v>48</v>
      </c>
      <c r="H95" s="4">
        <v>2627900</v>
      </c>
      <c r="I95" s="6">
        <f t="shared" ca="1" si="10"/>
        <v>2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 x14ac:dyDescent="0.3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114</v>
      </c>
      <c r="F96" s="6" t="s">
        <v>159</v>
      </c>
      <c r="G96" s="6" t="s">
        <v>48</v>
      </c>
      <c r="H96" s="4">
        <v>1210000</v>
      </c>
      <c r="I96" s="6">
        <f t="shared" ca="1" si="10"/>
        <v>0</v>
      </c>
      <c r="J96" s="13" t="str">
        <f t="shared" ca="1" si="5"/>
        <v>정상</v>
      </c>
      <c r="K96" s="11"/>
      <c r="L96" s="11">
        <v>46062</v>
      </c>
      <c r="M96" s="10"/>
      <c r="N96" s="10" t="s">
        <v>33</v>
      </c>
      <c r="Q96" s="11"/>
      <c r="R96" s="11"/>
      <c r="S96" s="10"/>
    </row>
    <row r="97" spans="2:19" s="6" customFormat="1" ht="16.5" customHeight="1" x14ac:dyDescent="0.3">
      <c r="B97" s="10">
        <f>IF(C97="","",COUNTA($C$2:C97))</f>
        <v>96</v>
      </c>
      <c r="C97" s="11" t="s">
        <v>168</v>
      </c>
      <c r="D97" s="10" t="str">
        <f t="shared" si="9"/>
        <v>B</v>
      </c>
      <c r="E97" s="23" t="s">
        <v>110</v>
      </c>
      <c r="F97" s="23" t="s">
        <v>111</v>
      </c>
      <c r="G97" s="6" t="s">
        <v>48</v>
      </c>
      <c r="H97" s="4">
        <v>216000</v>
      </c>
      <c r="I97" s="6">
        <f t="shared" ca="1" si="10"/>
        <v>1</v>
      </c>
      <c r="J97" s="13" t="str">
        <f t="shared" ca="1" si="5"/>
        <v>정상</v>
      </c>
      <c r="K97" s="11"/>
      <c r="L97" s="11"/>
      <c r="M97" s="10"/>
      <c r="N97" s="10" t="s">
        <v>33</v>
      </c>
      <c r="Q97" s="11"/>
      <c r="R97" s="11"/>
      <c r="S97" s="10"/>
    </row>
    <row r="98" spans="2:19" s="6" customFormat="1" ht="16.5" customHeight="1" x14ac:dyDescent="0.3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166</v>
      </c>
      <c r="F98" s="23" t="s">
        <v>167</v>
      </c>
      <c r="G98" s="6" t="s">
        <v>48</v>
      </c>
      <c r="H98" s="4">
        <v>154300</v>
      </c>
      <c r="I98" s="6">
        <f t="shared" ca="1" si="10"/>
        <v>1</v>
      </c>
      <c r="J98" s="13" t="str">
        <f t="shared" ca="1" si="5"/>
        <v>정상</v>
      </c>
      <c r="K98" s="11">
        <v>46081</v>
      </c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 x14ac:dyDescent="0.3">
      <c r="B99" s="10" t="str">
        <f>IF(C99="","",COUNTA($C$2:C99))</f>
        <v/>
      </c>
      <c r="C99" s="11"/>
      <c r="D99" s="10" t="str">
        <f t="shared" si="9"/>
        <v/>
      </c>
      <c r="H99" s="4"/>
      <c r="I99" s="6" t="str">
        <f t="shared" ca="1" si="10"/>
        <v/>
      </c>
      <c r="J99" s="13" t="str">
        <f t="shared" ca="1" si="5"/>
        <v/>
      </c>
      <c r="K99" s="11"/>
      <c r="L99" s="11"/>
      <c r="M99" s="10"/>
      <c r="N99" s="10"/>
      <c r="Q99" s="11"/>
      <c r="R99" s="11"/>
      <c r="S99" s="10"/>
    </row>
    <row r="100" spans="2:19" s="6" customFormat="1" ht="16.5" customHeight="1" x14ac:dyDescent="0.3">
      <c r="B100" s="10" t="str">
        <f>IF(C100="","",COUNTA($C$2:C100))</f>
        <v/>
      </c>
      <c r="C100" s="11"/>
      <c r="D100" s="10" t="str">
        <f t="shared" si="9"/>
        <v/>
      </c>
      <c r="H100" s="4"/>
      <c r="I100" s="6" t="str">
        <f t="shared" ca="1" si="10"/>
        <v/>
      </c>
      <c r="J100" s="13" t="str">
        <f t="shared" ca="1" si="5"/>
        <v/>
      </c>
      <c r="K100" s="11"/>
      <c r="L100" s="11"/>
      <c r="M100" s="10"/>
      <c r="N100" s="10"/>
      <c r="Q100" s="11"/>
      <c r="R100" s="11"/>
      <c r="S100" s="10"/>
    </row>
    <row r="101" spans="2:19" s="6" customFormat="1" ht="16.5" customHeight="1" x14ac:dyDescent="0.3">
      <c r="B101" s="10" t="str">
        <f>IF(C101="","",COUNTA($C$2:C101))</f>
        <v/>
      </c>
      <c r="C101" s="11"/>
      <c r="D101" s="10" t="str">
        <f t="shared" si="9"/>
        <v/>
      </c>
      <c r="H101" s="4"/>
      <c r="I101" s="6" t="str">
        <f t="shared" ca="1" si="10"/>
        <v/>
      </c>
      <c r="J101" s="13" t="str">
        <f t="shared" ca="1" si="5"/>
        <v/>
      </c>
      <c r="K101" s="11"/>
      <c r="L101" s="11"/>
      <c r="M101" s="10"/>
      <c r="N101" s="10"/>
      <c r="Q101" s="11"/>
      <c r="R101" s="11"/>
      <c r="S101" s="10"/>
    </row>
    <row r="102" spans="2:19" s="6" customFormat="1" ht="16.5" customHeight="1" x14ac:dyDescent="0.3">
      <c r="B102" s="10" t="str">
        <f>IF(C102="","",COUNTA($C$2:C102))</f>
        <v/>
      </c>
      <c r="C102" s="11"/>
      <c r="D102" s="10" t="str">
        <f t="shared" si="9"/>
        <v/>
      </c>
      <c r="H102" s="4"/>
      <c r="I102" s="6" t="str">
        <f t="shared" ca="1" si="10"/>
        <v/>
      </c>
      <c r="J102" s="13" t="str">
        <f t="shared" ca="1" si="5"/>
        <v/>
      </c>
      <c r="K102" s="11"/>
      <c r="L102" s="11"/>
      <c r="M102" s="10"/>
      <c r="N102" s="10"/>
      <c r="Q102" s="11"/>
      <c r="R102" s="11"/>
      <c r="S102" s="10"/>
    </row>
    <row r="103" spans="2:19" s="6" customFormat="1" ht="16.5" customHeight="1" x14ac:dyDescent="0.3">
      <c r="B103" s="10" t="str">
        <f>IF(C103="","",COUNTA($C$2:C103))</f>
        <v/>
      </c>
      <c r="C103" s="11"/>
      <c r="D103" s="10" t="str">
        <f t="shared" si="9"/>
        <v/>
      </c>
      <c r="H103" s="4"/>
      <c r="I103" s="6" t="str">
        <f t="shared" ca="1" si="10"/>
        <v/>
      </c>
      <c r="J103" s="13" t="str">
        <f t="shared" ca="1" si="5"/>
        <v/>
      </c>
      <c r="K103" s="11"/>
      <c r="L103" s="11"/>
      <c r="M103" s="10"/>
      <c r="N103" s="10"/>
      <c r="Q103" s="11"/>
      <c r="R103" s="11"/>
      <c r="S103" s="10"/>
    </row>
    <row r="104" spans="2:19" s="6" customFormat="1" ht="16.5" customHeight="1" x14ac:dyDescent="0.3">
      <c r="B104" s="10" t="str">
        <f>IF(C104="","",COUNTA($C$2:C104))</f>
        <v/>
      </c>
      <c r="C104" s="11"/>
      <c r="D104" s="10" t="str">
        <f t="shared" si="9"/>
        <v/>
      </c>
      <c r="H104" s="4"/>
      <c r="I104" s="6" t="str">
        <f t="shared" ca="1" si="10"/>
        <v/>
      </c>
      <c r="J104" s="13" t="str">
        <f t="shared" ca="1" si="5"/>
        <v/>
      </c>
      <c r="K104" s="11"/>
      <c r="L104" s="11"/>
      <c r="M104" s="10"/>
      <c r="N104" s="10"/>
      <c r="Q104" s="11"/>
      <c r="R104" s="11"/>
      <c r="S104" s="10"/>
    </row>
    <row r="105" spans="2:19" s="6" customFormat="1" ht="16.5" customHeight="1" x14ac:dyDescent="0.3">
      <c r="B105" s="10" t="str">
        <f>IF(C105="","",COUNTA($C$2:C105))</f>
        <v/>
      </c>
      <c r="C105" s="11"/>
      <c r="D105" s="10" t="str">
        <f t="shared" si="9"/>
        <v/>
      </c>
      <c r="H105" s="4"/>
      <c r="I105" s="6" t="str">
        <f t="shared" ca="1" si="10"/>
        <v/>
      </c>
      <c r="J105" s="13" t="str">
        <f t="shared" ca="1" si="5"/>
        <v/>
      </c>
      <c r="K105" s="11"/>
      <c r="L105" s="11"/>
      <c r="M105" s="10"/>
      <c r="N105" s="10"/>
      <c r="Q105" s="11"/>
      <c r="R105" s="11"/>
      <c r="S105" s="10"/>
    </row>
    <row r="106" spans="2:19" s="6" customFormat="1" ht="16.5" customHeight="1" x14ac:dyDescent="0.3">
      <c r="B106" s="10" t="str">
        <f>IF(C106="","",COUNTA($C$2:C106))</f>
        <v/>
      </c>
      <c r="C106" s="11"/>
      <c r="D106" s="10" t="str">
        <f t="shared" si="9"/>
        <v/>
      </c>
      <c r="H106" s="4"/>
      <c r="I106" s="6" t="str">
        <f t="shared" ca="1" si="10"/>
        <v/>
      </c>
      <c r="J106" s="13" t="str">
        <f t="shared" ca="1" si="5"/>
        <v/>
      </c>
      <c r="K106" s="11"/>
      <c r="L106" s="11"/>
      <c r="M106" s="10"/>
      <c r="N106" s="10"/>
      <c r="Q106" s="11"/>
      <c r="R106" s="11"/>
      <c r="S106" s="10"/>
    </row>
    <row r="107" spans="2:19" s="6" customFormat="1" ht="16.5" customHeight="1" x14ac:dyDescent="0.3">
      <c r="B107" s="10" t="str">
        <f>IF(C107="","",COUNTA($C$2:C107))</f>
        <v/>
      </c>
      <c r="C107" s="11"/>
      <c r="D107" s="10" t="str">
        <f t="shared" si="9"/>
        <v/>
      </c>
      <c r="H107" s="4"/>
      <c r="I107" s="6" t="str">
        <f t="shared" ca="1" si="10"/>
        <v/>
      </c>
      <c r="J107" s="13" t="str">
        <f t="shared" ca="1" si="5"/>
        <v/>
      </c>
      <c r="K107" s="11"/>
      <c r="L107" s="11"/>
      <c r="M107" s="10"/>
      <c r="N107" s="10"/>
      <c r="Q107" s="11"/>
      <c r="R107" s="11"/>
      <c r="S107" s="10"/>
    </row>
    <row r="108" spans="2:19" s="6" customFormat="1" ht="16.5" customHeight="1" x14ac:dyDescent="0.3">
      <c r="B108" s="10" t="str">
        <f>IF(C108="","",COUNTA($C$2:C108))</f>
        <v/>
      </c>
      <c r="C108" s="11"/>
      <c r="D108" s="10" t="str">
        <f t="shared" si="9"/>
        <v/>
      </c>
      <c r="H108" s="4"/>
      <c r="I108" s="6" t="str">
        <f t="shared" ca="1" si="10"/>
        <v/>
      </c>
      <c r="J108" s="13" t="str">
        <f t="shared" ca="1" si="5"/>
        <v/>
      </c>
      <c r="K108" s="11"/>
      <c r="L108" s="11"/>
      <c r="M108" s="10"/>
      <c r="N108" s="10"/>
      <c r="Q108" s="11"/>
      <c r="R108" s="11"/>
      <c r="S108" s="10"/>
    </row>
    <row r="109" spans="2:19" s="6" customFormat="1" ht="16.5" customHeight="1" x14ac:dyDescent="0.3">
      <c r="B109" s="10" t="str">
        <f>IF(C109="","",COUNTA($C$2:C109))</f>
        <v/>
      </c>
      <c r="C109" s="11"/>
      <c r="D109" s="10" t="str">
        <f t="shared" si="9"/>
        <v/>
      </c>
      <c r="H109" s="4"/>
      <c r="I109" s="6" t="str">
        <f t="shared" ca="1" si="10"/>
        <v/>
      </c>
      <c r="J109" s="13" t="str">
        <f t="shared" ca="1" si="5"/>
        <v/>
      </c>
      <c r="K109" s="11"/>
      <c r="L109" s="11"/>
      <c r="M109" s="10"/>
      <c r="N109" s="10"/>
      <c r="Q109" s="11"/>
      <c r="R109" s="11"/>
      <c r="S109" s="10"/>
    </row>
    <row r="110" spans="2:19" s="6" customFormat="1" ht="16.5" customHeight="1" x14ac:dyDescent="0.3">
      <c r="B110" s="10" t="str">
        <f>IF(C110="","",COUNTA($C$2:C110))</f>
        <v/>
      </c>
      <c r="C110" s="11"/>
      <c r="D110" s="10" t="str">
        <f t="shared" si="9"/>
        <v/>
      </c>
      <c r="H110" s="4"/>
      <c r="I110" s="6" t="str">
        <f t="shared" ca="1" si="10"/>
        <v/>
      </c>
      <c r="J110" s="13" t="str">
        <f t="shared" ca="1" si="5"/>
        <v/>
      </c>
      <c r="K110" s="11"/>
      <c r="L110" s="11"/>
      <c r="M110" s="10"/>
      <c r="N110" s="10"/>
      <c r="Q110" s="11"/>
      <c r="R110" s="11"/>
      <c r="S110" s="10"/>
    </row>
    <row r="111" spans="2:19" s="6" customFormat="1" ht="16.5" customHeight="1" x14ac:dyDescent="0.3">
      <c r="B111" s="10" t="str">
        <f>IF(C111="","",COUNTA($C$2:C111))</f>
        <v/>
      </c>
      <c r="C111" s="11"/>
      <c r="D111" s="10" t="str">
        <f t="shared" si="9"/>
        <v/>
      </c>
      <c r="H111" s="4"/>
      <c r="I111" s="6" t="str">
        <f t="shared" ca="1" si="10"/>
        <v/>
      </c>
      <c r="J111" s="13" t="str">
        <f t="shared" ca="1" si="5"/>
        <v/>
      </c>
      <c r="K111" s="11"/>
      <c r="L111" s="11"/>
      <c r="M111" s="10"/>
      <c r="N111" s="10"/>
      <c r="Q111" s="11"/>
      <c r="R111" s="11"/>
      <c r="S111" s="10"/>
    </row>
    <row r="112" spans="2:19" s="6" customFormat="1" ht="16.5" customHeight="1" x14ac:dyDescent="0.3">
      <c r="B112" s="10" t="str">
        <f>IF(C112="","",COUNTA($C$2:C112))</f>
        <v/>
      </c>
      <c r="C112" s="11"/>
      <c r="D112" s="10" t="str">
        <f t="shared" si="9"/>
        <v/>
      </c>
      <c r="H112" s="4"/>
      <c r="I112" s="6" t="str">
        <f t="shared" ca="1" si="10"/>
        <v/>
      </c>
      <c r="J112" s="13" t="str">
        <f t="shared" ca="1" si="5"/>
        <v/>
      </c>
      <c r="K112" s="11"/>
      <c r="L112" s="11"/>
      <c r="M112" s="10"/>
      <c r="N112" s="10"/>
      <c r="Q112" s="11"/>
      <c r="R112" s="11"/>
      <c r="S112" s="10"/>
    </row>
    <row r="113" spans="2:19" s="6" customFormat="1" ht="16.5" customHeight="1" x14ac:dyDescent="0.3">
      <c r="B113" s="10" t="str">
        <f>IF(C113="","",COUNTA($C$2:C113))</f>
        <v/>
      </c>
      <c r="C113" s="11"/>
      <c r="D113" s="10" t="str">
        <f t="shared" si="9"/>
        <v/>
      </c>
      <c r="H113" s="4"/>
      <c r="I113" s="6" t="str">
        <f t="shared" ca="1" si="10"/>
        <v/>
      </c>
      <c r="J113" s="13" t="str">
        <f t="shared" ca="1" si="5"/>
        <v/>
      </c>
      <c r="K113" s="11"/>
      <c r="L113" s="11"/>
      <c r="M113" s="10"/>
      <c r="N113" s="10"/>
      <c r="Q113" s="11"/>
      <c r="R113" s="11"/>
      <c r="S113" s="10"/>
    </row>
    <row r="114" spans="2:19" s="6" customFormat="1" ht="16.5" customHeight="1" x14ac:dyDescent="0.3">
      <c r="B114" s="10" t="str">
        <f>IF(C114="","",COUNTA($C$2:C114))</f>
        <v/>
      </c>
      <c r="C114" s="11"/>
      <c r="D114" s="10" t="str">
        <f t="shared" si="9"/>
        <v/>
      </c>
      <c r="H114" s="4"/>
      <c r="I114" s="6" t="str">
        <f t="shared" ca="1" si="10"/>
        <v/>
      </c>
      <c r="J114" s="13" t="str">
        <f t="shared" ref="J114:J130" ca="1" si="11">IF(I114="","",
 IF(G114="선급금",
   IF(I114&lt;=20,"정상",IF(I114&lt;=90,"관리","장기미수")),
 IF(G114="자재",
   IF(I114&lt;=40,"정상",IF(I114&lt;=90,"관리","장기미수")),
   IF(I114&lt;=30,"정상",IF(I114&lt;=90,"관리","장기미수"))
  )
 )
)</f>
        <v/>
      </c>
      <c r="K114" s="11"/>
      <c r="L114" s="11"/>
      <c r="M114" s="10"/>
      <c r="N114" s="10"/>
      <c r="Q114" s="11"/>
      <c r="R114" s="11"/>
      <c r="S114" s="10"/>
    </row>
    <row r="115" spans="2:19" s="6" customFormat="1" ht="16.5" customHeight="1" x14ac:dyDescent="0.3">
      <c r="B115" s="10" t="str">
        <f>IF(C115="","",COUNTA($C$2:C115))</f>
        <v/>
      </c>
      <c r="C115" s="11"/>
      <c r="D115" s="10" t="str">
        <f t="shared" si="9"/>
        <v/>
      </c>
      <c r="H115" s="4"/>
      <c r="I115" s="6" t="str">
        <f t="shared" ca="1" si="10"/>
        <v/>
      </c>
      <c r="J115" s="13" t="str">
        <f t="shared" ca="1" si="11"/>
        <v/>
      </c>
      <c r="K115" s="11"/>
      <c r="L115" s="11"/>
      <c r="M115" s="10"/>
      <c r="N115" s="10"/>
      <c r="Q115" s="11"/>
      <c r="R115" s="11"/>
      <c r="S115" s="10"/>
    </row>
    <row r="116" spans="2:19" s="6" customFormat="1" ht="16.5" customHeight="1" x14ac:dyDescent="0.3">
      <c r="B116" s="10" t="str">
        <f>IF(C116="","",COUNTA($C$2:C116))</f>
        <v/>
      </c>
      <c r="C116" s="11"/>
      <c r="D116" s="10" t="str">
        <f t="shared" si="9"/>
        <v/>
      </c>
      <c r="H116" s="4"/>
      <c r="I116" s="6" t="str">
        <f t="shared" ca="1" si="10"/>
        <v/>
      </c>
      <c r="J116" s="13" t="str">
        <f t="shared" ca="1" si="11"/>
        <v/>
      </c>
      <c r="K116" s="11"/>
      <c r="L116" s="11"/>
      <c r="M116" s="10"/>
      <c r="N116" s="10"/>
      <c r="Q116" s="11"/>
      <c r="R116" s="11"/>
      <c r="S116" s="10"/>
    </row>
    <row r="117" spans="2:19" s="6" customFormat="1" ht="16.5" customHeight="1" x14ac:dyDescent="0.3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 x14ac:dyDescent="0.3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 x14ac:dyDescent="0.3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 x14ac:dyDescent="0.3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 x14ac:dyDescent="0.3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 x14ac:dyDescent="0.3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 x14ac:dyDescent="0.3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 x14ac:dyDescent="0.3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 x14ac:dyDescent="0.3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 x14ac:dyDescent="0.3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 x14ac:dyDescent="0.3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 x14ac:dyDescent="0.3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 x14ac:dyDescent="0.3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 x14ac:dyDescent="0.3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 x14ac:dyDescent="0.3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 x14ac:dyDescent="0.3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 x14ac:dyDescent="0.3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 x14ac:dyDescent="0.3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 x14ac:dyDescent="0.3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 x14ac:dyDescent="0.3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 x14ac:dyDescent="0.3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 x14ac:dyDescent="0.3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 x14ac:dyDescent="0.3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 x14ac:dyDescent="0.3">
      <c r="B140" s="10" t="str">
        <f>IF(C140="","",COUNTA($C$2:C140))</f>
        <v/>
      </c>
      <c r="C140" s="11"/>
      <c r="D140" s="10" t="str">
        <f t="shared" ref="D140:D203" si="12">IF(G140="","",IF(OR(G140="선급금",G140="중도금",G140="잔금"),"A",IF(G140="자재","B",IF(G140="특허료","C",""))))</f>
        <v/>
      </c>
      <c r="H140" s="4"/>
      <c r="I140" s="6" t="str">
        <f t="shared" ref="I140:I203" ca="1" si="13">IF(C140="","",IF(L140="",TODAY()-C140,L140-C140))</f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 x14ac:dyDescent="0.3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 x14ac:dyDescent="0.3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 x14ac:dyDescent="0.3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 x14ac:dyDescent="0.3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 x14ac:dyDescent="0.3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 x14ac:dyDescent="0.3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 x14ac:dyDescent="0.3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 x14ac:dyDescent="0.3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 x14ac:dyDescent="0.3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 x14ac:dyDescent="0.3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 x14ac:dyDescent="0.3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 x14ac:dyDescent="0.3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 x14ac:dyDescent="0.3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 x14ac:dyDescent="0.3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 x14ac:dyDescent="0.3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 x14ac:dyDescent="0.3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 x14ac:dyDescent="0.3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 x14ac:dyDescent="0.3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 x14ac:dyDescent="0.3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 x14ac:dyDescent="0.3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 x14ac:dyDescent="0.3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 x14ac:dyDescent="0.3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 x14ac:dyDescent="0.3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 x14ac:dyDescent="0.3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 x14ac:dyDescent="0.3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 x14ac:dyDescent="0.3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 x14ac:dyDescent="0.3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 x14ac:dyDescent="0.3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 x14ac:dyDescent="0.3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 x14ac:dyDescent="0.3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 x14ac:dyDescent="0.3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 x14ac:dyDescent="0.3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 x14ac:dyDescent="0.3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 x14ac:dyDescent="0.3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 x14ac:dyDescent="0.3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 x14ac:dyDescent="0.3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 x14ac:dyDescent="0.3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 x14ac:dyDescent="0.3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 x14ac:dyDescent="0.3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 x14ac:dyDescent="0.3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 x14ac:dyDescent="0.3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 x14ac:dyDescent="0.3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 x14ac:dyDescent="0.3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 x14ac:dyDescent="0.3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 x14ac:dyDescent="0.3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 x14ac:dyDescent="0.3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 x14ac:dyDescent="0.3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 x14ac:dyDescent="0.3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 x14ac:dyDescent="0.3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 x14ac:dyDescent="0.3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 x14ac:dyDescent="0.3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 x14ac:dyDescent="0.3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 x14ac:dyDescent="0.3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 x14ac:dyDescent="0.3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 x14ac:dyDescent="0.3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 x14ac:dyDescent="0.3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 x14ac:dyDescent="0.3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 x14ac:dyDescent="0.3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 x14ac:dyDescent="0.3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 x14ac:dyDescent="0.3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 x14ac:dyDescent="0.3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 x14ac:dyDescent="0.3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 x14ac:dyDescent="0.3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 x14ac:dyDescent="0.3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 x14ac:dyDescent="0.3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 x14ac:dyDescent="0.3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 x14ac:dyDescent="0.3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 x14ac:dyDescent="0.3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 x14ac:dyDescent="0.3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 x14ac:dyDescent="0.3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 x14ac:dyDescent="0.3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 x14ac:dyDescent="0.3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 x14ac:dyDescent="0.3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 x14ac:dyDescent="0.3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 x14ac:dyDescent="0.3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 x14ac:dyDescent="0.3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 x14ac:dyDescent="0.3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 x14ac:dyDescent="0.3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 x14ac:dyDescent="0.3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 x14ac:dyDescent="0.3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 x14ac:dyDescent="0.3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 x14ac:dyDescent="0.3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 x14ac:dyDescent="0.3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 x14ac:dyDescent="0.3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 x14ac:dyDescent="0.3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 x14ac:dyDescent="0.3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 x14ac:dyDescent="0.3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 x14ac:dyDescent="0.3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 x14ac:dyDescent="0.3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 x14ac:dyDescent="0.3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 x14ac:dyDescent="0.3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 x14ac:dyDescent="0.3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 x14ac:dyDescent="0.3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 x14ac:dyDescent="0.3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 x14ac:dyDescent="0.3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 x14ac:dyDescent="0.3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 x14ac:dyDescent="0.3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 x14ac:dyDescent="0.3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 x14ac:dyDescent="0.3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 x14ac:dyDescent="0.3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 x14ac:dyDescent="0.3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 x14ac:dyDescent="0.3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 x14ac:dyDescent="0.3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 x14ac:dyDescent="0.3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 x14ac:dyDescent="0.3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 x14ac:dyDescent="0.3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 x14ac:dyDescent="0.3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 x14ac:dyDescent="0.3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 x14ac:dyDescent="0.3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 x14ac:dyDescent="0.3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 x14ac:dyDescent="0.3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 x14ac:dyDescent="0.3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 x14ac:dyDescent="0.3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 x14ac:dyDescent="0.3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 x14ac:dyDescent="0.3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 x14ac:dyDescent="0.3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 x14ac:dyDescent="0.3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 x14ac:dyDescent="0.3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 x14ac:dyDescent="0.3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 x14ac:dyDescent="0.3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 x14ac:dyDescent="0.3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 x14ac:dyDescent="0.3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 x14ac:dyDescent="0.3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 x14ac:dyDescent="0.3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 x14ac:dyDescent="0.3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 x14ac:dyDescent="0.3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 x14ac:dyDescent="0.3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 x14ac:dyDescent="0.3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 x14ac:dyDescent="0.3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 x14ac:dyDescent="0.3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 x14ac:dyDescent="0.3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 x14ac:dyDescent="0.3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 x14ac:dyDescent="0.3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 x14ac:dyDescent="0.3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 x14ac:dyDescent="0.3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 x14ac:dyDescent="0.3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 x14ac:dyDescent="0.3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 x14ac:dyDescent="0.3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 x14ac:dyDescent="0.3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 x14ac:dyDescent="0.3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 x14ac:dyDescent="0.3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 x14ac:dyDescent="0.3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 x14ac:dyDescent="0.3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 x14ac:dyDescent="0.3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 x14ac:dyDescent="0.3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 x14ac:dyDescent="0.3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 x14ac:dyDescent="0.3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 x14ac:dyDescent="0.3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 x14ac:dyDescent="0.3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 x14ac:dyDescent="0.3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 x14ac:dyDescent="0.3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 x14ac:dyDescent="0.3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 x14ac:dyDescent="0.3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 x14ac:dyDescent="0.3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 x14ac:dyDescent="0.3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 x14ac:dyDescent="0.3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 x14ac:dyDescent="0.3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 x14ac:dyDescent="0.3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 x14ac:dyDescent="0.3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 x14ac:dyDescent="0.3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 x14ac:dyDescent="0.3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 x14ac:dyDescent="0.3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 x14ac:dyDescent="0.3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 x14ac:dyDescent="0.3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 x14ac:dyDescent="0.3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 x14ac:dyDescent="0.3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 x14ac:dyDescent="0.3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 x14ac:dyDescent="0.3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 x14ac:dyDescent="0.3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 x14ac:dyDescent="0.3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 x14ac:dyDescent="0.3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 x14ac:dyDescent="0.3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 x14ac:dyDescent="0.3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 x14ac:dyDescent="0.3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 x14ac:dyDescent="0.3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 x14ac:dyDescent="0.3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 x14ac:dyDescent="0.3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 x14ac:dyDescent="0.3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 x14ac:dyDescent="0.3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 x14ac:dyDescent="0.3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 x14ac:dyDescent="0.3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 x14ac:dyDescent="0.3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 x14ac:dyDescent="0.3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 x14ac:dyDescent="0.3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 x14ac:dyDescent="0.3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 x14ac:dyDescent="0.3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 x14ac:dyDescent="0.3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 x14ac:dyDescent="0.3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 x14ac:dyDescent="0.3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 x14ac:dyDescent="0.3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 x14ac:dyDescent="0.3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 x14ac:dyDescent="0.3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 x14ac:dyDescent="0.3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 x14ac:dyDescent="0.3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 x14ac:dyDescent="0.3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 x14ac:dyDescent="0.3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 x14ac:dyDescent="0.3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 x14ac:dyDescent="0.3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 x14ac:dyDescent="0.3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 x14ac:dyDescent="0.3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 x14ac:dyDescent="0.3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 x14ac:dyDescent="0.3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 x14ac:dyDescent="0.3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 x14ac:dyDescent="0.3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 x14ac:dyDescent="0.3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 x14ac:dyDescent="0.3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 x14ac:dyDescent="0.3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 x14ac:dyDescent="0.3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 x14ac:dyDescent="0.3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 x14ac:dyDescent="0.3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 x14ac:dyDescent="0.3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 x14ac:dyDescent="0.3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 x14ac:dyDescent="0.3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 x14ac:dyDescent="0.3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 x14ac:dyDescent="0.3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 x14ac:dyDescent="0.3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 x14ac:dyDescent="0.3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 x14ac:dyDescent="0.3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 x14ac:dyDescent="0.3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 x14ac:dyDescent="0.3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 x14ac:dyDescent="0.3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 x14ac:dyDescent="0.3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 x14ac:dyDescent="0.3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 x14ac:dyDescent="0.3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 x14ac:dyDescent="0.3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 x14ac:dyDescent="0.3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 x14ac:dyDescent="0.3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 x14ac:dyDescent="0.3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 x14ac:dyDescent="0.3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 x14ac:dyDescent="0.3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 x14ac:dyDescent="0.3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 x14ac:dyDescent="0.3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 x14ac:dyDescent="0.3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 x14ac:dyDescent="0.3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 x14ac:dyDescent="0.3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 x14ac:dyDescent="0.3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 x14ac:dyDescent="0.3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 x14ac:dyDescent="0.3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 x14ac:dyDescent="0.3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 x14ac:dyDescent="0.3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 x14ac:dyDescent="0.3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 x14ac:dyDescent="0.3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 x14ac:dyDescent="0.3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 x14ac:dyDescent="0.3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 x14ac:dyDescent="0.3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 x14ac:dyDescent="0.3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 x14ac:dyDescent="0.3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 x14ac:dyDescent="0.3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 x14ac:dyDescent="0.3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 x14ac:dyDescent="0.3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 x14ac:dyDescent="0.3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 x14ac:dyDescent="0.3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 x14ac:dyDescent="0.3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 x14ac:dyDescent="0.3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 x14ac:dyDescent="0.3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 x14ac:dyDescent="0.3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 x14ac:dyDescent="0.3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 x14ac:dyDescent="0.3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 x14ac:dyDescent="0.3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 x14ac:dyDescent="0.3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 x14ac:dyDescent="0.3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 x14ac:dyDescent="0.3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x14ac:dyDescent="0.3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 x14ac:dyDescent="0.3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 x14ac:dyDescent="0.3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 x14ac:dyDescent="0.3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 x14ac:dyDescent="0.3">
      <c r="B407" s="10"/>
      <c r="C407" s="11"/>
      <c r="D407" s="1" t="str">
        <f t="shared" si="20"/>
        <v/>
      </c>
      <c r="Q407" s="11"/>
      <c r="R407" s="11"/>
    </row>
    <row r="408" spans="2:19" x14ac:dyDescent="0.3">
      <c r="B408" s="10"/>
      <c r="C408" s="11"/>
      <c r="D408" s="1" t="str">
        <f t="shared" si="20"/>
        <v/>
      </c>
      <c r="Q408" s="11"/>
      <c r="R408" s="11"/>
    </row>
  </sheetData>
  <autoFilter ref="A1:S408"/>
  <phoneticPr fontId="5" type="noConversion"/>
  <conditionalFormatting sqref="E3 F56:F59">
    <cfRule type="expression" dxfId="6" priority="21">
      <formula>$J3="잔금"</formula>
    </cfRule>
  </conditionalFormatting>
  <conditionalFormatting sqref="E8">
    <cfRule type="expression" dxfId="5" priority="20">
      <formula>$J8="잔금"</formula>
    </cfRule>
  </conditionalFormatting>
  <conditionalFormatting sqref="E4">
    <cfRule type="expression" dxfId="4" priority="19">
      <formula>$J4="잔금"</formula>
    </cfRule>
  </conditionalFormatting>
  <conditionalFormatting sqref="E9">
    <cfRule type="expression" dxfId="3" priority="18">
      <formula>$J9="잔금"</formula>
    </cfRule>
  </conditionalFormatting>
  <conditionalFormatting sqref="E41 E37">
    <cfRule type="expression" dxfId="2" priority="13">
      <formula>$J37="잔금"</formula>
    </cfRule>
  </conditionalFormatting>
  <conditionalFormatting sqref="E97:E98">
    <cfRule type="expression" dxfId="1" priority="3">
      <formula>$J97="잔금"</formula>
    </cfRule>
  </conditionalFormatting>
  <conditionalFormatting sqref="F97:F98">
    <cfRule type="expression" dxfId="0" priority="2">
      <formula>$J97="잔금"</formula>
    </cfRule>
  </conditionalFormatting>
  <dataValidations count="3">
    <dataValidation type="list" allowBlank="1" sqref="D2:D408">
      <formula1>"A,B,C"</formula1>
    </dataValidation>
    <dataValidation type="list" allowBlank="1" sqref="G2:G70">
      <formula1>"선급금,중도금,잔금,자재,특허료"</formula1>
    </dataValidation>
    <dataValidation type="list" allowBlank="1" sqref="N2:N98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 x14ac:dyDescent="0.25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 x14ac:dyDescent="0.25">
      <c r="B2" s="18" t="s">
        <v>135</v>
      </c>
    </row>
    <row r="3" spans="2:3" ht="16.5" customHeight="1" x14ac:dyDescent="0.25">
      <c r="B3" s="22" t="s">
        <v>132</v>
      </c>
      <c r="C3" s="17" t="s">
        <v>133</v>
      </c>
    </row>
    <row r="4" spans="2:3" ht="16.5" customHeight="1" x14ac:dyDescent="0.25">
      <c r="B4" s="16" t="s">
        <v>141</v>
      </c>
      <c r="C4" s="16" t="s">
        <v>145</v>
      </c>
    </row>
    <row r="5" spans="2:3" ht="16.5" customHeight="1" x14ac:dyDescent="0.25">
      <c r="B5" s="16" t="s">
        <v>148</v>
      </c>
      <c r="C5" s="16" t="s">
        <v>150</v>
      </c>
    </row>
    <row r="6" spans="2:3" ht="16.5" customHeight="1" x14ac:dyDescent="0.25">
      <c r="B6" s="16" t="s">
        <v>149</v>
      </c>
      <c r="C6" s="16" t="s">
        <v>151</v>
      </c>
    </row>
    <row r="7" spans="2:3" ht="13.5" x14ac:dyDescent="0.25">
      <c r="B7" s="20" t="s">
        <v>142</v>
      </c>
      <c r="C7" s="21" t="s">
        <v>152</v>
      </c>
    </row>
    <row r="8" spans="2:3" ht="16.5" customHeight="1" x14ac:dyDescent="0.25">
      <c r="B8" s="16" t="s">
        <v>143</v>
      </c>
      <c r="C8" s="16" t="s">
        <v>146</v>
      </c>
    </row>
    <row r="9" spans="2:3" ht="16.5" customHeight="1" x14ac:dyDescent="0.25">
      <c r="B9" s="16" t="s">
        <v>144</v>
      </c>
      <c r="C9" s="16" t="s">
        <v>147</v>
      </c>
    </row>
    <row r="12" spans="2:3" ht="16.5" customHeight="1" x14ac:dyDescent="0.3">
      <c r="B12" s="19"/>
    </row>
    <row r="13" spans="2:3" ht="16.5" customHeight="1" x14ac:dyDescent="0.3">
      <c r="B13"/>
    </row>
    <row r="14" spans="2:3" ht="16.5" customHeight="1" x14ac:dyDescent="0.3">
      <c r="B14" s="19"/>
    </row>
    <row r="15" spans="2:3" ht="16.5" customHeight="1" x14ac:dyDescent="0.3">
      <c r="B15"/>
    </row>
    <row r="16" spans="2:3" ht="16.5" customHeight="1" x14ac:dyDescent="0.3">
      <c r="B16" s="19"/>
    </row>
    <row r="17" spans="2:2" ht="16.5" customHeight="1" x14ac:dyDescent="0.3">
      <c r="B17"/>
    </row>
    <row r="18" spans="2:2" ht="16.5" customHeight="1" x14ac:dyDescent="0.3">
      <c r="B18" s="19"/>
    </row>
    <row r="19" spans="2:2" ht="16.5" customHeight="1" x14ac:dyDescent="0.3">
      <c r="B19"/>
    </row>
    <row r="20" spans="2:2" ht="16.5" customHeight="1" x14ac:dyDescent="0.3">
      <c r="B20" s="19"/>
    </row>
    <row r="21" spans="2:2" ht="16.5" customHeight="1" x14ac:dyDescent="0.3">
      <c r="B21"/>
    </row>
    <row r="22" spans="2:2" ht="16.5" customHeight="1" x14ac:dyDescent="0.3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2026-02-11T02:16:47Z</dcterms:modified>
</cp:coreProperties>
</file>