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esktop\미수금 대시보드\payment-dashboard\"/>
    </mc:Choice>
  </mc:AlternateContent>
  <bookViews>
    <workbookView xWindow="0" yWindow="0" windowWidth="28800" windowHeight="11505" tabRatio="500" activeTab="4"/>
  </bookViews>
  <sheets>
    <sheet name="대시보드" sheetId="1" r:id="rId1"/>
    <sheet name="컨설팅" sheetId="2" r:id="rId2"/>
    <sheet name="기술자문료" sheetId="4" r:id="rId3"/>
    <sheet name="특허료" sheetId="5" r:id="rId4"/>
    <sheet name="자재판매" sheetId="6" r:id="rId5"/>
    <sheet name="2025현장 미수금관리" sheetId="7" r:id="rId6"/>
  </sheets>
  <definedNames>
    <definedName name="_xlnm._FilterDatabase" localSheetId="5" hidden="1">'2025현장 미수금관리'!$A$170:$AY$206</definedName>
    <definedName name="_xlnm._FilterDatabase" localSheetId="2" hidden="1">기술자문료!$A$1:$X$95</definedName>
    <definedName name="_xlnm._FilterDatabase" localSheetId="4" hidden="1">자재판매!$A$1:$AV$607</definedName>
    <definedName name="_xlnm._FilterDatabase" localSheetId="1" hidden="1">컨설팅!$A$1:$AI$195</definedName>
    <definedName name="_xlnm._FilterDatabase" localSheetId="3" hidden="1">특허료!$B$1:$Q$25</definedName>
    <definedName name="TotalMonthlyExpenses">SUM(#REF!)</definedName>
    <definedName name="TotalMonthlyIncome">SUM(#REF!)</definedName>
  </definedNames>
  <calcPr calcId="162913"/>
  <extLst>
    <ext xmlns:loext="http://schemas.libreoffice.org/" uri="{7626C862-2A13-11E5-B345-FEFF819CDC9F}">
      <loext:extCalcPr stringRefSyntax="ExcelA1"/>
    </ext>
  </extLst>
</workbook>
</file>

<file path=xl/calcChain.xml><?xml version="1.0" encoding="utf-8"?>
<calcChain xmlns="http://schemas.openxmlformats.org/spreadsheetml/2006/main">
  <c r="AJ342" i="6" l="1"/>
  <c r="R40" i="2"/>
  <c r="R13" i="2"/>
  <c r="AJ447" i="6"/>
  <c r="AJ595" i="6"/>
  <c r="AK595" i="6" s="1"/>
  <c r="AJ432" i="6"/>
  <c r="AJ424" i="6"/>
  <c r="AJ356" i="6"/>
  <c r="AJ337" i="6"/>
  <c r="AJ304" i="6"/>
  <c r="AJ296" i="6"/>
  <c r="AJ272" i="6"/>
  <c r="AJ249" i="6"/>
  <c r="AJ576" i="6"/>
  <c r="AJ520" i="6"/>
  <c r="AJ439" i="6"/>
  <c r="AJ400" i="6"/>
  <c r="AJ217" i="6"/>
  <c r="AJ445" i="6"/>
  <c r="AJ437" i="6"/>
  <c r="AJ395" i="6"/>
  <c r="AJ386" i="6"/>
  <c r="AJ384" i="6"/>
  <c r="AJ463" i="6"/>
  <c r="AJ278" i="6"/>
  <c r="AJ539" i="6"/>
  <c r="AJ587" i="6"/>
  <c r="AK587" i="6" s="1"/>
  <c r="N21" i="5"/>
  <c r="H80" i="7"/>
  <c r="AJ141" i="6"/>
  <c r="AJ405" i="6"/>
  <c r="AJ392" i="6"/>
  <c r="AJ275" i="6"/>
  <c r="AJ263" i="6"/>
  <c r="AJ210" i="6"/>
  <c r="AJ200" i="6"/>
  <c r="AJ199" i="6"/>
  <c r="AJ165" i="6"/>
  <c r="AJ124" i="6"/>
  <c r="AJ157" i="6"/>
  <c r="AJ97" i="6"/>
  <c r="AJ61" i="6"/>
  <c r="AJ513" i="6"/>
  <c r="AJ512" i="6"/>
  <c r="AJ443" i="6"/>
  <c r="AJ541" i="6"/>
  <c r="AJ524" i="6"/>
  <c r="M80" i="2"/>
  <c r="M116" i="2"/>
  <c r="AK579" i="6"/>
  <c r="AK581" i="6"/>
  <c r="AK582" i="6"/>
  <c r="AK583" i="6"/>
  <c r="AK584" i="6"/>
  <c r="AK585" i="6"/>
  <c r="AK586" i="6"/>
  <c r="AK588" i="6"/>
  <c r="AK589" i="6"/>
  <c r="AK590" i="6"/>
  <c r="AK591" i="6"/>
  <c r="AK592" i="6"/>
  <c r="AK593" i="6"/>
  <c r="AK594" i="6"/>
  <c r="AK596" i="6"/>
  <c r="AK597" i="6"/>
  <c r="AK598" i="6"/>
  <c r="AK599" i="6"/>
  <c r="AK600" i="6"/>
  <c r="AK601" i="6"/>
  <c r="AK602" i="6"/>
  <c r="AK603" i="6"/>
  <c r="AK604" i="6"/>
  <c r="AK605" i="6"/>
  <c r="AK606" i="6"/>
  <c r="AK607" i="6"/>
  <c r="AH579" i="6"/>
  <c r="AH580" i="6"/>
  <c r="AH581" i="6"/>
  <c r="AH582" i="6"/>
  <c r="AH583" i="6"/>
  <c r="AH584" i="6"/>
  <c r="AH585" i="6"/>
  <c r="AH586" i="6"/>
  <c r="AH587" i="6"/>
  <c r="AH588" i="6"/>
  <c r="AH589" i="6"/>
  <c r="AH590" i="6"/>
  <c r="AH591" i="6"/>
  <c r="AH592" i="6"/>
  <c r="AH593" i="6"/>
  <c r="AH594" i="6"/>
  <c r="AH595" i="6"/>
  <c r="AH596" i="6"/>
  <c r="AH597" i="6"/>
  <c r="AH598" i="6"/>
  <c r="AH599" i="6"/>
  <c r="AH600" i="6"/>
  <c r="AH601" i="6"/>
  <c r="AH602" i="6"/>
  <c r="AH603" i="6"/>
  <c r="AH604" i="6"/>
  <c r="AH605" i="6"/>
  <c r="AH606" i="6"/>
  <c r="AH607" i="6"/>
  <c r="L22" i="5"/>
  <c r="I22" i="5"/>
  <c r="Z181" i="2"/>
  <c r="Z193" i="2"/>
  <c r="G193" i="2" s="1"/>
  <c r="H193" i="2" s="1"/>
  <c r="P193" i="2" s="1"/>
  <c r="S193" i="2" s="1"/>
  <c r="M193" i="2"/>
  <c r="P195" i="2"/>
  <c r="S195" i="2" s="1"/>
  <c r="M195" i="2"/>
  <c r="Q194" i="2"/>
  <c r="P194" i="2"/>
  <c r="S194" i="2" s="1"/>
  <c r="M194" i="2"/>
  <c r="K194" i="2"/>
  <c r="K195" i="2" s="1"/>
  <c r="J194" i="2"/>
  <c r="J195" i="2" s="1"/>
  <c r="E194" i="2"/>
  <c r="E195" i="2" s="1"/>
  <c r="D194" i="2"/>
  <c r="D195" i="2" s="1"/>
  <c r="AG193" i="2"/>
  <c r="Q193" i="2"/>
  <c r="AJ452" i="6"/>
  <c r="AJ170" i="6"/>
  <c r="AJ155" i="6"/>
  <c r="AJ149" i="6"/>
  <c r="AJ147" i="6"/>
  <c r="AJ136" i="6"/>
  <c r="AJ103" i="6"/>
  <c r="AJ78" i="6"/>
  <c r="AJ64" i="6"/>
  <c r="AJ66" i="6"/>
  <c r="AJ226" i="6"/>
  <c r="H195" i="2" l="1"/>
  <c r="H194" i="2"/>
  <c r="G195" i="2"/>
  <c r="AJ399" i="6"/>
  <c r="AJ361" i="6"/>
  <c r="AJ344" i="6"/>
  <c r="AJ339" i="6"/>
  <c r="AJ303" i="6"/>
  <c r="AJ277" i="6"/>
  <c r="AJ243" i="6"/>
  <c r="AJ229" i="6"/>
  <c r="AJ225" i="6"/>
  <c r="L21" i="5"/>
  <c r="I21" i="5"/>
  <c r="M115" i="2" l="1"/>
  <c r="P192" i="2"/>
  <c r="S192" i="2" s="1"/>
  <c r="M192" i="2"/>
  <c r="Q191" i="2"/>
  <c r="P191" i="2"/>
  <c r="S191" i="2" s="1"/>
  <c r="M191" i="2"/>
  <c r="K191" i="2"/>
  <c r="K192" i="2" s="1"/>
  <c r="J191" i="2"/>
  <c r="J192" i="2" s="1"/>
  <c r="H191" i="2"/>
  <c r="E191" i="2"/>
  <c r="E192" i="2" s="1"/>
  <c r="D191" i="2"/>
  <c r="D192" i="2" s="1"/>
  <c r="AG190" i="2"/>
  <c r="Q190" i="2"/>
  <c r="P190" i="2"/>
  <c r="S190" i="2" s="1"/>
  <c r="M190" i="2"/>
  <c r="G190" i="2"/>
  <c r="H190" i="2" s="1"/>
  <c r="P189" i="2"/>
  <c r="S189" i="2" s="1"/>
  <c r="M189" i="2"/>
  <c r="Q188" i="2"/>
  <c r="P188" i="2"/>
  <c r="S188" i="2" s="1"/>
  <c r="M188" i="2"/>
  <c r="K188" i="2"/>
  <c r="K189" i="2" s="1"/>
  <c r="J188" i="2"/>
  <c r="J189" i="2" s="1"/>
  <c r="H188" i="2"/>
  <c r="E188" i="2"/>
  <c r="E189" i="2" s="1"/>
  <c r="D188" i="2"/>
  <c r="D189" i="2" s="1"/>
  <c r="AG187" i="2"/>
  <c r="Q187" i="2"/>
  <c r="P187" i="2"/>
  <c r="S187" i="2" s="1"/>
  <c r="M187" i="2"/>
  <c r="G187" i="2"/>
  <c r="H187" i="2" s="1"/>
  <c r="P186" i="2"/>
  <c r="S186" i="2" s="1"/>
  <c r="M186" i="2"/>
  <c r="E186" i="2"/>
  <c r="D186" i="2"/>
  <c r="S185" i="2"/>
  <c r="Q185" i="2"/>
  <c r="P185" i="2"/>
  <c r="M185" i="2"/>
  <c r="K185" i="2"/>
  <c r="K186" i="2" s="1"/>
  <c r="J185" i="2"/>
  <c r="J186" i="2" s="1"/>
  <c r="E185" i="2"/>
  <c r="D185" i="2"/>
  <c r="AG184" i="2"/>
  <c r="G186" i="2" s="1"/>
  <c r="Q184" i="2"/>
  <c r="P184" i="2"/>
  <c r="S184" i="2" s="1"/>
  <c r="M184" i="2"/>
  <c r="G184" i="2"/>
  <c r="P183" i="2"/>
  <c r="S183" i="2" s="1"/>
  <c r="M183" i="2"/>
  <c r="Q182" i="2"/>
  <c r="P182" i="2"/>
  <c r="S182" i="2" s="1"/>
  <c r="M182" i="2"/>
  <c r="K182" i="2"/>
  <c r="K183" i="2" s="1"/>
  <c r="J182" i="2"/>
  <c r="J183" i="2" s="1"/>
  <c r="E182" i="2"/>
  <c r="E183" i="2" s="1"/>
  <c r="D182" i="2"/>
  <c r="D183" i="2" s="1"/>
  <c r="AG181" i="2"/>
  <c r="G183" i="2" s="1"/>
  <c r="Q181" i="2"/>
  <c r="P181" i="2"/>
  <c r="S181" i="2" s="1"/>
  <c r="M181" i="2"/>
  <c r="G181" i="2"/>
  <c r="H181" i="2" s="1"/>
  <c r="P180" i="2"/>
  <c r="S180" i="2" s="1"/>
  <c r="M180" i="2"/>
  <c r="Q179" i="2"/>
  <c r="M179" i="2"/>
  <c r="Q178" i="2"/>
  <c r="M178" i="2"/>
  <c r="M172" i="2"/>
  <c r="Q172" i="2"/>
  <c r="M173" i="2"/>
  <c r="P173" i="2"/>
  <c r="Q173" i="2"/>
  <c r="P174" i="2"/>
  <c r="K179" i="2"/>
  <c r="K180" i="2" s="1"/>
  <c r="J179" i="2"/>
  <c r="J180" i="2" s="1"/>
  <c r="E179" i="2"/>
  <c r="E180" i="2" s="1"/>
  <c r="D179" i="2"/>
  <c r="D180" i="2" s="1"/>
  <c r="AG178" i="2"/>
  <c r="G180" i="2" s="1"/>
  <c r="G178" i="2"/>
  <c r="AJ548" i="6"/>
  <c r="AJ459" i="6"/>
  <c r="AJ406" i="6"/>
  <c r="AJ563" i="6"/>
  <c r="AJ577" i="6"/>
  <c r="AK577" i="6" s="1"/>
  <c r="AK566" i="6"/>
  <c r="AK567" i="6"/>
  <c r="AK568" i="6"/>
  <c r="AK569" i="6"/>
  <c r="AK570" i="6"/>
  <c r="AK571" i="6"/>
  <c r="AK572" i="6"/>
  <c r="AK573" i="6"/>
  <c r="AK574" i="6"/>
  <c r="AK575" i="6"/>
  <c r="AK576" i="6"/>
  <c r="AK578" i="6"/>
  <c r="AH566" i="6"/>
  <c r="AH567" i="6"/>
  <c r="AH568" i="6"/>
  <c r="AH569" i="6"/>
  <c r="AH570" i="6"/>
  <c r="AH571" i="6"/>
  <c r="AH572" i="6"/>
  <c r="AH573" i="6"/>
  <c r="AH574" i="6"/>
  <c r="AH575" i="6"/>
  <c r="AH576" i="6"/>
  <c r="AH577" i="6"/>
  <c r="AH578" i="6"/>
  <c r="M120" i="2"/>
  <c r="L20" i="5"/>
  <c r="I20" i="5"/>
  <c r="H182" i="2" l="1"/>
  <c r="H192" i="2"/>
  <c r="H186" i="2"/>
  <c r="H189" i="2"/>
  <c r="G192" i="2"/>
  <c r="G189" i="2"/>
  <c r="H185" i="2"/>
  <c r="H184" i="2"/>
  <c r="H183" i="2"/>
  <c r="H178" i="2"/>
  <c r="H179" i="2"/>
  <c r="P179" i="2" s="1"/>
  <c r="S179" i="2" s="1"/>
  <c r="H180" i="2"/>
  <c r="AJ65" i="6"/>
  <c r="AJ53" i="6"/>
  <c r="AJ51" i="6"/>
  <c r="AJ545" i="6"/>
  <c r="AK557" i="6"/>
  <c r="AK558" i="6"/>
  <c r="AK559" i="6"/>
  <c r="AK560" i="6"/>
  <c r="AK561" i="6"/>
  <c r="AK562" i="6"/>
  <c r="AK563" i="6"/>
  <c r="AK564" i="6"/>
  <c r="AK565" i="6"/>
  <c r="AH557" i="6"/>
  <c r="AH558" i="6"/>
  <c r="AH559" i="6"/>
  <c r="AH560" i="6"/>
  <c r="AH561" i="6"/>
  <c r="AH562" i="6"/>
  <c r="AH563" i="6"/>
  <c r="AH564" i="6"/>
  <c r="AH565" i="6"/>
  <c r="P178" i="2" l="1"/>
  <c r="S178" i="2" s="1"/>
  <c r="M123" i="2"/>
  <c r="Z175" i="2"/>
  <c r="G175" i="2" s="1"/>
  <c r="P177" i="2"/>
  <c r="S177" i="2" s="1"/>
  <c r="Q176" i="2"/>
  <c r="P176" i="2"/>
  <c r="S176" i="2" s="1"/>
  <c r="M176" i="2"/>
  <c r="K176" i="2"/>
  <c r="K177" i="2" s="1"/>
  <c r="J176" i="2"/>
  <c r="J177" i="2" s="1"/>
  <c r="E176" i="2"/>
  <c r="E177" i="2" s="1"/>
  <c r="D176" i="2"/>
  <c r="D177" i="2" s="1"/>
  <c r="AG175" i="2"/>
  <c r="G177" i="2" s="1"/>
  <c r="Q175" i="2"/>
  <c r="M175" i="2"/>
  <c r="Z172" i="2"/>
  <c r="G172" i="2" s="1"/>
  <c r="S174" i="2"/>
  <c r="S173" i="2"/>
  <c r="K173" i="2"/>
  <c r="K174" i="2" s="1"/>
  <c r="J173" i="2"/>
  <c r="J174" i="2" s="1"/>
  <c r="E173" i="2"/>
  <c r="E174" i="2" s="1"/>
  <c r="D173" i="2"/>
  <c r="D174" i="2" s="1"/>
  <c r="AG172" i="2"/>
  <c r="G174" i="2" s="1"/>
  <c r="AJ341" i="6"/>
  <c r="AJ311" i="6"/>
  <c r="AJ387" i="6"/>
  <c r="AJ523" i="6"/>
  <c r="AJ509" i="6"/>
  <c r="AJ92" i="6"/>
  <c r="AJ315" i="6"/>
  <c r="AJ110" i="6"/>
  <c r="AJ391" i="6"/>
  <c r="AJ530" i="6"/>
  <c r="AJ529" i="6"/>
  <c r="AJ527" i="6"/>
  <c r="L46" i="4"/>
  <c r="L43" i="4"/>
  <c r="L49" i="4"/>
  <c r="S49" i="4"/>
  <c r="L31" i="4"/>
  <c r="AK548" i="6"/>
  <c r="AK549" i="6"/>
  <c r="AK550" i="6"/>
  <c r="AK551" i="6"/>
  <c r="AK552" i="6"/>
  <c r="AK553" i="6"/>
  <c r="AK554" i="6"/>
  <c r="AK555" i="6"/>
  <c r="AK556" i="6"/>
  <c r="AH548" i="6"/>
  <c r="AH549" i="6"/>
  <c r="AH550" i="6"/>
  <c r="AH551" i="6"/>
  <c r="AH552" i="6"/>
  <c r="AH553" i="6"/>
  <c r="AH554" i="6"/>
  <c r="AH555" i="6"/>
  <c r="AH556" i="6"/>
  <c r="AK540" i="6"/>
  <c r="AK541" i="6"/>
  <c r="AK542" i="6"/>
  <c r="AK543" i="6"/>
  <c r="AK544" i="6"/>
  <c r="AK545" i="6"/>
  <c r="AK546" i="6"/>
  <c r="AK547" i="6"/>
  <c r="AH540" i="6"/>
  <c r="AH541" i="6"/>
  <c r="AH542" i="6"/>
  <c r="AH543" i="6"/>
  <c r="AH544" i="6"/>
  <c r="AH545" i="6"/>
  <c r="AH546" i="6"/>
  <c r="AH547" i="6"/>
  <c r="AJ522" i="6"/>
  <c r="AJ198" i="6"/>
  <c r="AJ531" i="6"/>
  <c r="L88" i="4"/>
  <c r="M169" i="2"/>
  <c r="Z169" i="2"/>
  <c r="G169" i="2" s="1"/>
  <c r="H169" i="2" s="1"/>
  <c r="P169" i="2" s="1"/>
  <c r="S169" i="2" s="1"/>
  <c r="Q170" i="2"/>
  <c r="M170" i="2"/>
  <c r="K170" i="2"/>
  <c r="K171" i="2" s="1"/>
  <c r="J170" i="2"/>
  <c r="J171" i="2" s="1"/>
  <c r="E170" i="2"/>
  <c r="E171" i="2" s="1"/>
  <c r="D170" i="2"/>
  <c r="D171" i="2" s="1"/>
  <c r="AG169" i="2"/>
  <c r="G171" i="2" s="1"/>
  <c r="Q169" i="2"/>
  <c r="O94" i="4"/>
  <c r="Q94" i="4" s="1"/>
  <c r="G94" i="4"/>
  <c r="P93" i="4"/>
  <c r="O93" i="4"/>
  <c r="Q93" i="4" s="1"/>
  <c r="J93" i="4"/>
  <c r="J94" i="4" s="1"/>
  <c r="I93" i="4"/>
  <c r="I94" i="4" s="1"/>
  <c r="E93" i="4"/>
  <c r="E94" i="4" s="1"/>
  <c r="D93" i="4"/>
  <c r="D94" i="4" s="1"/>
  <c r="C93" i="4"/>
  <c r="C94" i="4" s="1"/>
  <c r="P92" i="4"/>
  <c r="O92" i="4"/>
  <c r="Q92" i="4" s="1"/>
  <c r="R89" i="2"/>
  <c r="R25" i="2"/>
  <c r="AB78" i="2"/>
  <c r="H175" i="2" l="1"/>
  <c r="P175" i="2" s="1"/>
  <c r="S175" i="2" s="1"/>
  <c r="H176" i="2"/>
  <c r="H177" i="2"/>
  <c r="H172" i="2"/>
  <c r="H174" i="2"/>
  <c r="H173" i="2"/>
  <c r="H171" i="2"/>
  <c r="H170" i="2"/>
  <c r="P170" i="2" s="1"/>
  <c r="S170" i="2" s="1"/>
  <c r="P171" i="2"/>
  <c r="S171" i="2" s="1"/>
  <c r="AJ526" i="6"/>
  <c r="AK526" i="6" s="1"/>
  <c r="AL526" i="6" s="1"/>
  <c r="AK537" i="6"/>
  <c r="AK538" i="6"/>
  <c r="AK539" i="6"/>
  <c r="AH537" i="6"/>
  <c r="AH538" i="6"/>
  <c r="AH539" i="6"/>
  <c r="AK530" i="6"/>
  <c r="AL530" i="6" s="1"/>
  <c r="AK531" i="6"/>
  <c r="AL531" i="6" s="1"/>
  <c r="AK532" i="6"/>
  <c r="AL532" i="6" s="1"/>
  <c r="AK533" i="6"/>
  <c r="AL533" i="6" s="1"/>
  <c r="AK534" i="6"/>
  <c r="AL534" i="6"/>
  <c r="AK535" i="6"/>
  <c r="AL535" i="6" s="1"/>
  <c r="AK536" i="6"/>
  <c r="AL536" i="6" s="1"/>
  <c r="AH530" i="6"/>
  <c r="AH531" i="6"/>
  <c r="AH532" i="6"/>
  <c r="AH533" i="6"/>
  <c r="AH534" i="6"/>
  <c r="AH535" i="6"/>
  <c r="AH536" i="6"/>
  <c r="L19" i="5"/>
  <c r="I19" i="5"/>
  <c r="M147" i="2"/>
  <c r="J100" i="2"/>
  <c r="AJ508" i="6"/>
  <c r="AJ499" i="6"/>
  <c r="AK515" i="6"/>
  <c r="AL515" i="6" s="1"/>
  <c r="AK516" i="6"/>
  <c r="AL516" i="6" s="1"/>
  <c r="AK517" i="6"/>
  <c r="AL517" i="6" s="1"/>
  <c r="AK518" i="6"/>
  <c r="AL518" i="6" s="1"/>
  <c r="AK519" i="6"/>
  <c r="AL519" i="6" s="1"/>
  <c r="AK520" i="6"/>
  <c r="AL520" i="6" s="1"/>
  <c r="AK521" i="6"/>
  <c r="AL521" i="6" s="1"/>
  <c r="AK522" i="6"/>
  <c r="AL522" i="6" s="1"/>
  <c r="AK523" i="6"/>
  <c r="AL523" i="6" s="1"/>
  <c r="AK524" i="6"/>
  <c r="AL524" i="6" s="1"/>
  <c r="AK525" i="6"/>
  <c r="AL525" i="6" s="1"/>
  <c r="AK527" i="6"/>
  <c r="AL527" i="6" s="1"/>
  <c r="AK528" i="6"/>
  <c r="AL528" i="6" s="1"/>
  <c r="AK529" i="6"/>
  <c r="AL529" i="6" s="1"/>
  <c r="AH515" i="6"/>
  <c r="AH516" i="6"/>
  <c r="AH517" i="6"/>
  <c r="AH518" i="6"/>
  <c r="AH519" i="6"/>
  <c r="AH520" i="6"/>
  <c r="AH521" i="6"/>
  <c r="AH522" i="6"/>
  <c r="AH523" i="6"/>
  <c r="AH524" i="6"/>
  <c r="AH525" i="6"/>
  <c r="AH526" i="6"/>
  <c r="AH527" i="6"/>
  <c r="AH528" i="6"/>
  <c r="AH529" i="6"/>
  <c r="AJ462" i="6"/>
  <c r="AJ368" i="6"/>
  <c r="AJ152" i="6"/>
  <c r="AJ115" i="6"/>
  <c r="AJ102" i="6"/>
  <c r="AJ262" i="6"/>
  <c r="AJ469" i="6"/>
  <c r="AJ362" i="6"/>
  <c r="P172" i="2" l="1"/>
  <c r="S172" i="2" s="1"/>
  <c r="AJ354" i="6"/>
  <c r="R74" i="2"/>
  <c r="R104" i="2"/>
  <c r="R83" i="2"/>
  <c r="R113" i="2"/>
  <c r="O94" i="2"/>
  <c r="AJ481" i="6"/>
  <c r="N9" i="4"/>
  <c r="AJ358" i="6"/>
  <c r="AJ488" i="6"/>
  <c r="AJ169" i="6"/>
  <c r="AJ506" i="6"/>
  <c r="AK506" i="6" s="1"/>
  <c r="AL506" i="6" s="1"/>
  <c r="AK505" i="6"/>
  <c r="AL505" i="6" s="1"/>
  <c r="AK507" i="6"/>
  <c r="AL507" i="6" s="1"/>
  <c r="AK508" i="6"/>
  <c r="AL508" i="6" s="1"/>
  <c r="AK509" i="6"/>
  <c r="AL509" i="6" s="1"/>
  <c r="AK510" i="6"/>
  <c r="AL510" i="6" s="1"/>
  <c r="AK511" i="6"/>
  <c r="AL511" i="6" s="1"/>
  <c r="AK512" i="6"/>
  <c r="AL512" i="6" s="1"/>
  <c r="AK513" i="6"/>
  <c r="AL513" i="6" s="1"/>
  <c r="AK514" i="6"/>
  <c r="AL514" i="6" s="1"/>
  <c r="AH505" i="6"/>
  <c r="AH506" i="6"/>
  <c r="AH507" i="6"/>
  <c r="AH508" i="6"/>
  <c r="AH509" i="6"/>
  <c r="AH510" i="6"/>
  <c r="AH511" i="6"/>
  <c r="AH512" i="6"/>
  <c r="AH513" i="6"/>
  <c r="AH514" i="6"/>
  <c r="J21" i="2"/>
  <c r="M22" i="2"/>
  <c r="M168" i="2"/>
  <c r="Z166" i="2"/>
  <c r="G166" i="2" s="1"/>
  <c r="Q167" i="2"/>
  <c r="P167" i="2"/>
  <c r="S167" i="2" s="1"/>
  <c r="M167" i="2"/>
  <c r="K167" i="2"/>
  <c r="K168" i="2" s="1"/>
  <c r="J167" i="2"/>
  <c r="J168" i="2" s="1"/>
  <c r="E167" i="2"/>
  <c r="E168" i="2" s="1"/>
  <c r="D167" i="2"/>
  <c r="D168" i="2" s="1"/>
  <c r="AG166" i="2"/>
  <c r="G168" i="2" s="1"/>
  <c r="Q166" i="2"/>
  <c r="L18" i="5"/>
  <c r="I18" i="5"/>
  <c r="N18" i="5" s="1"/>
  <c r="U166" i="2" l="1"/>
  <c r="V166" i="2" s="1"/>
  <c r="H168" i="2"/>
  <c r="P168" i="2" s="1"/>
  <c r="S168" i="2" s="1"/>
  <c r="P166" i="2"/>
  <c r="S166" i="2" s="1"/>
  <c r="AJ478" i="6"/>
  <c r="AJ421" i="6"/>
  <c r="AJ484" i="6"/>
  <c r="AK484" i="6" s="1"/>
  <c r="AL484" i="6" s="1"/>
  <c r="R52" i="2"/>
  <c r="AJ489" i="6"/>
  <c r="AK489" i="6" s="1"/>
  <c r="AL489" i="6" s="1"/>
  <c r="AK483" i="6"/>
  <c r="AL483" i="6" s="1"/>
  <c r="AK485" i="6"/>
  <c r="AL485" i="6" s="1"/>
  <c r="AK486" i="6"/>
  <c r="AL486" i="6" s="1"/>
  <c r="AK487" i="6"/>
  <c r="AL487" i="6" s="1"/>
  <c r="AK488" i="6"/>
  <c r="AL488" i="6" s="1"/>
  <c r="AK490" i="6"/>
  <c r="AL490" i="6" s="1"/>
  <c r="AK491" i="6"/>
  <c r="AL491" i="6" s="1"/>
  <c r="AK492" i="6"/>
  <c r="AL492" i="6" s="1"/>
  <c r="AK493" i="6"/>
  <c r="AL493" i="6" s="1"/>
  <c r="AK494" i="6"/>
  <c r="AL494" i="6" s="1"/>
  <c r="AK495" i="6"/>
  <c r="AL495" i="6" s="1"/>
  <c r="AK496" i="6"/>
  <c r="AL496" i="6" s="1"/>
  <c r="AK497" i="6"/>
  <c r="AL497" i="6" s="1"/>
  <c r="AK498" i="6"/>
  <c r="AL498" i="6" s="1"/>
  <c r="AK499" i="6"/>
  <c r="AL499" i="6" s="1"/>
  <c r="AK500" i="6"/>
  <c r="AL500" i="6" s="1"/>
  <c r="AK501" i="6"/>
  <c r="AL501" i="6" s="1"/>
  <c r="AK502" i="6"/>
  <c r="AL502" i="6" s="1"/>
  <c r="AK503" i="6"/>
  <c r="AL503" i="6" s="1"/>
  <c r="AK504" i="6"/>
  <c r="AL504" i="6" s="1"/>
  <c r="AH483" i="6"/>
  <c r="AH484" i="6"/>
  <c r="AH485" i="6"/>
  <c r="AH486" i="6"/>
  <c r="AH487" i="6"/>
  <c r="AH488" i="6"/>
  <c r="AH489" i="6"/>
  <c r="AH490" i="6"/>
  <c r="AH491" i="6"/>
  <c r="AH492" i="6"/>
  <c r="AH493" i="6"/>
  <c r="AH494" i="6"/>
  <c r="AH495" i="6"/>
  <c r="AH496" i="6"/>
  <c r="AH497" i="6"/>
  <c r="AH498" i="6"/>
  <c r="AH499" i="6"/>
  <c r="AH500" i="6"/>
  <c r="AH501" i="6"/>
  <c r="AH502" i="6"/>
  <c r="AH503" i="6"/>
  <c r="AH504" i="6"/>
  <c r="Z137" i="2"/>
  <c r="Z136" i="2"/>
  <c r="Z26" i="2"/>
  <c r="G26" i="2" s="1"/>
  <c r="Z160" i="2"/>
  <c r="Z157" i="2"/>
  <c r="AJ259" i="6"/>
  <c r="AH482" i="6"/>
  <c r="AK480" i="6"/>
  <c r="AL480" i="6" s="1"/>
  <c r="AK481" i="6"/>
  <c r="AL481" i="6" s="1"/>
  <c r="AK482" i="6"/>
  <c r="AL482" i="6" s="1"/>
  <c r="AH480" i="6"/>
  <c r="AH481" i="6"/>
  <c r="L17" i="5"/>
  <c r="I17" i="5"/>
  <c r="N17" i="5" s="1"/>
  <c r="L13" i="4"/>
  <c r="Z163" i="2"/>
  <c r="G163" i="2" s="1"/>
  <c r="H164" i="2" s="1"/>
  <c r="P165" i="2"/>
  <c r="S165" i="2" s="1"/>
  <c r="Q164" i="2"/>
  <c r="M164" i="2"/>
  <c r="K164" i="2"/>
  <c r="K165" i="2" s="1"/>
  <c r="J164" i="2"/>
  <c r="J165" i="2" s="1"/>
  <c r="E164" i="2"/>
  <c r="E165" i="2" s="1"/>
  <c r="D164" i="2"/>
  <c r="D165" i="2" s="1"/>
  <c r="AG163" i="2"/>
  <c r="G165" i="2" s="1"/>
  <c r="Q163" i="2"/>
  <c r="M163" i="2"/>
  <c r="O88" i="2"/>
  <c r="O87" i="2"/>
  <c r="AJ132" i="6"/>
  <c r="AJ95" i="6"/>
  <c r="AK8" i="6"/>
  <c r="AH8" i="6"/>
  <c r="O164" i="2" l="1"/>
  <c r="P164" i="2" s="1"/>
  <c r="S164" i="2" s="1"/>
  <c r="H165" i="2"/>
  <c r="H163" i="2"/>
  <c r="AK467" i="6"/>
  <c r="AH467" i="6"/>
  <c r="AK468" i="6"/>
  <c r="AL468" i="6" s="1"/>
  <c r="AK469" i="6"/>
  <c r="AL469" i="6" s="1"/>
  <c r="AK470" i="6"/>
  <c r="AL470" i="6" s="1"/>
  <c r="AK471" i="6"/>
  <c r="AL471" i="6" s="1"/>
  <c r="AK472" i="6"/>
  <c r="AL472" i="6" s="1"/>
  <c r="AK473" i="6"/>
  <c r="AL473" i="6" s="1"/>
  <c r="AK474" i="6"/>
  <c r="AL474" i="6" s="1"/>
  <c r="AK475" i="6"/>
  <c r="AL475" i="6" s="1"/>
  <c r="AK476" i="6"/>
  <c r="AL476" i="6" s="1"/>
  <c r="AK477" i="6"/>
  <c r="AL477" i="6" s="1"/>
  <c r="AK478" i="6"/>
  <c r="AL478" i="6" s="1"/>
  <c r="AK479" i="6"/>
  <c r="AL479" i="6" s="1"/>
  <c r="AH468" i="6"/>
  <c r="AH469" i="6"/>
  <c r="AH470" i="6"/>
  <c r="AH471" i="6"/>
  <c r="AH472" i="6"/>
  <c r="AH473" i="6"/>
  <c r="AH474" i="6"/>
  <c r="AH475" i="6"/>
  <c r="AH476" i="6"/>
  <c r="AH477" i="6"/>
  <c r="AH478" i="6"/>
  <c r="AH479" i="6"/>
  <c r="AJ101" i="6"/>
  <c r="AJ74" i="6"/>
  <c r="R110" i="2"/>
  <c r="R16" i="2"/>
  <c r="T44" i="2"/>
  <c r="P162" i="2"/>
  <c r="S162" i="2" s="1"/>
  <c r="Q161" i="2"/>
  <c r="M161" i="2"/>
  <c r="K161" i="2"/>
  <c r="K162" i="2" s="1"/>
  <c r="J161" i="2"/>
  <c r="J162" i="2" s="1"/>
  <c r="E161" i="2"/>
  <c r="E162" i="2" s="1"/>
  <c r="D161" i="2"/>
  <c r="D162" i="2" s="1"/>
  <c r="AG160" i="2"/>
  <c r="Q160" i="2"/>
  <c r="M160" i="2"/>
  <c r="G160" i="2"/>
  <c r="H160" i="2" s="1"/>
  <c r="P160" i="2" s="1"/>
  <c r="S160" i="2" s="1"/>
  <c r="P159" i="2"/>
  <c r="S159" i="2" s="1"/>
  <c r="Q158" i="2"/>
  <c r="P158" i="2"/>
  <c r="S158" i="2" s="1"/>
  <c r="M158" i="2"/>
  <c r="K158" i="2"/>
  <c r="K159" i="2" s="1"/>
  <c r="J158" i="2"/>
  <c r="J159" i="2" s="1"/>
  <c r="E158" i="2"/>
  <c r="E159" i="2" s="1"/>
  <c r="D158" i="2"/>
  <c r="D159" i="2" s="1"/>
  <c r="AG157" i="2"/>
  <c r="G159" i="2" s="1"/>
  <c r="G157" i="2"/>
  <c r="Q157" i="2"/>
  <c r="M157" i="2"/>
  <c r="O91" i="4"/>
  <c r="Q91" i="4" s="1"/>
  <c r="G91" i="4"/>
  <c r="P90" i="4"/>
  <c r="O90" i="4"/>
  <c r="Q90" i="4" s="1"/>
  <c r="J90" i="4"/>
  <c r="J91" i="4" s="1"/>
  <c r="I90" i="4"/>
  <c r="I91" i="4" s="1"/>
  <c r="E90" i="4"/>
  <c r="E91" i="4" s="1"/>
  <c r="D90" i="4"/>
  <c r="D91" i="4" s="1"/>
  <c r="C90" i="4"/>
  <c r="C91" i="4" s="1"/>
  <c r="P89" i="4"/>
  <c r="O89" i="4"/>
  <c r="Q89" i="4" s="1"/>
  <c r="C87" i="4"/>
  <c r="C88" i="4" s="1"/>
  <c r="P87" i="4"/>
  <c r="O87" i="4"/>
  <c r="Q87" i="4" s="1"/>
  <c r="J87" i="4"/>
  <c r="J88" i="4" s="1"/>
  <c r="I87" i="4"/>
  <c r="I88" i="4" s="1"/>
  <c r="E87" i="4"/>
  <c r="E88" i="4" s="1"/>
  <c r="D87" i="4"/>
  <c r="D88" i="4" s="1"/>
  <c r="P86" i="4"/>
  <c r="O86" i="4"/>
  <c r="Q86" i="4" s="1"/>
  <c r="G84" i="4"/>
  <c r="G83" i="4"/>
  <c r="L16" i="5"/>
  <c r="I16" i="5"/>
  <c r="L15" i="5"/>
  <c r="I15" i="5"/>
  <c r="N15" i="5" s="1"/>
  <c r="AJ428" i="6"/>
  <c r="AK428" i="6" s="1"/>
  <c r="AH428" i="6"/>
  <c r="O163" i="2" l="1"/>
  <c r="P163" i="2" s="1"/>
  <c r="S163" i="2" s="1"/>
  <c r="H159" i="2"/>
  <c r="H157" i="2"/>
  <c r="G85" i="4"/>
  <c r="H161" i="2"/>
  <c r="P161" i="2" s="1"/>
  <c r="S161" i="2" s="1"/>
  <c r="H162" i="2"/>
  <c r="G162" i="2"/>
  <c r="G88" i="4"/>
  <c r="O88" i="4" s="1"/>
  <c r="Q88" i="4" s="1"/>
  <c r="AJ442" i="6"/>
  <c r="AK442" i="6" s="1"/>
  <c r="AL442" i="6" s="1"/>
  <c r="AJ323" i="6"/>
  <c r="AJ349" i="6"/>
  <c r="AJ415" i="6"/>
  <c r="AK415" i="6" s="1"/>
  <c r="AL415" i="6" s="1"/>
  <c r="AJ450" i="6"/>
  <c r="AK450" i="6" s="1"/>
  <c r="AL450" i="6" s="1"/>
  <c r="AK458" i="6"/>
  <c r="AL458" i="6" s="1"/>
  <c r="AK459" i="6"/>
  <c r="AL459" i="6" s="1"/>
  <c r="AK460" i="6"/>
  <c r="AL460" i="6" s="1"/>
  <c r="AK461" i="6"/>
  <c r="AL461" i="6" s="1"/>
  <c r="AK462" i="6"/>
  <c r="AL462" i="6" s="1"/>
  <c r="AK463" i="6"/>
  <c r="AL463" i="6" s="1"/>
  <c r="AK464" i="6"/>
  <c r="AL464" i="6" s="1"/>
  <c r="AK465" i="6"/>
  <c r="AL465" i="6" s="1"/>
  <c r="AK466" i="6"/>
  <c r="AL466" i="6" s="1"/>
  <c r="AH458" i="6"/>
  <c r="AH459" i="6"/>
  <c r="AH460" i="6"/>
  <c r="AH461" i="6"/>
  <c r="AH462" i="6"/>
  <c r="AH463" i="6"/>
  <c r="AH464" i="6"/>
  <c r="AH465" i="6"/>
  <c r="AH466" i="6"/>
  <c r="AK454" i="6"/>
  <c r="AL454" i="6" s="1"/>
  <c r="AK455" i="6"/>
  <c r="AL455" i="6" s="1"/>
  <c r="AK456" i="6"/>
  <c r="AL456" i="6" s="1"/>
  <c r="AK457" i="6"/>
  <c r="AL457" i="6" s="1"/>
  <c r="AH454" i="6"/>
  <c r="AH455" i="6"/>
  <c r="AH456" i="6"/>
  <c r="AH457" i="6"/>
  <c r="Z154" i="2"/>
  <c r="G154" i="2" s="1"/>
  <c r="P156" i="2"/>
  <c r="S156" i="2" s="1"/>
  <c r="Q155" i="2"/>
  <c r="M155" i="2"/>
  <c r="K155" i="2"/>
  <c r="K156" i="2" s="1"/>
  <c r="J155" i="2"/>
  <c r="J156" i="2" s="1"/>
  <c r="E155" i="2"/>
  <c r="E156" i="2" s="1"/>
  <c r="D155" i="2"/>
  <c r="D156" i="2" s="1"/>
  <c r="AG154" i="2"/>
  <c r="G156" i="2" s="1"/>
  <c r="Q154" i="2"/>
  <c r="M154" i="2"/>
  <c r="Z32" i="2"/>
  <c r="Z151" i="2"/>
  <c r="G151" i="2" s="1"/>
  <c r="P153" i="2"/>
  <c r="S153" i="2" s="1"/>
  <c r="Q152" i="2"/>
  <c r="P152" i="2"/>
  <c r="S152" i="2" s="1"/>
  <c r="M152" i="2"/>
  <c r="K152" i="2"/>
  <c r="K153" i="2" s="1"/>
  <c r="J152" i="2"/>
  <c r="J153" i="2" s="1"/>
  <c r="E152" i="2"/>
  <c r="E153" i="2" s="1"/>
  <c r="D152" i="2"/>
  <c r="D153" i="2" s="1"/>
  <c r="AG151" i="2"/>
  <c r="G153" i="2" s="1"/>
  <c r="Q151" i="2"/>
  <c r="M151" i="2"/>
  <c r="AJ448" i="6"/>
  <c r="AK448" i="6" s="1"/>
  <c r="AL448" i="6" s="1"/>
  <c r="AK449" i="6"/>
  <c r="AL449" i="6" s="1"/>
  <c r="AK451" i="6"/>
  <c r="AL451" i="6" s="1"/>
  <c r="AK452" i="6"/>
  <c r="AL452" i="6" s="1"/>
  <c r="AK453" i="6"/>
  <c r="AL453" i="6" s="1"/>
  <c r="AH453" i="6"/>
  <c r="AH448" i="6"/>
  <c r="AH449" i="6"/>
  <c r="AH450" i="6"/>
  <c r="AH451" i="6"/>
  <c r="AH452" i="6"/>
  <c r="AK447" i="6"/>
  <c r="AL447" i="6" s="1"/>
  <c r="AH447" i="6"/>
  <c r="AJ298" i="6"/>
  <c r="AJ197" i="6"/>
  <c r="AJ139" i="6"/>
  <c r="AJ73" i="6"/>
  <c r="AJ446" i="6"/>
  <c r="AK446" i="6" s="1"/>
  <c r="AL446" i="6" s="1"/>
  <c r="AJ410" i="6"/>
  <c r="AK410" i="6" s="1"/>
  <c r="AL410" i="6" s="1"/>
  <c r="AJ420" i="6"/>
  <c r="AK420" i="6" s="1"/>
  <c r="AL420" i="6" s="1"/>
  <c r="AJ351" i="6"/>
  <c r="AJ403" i="6"/>
  <c r="AJ396" i="6"/>
  <c r="AJ417" i="6"/>
  <c r="AK417" i="6" s="1"/>
  <c r="AL417" i="6" s="1"/>
  <c r="AJ394" i="6"/>
  <c r="O36" i="2"/>
  <c r="AK408" i="6"/>
  <c r="AL408" i="6" s="1"/>
  <c r="AK409" i="6"/>
  <c r="AL409" i="6" s="1"/>
  <c r="AK411" i="6"/>
  <c r="AL411" i="6" s="1"/>
  <c r="AK412" i="6"/>
  <c r="AL412" i="6" s="1"/>
  <c r="AK413" i="6"/>
  <c r="AL413" i="6" s="1"/>
  <c r="AK414" i="6"/>
  <c r="AL414" i="6" s="1"/>
  <c r="AK416" i="6"/>
  <c r="AL416" i="6" s="1"/>
  <c r="AK418" i="6"/>
  <c r="AL418" i="6" s="1"/>
  <c r="AK419" i="6"/>
  <c r="AL419" i="6" s="1"/>
  <c r="AK421" i="6"/>
  <c r="AL421" i="6" s="1"/>
  <c r="AK422" i="6"/>
  <c r="AL422" i="6" s="1"/>
  <c r="AK423" i="6"/>
  <c r="AL423" i="6" s="1"/>
  <c r="AK424" i="6"/>
  <c r="AL424" i="6" s="1"/>
  <c r="AK425" i="6"/>
  <c r="AL425" i="6" s="1"/>
  <c r="AK426" i="6"/>
  <c r="AL426" i="6" s="1"/>
  <c r="AK427" i="6"/>
  <c r="AL427" i="6" s="1"/>
  <c r="AK429" i="6"/>
  <c r="AL429" i="6" s="1"/>
  <c r="AK430" i="6"/>
  <c r="AL430" i="6" s="1"/>
  <c r="AK431" i="6"/>
  <c r="AL431" i="6" s="1"/>
  <c r="AK432" i="6"/>
  <c r="AL432" i="6" s="1"/>
  <c r="AK433" i="6"/>
  <c r="AL433" i="6" s="1"/>
  <c r="AK434" i="6"/>
  <c r="AL434" i="6" s="1"/>
  <c r="AK435" i="6"/>
  <c r="AL435" i="6" s="1"/>
  <c r="AK436" i="6"/>
  <c r="AL436" i="6" s="1"/>
  <c r="AK437" i="6"/>
  <c r="AL437" i="6" s="1"/>
  <c r="AK438" i="6"/>
  <c r="AL438" i="6" s="1"/>
  <c r="AK439" i="6"/>
  <c r="AL439" i="6" s="1"/>
  <c r="AK440" i="6"/>
  <c r="AL440" i="6" s="1"/>
  <c r="AK441" i="6"/>
  <c r="AL441" i="6" s="1"/>
  <c r="AK443" i="6"/>
  <c r="AL443" i="6" s="1"/>
  <c r="AK444" i="6"/>
  <c r="AL444" i="6" s="1"/>
  <c r="AK445" i="6"/>
  <c r="AL445" i="6" s="1"/>
  <c r="AH408" i="6"/>
  <c r="AH409" i="6"/>
  <c r="AH410" i="6"/>
  <c r="AH411" i="6"/>
  <c r="AH412" i="6"/>
  <c r="AH413" i="6"/>
  <c r="AH414" i="6"/>
  <c r="AH415" i="6"/>
  <c r="AH416" i="6"/>
  <c r="AH417" i="6"/>
  <c r="AH418" i="6"/>
  <c r="AH419" i="6"/>
  <c r="AH420" i="6"/>
  <c r="AH421" i="6"/>
  <c r="AH422" i="6"/>
  <c r="AH423" i="6"/>
  <c r="AH424" i="6"/>
  <c r="AH425" i="6"/>
  <c r="AH426" i="6"/>
  <c r="AH427" i="6"/>
  <c r="AH429" i="6"/>
  <c r="AH430" i="6"/>
  <c r="AH431" i="6"/>
  <c r="AH432" i="6"/>
  <c r="AH433" i="6"/>
  <c r="AH434" i="6"/>
  <c r="AH435" i="6"/>
  <c r="AH436" i="6"/>
  <c r="AH437" i="6"/>
  <c r="AH438" i="6"/>
  <c r="AH439" i="6"/>
  <c r="AH440" i="6"/>
  <c r="AH441" i="6"/>
  <c r="AH442" i="6"/>
  <c r="AH443" i="6"/>
  <c r="AH444" i="6"/>
  <c r="AH445" i="6"/>
  <c r="AH446" i="6"/>
  <c r="L24" i="4"/>
  <c r="L23" i="4"/>
  <c r="L22" i="4"/>
  <c r="M13" i="2"/>
  <c r="M97" i="2"/>
  <c r="Q149" i="2"/>
  <c r="Z148" i="2"/>
  <c r="G148" i="2" s="1"/>
  <c r="P150" i="2"/>
  <c r="S150" i="2" s="1"/>
  <c r="M149" i="2"/>
  <c r="K149" i="2"/>
  <c r="K150" i="2" s="1"/>
  <c r="J149" i="2"/>
  <c r="J150" i="2" s="1"/>
  <c r="E149" i="2"/>
  <c r="E150" i="2" s="1"/>
  <c r="D149" i="2"/>
  <c r="D150" i="2" s="1"/>
  <c r="AG148" i="2"/>
  <c r="G150" i="2" s="1"/>
  <c r="Q148" i="2"/>
  <c r="M148" i="2"/>
  <c r="J146" i="2"/>
  <c r="J147" i="2" s="1"/>
  <c r="D28" i="1"/>
  <c r="O76" i="2"/>
  <c r="O75" i="2"/>
  <c r="Z124" i="2"/>
  <c r="Q146" i="2"/>
  <c r="P146" i="2"/>
  <c r="S146" i="2" s="1"/>
  <c r="M146" i="2"/>
  <c r="K146" i="2"/>
  <c r="K147" i="2" s="1"/>
  <c r="E146" i="2"/>
  <c r="E147" i="2" s="1"/>
  <c r="D146" i="2"/>
  <c r="D147" i="2" s="1"/>
  <c r="AG145" i="2"/>
  <c r="Q145" i="2"/>
  <c r="M145" i="2"/>
  <c r="G145" i="2"/>
  <c r="H145" i="2" s="1"/>
  <c r="O145" i="2" s="1"/>
  <c r="O157" i="2" l="1"/>
  <c r="P157" i="2" s="1"/>
  <c r="S157" i="2" s="1"/>
  <c r="H154" i="2"/>
  <c r="H155" i="2"/>
  <c r="P155" i="2" s="1"/>
  <c r="S155" i="2" s="1"/>
  <c r="H156" i="2"/>
  <c r="H151" i="2"/>
  <c r="P151" i="2" s="1"/>
  <c r="S151" i="2" s="1"/>
  <c r="H152" i="2"/>
  <c r="H153" i="2"/>
  <c r="P145" i="2"/>
  <c r="S145" i="2" s="1"/>
  <c r="H148" i="2"/>
  <c r="H149" i="2"/>
  <c r="P149" i="2" s="1"/>
  <c r="S149" i="2" s="1"/>
  <c r="H150" i="2"/>
  <c r="H147" i="2"/>
  <c r="P147" i="2" s="1"/>
  <c r="S147" i="2" s="1"/>
  <c r="G147" i="2"/>
  <c r="O148" i="2" l="1"/>
  <c r="P148" i="2" s="1"/>
  <c r="S148" i="2" s="1"/>
  <c r="O154" i="2"/>
  <c r="P154" i="2" s="1"/>
  <c r="S154" i="2" s="1"/>
  <c r="O39" i="1"/>
  <c r="N39" i="1"/>
  <c r="M39" i="1"/>
  <c r="L39" i="1"/>
  <c r="K39" i="1"/>
  <c r="J39" i="1"/>
  <c r="I39" i="1"/>
  <c r="H39" i="1"/>
  <c r="G39" i="1"/>
  <c r="F39" i="1"/>
  <c r="E39" i="1"/>
  <c r="D39" i="1"/>
  <c r="F28" i="1"/>
  <c r="E28" i="1"/>
  <c r="P17" i="1"/>
  <c r="O17" i="1"/>
  <c r="N17" i="1"/>
  <c r="M17" i="1"/>
  <c r="L17" i="1"/>
  <c r="K17" i="1"/>
  <c r="AJ186" i="6"/>
  <c r="AJ178" i="6"/>
  <c r="AJ123" i="6"/>
  <c r="AJ301" i="6"/>
  <c r="O67" i="2"/>
  <c r="AJ375" i="6"/>
  <c r="AJ46" i="6"/>
  <c r="AJ292" i="6"/>
  <c r="AJ383" i="6"/>
  <c r="AJ227" i="6"/>
  <c r="AJ376" i="6"/>
  <c r="AJ329" i="6"/>
  <c r="AJ379" i="6"/>
  <c r="AJ269" i="6"/>
  <c r="AJ185" i="6"/>
  <c r="AJ144" i="6"/>
  <c r="AJ135" i="6"/>
  <c r="N8" i="4"/>
  <c r="AJ33" i="6"/>
  <c r="AJ29" i="6"/>
  <c r="AJ30" i="6"/>
  <c r="AJ27" i="6"/>
  <c r="AJ25" i="6"/>
  <c r="AJ233" i="6"/>
  <c r="AJ116" i="6"/>
  <c r="AJ99" i="6"/>
  <c r="AJ407" i="6"/>
  <c r="AJ276" i="6"/>
  <c r="AJ332" i="6"/>
  <c r="AJ76" i="6"/>
  <c r="AJ388" i="6"/>
  <c r="AJ380" i="6"/>
  <c r="AJ365" i="6"/>
  <c r="AJ347" i="6"/>
  <c r="AJ193" i="6"/>
  <c r="AJ122" i="6"/>
  <c r="AJ216" i="6"/>
  <c r="AJ181" i="6"/>
  <c r="AJ235" i="6"/>
  <c r="AJ268" i="6"/>
  <c r="AJ345" i="6"/>
  <c r="AK400" i="6" l="1"/>
  <c r="AL400" i="6" s="1"/>
  <c r="AK401" i="6"/>
  <c r="AL401" i="6" s="1"/>
  <c r="AK402" i="6"/>
  <c r="AL402" i="6" s="1"/>
  <c r="AK403" i="6"/>
  <c r="AL403" i="6" s="1"/>
  <c r="AK404" i="6"/>
  <c r="AL404" i="6" s="1"/>
  <c r="AK405" i="6"/>
  <c r="AL405" i="6" s="1"/>
  <c r="AK406" i="6"/>
  <c r="AL406" i="6" s="1"/>
  <c r="AK407" i="6"/>
  <c r="AL407" i="6" s="1"/>
  <c r="AH400" i="6"/>
  <c r="AH401" i="6"/>
  <c r="AH402" i="6"/>
  <c r="AH403" i="6"/>
  <c r="AH404" i="6"/>
  <c r="AH405" i="6"/>
  <c r="AH406" i="6"/>
  <c r="AH407" i="6"/>
  <c r="Z130" i="2"/>
  <c r="Z142" i="2"/>
  <c r="AE53" i="2"/>
  <c r="AE44" i="2" l="1"/>
  <c r="G14" i="2" l="1"/>
  <c r="G206" i="7"/>
  <c r="H206" i="7" s="1"/>
  <c r="G205" i="7"/>
  <c r="H205" i="7" s="1"/>
  <c r="G204" i="7"/>
  <c r="H204" i="7" s="1"/>
  <c r="G203" i="7"/>
  <c r="H203" i="7" s="1"/>
  <c r="G202" i="7"/>
  <c r="H202" i="7" s="1"/>
  <c r="G201" i="7"/>
  <c r="H201" i="7" s="1"/>
  <c r="G200" i="7"/>
  <c r="H200" i="7" s="1"/>
  <c r="G199" i="7"/>
  <c r="H199" i="7" s="1"/>
  <c r="G198" i="7"/>
  <c r="H198" i="7" s="1"/>
  <c r="G197" i="7"/>
  <c r="H197" i="7" s="1"/>
  <c r="G196" i="7"/>
  <c r="H196" i="7" s="1"/>
  <c r="G195" i="7"/>
  <c r="H195" i="7" s="1"/>
  <c r="G194" i="7"/>
  <c r="H194" i="7" s="1"/>
  <c r="G193" i="7"/>
  <c r="H193" i="7" s="1"/>
  <c r="G192" i="7"/>
  <c r="H192" i="7" s="1"/>
  <c r="G191" i="7"/>
  <c r="H191" i="7" s="1"/>
  <c r="G190" i="7"/>
  <c r="H190" i="7" s="1"/>
  <c r="G189" i="7"/>
  <c r="H189" i="7" s="1"/>
  <c r="G188" i="7"/>
  <c r="H188" i="7" s="1"/>
  <c r="G187" i="7"/>
  <c r="H187" i="7" s="1"/>
  <c r="G186" i="7"/>
  <c r="H186" i="7" s="1"/>
  <c r="G185" i="7"/>
  <c r="H185" i="7" s="1"/>
  <c r="G184" i="7"/>
  <c r="H184" i="7" s="1"/>
  <c r="G183" i="7"/>
  <c r="H183" i="7" s="1"/>
  <c r="G182" i="7"/>
  <c r="H182" i="7" s="1"/>
  <c r="G181" i="7"/>
  <c r="H181" i="7" s="1"/>
  <c r="G180" i="7"/>
  <c r="H180" i="7" s="1"/>
  <c r="G179" i="7"/>
  <c r="H179" i="7" s="1"/>
  <c r="F179" i="7"/>
  <c r="G178" i="7"/>
  <c r="H178" i="7" s="1"/>
  <c r="G177" i="7"/>
  <c r="H177" i="7" s="1"/>
  <c r="G176" i="7"/>
  <c r="H176" i="7" s="1"/>
  <c r="G175" i="7"/>
  <c r="H175" i="7" s="1"/>
  <c r="G174" i="7"/>
  <c r="H174" i="7" s="1"/>
  <c r="G173" i="7"/>
  <c r="H173" i="7" s="1"/>
  <c r="G172" i="7"/>
  <c r="H172" i="7" s="1"/>
  <c r="G171" i="7"/>
  <c r="H171" i="7" s="1"/>
  <c r="AJ160" i="6" l="1"/>
  <c r="AJ89" i="6"/>
  <c r="AJ60" i="6"/>
  <c r="AJ47" i="6"/>
  <c r="AJ271" i="6"/>
  <c r="AJ194" i="6"/>
  <c r="AJ180" i="6"/>
  <c r="AJ179" i="6"/>
  <c r="AJ177" i="6"/>
  <c r="AJ175" i="6"/>
  <c r="AJ172" i="6"/>
  <c r="AJ167" i="6"/>
  <c r="AJ166" i="6"/>
  <c r="AJ158" i="6"/>
  <c r="AJ137" i="6"/>
  <c r="AJ130" i="6"/>
  <c r="AJ127" i="6"/>
  <c r="AJ119" i="6"/>
  <c r="AJ118" i="6"/>
  <c r="AJ117" i="6"/>
  <c r="AJ113" i="6"/>
  <c r="AJ112" i="6"/>
  <c r="AJ63" i="6"/>
  <c r="O3" i="2" l="1"/>
  <c r="AJ353" i="6"/>
  <c r="AJ389" i="6"/>
  <c r="AK393" i="6" l="1"/>
  <c r="AL393" i="6" s="1"/>
  <c r="AK394" i="6"/>
  <c r="AL394" i="6" s="1"/>
  <c r="AK395" i="6"/>
  <c r="AL395" i="6" s="1"/>
  <c r="AK396" i="6"/>
  <c r="AL396" i="6" s="1"/>
  <c r="AK397" i="6"/>
  <c r="AL397" i="6" s="1"/>
  <c r="AK398" i="6"/>
  <c r="AL398" i="6" s="1"/>
  <c r="AK399" i="6"/>
  <c r="AL399" i="6" s="1"/>
  <c r="AH393" i="6"/>
  <c r="AH394" i="6"/>
  <c r="AH395" i="6"/>
  <c r="AH396" i="6"/>
  <c r="AH397" i="6"/>
  <c r="AH398" i="6"/>
  <c r="AH399" i="6"/>
  <c r="M10" i="2"/>
  <c r="M94" i="2"/>
  <c r="S5" i="2" l="1"/>
  <c r="S6" i="2"/>
  <c r="T7" i="4"/>
  <c r="T4" i="4"/>
  <c r="L14" i="5" l="1"/>
  <c r="I14" i="5"/>
  <c r="N14" i="5" s="1"/>
  <c r="O24" i="5"/>
  <c r="P24" i="5" s="1"/>
  <c r="O23" i="5"/>
  <c r="P23" i="5" s="1"/>
  <c r="O22" i="5"/>
  <c r="P22" i="5" s="1"/>
  <c r="O21" i="5"/>
  <c r="P21" i="5" s="1"/>
  <c r="O20" i="5"/>
  <c r="P20" i="5" s="1"/>
  <c r="O19" i="5"/>
  <c r="P19" i="5" s="1"/>
  <c r="O18" i="5"/>
  <c r="P18" i="5" s="1"/>
  <c r="O17" i="5"/>
  <c r="P17" i="5" s="1"/>
  <c r="O16" i="5"/>
  <c r="P16" i="5" s="1"/>
  <c r="O15" i="5"/>
  <c r="L13" i="5"/>
  <c r="L12" i="5"/>
  <c r="L11" i="5"/>
  <c r="L10" i="5"/>
  <c r="L9" i="5"/>
  <c r="L8" i="5"/>
  <c r="L7" i="5"/>
  <c r="L6" i="5"/>
  <c r="L5" i="5"/>
  <c r="L4" i="5"/>
  <c r="L3" i="5"/>
  <c r="L2" i="5"/>
  <c r="O84" i="4"/>
  <c r="Q84" i="4" s="1"/>
  <c r="O83" i="4"/>
  <c r="Q83" i="4" s="1"/>
  <c r="O82" i="4"/>
  <c r="Q82" i="4" s="1"/>
  <c r="O81" i="4"/>
  <c r="Q81" i="4" s="1"/>
  <c r="O80" i="4"/>
  <c r="Q80" i="4" s="1"/>
  <c r="O79" i="4"/>
  <c r="Q79" i="4" s="1"/>
  <c r="O78" i="4"/>
  <c r="Q78" i="4" s="1"/>
  <c r="O77" i="4"/>
  <c r="Q77" i="4" s="1"/>
  <c r="O76" i="4"/>
  <c r="Q76" i="4" s="1"/>
  <c r="O75" i="4"/>
  <c r="Q75" i="4" s="1"/>
  <c r="O74" i="4"/>
  <c r="Q74" i="4" s="1"/>
  <c r="O73" i="4"/>
  <c r="Q73" i="4" s="1"/>
  <c r="O72" i="4"/>
  <c r="Q72" i="4" s="1"/>
  <c r="O71" i="4"/>
  <c r="Q71" i="4" s="1"/>
  <c r="O70" i="4"/>
  <c r="Q70" i="4" s="1"/>
  <c r="O69" i="4"/>
  <c r="Q69" i="4" s="1"/>
  <c r="O68" i="4"/>
  <c r="Q68" i="4" s="1"/>
  <c r="O67" i="4"/>
  <c r="Q67" i="4" s="1"/>
  <c r="O66" i="4"/>
  <c r="Q66" i="4" s="1"/>
  <c r="O65" i="4"/>
  <c r="Q65" i="4" s="1"/>
  <c r="O64" i="4"/>
  <c r="Q64" i="4" s="1"/>
  <c r="O63" i="4"/>
  <c r="Q63" i="4" s="1"/>
  <c r="O62" i="4"/>
  <c r="Q62" i="4" s="1"/>
  <c r="O61" i="4"/>
  <c r="Q61" i="4" s="1"/>
  <c r="O60" i="4"/>
  <c r="Q60" i="4" s="1"/>
  <c r="O59" i="4"/>
  <c r="Q59" i="4" s="1"/>
  <c r="O58" i="4"/>
  <c r="Q58" i="4" s="1"/>
  <c r="O57" i="4"/>
  <c r="Q57" i="4" s="1"/>
  <c r="O56" i="4"/>
  <c r="Q56" i="4" s="1"/>
  <c r="O55" i="4"/>
  <c r="Q55" i="4" s="1"/>
  <c r="O54" i="4"/>
  <c r="Q54" i="4" s="1"/>
  <c r="O53" i="4"/>
  <c r="Q53" i="4" s="1"/>
  <c r="O52" i="4"/>
  <c r="Q52" i="4" s="1"/>
  <c r="O51" i="4"/>
  <c r="Q51" i="4" s="1"/>
  <c r="O50" i="4"/>
  <c r="Q50" i="4" s="1"/>
  <c r="O48" i="4"/>
  <c r="Q48" i="4" s="1"/>
  <c r="O47" i="4"/>
  <c r="Q47" i="4" s="1"/>
  <c r="O45" i="4"/>
  <c r="Q45" i="4" s="1"/>
  <c r="O44" i="4"/>
  <c r="Q44" i="4" s="1"/>
  <c r="O42" i="4"/>
  <c r="Q42" i="4" s="1"/>
  <c r="O41" i="4"/>
  <c r="Q41" i="4" s="1"/>
  <c r="O40" i="4"/>
  <c r="Q40" i="4" s="1"/>
  <c r="O39" i="4"/>
  <c r="Q39" i="4" s="1"/>
  <c r="O38" i="4"/>
  <c r="Q38" i="4" s="1"/>
  <c r="O37" i="4"/>
  <c r="Q37" i="4" s="1"/>
  <c r="O36" i="4"/>
  <c r="Q36" i="4" s="1"/>
  <c r="O35" i="4"/>
  <c r="Q35" i="4" s="1"/>
  <c r="O34" i="4"/>
  <c r="Q34" i="4" s="1"/>
  <c r="O33" i="4"/>
  <c r="Q33" i="4" s="1"/>
  <c r="O32" i="4"/>
  <c r="Q32" i="4" s="1"/>
  <c r="O30" i="4"/>
  <c r="Q30" i="4" s="1"/>
  <c r="O29" i="4"/>
  <c r="Q29" i="4" s="1"/>
  <c r="O28" i="4"/>
  <c r="Q28" i="4" s="1"/>
  <c r="O27" i="4"/>
  <c r="Q27" i="4" s="1"/>
  <c r="O26" i="4"/>
  <c r="Q26" i="4" s="1"/>
  <c r="O25" i="4"/>
  <c r="Q25" i="4" s="1"/>
  <c r="O21" i="4"/>
  <c r="Q21" i="4" s="1"/>
  <c r="O20" i="4"/>
  <c r="Q20" i="4" s="1"/>
  <c r="O19" i="4"/>
  <c r="Q19" i="4" s="1"/>
  <c r="O18" i="4"/>
  <c r="Q18" i="4" s="1"/>
  <c r="O17" i="4"/>
  <c r="Q17" i="4" s="1"/>
  <c r="O16" i="4"/>
  <c r="Q16" i="4" s="1"/>
  <c r="O15" i="4"/>
  <c r="Q15" i="4" s="1"/>
  <c r="O14" i="4"/>
  <c r="Q14" i="4" s="1"/>
  <c r="O12" i="4"/>
  <c r="Q12" i="4" s="1"/>
  <c r="M142" i="2"/>
  <c r="P141" i="2"/>
  <c r="S141" i="2" s="1"/>
  <c r="P140" i="2"/>
  <c r="S140" i="2" s="1"/>
  <c r="M140" i="2"/>
  <c r="P139" i="2"/>
  <c r="S139" i="2" s="1"/>
  <c r="M139" i="2"/>
  <c r="P138" i="2"/>
  <c r="S138" i="2" s="1"/>
  <c r="P137" i="2"/>
  <c r="S137" i="2" s="1"/>
  <c r="M137" i="2"/>
  <c r="M136" i="2"/>
  <c r="P135" i="2"/>
  <c r="S135" i="2" s="1"/>
  <c r="P134" i="2"/>
  <c r="S134" i="2" s="1"/>
  <c r="M134" i="2"/>
  <c r="P133" i="2"/>
  <c r="S133" i="2" s="1"/>
  <c r="M133" i="2"/>
  <c r="P132" i="2"/>
  <c r="S132" i="2" s="1"/>
  <c r="P131" i="2"/>
  <c r="S131" i="2" s="1"/>
  <c r="M131" i="2"/>
  <c r="M130" i="2"/>
  <c r="P129" i="2"/>
  <c r="S129" i="2" s="1"/>
  <c r="M128" i="2"/>
  <c r="M127" i="2"/>
  <c r="P126" i="2"/>
  <c r="S126" i="2" s="1"/>
  <c r="M125" i="2"/>
  <c r="M124" i="2"/>
  <c r="M122" i="2"/>
  <c r="M121" i="2"/>
  <c r="M119" i="2"/>
  <c r="M118" i="2"/>
  <c r="P117" i="2"/>
  <c r="S117" i="2" s="1"/>
  <c r="M114" i="2"/>
  <c r="M113" i="2"/>
  <c r="M112" i="2"/>
  <c r="M111" i="2"/>
  <c r="M108" i="2"/>
  <c r="M107" i="2"/>
  <c r="M106" i="2"/>
  <c r="M105" i="2"/>
  <c r="M96" i="2"/>
  <c r="P95" i="2"/>
  <c r="S95" i="2" s="1"/>
  <c r="M95" i="2"/>
  <c r="P94" i="2"/>
  <c r="S94" i="2" s="1"/>
  <c r="M93" i="2"/>
  <c r="M92" i="2"/>
  <c r="M91" i="2"/>
  <c r="M90" i="2"/>
  <c r="M78" i="2"/>
  <c r="P77" i="2"/>
  <c r="S77" i="2" s="1"/>
  <c r="M77" i="2"/>
  <c r="M76" i="2"/>
  <c r="M75" i="2"/>
  <c r="M59" i="2"/>
  <c r="P58" i="2"/>
  <c r="S58" i="2" s="1"/>
  <c r="M58" i="2"/>
  <c r="M57" i="2"/>
  <c r="M56" i="2"/>
  <c r="M23" i="2"/>
  <c r="M21" i="2"/>
  <c r="M20" i="2"/>
  <c r="P15" i="2"/>
  <c r="S15" i="2" s="1"/>
  <c r="M12" i="2"/>
  <c r="M9" i="2"/>
  <c r="M7" i="2"/>
  <c r="B5" i="2"/>
  <c r="P3" i="2"/>
  <c r="S3" i="2" s="1"/>
  <c r="M19" i="2"/>
  <c r="P18" i="2"/>
  <c r="S18" i="2" s="1"/>
  <c r="P17" i="2"/>
  <c r="S17" i="2" s="1"/>
  <c r="M25" i="2"/>
  <c r="M24" i="2"/>
  <c r="M26" i="2"/>
  <c r="M27" i="2"/>
  <c r="P28" i="2"/>
  <c r="S28" i="2" s="1"/>
  <c r="M28" i="2"/>
  <c r="P29" i="2"/>
  <c r="S29" i="2" s="1"/>
  <c r="M29" i="2"/>
  <c r="P30" i="2"/>
  <c r="S30" i="2" s="1"/>
  <c r="M30" i="2"/>
  <c r="P31" i="2"/>
  <c r="S31" i="2" s="1"/>
  <c r="M31" i="2"/>
  <c r="M32" i="2"/>
  <c r="M33" i="2"/>
  <c r="P34" i="2"/>
  <c r="S34" i="2" s="1"/>
  <c r="M34" i="2"/>
  <c r="M35" i="2"/>
  <c r="M36" i="2"/>
  <c r="M37" i="2"/>
  <c r="M38" i="2"/>
  <c r="P39" i="2"/>
  <c r="S39" i="2" s="1"/>
  <c r="M39" i="2"/>
  <c r="M40" i="2"/>
  <c r="M41" i="2"/>
  <c r="M42" i="2"/>
  <c r="M43" i="2"/>
  <c r="M44" i="2"/>
  <c r="M46" i="2"/>
  <c r="M45" i="2"/>
  <c r="M49" i="2"/>
  <c r="M48" i="2"/>
  <c r="M47" i="2"/>
  <c r="M52" i="2"/>
  <c r="M51" i="2"/>
  <c r="M50" i="2"/>
  <c r="M55" i="2"/>
  <c r="M54" i="2"/>
  <c r="M53" i="2"/>
  <c r="P62" i="2"/>
  <c r="S62" i="2" s="1"/>
  <c r="M62" i="2"/>
  <c r="P61" i="2"/>
  <c r="S61" i="2" s="1"/>
  <c r="M60" i="2"/>
  <c r="M65" i="2"/>
  <c r="M64" i="2"/>
  <c r="M63" i="2"/>
  <c r="M68" i="2"/>
  <c r="M67" i="2"/>
  <c r="M66" i="2"/>
  <c r="M71" i="2"/>
  <c r="P70" i="2"/>
  <c r="S70" i="2" s="1"/>
  <c r="M70" i="2"/>
  <c r="M69" i="2"/>
  <c r="M74" i="2"/>
  <c r="M73" i="2"/>
  <c r="M72" i="2"/>
  <c r="P79" i="2"/>
  <c r="S79" i="2" s="1"/>
  <c r="M83" i="2"/>
  <c r="M82" i="2"/>
  <c r="M81" i="2"/>
  <c r="M86" i="2"/>
  <c r="M85" i="2"/>
  <c r="M84" i="2"/>
  <c r="M89" i="2"/>
  <c r="P88" i="2"/>
  <c r="S88" i="2" s="1"/>
  <c r="M88" i="2"/>
  <c r="P87" i="2"/>
  <c r="S87" i="2" s="1"/>
  <c r="M87" i="2"/>
  <c r="P98" i="2"/>
  <c r="S98" i="2" s="1"/>
  <c r="M98" i="2"/>
  <c r="M101" i="2"/>
  <c r="M100" i="2"/>
  <c r="M99" i="2"/>
  <c r="M104" i="2"/>
  <c r="M103" i="2"/>
  <c r="M102" i="2"/>
  <c r="M110" i="2"/>
  <c r="P109" i="2"/>
  <c r="S109" i="2" s="1"/>
  <c r="P108" i="2"/>
  <c r="S108" i="2" s="1"/>
  <c r="P144" i="2"/>
  <c r="S144" i="2" s="1"/>
  <c r="M143" i="2"/>
  <c r="L4" i="4"/>
  <c r="L3" i="4"/>
  <c r="B3" i="4"/>
  <c r="L2" i="4"/>
  <c r="L5" i="4"/>
  <c r="O6" i="4"/>
  <c r="Q6" i="4" s="1"/>
  <c r="L10" i="4"/>
  <c r="O9" i="4"/>
  <c r="Q9" i="4" s="1"/>
  <c r="L9" i="4"/>
  <c r="O8" i="4"/>
  <c r="Q8" i="4" s="1"/>
  <c r="L8" i="4"/>
  <c r="O7" i="4"/>
  <c r="Q7" i="4" s="1"/>
  <c r="O85" i="4"/>
  <c r="Q85" i="4" s="1"/>
  <c r="O25" i="5"/>
  <c r="P25" i="5" s="1"/>
  <c r="AH361" i="6"/>
  <c r="AH344" i="6"/>
  <c r="AH339" i="6"/>
  <c r="AH303" i="6"/>
  <c r="AH277" i="6"/>
  <c r="AH243" i="6"/>
  <c r="AH229" i="6"/>
  <c r="AH225" i="6"/>
  <c r="AH182" i="6"/>
  <c r="O14" i="5" l="1"/>
  <c r="P14" i="5" s="1"/>
  <c r="P15" i="5"/>
  <c r="B4" i="4"/>
  <c r="B5" i="4" s="1"/>
  <c r="B6" i="4" s="1"/>
  <c r="B7" i="4" s="1"/>
  <c r="B8" i="4" s="1"/>
  <c r="B9" i="4" s="1"/>
  <c r="B10" i="4" s="1"/>
  <c r="B11" i="4" s="1"/>
  <c r="B12" i="4" s="1"/>
  <c r="B13" i="4" s="1"/>
  <c r="B14" i="4" s="1"/>
  <c r="B15" i="4" s="1"/>
  <c r="B16" i="4" s="1"/>
  <c r="B17" i="4" s="1"/>
  <c r="B18" i="4" s="1"/>
  <c r="B19" i="4" s="1"/>
  <c r="B20" i="4" s="1"/>
  <c r="B21" i="4" s="1"/>
  <c r="B22" i="4" s="1"/>
  <c r="B23" i="4" s="1"/>
  <c r="B24" i="4" s="1"/>
  <c r="B25" i="4" s="1"/>
  <c r="B26" i="4" s="1"/>
  <c r="B27" i="4" s="1"/>
  <c r="B28" i="4" s="1"/>
  <c r="B29" i="4" s="1"/>
  <c r="B30" i="4" s="1"/>
  <c r="B31" i="4" s="1"/>
  <c r="B32" i="4" s="1"/>
  <c r="B33" i="4" s="1"/>
  <c r="B34" i="4" s="1"/>
  <c r="B35" i="4" s="1"/>
  <c r="B36" i="4" s="1"/>
  <c r="B37" i="4" s="1"/>
  <c r="B38" i="4" s="1"/>
  <c r="B39" i="4" s="1"/>
  <c r="B40" i="4" s="1"/>
  <c r="B41" i="4" s="1"/>
  <c r="B42" i="4" s="1"/>
  <c r="B43" i="4" s="1"/>
  <c r="B44" i="4" s="1"/>
  <c r="B45" i="4" s="1"/>
  <c r="B46" i="4" s="1"/>
  <c r="B47" i="4" s="1"/>
  <c r="B48" i="4" s="1"/>
  <c r="B49" i="4" s="1"/>
  <c r="B50" i="4" s="1"/>
  <c r="B51" i="4" s="1"/>
  <c r="B52" i="4" s="1"/>
  <c r="B53" i="4" s="1"/>
  <c r="B54" i="4" s="1"/>
  <c r="B55" i="4" s="1"/>
  <c r="B56" i="4" s="1"/>
  <c r="B57" i="4" s="1"/>
  <c r="B58" i="4" s="1"/>
  <c r="B59" i="4" s="1"/>
  <c r="B60" i="4" s="1"/>
  <c r="B61" i="4" s="1"/>
  <c r="B62" i="4" s="1"/>
  <c r="B63" i="4" s="1"/>
  <c r="B64" i="4" s="1"/>
  <c r="B65" i="4" s="1"/>
  <c r="B66" i="4" s="1"/>
  <c r="B67" i="4" s="1"/>
  <c r="B68" i="4" s="1"/>
  <c r="B69" i="4" s="1"/>
  <c r="B70" i="4" s="1"/>
  <c r="B71" i="4" s="1"/>
  <c r="B72" i="4" s="1"/>
  <c r="B73" i="4" s="1"/>
  <c r="B74" i="4" s="1"/>
  <c r="B75" i="4" s="1"/>
  <c r="B76" i="4" s="1"/>
  <c r="B77" i="4" s="1"/>
  <c r="B78" i="4" s="1"/>
  <c r="B79" i="4" s="1"/>
  <c r="B80" i="4" s="1"/>
  <c r="B81" i="4" s="1"/>
  <c r="B82" i="4" s="1"/>
  <c r="B83" i="4" s="1"/>
  <c r="B84" i="4" s="1"/>
  <c r="B85" i="4" s="1"/>
  <c r="B86" i="4" s="1"/>
  <c r="B87" i="4" s="1"/>
  <c r="B88" i="4" s="1"/>
  <c r="B89" i="4" s="1"/>
  <c r="B90" i="4" s="1"/>
  <c r="B91" i="4" s="1"/>
  <c r="B92" i="4" s="1"/>
  <c r="B93" i="4" s="1"/>
  <c r="B94" i="4" s="1"/>
  <c r="B6" i="2"/>
  <c r="B7" i="2" s="1"/>
  <c r="B8" i="2" s="1"/>
  <c r="B9" i="2" s="1"/>
  <c r="B10" i="2" s="1"/>
  <c r="B11" i="2" s="1"/>
  <c r="B12" i="2" s="1"/>
  <c r="B13" i="2" s="1"/>
  <c r="B14" i="2" s="1"/>
  <c r="B15" i="2" s="1"/>
  <c r="B16" i="2" s="1"/>
  <c r="B17" i="2" s="1"/>
  <c r="B18" i="2" s="1"/>
  <c r="B19" i="2" s="1"/>
  <c r="B20" i="2" s="1"/>
  <c r="B21" i="2" s="1"/>
  <c r="B22" i="2" s="1"/>
  <c r="B23" i="2" s="1"/>
  <c r="B24" i="2" s="1"/>
  <c r="B25" i="2" s="1"/>
  <c r="B26" i="2" s="1"/>
  <c r="B27" i="2" s="1"/>
  <c r="B28" i="2" s="1"/>
  <c r="B29" i="2" s="1"/>
  <c r="B30" i="2" s="1"/>
  <c r="B31" i="2" s="1"/>
  <c r="B32" i="2" s="1"/>
  <c r="B33" i="2" s="1"/>
  <c r="B34" i="2" s="1"/>
  <c r="B35" i="2" s="1"/>
  <c r="B36" i="2" s="1"/>
  <c r="B37" i="2" s="1"/>
  <c r="B38" i="2" s="1"/>
  <c r="B39" i="2" s="1"/>
  <c r="B40" i="2" s="1"/>
  <c r="B41" i="2" s="1"/>
  <c r="B42" i="2" s="1"/>
  <c r="B43" i="2" s="1"/>
  <c r="B44" i="2" s="1"/>
  <c r="B45" i="2" s="1"/>
  <c r="B46" i="2" s="1"/>
  <c r="B47" i="2" s="1"/>
  <c r="B48" i="2" s="1"/>
  <c r="B49" i="2" s="1"/>
  <c r="B50" i="2" s="1"/>
  <c r="B51" i="2" s="1"/>
  <c r="B52" i="2" s="1"/>
  <c r="B53" i="2" s="1"/>
  <c r="B54" i="2" s="1"/>
  <c r="B55" i="2" s="1"/>
  <c r="B56" i="2" s="1"/>
  <c r="B57" i="2" s="1"/>
  <c r="B58" i="2" s="1"/>
  <c r="B59" i="2" s="1"/>
  <c r="B60" i="2" s="1"/>
  <c r="B61" i="2" s="1"/>
  <c r="B62" i="2" s="1"/>
  <c r="B63" i="2" s="1"/>
  <c r="B64" i="2" s="1"/>
  <c r="B65" i="2" s="1"/>
  <c r="B66" i="2" s="1"/>
  <c r="B67" i="2" s="1"/>
  <c r="B68" i="2" s="1"/>
  <c r="B69" i="2" s="1"/>
  <c r="B70" i="2" s="1"/>
  <c r="B71" i="2" s="1"/>
  <c r="B72" i="2" s="1"/>
  <c r="B73" i="2" s="1"/>
  <c r="B74" i="2" s="1"/>
  <c r="B75" i="2" s="1"/>
  <c r="B76" i="2" s="1"/>
  <c r="B77" i="2" s="1"/>
  <c r="B78" i="2" s="1"/>
  <c r="B79" i="2" s="1"/>
  <c r="B80" i="2" s="1"/>
  <c r="B81" i="2" s="1"/>
  <c r="B82" i="2" s="1"/>
  <c r="B83" i="2" s="1"/>
  <c r="B84" i="2" s="1"/>
  <c r="B85" i="2" s="1"/>
  <c r="B86" i="2" s="1"/>
  <c r="B87" i="2" s="1"/>
  <c r="B88" i="2" s="1"/>
  <c r="B89" i="2" s="1"/>
  <c r="B90" i="2" s="1"/>
  <c r="B91" i="2" s="1"/>
  <c r="B92" i="2" s="1"/>
  <c r="B93" i="2" s="1"/>
  <c r="B94" i="2" s="1"/>
  <c r="B95" i="2" s="1"/>
  <c r="B96" i="2" s="1"/>
  <c r="B97" i="2" s="1"/>
  <c r="B98" i="2" s="1"/>
  <c r="B99" i="2" s="1"/>
  <c r="B100" i="2" s="1"/>
  <c r="B101" i="2" s="1"/>
  <c r="B102" i="2" s="1"/>
  <c r="B103" i="2" s="1"/>
  <c r="B104" i="2" s="1"/>
  <c r="B105" i="2" s="1"/>
  <c r="B106" i="2" s="1"/>
  <c r="B107" i="2" s="1"/>
  <c r="B108" i="2" s="1"/>
  <c r="B109" i="2" s="1"/>
  <c r="B110" i="2" s="1"/>
  <c r="B111" i="2" s="1"/>
  <c r="B112" i="2" s="1"/>
  <c r="B113" i="2" s="1"/>
  <c r="B114" i="2" s="1"/>
  <c r="B115" i="2" s="1"/>
  <c r="B116" i="2" s="1"/>
  <c r="B117" i="2" l="1"/>
  <c r="B118" i="2" s="1"/>
  <c r="B119" i="2" s="1"/>
  <c r="B120" i="2" s="1"/>
  <c r="B121" i="2" s="1"/>
  <c r="B122" i="2" s="1"/>
  <c r="B123" i="2" s="1"/>
  <c r="B124" i="2" s="1"/>
  <c r="B125" i="2" s="1"/>
  <c r="B126" i="2" s="1"/>
  <c r="B127" i="2" s="1"/>
  <c r="B128" i="2" s="1"/>
  <c r="B129" i="2" s="1"/>
  <c r="B130" i="2" s="1"/>
  <c r="B131" i="2" s="1"/>
  <c r="B132" i="2" s="1"/>
  <c r="B133" i="2" s="1"/>
  <c r="B134" i="2" s="1"/>
  <c r="B135" i="2" s="1"/>
  <c r="B136" i="2" s="1"/>
  <c r="B137" i="2" s="1"/>
  <c r="B138" i="2" s="1"/>
  <c r="B139" i="2" s="1"/>
  <c r="B140" i="2" s="1"/>
  <c r="B141" i="2" s="1"/>
  <c r="B142" i="2" s="1"/>
  <c r="B143" i="2" s="1"/>
  <c r="B144" i="2" s="1"/>
  <c r="B145" i="2" s="1"/>
  <c r="B146" i="2" s="1"/>
  <c r="B147" i="2" s="1"/>
  <c r="B148" i="2" s="1"/>
  <c r="B149" i="2" s="1"/>
  <c r="B150" i="2" s="1"/>
  <c r="B151" i="2" s="1"/>
  <c r="B152" i="2" s="1"/>
  <c r="B153" i="2" s="1"/>
  <c r="B154" i="2" s="1"/>
  <c r="B155" i="2" s="1"/>
  <c r="B156" i="2" s="1"/>
  <c r="B157" i="2" s="1"/>
  <c r="B158" i="2" s="1"/>
  <c r="B159" i="2" s="1"/>
  <c r="B160" i="2" s="1"/>
  <c r="B161" i="2" s="1"/>
  <c r="B162" i="2" s="1"/>
  <c r="B163" i="2" s="1"/>
  <c r="B164" i="2" s="1"/>
  <c r="B165" i="2" s="1"/>
  <c r="B166" i="2" s="1"/>
  <c r="B167" i="2" s="1"/>
  <c r="B168" i="2" s="1"/>
  <c r="B169" i="2" s="1"/>
  <c r="B170" i="2" s="1"/>
  <c r="B171" i="2" s="1"/>
  <c r="B172" i="2" s="1"/>
  <c r="B173" i="2" s="1"/>
  <c r="B174" i="2" s="1"/>
  <c r="B175" i="2" s="1"/>
  <c r="B176" i="2" s="1"/>
  <c r="B177" i="2" s="1"/>
  <c r="B178" i="2" s="1"/>
  <c r="B179" i="2" s="1"/>
  <c r="B180" i="2" s="1"/>
  <c r="B181" i="2" s="1"/>
  <c r="B182" i="2" s="1"/>
  <c r="B183" i="2" s="1"/>
  <c r="B184" i="2" s="1"/>
  <c r="B185" i="2" s="1"/>
  <c r="B186" i="2" s="1"/>
  <c r="B187" i="2" s="1"/>
  <c r="B188" i="2" s="1"/>
  <c r="B189" i="2" s="1"/>
  <c r="B190" i="2" s="1"/>
  <c r="B191" i="2" s="1"/>
  <c r="B192" i="2" s="1"/>
  <c r="B193" i="2" s="1"/>
  <c r="B194" i="2" s="1"/>
  <c r="B195" i="2" s="1"/>
  <c r="E135" i="7"/>
  <c r="F135" i="7" s="1"/>
  <c r="H135" i="7" s="1"/>
  <c r="D25" i="1" l="1"/>
  <c r="I135" i="7"/>
  <c r="D26" i="1" l="1"/>
  <c r="AJ390" i="6"/>
  <c r="AJ369" i="6"/>
  <c r="AJ182" i="6"/>
  <c r="AJ222" i="6"/>
  <c r="AJ350" i="6"/>
  <c r="Q143" i="2"/>
  <c r="K143" i="2"/>
  <c r="K144" i="2" s="1"/>
  <c r="J143" i="2"/>
  <c r="J144" i="2" s="1"/>
  <c r="E143" i="2"/>
  <c r="E144" i="2" s="1"/>
  <c r="D143" i="2"/>
  <c r="D144" i="2" s="1"/>
  <c r="AG142" i="2"/>
  <c r="G144" i="2" s="1"/>
  <c r="Q142" i="2"/>
  <c r="G142" i="2"/>
  <c r="Q140" i="2"/>
  <c r="K140" i="2"/>
  <c r="K141" i="2" s="1"/>
  <c r="J140" i="2"/>
  <c r="J141" i="2" s="1"/>
  <c r="E140" i="2"/>
  <c r="E141" i="2" s="1"/>
  <c r="D140" i="2"/>
  <c r="D141" i="2" s="1"/>
  <c r="AG139" i="2"/>
  <c r="Q139" i="2"/>
  <c r="G139" i="2"/>
  <c r="H139" i="2" s="1"/>
  <c r="Q137" i="2"/>
  <c r="K137" i="2"/>
  <c r="K138" i="2" s="1"/>
  <c r="J137" i="2"/>
  <c r="J138" i="2" s="1"/>
  <c r="E137" i="2"/>
  <c r="E138" i="2" s="1"/>
  <c r="D137" i="2"/>
  <c r="D138" i="2" s="1"/>
  <c r="AG136" i="2"/>
  <c r="G138" i="2" s="1"/>
  <c r="Q136" i="2"/>
  <c r="G136" i="2"/>
  <c r="H136" i="2" s="1"/>
  <c r="Q134" i="2"/>
  <c r="K134" i="2"/>
  <c r="K135" i="2" s="1"/>
  <c r="J134" i="2"/>
  <c r="J135" i="2" s="1"/>
  <c r="E134" i="2"/>
  <c r="E135" i="2" s="1"/>
  <c r="D134" i="2"/>
  <c r="D135" i="2" s="1"/>
  <c r="AG133" i="2"/>
  <c r="Q133" i="2"/>
  <c r="G133" i="2"/>
  <c r="H133" i="2" s="1"/>
  <c r="Q131" i="2"/>
  <c r="K131" i="2"/>
  <c r="K132" i="2" s="1"/>
  <c r="J131" i="2"/>
  <c r="J132" i="2" s="1"/>
  <c r="E131" i="2"/>
  <c r="E132" i="2" s="1"/>
  <c r="D131" i="2"/>
  <c r="D132" i="2" s="1"/>
  <c r="AG130" i="2"/>
  <c r="Q130" i="2"/>
  <c r="G130" i="2"/>
  <c r="H130" i="2" s="1"/>
  <c r="Q128" i="2"/>
  <c r="K128" i="2"/>
  <c r="K129" i="2" s="1"/>
  <c r="J128" i="2"/>
  <c r="J129" i="2" s="1"/>
  <c r="E128" i="2"/>
  <c r="E129" i="2" s="1"/>
  <c r="D128" i="2"/>
  <c r="D129" i="2" s="1"/>
  <c r="AG127" i="2"/>
  <c r="G129" i="2" s="1"/>
  <c r="G127" i="2"/>
  <c r="Q127" i="2"/>
  <c r="K28" i="2"/>
  <c r="K27" i="2"/>
  <c r="P142" i="2" l="1"/>
  <c r="S142" i="2" s="1"/>
  <c r="H144" i="2"/>
  <c r="O136" i="2"/>
  <c r="P136" i="2" s="1"/>
  <c r="S136" i="2" s="1"/>
  <c r="H129" i="2"/>
  <c r="O130" i="2"/>
  <c r="P130" i="2" s="1"/>
  <c r="S130" i="2" s="1"/>
  <c r="P143" i="2"/>
  <c r="S143" i="2" s="1"/>
  <c r="H131" i="2"/>
  <c r="H137" i="2"/>
  <c r="H140" i="2"/>
  <c r="H141" i="2"/>
  <c r="H135" i="2"/>
  <c r="H134" i="2"/>
  <c r="H132" i="2"/>
  <c r="G141" i="2"/>
  <c r="H138" i="2"/>
  <c r="G135" i="2"/>
  <c r="G132" i="2"/>
  <c r="P127" i="2"/>
  <c r="S127" i="2" s="1"/>
  <c r="P128" i="2"/>
  <c r="S128" i="2" s="1"/>
  <c r="AJ382" i="6" l="1"/>
  <c r="AK382" i="6" s="1"/>
  <c r="AL382" i="6" s="1"/>
  <c r="AJ192" i="6"/>
  <c r="AJ373" i="6"/>
  <c r="AJ164" i="6"/>
  <c r="AK389" i="6"/>
  <c r="AL389" i="6" s="1"/>
  <c r="AK390" i="6"/>
  <c r="AL390" i="6" s="1"/>
  <c r="AK391" i="6"/>
  <c r="AL391" i="6" s="1"/>
  <c r="AK392" i="6"/>
  <c r="AL392" i="6" s="1"/>
  <c r="AH389" i="6"/>
  <c r="AH390" i="6"/>
  <c r="AH391" i="6"/>
  <c r="AH392" i="6"/>
  <c r="AK377" i="6"/>
  <c r="AL377" i="6" s="1"/>
  <c r="AK378" i="6"/>
  <c r="AL378" i="6" s="1"/>
  <c r="AK379" i="6"/>
  <c r="AL379" i="6" s="1"/>
  <c r="AK380" i="6"/>
  <c r="AL380" i="6" s="1"/>
  <c r="AK381" i="6"/>
  <c r="AL381" i="6" s="1"/>
  <c r="AK383" i="6"/>
  <c r="AL383" i="6" s="1"/>
  <c r="AK384" i="6"/>
  <c r="AL384" i="6" s="1"/>
  <c r="AK385" i="6"/>
  <c r="AL385" i="6" s="1"/>
  <c r="AK386" i="6"/>
  <c r="AL386" i="6" s="1"/>
  <c r="AK387" i="6"/>
  <c r="AL387" i="6" s="1"/>
  <c r="AK388" i="6"/>
  <c r="AL388" i="6" s="1"/>
  <c r="AH377" i="6"/>
  <c r="AH378" i="6"/>
  <c r="AH379" i="6"/>
  <c r="AH380" i="6"/>
  <c r="AH381" i="6"/>
  <c r="AH382" i="6"/>
  <c r="AH383" i="6"/>
  <c r="AH384" i="6"/>
  <c r="AH385" i="6"/>
  <c r="AH386" i="6"/>
  <c r="AH387" i="6"/>
  <c r="AH388" i="6"/>
  <c r="T83" i="4"/>
  <c r="P84" i="4"/>
  <c r="J84" i="4"/>
  <c r="J85" i="4" s="1"/>
  <c r="I84" i="4"/>
  <c r="I85" i="4" s="1"/>
  <c r="E84" i="4"/>
  <c r="E85" i="4" s="1"/>
  <c r="D84" i="4"/>
  <c r="D85" i="4" s="1"/>
  <c r="C84" i="4"/>
  <c r="C85" i="4" s="1"/>
  <c r="P83" i="4"/>
  <c r="G82" i="4" l="1"/>
  <c r="G79" i="4"/>
  <c r="G76" i="4"/>
  <c r="G73" i="4"/>
  <c r="G70" i="4"/>
  <c r="G61" i="4"/>
  <c r="G58" i="4"/>
  <c r="G55" i="4"/>
  <c r="G52" i="4"/>
  <c r="G49" i="4"/>
  <c r="O49" i="4" s="1"/>
  <c r="Q49" i="4" s="1"/>
  <c r="G28" i="4"/>
  <c r="G31" i="4"/>
  <c r="O31" i="4" s="1"/>
  <c r="Q31" i="4" s="1"/>
  <c r="G34" i="4"/>
  <c r="G37" i="4"/>
  <c r="G40" i="4"/>
  <c r="G43" i="4"/>
  <c r="O43" i="4" s="1"/>
  <c r="Q43" i="4" s="1"/>
  <c r="G46" i="4"/>
  <c r="O46" i="4" s="1"/>
  <c r="Q46" i="4" s="1"/>
  <c r="G25" i="4"/>
  <c r="G22" i="4"/>
  <c r="O22" i="4" s="1"/>
  <c r="Q22" i="4" s="1"/>
  <c r="G19" i="4"/>
  <c r="G16" i="4"/>
  <c r="G13" i="4"/>
  <c r="G10" i="4"/>
  <c r="O10" i="4" s="1"/>
  <c r="Q10" i="4" s="1"/>
  <c r="G7" i="4"/>
  <c r="AJ125" i="6"/>
  <c r="AJ94" i="6"/>
  <c r="AJ49" i="6"/>
  <c r="AJ11" i="6"/>
  <c r="AJ266" i="6"/>
  <c r="AJ85" i="6"/>
  <c r="AJ265" i="6"/>
  <c r="AJ370" i="6"/>
  <c r="AK370" i="6" s="1"/>
  <c r="AL370" i="6" s="1"/>
  <c r="R43" i="2"/>
  <c r="AJ359" i="6"/>
  <c r="AK359" i="6" s="1"/>
  <c r="AL359" i="6" s="1"/>
  <c r="AK367" i="6"/>
  <c r="AL367" i="6" s="1"/>
  <c r="AK368" i="6"/>
  <c r="AL368" i="6" s="1"/>
  <c r="AK369" i="6"/>
  <c r="AL369" i="6" s="1"/>
  <c r="AK371" i="6"/>
  <c r="AL371" i="6" s="1"/>
  <c r="AK372" i="6"/>
  <c r="AL372" i="6" s="1"/>
  <c r="AK373" i="6"/>
  <c r="AL373" i="6" s="1"/>
  <c r="AK374" i="6"/>
  <c r="AL374" i="6" s="1"/>
  <c r="AK375" i="6"/>
  <c r="AL375" i="6" s="1"/>
  <c r="AK376" i="6"/>
  <c r="AL376" i="6" s="1"/>
  <c r="AH367" i="6"/>
  <c r="AH368" i="6"/>
  <c r="AH369" i="6"/>
  <c r="AH370" i="6"/>
  <c r="AH371" i="6"/>
  <c r="AH372" i="6"/>
  <c r="AH373" i="6"/>
  <c r="AH374" i="6"/>
  <c r="AH375" i="6"/>
  <c r="AH376" i="6"/>
  <c r="AJ340" i="6"/>
  <c r="AK340" i="6" s="1"/>
  <c r="AL340" i="6" s="1"/>
  <c r="G8" i="2"/>
  <c r="AJ248" i="6"/>
  <c r="AJ75" i="6"/>
  <c r="AK335" i="6"/>
  <c r="AL335" i="6" s="1"/>
  <c r="AK336" i="6"/>
  <c r="AL336" i="6" s="1"/>
  <c r="AK337" i="6"/>
  <c r="AL337" i="6" s="1"/>
  <c r="AK338" i="6"/>
  <c r="AL338" i="6" s="1"/>
  <c r="AK339" i="6"/>
  <c r="AL339" i="6" s="1"/>
  <c r="AK341" i="6"/>
  <c r="AL341" i="6" s="1"/>
  <c r="AK342" i="6"/>
  <c r="AL342" i="6" s="1"/>
  <c r="AK343" i="6"/>
  <c r="AL343" i="6" s="1"/>
  <c r="AK344" i="6"/>
  <c r="AL344" i="6" s="1"/>
  <c r="AK345" i="6"/>
  <c r="AL345" i="6" s="1"/>
  <c r="AK346" i="6"/>
  <c r="AL346" i="6" s="1"/>
  <c r="AK347" i="6"/>
  <c r="AL347" i="6" s="1"/>
  <c r="AK348" i="6"/>
  <c r="AL348" i="6" s="1"/>
  <c r="AK349" i="6"/>
  <c r="AL349" i="6" s="1"/>
  <c r="AK350" i="6"/>
  <c r="AL350" i="6" s="1"/>
  <c r="AK351" i="6"/>
  <c r="AL351" i="6" s="1"/>
  <c r="AK352" i="6"/>
  <c r="AL352" i="6" s="1"/>
  <c r="AK353" i="6"/>
  <c r="AL353" i="6" s="1"/>
  <c r="AK354" i="6"/>
  <c r="AL354" i="6" s="1"/>
  <c r="AK355" i="6"/>
  <c r="AL355" i="6" s="1"/>
  <c r="AK356" i="6"/>
  <c r="AL356" i="6" s="1"/>
  <c r="AK357" i="6"/>
  <c r="AL357" i="6" s="1"/>
  <c r="AK358" i="6"/>
  <c r="AL358" i="6" s="1"/>
  <c r="AK360" i="6"/>
  <c r="AL360" i="6" s="1"/>
  <c r="AK361" i="6"/>
  <c r="AL361" i="6" s="1"/>
  <c r="AK362" i="6"/>
  <c r="AL362" i="6" s="1"/>
  <c r="AK363" i="6"/>
  <c r="AL363" i="6" s="1"/>
  <c r="AK364" i="6"/>
  <c r="AL364" i="6" s="1"/>
  <c r="AK365" i="6"/>
  <c r="AL365" i="6" s="1"/>
  <c r="AK366" i="6"/>
  <c r="AL366" i="6" s="1"/>
  <c r="AH335" i="6"/>
  <c r="AH336" i="6"/>
  <c r="AH337" i="6"/>
  <c r="AH338" i="6"/>
  <c r="AH340" i="6"/>
  <c r="AH341" i="6"/>
  <c r="AH342" i="6"/>
  <c r="AH343" i="6"/>
  <c r="AH345" i="6"/>
  <c r="AH346" i="6"/>
  <c r="AH347" i="6"/>
  <c r="AH348" i="6"/>
  <c r="AH349" i="6"/>
  <c r="AH350" i="6"/>
  <c r="AH351" i="6"/>
  <c r="AH352" i="6"/>
  <c r="AH353" i="6"/>
  <c r="AH354" i="6"/>
  <c r="AH355" i="6"/>
  <c r="AH356" i="6"/>
  <c r="AH357" i="6"/>
  <c r="AH358" i="6"/>
  <c r="AH359" i="6"/>
  <c r="AH360" i="6"/>
  <c r="AH362" i="6"/>
  <c r="AH363" i="6"/>
  <c r="AH364" i="6"/>
  <c r="AH365" i="6"/>
  <c r="AH366" i="6"/>
  <c r="K33" i="2"/>
  <c r="K34" i="2" s="1"/>
  <c r="N13" i="4" l="1"/>
  <c r="O13" i="4" s="1"/>
  <c r="Q13" i="4" s="1"/>
  <c r="Q58" i="2"/>
  <c r="K30" i="2"/>
  <c r="K31" i="2" s="1"/>
  <c r="G32" i="2" l="1"/>
  <c r="G124" i="2"/>
  <c r="Q125" i="2"/>
  <c r="K125" i="2"/>
  <c r="K126" i="2" s="1"/>
  <c r="J125" i="2"/>
  <c r="J126" i="2" s="1"/>
  <c r="E125" i="2"/>
  <c r="E126" i="2" s="1"/>
  <c r="D125" i="2"/>
  <c r="D126" i="2" s="1"/>
  <c r="AG124" i="2"/>
  <c r="G126" i="2" s="1"/>
  <c r="Q124" i="2"/>
  <c r="Z121" i="2"/>
  <c r="G121" i="2" s="1"/>
  <c r="Q122" i="2"/>
  <c r="K122" i="2"/>
  <c r="K123" i="2" s="1"/>
  <c r="J122" i="2"/>
  <c r="J123" i="2" s="1"/>
  <c r="E122" i="2"/>
  <c r="E123" i="2" s="1"/>
  <c r="D122" i="2"/>
  <c r="D123" i="2" s="1"/>
  <c r="AG121" i="2"/>
  <c r="G123" i="2" s="1"/>
  <c r="Q121" i="2"/>
  <c r="P81" i="4"/>
  <c r="J81" i="4"/>
  <c r="J82" i="4" s="1"/>
  <c r="I81" i="4"/>
  <c r="I82" i="4" s="1"/>
  <c r="E81" i="4"/>
  <c r="E82" i="4" s="1"/>
  <c r="D81" i="4"/>
  <c r="D82" i="4" s="1"/>
  <c r="C81" i="4"/>
  <c r="C82" i="4" s="1"/>
  <c r="P80" i="4"/>
  <c r="P78" i="4"/>
  <c r="J78" i="4"/>
  <c r="J79" i="4" s="1"/>
  <c r="I78" i="4"/>
  <c r="I79" i="4" s="1"/>
  <c r="E78" i="4"/>
  <c r="E79" i="4" s="1"/>
  <c r="D78" i="4"/>
  <c r="D79" i="4" s="1"/>
  <c r="C78" i="4"/>
  <c r="C79" i="4" s="1"/>
  <c r="P77" i="4"/>
  <c r="P75" i="4"/>
  <c r="J75" i="4"/>
  <c r="J76" i="4" s="1"/>
  <c r="I75" i="4"/>
  <c r="I76" i="4" s="1"/>
  <c r="E75" i="4"/>
  <c r="E76" i="4" s="1"/>
  <c r="D75" i="4"/>
  <c r="D76" i="4" s="1"/>
  <c r="C75" i="4"/>
  <c r="C76" i="4" s="1"/>
  <c r="P74" i="4"/>
  <c r="P72" i="4"/>
  <c r="J72" i="4"/>
  <c r="J73" i="4" s="1"/>
  <c r="I72" i="4"/>
  <c r="I73" i="4" s="1"/>
  <c r="E72" i="4"/>
  <c r="E73" i="4" s="1"/>
  <c r="D72" i="4"/>
  <c r="D73" i="4" s="1"/>
  <c r="C72" i="4"/>
  <c r="C73" i="4" s="1"/>
  <c r="P71" i="4"/>
  <c r="P69" i="4"/>
  <c r="J69" i="4"/>
  <c r="J70" i="4" s="1"/>
  <c r="I69" i="4"/>
  <c r="I70" i="4" s="1"/>
  <c r="E69" i="4"/>
  <c r="E70" i="4" s="1"/>
  <c r="D69" i="4"/>
  <c r="D70" i="4" s="1"/>
  <c r="C69" i="4"/>
  <c r="C70" i="4" s="1"/>
  <c r="P68" i="4"/>
  <c r="G67" i="4"/>
  <c r="P66" i="4"/>
  <c r="J66" i="4"/>
  <c r="J67" i="4" s="1"/>
  <c r="I66" i="4"/>
  <c r="I67" i="4" s="1"/>
  <c r="E66" i="4"/>
  <c r="E67" i="4" s="1"/>
  <c r="D66" i="4"/>
  <c r="D67" i="4" s="1"/>
  <c r="C66" i="4"/>
  <c r="C67" i="4" s="1"/>
  <c r="P65" i="4"/>
  <c r="G64" i="4"/>
  <c r="P63" i="4"/>
  <c r="J63" i="4"/>
  <c r="J64" i="4" s="1"/>
  <c r="I63" i="4"/>
  <c r="I64" i="4" s="1"/>
  <c r="E63" i="4"/>
  <c r="E64" i="4" s="1"/>
  <c r="D63" i="4"/>
  <c r="D64" i="4" s="1"/>
  <c r="C63" i="4"/>
  <c r="C64" i="4" s="1"/>
  <c r="P62" i="4"/>
  <c r="P60" i="4"/>
  <c r="J60" i="4"/>
  <c r="J61" i="4" s="1"/>
  <c r="I60" i="4"/>
  <c r="I61" i="4" s="1"/>
  <c r="E60" i="4"/>
  <c r="E61" i="4" s="1"/>
  <c r="D60" i="4"/>
  <c r="D61" i="4" s="1"/>
  <c r="C60" i="4"/>
  <c r="C61" i="4" s="1"/>
  <c r="P59" i="4"/>
  <c r="P57" i="4"/>
  <c r="J57" i="4"/>
  <c r="J58" i="4" s="1"/>
  <c r="I57" i="4"/>
  <c r="I58" i="4" s="1"/>
  <c r="E57" i="4"/>
  <c r="E58" i="4" s="1"/>
  <c r="D57" i="4"/>
  <c r="D58" i="4" s="1"/>
  <c r="C57" i="4"/>
  <c r="C58" i="4" s="1"/>
  <c r="P56" i="4"/>
  <c r="P54" i="4"/>
  <c r="J54" i="4"/>
  <c r="J55" i="4" s="1"/>
  <c r="I54" i="4"/>
  <c r="I55" i="4" s="1"/>
  <c r="E54" i="4"/>
  <c r="E55" i="4" s="1"/>
  <c r="D54" i="4"/>
  <c r="D55" i="4" s="1"/>
  <c r="C54" i="4"/>
  <c r="C55" i="4" s="1"/>
  <c r="P53" i="4"/>
  <c r="P51" i="4"/>
  <c r="J52" i="4"/>
  <c r="I51" i="4"/>
  <c r="I52" i="4" s="1"/>
  <c r="E51" i="4"/>
  <c r="E52" i="4" s="1"/>
  <c r="D51" i="4"/>
  <c r="D52" i="4" s="1"/>
  <c r="C51" i="4"/>
  <c r="C52" i="4" s="1"/>
  <c r="P50" i="4"/>
  <c r="P48" i="4"/>
  <c r="J48" i="4"/>
  <c r="J49" i="4" s="1"/>
  <c r="I48" i="4"/>
  <c r="I49" i="4" s="1"/>
  <c r="E48" i="4"/>
  <c r="E49" i="4" s="1"/>
  <c r="D48" i="4"/>
  <c r="D49" i="4" s="1"/>
  <c r="C48" i="4"/>
  <c r="C49" i="4" s="1"/>
  <c r="P47" i="4"/>
  <c r="P45" i="4"/>
  <c r="J45" i="4"/>
  <c r="J46" i="4" s="1"/>
  <c r="I45" i="4"/>
  <c r="I46" i="4" s="1"/>
  <c r="E45" i="4"/>
  <c r="E46" i="4" s="1"/>
  <c r="D45" i="4"/>
  <c r="D46" i="4" s="1"/>
  <c r="C45" i="4"/>
  <c r="C46" i="4" s="1"/>
  <c r="P44" i="4"/>
  <c r="P42" i="4"/>
  <c r="J42" i="4"/>
  <c r="J43" i="4" s="1"/>
  <c r="I42" i="4"/>
  <c r="I43" i="4" s="1"/>
  <c r="E42" i="4"/>
  <c r="E43" i="4" s="1"/>
  <c r="D42" i="4"/>
  <c r="D43" i="4" s="1"/>
  <c r="C42" i="4"/>
  <c r="C43" i="4" s="1"/>
  <c r="P41" i="4"/>
  <c r="P39" i="4"/>
  <c r="J39" i="4"/>
  <c r="J40" i="4" s="1"/>
  <c r="I39" i="4"/>
  <c r="I40" i="4" s="1"/>
  <c r="E39" i="4"/>
  <c r="E40" i="4" s="1"/>
  <c r="D39" i="4"/>
  <c r="D40" i="4" s="1"/>
  <c r="C39" i="4"/>
  <c r="C40" i="4" s="1"/>
  <c r="P38" i="4"/>
  <c r="P36" i="4"/>
  <c r="J36" i="4"/>
  <c r="J37" i="4" s="1"/>
  <c r="I36" i="4"/>
  <c r="I37" i="4" s="1"/>
  <c r="E36" i="4"/>
  <c r="E37" i="4" s="1"/>
  <c r="D36" i="4"/>
  <c r="D37" i="4" s="1"/>
  <c r="C36" i="4"/>
  <c r="C37" i="4" s="1"/>
  <c r="P35" i="4"/>
  <c r="P33" i="4"/>
  <c r="J33" i="4"/>
  <c r="J34" i="4" s="1"/>
  <c r="I33" i="4"/>
  <c r="I34" i="4" s="1"/>
  <c r="E33" i="4"/>
  <c r="E34" i="4" s="1"/>
  <c r="D33" i="4"/>
  <c r="D34" i="4" s="1"/>
  <c r="C33" i="4"/>
  <c r="C34" i="4" s="1"/>
  <c r="P32" i="4"/>
  <c r="P30" i="4"/>
  <c r="J30" i="4"/>
  <c r="J31" i="4" s="1"/>
  <c r="I30" i="4"/>
  <c r="I31" i="4" s="1"/>
  <c r="E30" i="4"/>
  <c r="E31" i="4" s="1"/>
  <c r="D30" i="4"/>
  <c r="D31" i="4" s="1"/>
  <c r="C30" i="4"/>
  <c r="C31" i="4" s="1"/>
  <c r="P29" i="4"/>
  <c r="P27" i="4"/>
  <c r="J27" i="4"/>
  <c r="J28" i="4" s="1"/>
  <c r="I27" i="4"/>
  <c r="I28" i="4" s="1"/>
  <c r="E27" i="4"/>
  <c r="E28" i="4" s="1"/>
  <c r="D27" i="4"/>
  <c r="D28" i="4" s="1"/>
  <c r="C27" i="4"/>
  <c r="C28" i="4" s="1"/>
  <c r="P26" i="4"/>
  <c r="H123" i="2" l="1"/>
  <c r="P123" i="2" s="1"/>
  <c r="S123" i="2" s="1"/>
  <c r="H122" i="2"/>
  <c r="H124" i="2"/>
  <c r="O124" i="2" s="1"/>
  <c r="H125" i="2"/>
  <c r="P125" i="2" s="1"/>
  <c r="S125" i="2" s="1"/>
  <c r="H126" i="2"/>
  <c r="H121" i="2"/>
  <c r="I13" i="5"/>
  <c r="B13" i="5"/>
  <c r="B14" i="5"/>
  <c r="Z118" i="2"/>
  <c r="O122" i="2" l="1"/>
  <c r="P122" i="2" s="1"/>
  <c r="S122" i="2" s="1"/>
  <c r="N13" i="5"/>
  <c r="O13" i="5" s="1"/>
  <c r="P13" i="5" s="1"/>
  <c r="P124" i="2"/>
  <c r="S124" i="2" s="1"/>
  <c r="O121" i="2"/>
  <c r="P121" i="2" s="1"/>
  <c r="S121" i="2" s="1"/>
  <c r="Q119" i="2"/>
  <c r="K119" i="2"/>
  <c r="K120" i="2" s="1"/>
  <c r="J119" i="2"/>
  <c r="J120" i="2" s="1"/>
  <c r="E119" i="2"/>
  <c r="E120" i="2" s="1"/>
  <c r="D119" i="2"/>
  <c r="D120" i="2" s="1"/>
  <c r="AG118" i="2"/>
  <c r="G120" i="2" s="1"/>
  <c r="G118" i="2"/>
  <c r="Q118" i="2"/>
  <c r="Q116" i="2" s="1"/>
  <c r="AJ321" i="6"/>
  <c r="AK321" i="6" s="1"/>
  <c r="AL321" i="6" s="1"/>
  <c r="AJ333" i="6"/>
  <c r="AK333" i="6" s="1"/>
  <c r="AL333" i="6" s="1"/>
  <c r="AJ330" i="6"/>
  <c r="AK330" i="6" s="1"/>
  <c r="AL330" i="6" s="1"/>
  <c r="AJ254" i="6"/>
  <c r="AK322" i="6"/>
  <c r="AL322" i="6" s="1"/>
  <c r="AK323" i="6"/>
  <c r="AL323" i="6" s="1"/>
  <c r="AK324" i="6"/>
  <c r="AL324" i="6" s="1"/>
  <c r="AK325" i="6"/>
  <c r="AL325" i="6" s="1"/>
  <c r="AK326" i="6"/>
  <c r="AL326" i="6" s="1"/>
  <c r="AK327" i="6"/>
  <c r="AL327" i="6" s="1"/>
  <c r="AK328" i="6"/>
  <c r="AL328" i="6" s="1"/>
  <c r="AK329" i="6"/>
  <c r="AL329" i="6" s="1"/>
  <c r="AK331" i="6"/>
  <c r="AL331" i="6" s="1"/>
  <c r="AK332" i="6"/>
  <c r="AL332" i="6" s="1"/>
  <c r="AK334" i="6"/>
  <c r="AL334" i="6" s="1"/>
  <c r="AH321" i="6"/>
  <c r="AH322" i="6"/>
  <c r="AH323" i="6"/>
  <c r="AH324" i="6"/>
  <c r="AH325" i="6"/>
  <c r="AH326" i="6"/>
  <c r="AH327" i="6"/>
  <c r="AH328" i="6"/>
  <c r="AH329" i="6"/>
  <c r="AH330" i="6"/>
  <c r="AH331" i="6"/>
  <c r="AH332" i="6"/>
  <c r="AH333" i="6"/>
  <c r="AH334" i="6"/>
  <c r="AF14" i="2"/>
  <c r="AG14" i="2" s="1"/>
  <c r="H16" i="2" s="1"/>
  <c r="P16" i="2" s="1"/>
  <c r="S16" i="2" s="1"/>
  <c r="AJ317" i="6"/>
  <c r="AK317" i="6" s="1"/>
  <c r="AL317" i="6" s="1"/>
  <c r="AJ201" i="6"/>
  <c r="AK311" i="6"/>
  <c r="AL311" i="6" s="1"/>
  <c r="AK312" i="6"/>
  <c r="AL312" i="6" s="1"/>
  <c r="AK313" i="6"/>
  <c r="AL313" i="6" s="1"/>
  <c r="AK314" i="6"/>
  <c r="AL314" i="6" s="1"/>
  <c r="AK315" i="6"/>
  <c r="AL315" i="6" s="1"/>
  <c r="AK316" i="6"/>
  <c r="AL316" i="6" s="1"/>
  <c r="AK318" i="6"/>
  <c r="AL318" i="6" s="1"/>
  <c r="AK319" i="6"/>
  <c r="AL319" i="6" s="1"/>
  <c r="AK320" i="6"/>
  <c r="AL320" i="6" s="1"/>
  <c r="AH311" i="6"/>
  <c r="AH312" i="6"/>
  <c r="AH313" i="6"/>
  <c r="AH314" i="6"/>
  <c r="AH315" i="6"/>
  <c r="AH316" i="6"/>
  <c r="AH317" i="6"/>
  <c r="AH318" i="6"/>
  <c r="AH319" i="6"/>
  <c r="AH320" i="6"/>
  <c r="AJ306" i="6"/>
  <c r="AK306" i="6" s="1"/>
  <c r="AL306" i="6" s="1"/>
  <c r="AJ307" i="6"/>
  <c r="AK307" i="6" s="1"/>
  <c r="AL307" i="6" s="1"/>
  <c r="AJ142" i="6"/>
  <c r="AK308" i="6"/>
  <c r="AL308" i="6" s="1"/>
  <c r="AK309" i="6"/>
  <c r="AL309" i="6" s="1"/>
  <c r="AK310" i="6"/>
  <c r="AL310" i="6" s="1"/>
  <c r="AH306" i="6"/>
  <c r="AH307" i="6"/>
  <c r="AH308" i="6"/>
  <c r="AH309" i="6"/>
  <c r="AH310" i="6"/>
  <c r="Z116" i="2"/>
  <c r="Z115" i="2"/>
  <c r="C116" i="2"/>
  <c r="Z114" i="2"/>
  <c r="Q115" i="2"/>
  <c r="K115" i="2"/>
  <c r="K117" i="2" s="1"/>
  <c r="J115" i="2"/>
  <c r="J117" i="2" s="1"/>
  <c r="E115" i="2"/>
  <c r="E116" i="2" s="1"/>
  <c r="E117" i="2" s="1"/>
  <c r="D115" i="2"/>
  <c r="D117" i="2" s="1"/>
  <c r="AG114" i="2"/>
  <c r="G117" i="2" s="1"/>
  <c r="Q114" i="2"/>
  <c r="H119" i="2" l="1"/>
  <c r="H120" i="2"/>
  <c r="P120" i="2" s="1"/>
  <c r="S120" i="2" s="1"/>
  <c r="H118" i="2"/>
  <c r="J116" i="2"/>
  <c r="K116" i="2"/>
  <c r="G114" i="2"/>
  <c r="H117" i="2" s="1"/>
  <c r="D116" i="2"/>
  <c r="O119" i="2" l="1"/>
  <c r="P119" i="2" s="1"/>
  <c r="S119" i="2" s="1"/>
  <c r="O118" i="2"/>
  <c r="P118" i="2" s="1"/>
  <c r="S118" i="2" s="1"/>
  <c r="H114" i="2"/>
  <c r="H115" i="2"/>
  <c r="P115" i="2" s="1"/>
  <c r="S115" i="2" s="1"/>
  <c r="H116" i="2"/>
  <c r="AJ82" i="6"/>
  <c r="AJ302" i="6"/>
  <c r="AK302" i="6" s="1"/>
  <c r="AL302" i="6" s="1"/>
  <c r="AK303" i="6"/>
  <c r="AL303" i="6" s="1"/>
  <c r="AK304" i="6"/>
  <c r="AL304" i="6" s="1"/>
  <c r="AK305" i="6"/>
  <c r="AL305" i="6" s="1"/>
  <c r="AH302" i="6"/>
  <c r="AH304" i="6"/>
  <c r="AH305" i="6"/>
  <c r="O37" i="1"/>
  <c r="N37" i="1"/>
  <c r="M37" i="1"/>
  <c r="L37" i="1"/>
  <c r="K37" i="1"/>
  <c r="J37" i="1"/>
  <c r="I37" i="1"/>
  <c r="F37" i="1"/>
  <c r="J17" i="1" l="1"/>
  <c r="P116" i="2"/>
  <c r="S116" i="2" s="1"/>
  <c r="O114" i="2"/>
  <c r="P114" i="2" s="1"/>
  <c r="S114" i="2" s="1"/>
  <c r="D37" i="1"/>
  <c r="O9" i="2" l="1"/>
  <c r="P9" i="2" s="1"/>
  <c r="S9" i="2" s="1"/>
  <c r="AJ250" i="6"/>
  <c r="AJ163" i="6" l="1"/>
  <c r="AJ195" i="6"/>
  <c r="AJ261" i="6"/>
  <c r="AK261" i="6" s="1"/>
  <c r="AL261" i="6" s="1"/>
  <c r="AJ171" i="6"/>
  <c r="AJ134" i="6"/>
  <c r="AJ293" i="6"/>
  <c r="AK293" i="6" s="1"/>
  <c r="AL293" i="6" s="1"/>
  <c r="AJ240" i="6"/>
  <c r="AK240" i="6" s="1"/>
  <c r="AL240" i="6" s="1"/>
  <c r="AJ294" i="6"/>
  <c r="AK294" i="6" s="1"/>
  <c r="AL294" i="6" s="1"/>
  <c r="AJ232" i="6"/>
  <c r="AK232" i="6" s="1"/>
  <c r="AL232" i="6" s="1"/>
  <c r="AK295" i="6"/>
  <c r="AL295" i="6" s="1"/>
  <c r="AK296" i="6"/>
  <c r="AL296" i="6" s="1"/>
  <c r="AK297" i="6"/>
  <c r="AL297" i="6" s="1"/>
  <c r="AK298" i="6"/>
  <c r="AL298" i="6" s="1"/>
  <c r="AK299" i="6"/>
  <c r="AL299" i="6" s="1"/>
  <c r="AK300" i="6"/>
  <c r="AL300" i="6" s="1"/>
  <c r="AK301" i="6"/>
  <c r="AL301" i="6" s="1"/>
  <c r="AH295" i="6"/>
  <c r="AH296" i="6"/>
  <c r="AH297" i="6"/>
  <c r="AH298" i="6"/>
  <c r="AH299" i="6"/>
  <c r="AH300" i="6"/>
  <c r="AH301" i="6"/>
  <c r="AJ288" i="6"/>
  <c r="AK288" i="6" s="1"/>
  <c r="AL288" i="6" s="1"/>
  <c r="AJ184" i="6"/>
  <c r="AJ145" i="6"/>
  <c r="AJ143" i="6"/>
  <c r="AJ148" i="6"/>
  <c r="AJ121" i="6"/>
  <c r="AJ281" i="6"/>
  <c r="AK281" i="6" s="1"/>
  <c r="AL281" i="6" s="1"/>
  <c r="AJ260" i="6"/>
  <c r="AK260" i="6" s="1"/>
  <c r="AL260" i="6" s="1"/>
  <c r="AJ273" i="6"/>
  <c r="AK273" i="6" s="1"/>
  <c r="AL273" i="6" s="1"/>
  <c r="AJ100" i="6"/>
  <c r="AJ68" i="6"/>
  <c r="AJ59" i="6"/>
  <c r="AJ289" i="6"/>
  <c r="AK289" i="6" s="1"/>
  <c r="AL289" i="6" s="1"/>
  <c r="AJ283" i="6"/>
  <c r="AK283" i="6" s="1"/>
  <c r="AL283" i="6" s="1"/>
  <c r="AK286" i="6"/>
  <c r="AL286" i="6" s="1"/>
  <c r="AK287" i="6"/>
  <c r="AL287" i="6" s="1"/>
  <c r="AK290" i="6"/>
  <c r="AL290" i="6" s="1"/>
  <c r="AK291" i="6"/>
  <c r="AL291" i="6" s="1"/>
  <c r="AK292" i="6"/>
  <c r="AL292" i="6" s="1"/>
  <c r="AH286" i="6"/>
  <c r="AH287" i="6"/>
  <c r="AH288" i="6"/>
  <c r="AH289" i="6"/>
  <c r="AH290" i="6"/>
  <c r="AH291" i="6"/>
  <c r="AH292" i="6"/>
  <c r="AH293" i="6"/>
  <c r="AH294" i="6"/>
  <c r="I12" i="5"/>
  <c r="D103" i="2"/>
  <c r="D104" i="2" s="1"/>
  <c r="AJ274" i="6"/>
  <c r="AK274" i="6" s="1"/>
  <c r="AL274" i="6" s="1"/>
  <c r="AK272" i="6"/>
  <c r="AL272" i="6" s="1"/>
  <c r="AK275" i="6"/>
  <c r="AL275" i="6" s="1"/>
  <c r="AK276" i="6"/>
  <c r="AL276" i="6" s="1"/>
  <c r="AK277" i="6"/>
  <c r="AL277" i="6" s="1"/>
  <c r="AK278" i="6"/>
  <c r="AL278" i="6" s="1"/>
  <c r="AK279" i="6"/>
  <c r="AL279" i="6" s="1"/>
  <c r="AK280" i="6"/>
  <c r="AL280" i="6" s="1"/>
  <c r="AK282" i="6"/>
  <c r="AL282" i="6" s="1"/>
  <c r="AK284" i="6"/>
  <c r="AL284" i="6" s="1"/>
  <c r="AK285" i="6"/>
  <c r="AL285" i="6" s="1"/>
  <c r="AH272" i="6"/>
  <c r="AH273" i="6"/>
  <c r="AH274" i="6"/>
  <c r="AH275" i="6"/>
  <c r="AH276" i="6"/>
  <c r="AH278" i="6"/>
  <c r="AH279" i="6"/>
  <c r="AH280" i="6"/>
  <c r="AH281" i="6"/>
  <c r="AH282" i="6"/>
  <c r="AH283" i="6"/>
  <c r="AH284" i="6"/>
  <c r="AH285" i="6"/>
  <c r="Z111" i="2"/>
  <c r="G111" i="2" s="1"/>
  <c r="Q112" i="2"/>
  <c r="K112" i="2"/>
  <c r="K113" i="2" s="1"/>
  <c r="J112" i="2"/>
  <c r="J113" i="2" s="1"/>
  <c r="E112" i="2"/>
  <c r="E113" i="2" s="1"/>
  <c r="D112" i="2"/>
  <c r="D113" i="2" s="1"/>
  <c r="AG111" i="2"/>
  <c r="G113" i="2" s="1"/>
  <c r="Q111" i="2"/>
  <c r="AJ154" i="6"/>
  <c r="AJ129" i="6"/>
  <c r="AJ6" i="6"/>
  <c r="AJ161" i="6"/>
  <c r="AJ52" i="6"/>
  <c r="AJ255" i="6"/>
  <c r="AK255" i="6" s="1"/>
  <c r="AL255" i="6" s="1"/>
  <c r="AJ270" i="6"/>
  <c r="AK270" i="6" s="1"/>
  <c r="AL270" i="6" s="1"/>
  <c r="AJ150" i="6"/>
  <c r="AJ231" i="6"/>
  <c r="AK231" i="6" s="1"/>
  <c r="AL231" i="6" s="1"/>
  <c r="AJ162" i="6"/>
  <c r="AK271" i="6"/>
  <c r="AL271" i="6" s="1"/>
  <c r="AH271" i="6"/>
  <c r="AH270" i="6"/>
  <c r="AH204" i="6"/>
  <c r="AJ204" i="6"/>
  <c r="AK204" i="6" s="1"/>
  <c r="AL204" i="6" s="1"/>
  <c r="AH205" i="6"/>
  <c r="AK205" i="6"/>
  <c r="AL205" i="6" s="1"/>
  <c r="AH206" i="6"/>
  <c r="AK206" i="6"/>
  <c r="AL206" i="6" s="1"/>
  <c r="AH207" i="6"/>
  <c r="AK207" i="6"/>
  <c r="AL207" i="6" s="1"/>
  <c r="AH208" i="6"/>
  <c r="AJ208" i="6"/>
  <c r="AK208" i="6" s="1"/>
  <c r="AL208" i="6" s="1"/>
  <c r="AH209" i="6"/>
  <c r="AJ209" i="6"/>
  <c r="AK209" i="6" s="1"/>
  <c r="AL209" i="6" s="1"/>
  <c r="AH210" i="6"/>
  <c r="AK210" i="6"/>
  <c r="AL210" i="6" s="1"/>
  <c r="AH211" i="6"/>
  <c r="AK211" i="6"/>
  <c r="AL211" i="6" s="1"/>
  <c r="AH212" i="6"/>
  <c r="AK212" i="6"/>
  <c r="AL212" i="6" s="1"/>
  <c r="AH213" i="6"/>
  <c r="AK213" i="6"/>
  <c r="AL213" i="6" s="1"/>
  <c r="AH214" i="6"/>
  <c r="AK214" i="6"/>
  <c r="AL214" i="6" s="1"/>
  <c r="AH215" i="6"/>
  <c r="AJ215" i="6"/>
  <c r="AK215" i="6" s="1"/>
  <c r="AL215" i="6" s="1"/>
  <c r="AH216" i="6"/>
  <c r="AK216" i="6"/>
  <c r="AL216" i="6" s="1"/>
  <c r="AH217" i="6"/>
  <c r="AK217" i="6"/>
  <c r="AL217" i="6" s="1"/>
  <c r="AH218" i="6"/>
  <c r="AK218" i="6"/>
  <c r="AL218" i="6" s="1"/>
  <c r="AH219" i="6"/>
  <c r="AK219" i="6"/>
  <c r="AL219" i="6" s="1"/>
  <c r="AH220" i="6"/>
  <c r="AK220" i="6"/>
  <c r="AL220" i="6" s="1"/>
  <c r="AH221" i="6"/>
  <c r="AK221" i="6"/>
  <c r="AL221" i="6" s="1"/>
  <c r="AH222" i="6"/>
  <c r="AK222" i="6"/>
  <c r="AL222" i="6" s="1"/>
  <c r="AH223" i="6"/>
  <c r="AJ223" i="6"/>
  <c r="AK223" i="6" s="1"/>
  <c r="AL223" i="6" s="1"/>
  <c r="AH224" i="6"/>
  <c r="AK224" i="6"/>
  <c r="AL224" i="6" s="1"/>
  <c r="AK225" i="6"/>
  <c r="AL225" i="6" s="1"/>
  <c r="AH226" i="6"/>
  <c r="AK226" i="6"/>
  <c r="AL226" i="6" s="1"/>
  <c r="AH227" i="6"/>
  <c r="AK227" i="6"/>
  <c r="AL227" i="6" s="1"/>
  <c r="AH228" i="6"/>
  <c r="AK228" i="6"/>
  <c r="AL228" i="6" s="1"/>
  <c r="AK229" i="6"/>
  <c r="AL229" i="6" s="1"/>
  <c r="AH230" i="6"/>
  <c r="AK230" i="6"/>
  <c r="AL230" i="6" s="1"/>
  <c r="AH231" i="6"/>
  <c r="AH232" i="6"/>
  <c r="AH233" i="6"/>
  <c r="AK233" i="6"/>
  <c r="AL233" i="6" s="1"/>
  <c r="AH234" i="6"/>
  <c r="AK234" i="6"/>
  <c r="AL234" i="6" s="1"/>
  <c r="AH235" i="6"/>
  <c r="AK235" i="6"/>
  <c r="AL235" i="6" s="1"/>
  <c r="AH236" i="6"/>
  <c r="AJ236" i="6"/>
  <c r="AK236" i="6" s="1"/>
  <c r="AL236" i="6" s="1"/>
  <c r="AH237" i="6"/>
  <c r="AK237" i="6"/>
  <c r="AL237" i="6" s="1"/>
  <c r="AH238" i="6"/>
  <c r="AK238" i="6"/>
  <c r="AL238" i="6" s="1"/>
  <c r="AH239" i="6"/>
  <c r="AK239" i="6"/>
  <c r="AL239" i="6" s="1"/>
  <c r="AH240" i="6"/>
  <c r="AH241" i="6"/>
  <c r="AK241" i="6"/>
  <c r="AL241" i="6" s="1"/>
  <c r="AH242" i="6"/>
  <c r="AK242" i="6"/>
  <c r="AL242" i="6" s="1"/>
  <c r="AK243" i="6"/>
  <c r="AL243" i="6" s="1"/>
  <c r="AH244" i="6"/>
  <c r="AK244" i="6"/>
  <c r="AL244" i="6" s="1"/>
  <c r="AH245" i="6"/>
  <c r="AK245" i="6"/>
  <c r="AL245" i="6" s="1"/>
  <c r="AH246" i="6"/>
  <c r="AK246" i="6"/>
  <c r="AL246" i="6" s="1"/>
  <c r="AH247" i="6"/>
  <c r="AK247" i="6"/>
  <c r="AL247" i="6" s="1"/>
  <c r="AH248" i="6"/>
  <c r="AK248" i="6"/>
  <c r="AL248" i="6" s="1"/>
  <c r="AH249" i="6"/>
  <c r="AK249" i="6"/>
  <c r="AL249" i="6" s="1"/>
  <c r="AH250" i="6"/>
  <c r="AK250" i="6"/>
  <c r="AL250" i="6" s="1"/>
  <c r="AH251" i="6"/>
  <c r="AK251" i="6"/>
  <c r="AL251" i="6" s="1"/>
  <c r="AH252" i="6"/>
  <c r="AK252" i="6"/>
  <c r="AL252" i="6" s="1"/>
  <c r="AH253" i="6"/>
  <c r="AK253" i="6"/>
  <c r="AL253" i="6" s="1"/>
  <c r="AH254" i="6"/>
  <c r="AK254" i="6"/>
  <c r="AL254" i="6" s="1"/>
  <c r="AH255" i="6"/>
  <c r="AH256" i="6"/>
  <c r="AK256" i="6"/>
  <c r="AL256" i="6" s="1"/>
  <c r="AH257" i="6"/>
  <c r="AK257" i="6"/>
  <c r="AL257" i="6" s="1"/>
  <c r="AH258" i="6"/>
  <c r="AK258" i="6"/>
  <c r="AL258" i="6" s="1"/>
  <c r="AH259" i="6"/>
  <c r="AK259" i="6"/>
  <c r="AL259" i="6" s="1"/>
  <c r="AH260" i="6"/>
  <c r="AH261" i="6"/>
  <c r="AH262" i="6"/>
  <c r="AK262" i="6"/>
  <c r="AL262" i="6" s="1"/>
  <c r="AH263" i="6"/>
  <c r="AK263" i="6"/>
  <c r="AL263" i="6" s="1"/>
  <c r="AH264" i="6"/>
  <c r="AK264" i="6"/>
  <c r="AL264" i="6" s="1"/>
  <c r="AH265" i="6"/>
  <c r="AK265" i="6"/>
  <c r="AL265" i="6" s="1"/>
  <c r="AH266" i="6"/>
  <c r="AK266" i="6"/>
  <c r="AL266" i="6" s="1"/>
  <c r="AH267" i="6"/>
  <c r="AK267" i="6"/>
  <c r="AL267" i="6" s="1"/>
  <c r="AH268" i="6"/>
  <c r="AK268" i="6"/>
  <c r="AL268" i="6" s="1"/>
  <c r="AK269" i="6"/>
  <c r="AL269" i="6" s="1"/>
  <c r="AH269" i="6"/>
  <c r="G24" i="4"/>
  <c r="G23" i="4"/>
  <c r="O23" i="4" s="1"/>
  <c r="Q23" i="4" s="1"/>
  <c r="P24" i="4"/>
  <c r="J24" i="4"/>
  <c r="J25" i="4" s="1"/>
  <c r="I24" i="4"/>
  <c r="I25" i="4" s="1"/>
  <c r="E24" i="4"/>
  <c r="E25" i="4" s="1"/>
  <c r="D24" i="4"/>
  <c r="D25" i="4" s="1"/>
  <c r="C24" i="4"/>
  <c r="C25" i="4" s="1"/>
  <c r="P23" i="4"/>
  <c r="P21" i="4"/>
  <c r="J21" i="4"/>
  <c r="J22" i="4" s="1"/>
  <c r="I21" i="4"/>
  <c r="I22" i="4" s="1"/>
  <c r="E21" i="4"/>
  <c r="E22" i="4" s="1"/>
  <c r="D21" i="4"/>
  <c r="D22" i="4" s="1"/>
  <c r="C21" i="4"/>
  <c r="C22" i="4" s="1"/>
  <c r="P20" i="4"/>
  <c r="P18" i="4"/>
  <c r="J18" i="4"/>
  <c r="J19" i="4" s="1"/>
  <c r="E18" i="4"/>
  <c r="E19" i="4" s="1"/>
  <c r="D18" i="4"/>
  <c r="D19" i="4" s="1"/>
  <c r="C18" i="4"/>
  <c r="C19" i="4" s="1"/>
  <c r="P17" i="4"/>
  <c r="P15" i="4"/>
  <c r="J15" i="4"/>
  <c r="J16" i="4" s="1"/>
  <c r="E15" i="4"/>
  <c r="E16" i="4" s="1"/>
  <c r="D15" i="4"/>
  <c r="D16" i="4" s="1"/>
  <c r="C15" i="4"/>
  <c r="C16" i="4" s="1"/>
  <c r="P14" i="4"/>
  <c r="Z108" i="2"/>
  <c r="G108" i="2" s="1"/>
  <c r="Q109" i="2"/>
  <c r="K109" i="2"/>
  <c r="K110" i="2" s="1"/>
  <c r="J109" i="2"/>
  <c r="J110" i="2" s="1"/>
  <c r="E109" i="2"/>
  <c r="E110" i="2" s="1"/>
  <c r="D109" i="2"/>
  <c r="D110" i="2" s="1"/>
  <c r="AG108" i="2"/>
  <c r="G110" i="2" s="1"/>
  <c r="Q108" i="2"/>
  <c r="I11" i="5"/>
  <c r="B11" i="5"/>
  <c r="B12" i="5"/>
  <c r="B15" i="5"/>
  <c r="B16" i="5"/>
  <c r="B17" i="5"/>
  <c r="B18" i="5"/>
  <c r="B19" i="5"/>
  <c r="B20" i="5"/>
  <c r="B21" i="5"/>
  <c r="B22" i="5"/>
  <c r="B23" i="5"/>
  <c r="B24" i="5"/>
  <c r="B25" i="5"/>
  <c r="N11" i="5" l="1"/>
  <c r="O11" i="5" s="1"/>
  <c r="P11" i="5" s="1"/>
  <c r="N12" i="5"/>
  <c r="O12" i="5" s="1"/>
  <c r="P12" i="5" s="1"/>
  <c r="U108" i="2"/>
  <c r="V108" i="2" s="1"/>
  <c r="U111" i="2"/>
  <c r="V111" i="2" s="1"/>
  <c r="O24" i="4"/>
  <c r="Q24" i="4" s="1"/>
  <c r="H112" i="2"/>
  <c r="H111" i="2"/>
  <c r="H113" i="2"/>
  <c r="H110" i="2"/>
  <c r="Z105" i="2"/>
  <c r="G105" i="2" s="1"/>
  <c r="Q106" i="2"/>
  <c r="K106" i="2"/>
  <c r="K107" i="2" s="1"/>
  <c r="J106" i="2"/>
  <c r="J107" i="2" s="1"/>
  <c r="E106" i="2"/>
  <c r="E107" i="2" s="1"/>
  <c r="D106" i="2"/>
  <c r="D107" i="2" s="1"/>
  <c r="AG105" i="2"/>
  <c r="G107" i="2" s="1"/>
  <c r="Q105" i="2"/>
  <c r="AJ93" i="6"/>
  <c r="O113" i="2" l="1"/>
  <c r="P113" i="2" s="1"/>
  <c r="S113" i="2" s="1"/>
  <c r="O112" i="2"/>
  <c r="P112" i="2" s="1"/>
  <c r="S112" i="2" s="1"/>
  <c r="U105" i="2"/>
  <c r="V105" i="2" s="1"/>
  <c r="O111" i="2"/>
  <c r="P111" i="2" s="1"/>
  <c r="S111" i="2" s="1"/>
  <c r="O110" i="2"/>
  <c r="P110" i="2" s="1"/>
  <c r="S110" i="2" s="1"/>
  <c r="H106" i="2"/>
  <c r="P106" i="2" s="1"/>
  <c r="S106" i="2" s="1"/>
  <c r="H107" i="2"/>
  <c r="P107" i="2" s="1"/>
  <c r="S107" i="2" s="1"/>
  <c r="H105" i="2"/>
  <c r="Z102" i="2"/>
  <c r="G102" i="2" s="1"/>
  <c r="Q103" i="2"/>
  <c r="K103" i="2"/>
  <c r="K104" i="2" s="1"/>
  <c r="J103" i="2"/>
  <c r="J104" i="2" s="1"/>
  <c r="E103" i="2"/>
  <c r="E104" i="2" s="1"/>
  <c r="AG102" i="2"/>
  <c r="G104" i="2" s="1"/>
  <c r="Q102" i="2"/>
  <c r="R19" i="2"/>
  <c r="R7" i="2"/>
  <c r="AJ128" i="6"/>
  <c r="AJ133" i="6"/>
  <c r="U102" i="2" l="1"/>
  <c r="V102" i="2" s="1"/>
  <c r="O105" i="2"/>
  <c r="P105" i="2" s="1"/>
  <c r="S105" i="2" s="1"/>
  <c r="H104" i="2"/>
  <c r="H102" i="2"/>
  <c r="H103" i="2"/>
  <c r="AJ159" i="6"/>
  <c r="H97" i="7"/>
  <c r="Z99" i="2"/>
  <c r="G99" i="2" s="1"/>
  <c r="Q100" i="2"/>
  <c r="K100" i="2"/>
  <c r="K101" i="2" s="1"/>
  <c r="J101" i="2"/>
  <c r="E100" i="2"/>
  <c r="E101" i="2" s="1"/>
  <c r="D100" i="2"/>
  <c r="D101" i="2" s="1"/>
  <c r="AG99" i="2"/>
  <c r="G101" i="2" s="1"/>
  <c r="Q99" i="2"/>
  <c r="Z96" i="2"/>
  <c r="G96" i="2" s="1"/>
  <c r="Q97" i="2"/>
  <c r="K97" i="2"/>
  <c r="K98" i="2" s="1"/>
  <c r="J97" i="2"/>
  <c r="J98" i="2" s="1"/>
  <c r="E97" i="2"/>
  <c r="E98" i="2" s="1"/>
  <c r="D97" i="2"/>
  <c r="D98" i="2" s="1"/>
  <c r="AG96" i="2"/>
  <c r="G98" i="2" s="1"/>
  <c r="Q96" i="2"/>
  <c r="Z93" i="2"/>
  <c r="G93" i="2" s="1"/>
  <c r="Q94" i="2"/>
  <c r="K94" i="2"/>
  <c r="K95" i="2" s="1"/>
  <c r="J94" i="2"/>
  <c r="J95" i="2" s="1"/>
  <c r="E94" i="2"/>
  <c r="E95" i="2" s="1"/>
  <c r="D94" i="2"/>
  <c r="D95" i="2" s="1"/>
  <c r="AG93" i="2"/>
  <c r="G95" i="2" s="1"/>
  <c r="Q93" i="2"/>
  <c r="Z90" i="2"/>
  <c r="G90" i="2" s="1"/>
  <c r="Q91" i="2"/>
  <c r="K91" i="2"/>
  <c r="K92" i="2" s="1"/>
  <c r="J91" i="2"/>
  <c r="J92" i="2" s="1"/>
  <c r="E91" i="2"/>
  <c r="E92" i="2" s="1"/>
  <c r="D91" i="2"/>
  <c r="D92" i="2" s="1"/>
  <c r="AG90" i="2"/>
  <c r="G92" i="2" s="1"/>
  <c r="Q90" i="2"/>
  <c r="AJ39" i="6"/>
  <c r="AJ38" i="6"/>
  <c r="AJ36" i="6"/>
  <c r="AJ20" i="6"/>
  <c r="AJ19" i="6"/>
  <c r="AJ17" i="6"/>
  <c r="AJ15" i="6"/>
  <c r="AJ13" i="6"/>
  <c r="AJ50" i="6"/>
  <c r="AJ23" i="6"/>
  <c r="AJ62" i="6"/>
  <c r="AJ72" i="6"/>
  <c r="AJ71" i="6"/>
  <c r="AJ176" i="6"/>
  <c r="AJ3" i="6"/>
  <c r="AJ146" i="6"/>
  <c r="AJ138" i="6"/>
  <c r="AJ111" i="6"/>
  <c r="AJ41" i="6"/>
  <c r="N10" i="5"/>
  <c r="O10" i="5" s="1"/>
  <c r="P10" i="5" s="1"/>
  <c r="AJ57" i="6"/>
  <c r="O104" i="2" l="1"/>
  <c r="P104" i="2" s="1"/>
  <c r="S104" i="2" s="1"/>
  <c r="O103" i="2"/>
  <c r="P103" i="2" s="1"/>
  <c r="S103" i="2" s="1"/>
  <c r="H95" i="2"/>
  <c r="O102" i="2"/>
  <c r="P102" i="2" s="1"/>
  <c r="S102" i="2" s="1"/>
  <c r="H99" i="2"/>
  <c r="H100" i="2"/>
  <c r="H101" i="2"/>
  <c r="P101" i="2" s="1"/>
  <c r="S101" i="2" s="1"/>
  <c r="H96" i="2"/>
  <c r="H97" i="2"/>
  <c r="O97" i="2" s="1"/>
  <c r="H98" i="2"/>
  <c r="H90" i="2"/>
  <c r="H91" i="2"/>
  <c r="H92" i="2"/>
  <c r="P92" i="2" s="1"/>
  <c r="S92" i="2" s="1"/>
  <c r="AJ202" i="6"/>
  <c r="AK202" i="6" s="1"/>
  <c r="AL202" i="6" s="1"/>
  <c r="AK203" i="6"/>
  <c r="AL203" i="6" s="1"/>
  <c r="AH202" i="6"/>
  <c r="AH203" i="6"/>
  <c r="O100" i="2" l="1"/>
  <c r="P100" i="2" s="1"/>
  <c r="S100" i="2" s="1"/>
  <c r="O91" i="2"/>
  <c r="P91" i="2" s="1"/>
  <c r="S91" i="2" s="1"/>
  <c r="P97" i="2"/>
  <c r="S97" i="2" s="1"/>
  <c r="O93" i="2"/>
  <c r="P93" i="2" s="1"/>
  <c r="S93" i="2" s="1"/>
  <c r="O90" i="2"/>
  <c r="P90" i="2" s="1"/>
  <c r="S90" i="2" s="1"/>
  <c r="O96" i="2"/>
  <c r="P96" i="2" s="1"/>
  <c r="S96" i="2" s="1"/>
  <c r="O99" i="2"/>
  <c r="P99" i="2" s="1"/>
  <c r="S99" i="2" s="1"/>
  <c r="AK197" i="6"/>
  <c r="AL197" i="6" s="1"/>
  <c r="AK198" i="6"/>
  <c r="AL198" i="6" s="1"/>
  <c r="AK199" i="6"/>
  <c r="AL199" i="6" s="1"/>
  <c r="AK200" i="6"/>
  <c r="AL200" i="6" s="1"/>
  <c r="AK201" i="6"/>
  <c r="AL201" i="6" s="1"/>
  <c r="AH197" i="6"/>
  <c r="AH198" i="6"/>
  <c r="AH199" i="6"/>
  <c r="AH200" i="6"/>
  <c r="AH201" i="6"/>
  <c r="AJ191" i="6"/>
  <c r="AK191" i="6" s="1"/>
  <c r="AL191" i="6" s="1"/>
  <c r="AJ16" i="6"/>
  <c r="AK184" i="6"/>
  <c r="AL184" i="6" s="1"/>
  <c r="AK185" i="6"/>
  <c r="AL185" i="6" s="1"/>
  <c r="AK186" i="6"/>
  <c r="AL186" i="6" s="1"/>
  <c r="AK187" i="6"/>
  <c r="AL187" i="6" s="1"/>
  <c r="AK188" i="6"/>
  <c r="AL188" i="6" s="1"/>
  <c r="AK189" i="6"/>
  <c r="AL189" i="6" s="1"/>
  <c r="AK190" i="6"/>
  <c r="AL190" i="6" s="1"/>
  <c r="AK192" i="6"/>
  <c r="AL192" i="6" s="1"/>
  <c r="AK193" i="6"/>
  <c r="AL193" i="6" s="1"/>
  <c r="AK194" i="6"/>
  <c r="AL194" i="6" s="1"/>
  <c r="AK195" i="6"/>
  <c r="AL195" i="6" s="1"/>
  <c r="AK196" i="6"/>
  <c r="AL196" i="6" s="1"/>
  <c r="AH184" i="6"/>
  <c r="AH185" i="6"/>
  <c r="AH186" i="6"/>
  <c r="AH187" i="6"/>
  <c r="AH188" i="6"/>
  <c r="AH189" i="6"/>
  <c r="AH190" i="6"/>
  <c r="AH191" i="6"/>
  <c r="AH192" i="6"/>
  <c r="AH193" i="6"/>
  <c r="AH194" i="6"/>
  <c r="AH195" i="6"/>
  <c r="AH196" i="6"/>
  <c r="G6" i="4"/>
  <c r="G5" i="4"/>
  <c r="C12" i="4"/>
  <c r="C13" i="4" s="1"/>
  <c r="D12" i="4"/>
  <c r="D13" i="4" s="1"/>
  <c r="E12" i="4"/>
  <c r="E13" i="4" s="1"/>
  <c r="I12" i="4"/>
  <c r="I13" i="4" s="1"/>
  <c r="J12" i="4"/>
  <c r="G3" i="4"/>
  <c r="N3" i="4" s="1"/>
  <c r="G2" i="4"/>
  <c r="P12" i="4"/>
  <c r="P11" i="4"/>
  <c r="G11" i="4"/>
  <c r="P9" i="4"/>
  <c r="J9" i="4"/>
  <c r="J10" i="4" s="1"/>
  <c r="E9" i="4"/>
  <c r="E10" i="4" s="1"/>
  <c r="D9" i="4"/>
  <c r="D10" i="4" s="1"/>
  <c r="C9" i="4"/>
  <c r="C10" i="4" s="1"/>
  <c r="P8" i="4"/>
  <c r="N5" i="4" l="1"/>
  <c r="O5" i="4" s="1"/>
  <c r="O3" i="4"/>
  <c r="Q3" i="4" s="1"/>
  <c r="D17" i="1"/>
  <c r="N2" i="4"/>
  <c r="O2" i="4" s="1"/>
  <c r="Q2" i="4" s="1"/>
  <c r="G37" i="1"/>
  <c r="G4" i="4"/>
  <c r="E37" i="1"/>
  <c r="N11" i="4"/>
  <c r="O11" i="4" s="1"/>
  <c r="Q11" i="4" s="1"/>
  <c r="O4" i="4" l="1"/>
  <c r="Q4" i="4" s="1"/>
  <c r="H37" i="1"/>
  <c r="P37" i="1" s="1"/>
  <c r="F26" i="1"/>
  <c r="I26" i="1" s="1"/>
  <c r="Q5" i="4"/>
  <c r="J13" i="4"/>
  <c r="G26" i="1" l="1"/>
  <c r="H26" i="1"/>
  <c r="Z87" i="2"/>
  <c r="G87" i="2" s="1"/>
  <c r="Q88" i="2"/>
  <c r="K88" i="2"/>
  <c r="K89" i="2" s="1"/>
  <c r="J88" i="2"/>
  <c r="J89" i="2" s="1"/>
  <c r="E88" i="2"/>
  <c r="E89" i="2" s="1"/>
  <c r="D88" i="2"/>
  <c r="D89" i="2" s="1"/>
  <c r="AG87" i="2"/>
  <c r="G89" i="2" s="1"/>
  <c r="Q87" i="2"/>
  <c r="AJ174" i="6"/>
  <c r="AK174" i="6" s="1"/>
  <c r="AL174" i="6" s="1"/>
  <c r="AJ156" i="6"/>
  <c r="AK175" i="6"/>
  <c r="AL175" i="6" s="1"/>
  <c r="AK176" i="6"/>
  <c r="AL176" i="6" s="1"/>
  <c r="AK177" i="6"/>
  <c r="AL177" i="6" s="1"/>
  <c r="AK178" i="6"/>
  <c r="AL178" i="6" s="1"/>
  <c r="AK179" i="6"/>
  <c r="AL179" i="6" s="1"/>
  <c r="AK180" i="6"/>
  <c r="AL180" i="6" s="1"/>
  <c r="AK181" i="6"/>
  <c r="AL181" i="6" s="1"/>
  <c r="AK182" i="6"/>
  <c r="AL182" i="6" s="1"/>
  <c r="AK183" i="6"/>
  <c r="AL183" i="6" s="1"/>
  <c r="AH174" i="6"/>
  <c r="AH175" i="6"/>
  <c r="AH176" i="6"/>
  <c r="AH177" i="6"/>
  <c r="AH178" i="6"/>
  <c r="AH179" i="6"/>
  <c r="AH180" i="6"/>
  <c r="AH181" i="6"/>
  <c r="AH183" i="6"/>
  <c r="Z84" i="2"/>
  <c r="G84" i="2" s="1"/>
  <c r="Q85" i="2"/>
  <c r="K85" i="2"/>
  <c r="K86" i="2" s="1"/>
  <c r="J85" i="2"/>
  <c r="J86" i="2" s="1"/>
  <c r="E85" i="2"/>
  <c r="E86" i="2" s="1"/>
  <c r="D85" i="2"/>
  <c r="D86" i="2" s="1"/>
  <c r="AG84" i="2"/>
  <c r="G86" i="2" s="1"/>
  <c r="Q84" i="2"/>
  <c r="P2" i="4"/>
  <c r="P3" i="4"/>
  <c r="I6" i="4"/>
  <c r="P6" i="4"/>
  <c r="J6" i="4"/>
  <c r="J7" i="4" s="1"/>
  <c r="E6" i="4"/>
  <c r="E7" i="4" s="1"/>
  <c r="D6" i="4"/>
  <c r="D7" i="4" s="1"/>
  <c r="C6" i="4"/>
  <c r="C7" i="4" s="1"/>
  <c r="P5" i="4"/>
  <c r="J3" i="4"/>
  <c r="J4" i="4" s="1"/>
  <c r="E3" i="4"/>
  <c r="E4" i="4" s="1"/>
  <c r="D3" i="4"/>
  <c r="D4" i="4" s="1"/>
  <c r="C3" i="4"/>
  <c r="C4" i="4" s="1"/>
  <c r="U87" i="2" l="1"/>
  <c r="V87" i="2" s="1"/>
  <c r="U84" i="2"/>
  <c r="V84" i="2" s="1"/>
  <c r="H89" i="2"/>
  <c r="I7" i="4"/>
  <c r="E26" i="1" s="1"/>
  <c r="H86" i="2"/>
  <c r="P86" i="2" s="1"/>
  <c r="S86" i="2" s="1"/>
  <c r="H84" i="2"/>
  <c r="H85" i="2"/>
  <c r="H123" i="7"/>
  <c r="H119" i="7"/>
  <c r="H100" i="7"/>
  <c r="AJ120" i="6"/>
  <c r="AK173" i="6"/>
  <c r="AL173" i="6" s="1"/>
  <c r="AH173" i="6"/>
  <c r="AK172" i="6"/>
  <c r="AL172" i="6" s="1"/>
  <c r="AH172" i="6"/>
  <c r="AK171" i="6"/>
  <c r="AL171" i="6" s="1"/>
  <c r="AH171" i="6"/>
  <c r="AK170" i="6"/>
  <c r="AL170" i="6" s="1"/>
  <c r="AH170" i="6"/>
  <c r="AK169" i="6"/>
  <c r="AL169" i="6" s="1"/>
  <c r="AH169" i="6"/>
  <c r="AK168" i="6"/>
  <c r="AL168" i="6" s="1"/>
  <c r="AH168" i="6"/>
  <c r="AK167" i="6"/>
  <c r="AL167" i="6" s="1"/>
  <c r="AH167" i="6"/>
  <c r="AK166" i="6"/>
  <c r="AL166" i="6" s="1"/>
  <c r="AH166" i="6"/>
  <c r="Z81" i="2"/>
  <c r="G81" i="2" s="1"/>
  <c r="Q82" i="2"/>
  <c r="K82" i="2"/>
  <c r="K83" i="2" s="1"/>
  <c r="J82" i="2"/>
  <c r="J83" i="2" s="1"/>
  <c r="E82" i="2"/>
  <c r="E83" i="2" s="1"/>
  <c r="D82" i="2"/>
  <c r="D83" i="2" s="1"/>
  <c r="AG81" i="2"/>
  <c r="G83" i="2" s="1"/>
  <c r="Q81" i="2"/>
  <c r="D79" i="2"/>
  <c r="D80" i="2" s="1"/>
  <c r="Z78" i="2"/>
  <c r="G78" i="2" s="1"/>
  <c r="Q79" i="2"/>
  <c r="K79" i="2"/>
  <c r="K80" i="2" s="1"/>
  <c r="J79" i="2"/>
  <c r="J80" i="2" s="1"/>
  <c r="E79" i="2"/>
  <c r="E80" i="2" s="1"/>
  <c r="AG78" i="2"/>
  <c r="G80" i="2" s="1"/>
  <c r="Q78" i="2"/>
  <c r="AK155" i="6"/>
  <c r="AL155" i="6" s="1"/>
  <c r="AK156" i="6"/>
  <c r="AL156" i="6" s="1"/>
  <c r="AK157" i="6"/>
  <c r="AL157" i="6" s="1"/>
  <c r="AK158" i="6"/>
  <c r="AL158" i="6" s="1"/>
  <c r="AK159" i="6"/>
  <c r="AL159" i="6" s="1"/>
  <c r="AK160" i="6"/>
  <c r="AL160" i="6" s="1"/>
  <c r="AK161" i="6"/>
  <c r="AL161" i="6" s="1"/>
  <c r="AK162" i="6"/>
  <c r="AL162" i="6" s="1"/>
  <c r="AK163" i="6"/>
  <c r="AL163" i="6" s="1"/>
  <c r="AK164" i="6"/>
  <c r="AL164" i="6" s="1"/>
  <c r="AK165" i="6"/>
  <c r="AL165" i="6" s="1"/>
  <c r="AH155" i="6"/>
  <c r="AH156" i="6"/>
  <c r="AH157" i="6"/>
  <c r="AH158" i="6"/>
  <c r="AH159" i="6"/>
  <c r="AH160" i="6"/>
  <c r="AH161" i="6"/>
  <c r="AH162" i="6"/>
  <c r="AH163" i="6"/>
  <c r="AH164" i="6"/>
  <c r="AH165" i="6"/>
  <c r="Z76" i="2"/>
  <c r="Z75" i="2"/>
  <c r="Z72" i="2"/>
  <c r="Z69" i="2"/>
  <c r="AJ153" i="6"/>
  <c r="AK153" i="6" s="1"/>
  <c r="AL153" i="6" s="1"/>
  <c r="AJ91" i="6"/>
  <c r="AK150" i="6"/>
  <c r="AL150" i="6" s="1"/>
  <c r="AK151" i="6"/>
  <c r="AL151" i="6" s="1"/>
  <c r="AK152" i="6"/>
  <c r="AL152" i="6" s="1"/>
  <c r="AK154" i="6"/>
  <c r="AL154" i="6" s="1"/>
  <c r="AH150" i="6"/>
  <c r="AH151" i="6"/>
  <c r="AH152" i="6"/>
  <c r="AH153" i="6"/>
  <c r="AH154" i="6"/>
  <c r="Q76" i="2"/>
  <c r="K76" i="2"/>
  <c r="K77" i="2" s="1"/>
  <c r="J76" i="2"/>
  <c r="J77" i="2" s="1"/>
  <c r="E76" i="2"/>
  <c r="E77" i="2" s="1"/>
  <c r="D76" i="2"/>
  <c r="D77" i="2" s="1"/>
  <c r="AG75" i="2"/>
  <c r="G77" i="2" s="1"/>
  <c r="Q75" i="2"/>
  <c r="Z73" i="2"/>
  <c r="Q73" i="2"/>
  <c r="K73" i="2"/>
  <c r="K74" i="2" s="1"/>
  <c r="J73" i="2"/>
  <c r="J74" i="2" s="1"/>
  <c r="E73" i="2"/>
  <c r="E74" i="2" s="1"/>
  <c r="D73" i="2"/>
  <c r="D74" i="2" s="1"/>
  <c r="AG72" i="2"/>
  <c r="G74" i="2" s="1"/>
  <c r="Q72" i="2"/>
  <c r="Z70" i="2"/>
  <c r="Q70" i="2"/>
  <c r="K70" i="2"/>
  <c r="K71" i="2" s="1"/>
  <c r="J70" i="2"/>
  <c r="J71" i="2" s="1"/>
  <c r="E70" i="2"/>
  <c r="E71" i="2" s="1"/>
  <c r="D70" i="2"/>
  <c r="D71" i="2" s="1"/>
  <c r="AG69" i="2"/>
  <c r="G71" i="2" s="1"/>
  <c r="Q69" i="2"/>
  <c r="Q9" i="2"/>
  <c r="Q8" i="2"/>
  <c r="Q67" i="2"/>
  <c r="Q66" i="2"/>
  <c r="Q64" i="2"/>
  <c r="Q63" i="2"/>
  <c r="Q61" i="2"/>
  <c r="Q60" i="2"/>
  <c r="Q57" i="2"/>
  <c r="Q56" i="2"/>
  <c r="Q54" i="2"/>
  <c r="Q53" i="2"/>
  <c r="Q51" i="2"/>
  <c r="Q50" i="2"/>
  <c r="Q48" i="2"/>
  <c r="Q47" i="2"/>
  <c r="Q45" i="2"/>
  <c r="Q44" i="2"/>
  <c r="Q42" i="2"/>
  <c r="Q41" i="2"/>
  <c r="Q39" i="2"/>
  <c r="Q38" i="2"/>
  <c r="Q36" i="2"/>
  <c r="Q35" i="2"/>
  <c r="Q33" i="2"/>
  <c r="Q32" i="2"/>
  <c r="Q30" i="2"/>
  <c r="Q29" i="2"/>
  <c r="Q27" i="2"/>
  <c r="Q26" i="2"/>
  <c r="Q24" i="2"/>
  <c r="Q23" i="2"/>
  <c r="Q21" i="2"/>
  <c r="Q20" i="2"/>
  <c r="Q18" i="2"/>
  <c r="Q17" i="2"/>
  <c r="Q15" i="2"/>
  <c r="Q14" i="2"/>
  <c r="Q12" i="2"/>
  <c r="Q11" i="2"/>
  <c r="K67" i="2"/>
  <c r="K68" i="2" s="1"/>
  <c r="K64" i="2"/>
  <c r="K65" i="2" s="1"/>
  <c r="K61" i="2"/>
  <c r="K62" i="2" s="1"/>
  <c r="K57" i="2"/>
  <c r="K58" i="2" s="1"/>
  <c r="K59" i="2" s="1"/>
  <c r="K54" i="2"/>
  <c r="K55" i="2" s="1"/>
  <c r="K51" i="2"/>
  <c r="K52" i="2" s="1"/>
  <c r="K48" i="2"/>
  <c r="K49" i="2" s="1"/>
  <c r="K45" i="2"/>
  <c r="K46" i="2" s="1"/>
  <c r="K42" i="2"/>
  <c r="K43" i="2" s="1"/>
  <c r="K39" i="2"/>
  <c r="K40" i="2" s="1"/>
  <c r="K36" i="2"/>
  <c r="K37" i="2" s="1"/>
  <c r="K24" i="2"/>
  <c r="K25" i="2" s="1"/>
  <c r="K21" i="2"/>
  <c r="K22" i="2" s="1"/>
  <c r="K18" i="2"/>
  <c r="K19" i="2" s="1"/>
  <c r="K15" i="2"/>
  <c r="K16" i="2" s="1"/>
  <c r="K12" i="2"/>
  <c r="K13" i="2" s="1"/>
  <c r="K9" i="2"/>
  <c r="K10" i="2" s="1"/>
  <c r="Q6" i="2"/>
  <c r="Q5" i="2"/>
  <c r="K6" i="2"/>
  <c r="K7" i="2" s="1"/>
  <c r="Q2" i="2"/>
  <c r="Q3" i="2"/>
  <c r="K3" i="2"/>
  <c r="K4" i="2" s="1"/>
  <c r="AJ126" i="6"/>
  <c r="AJ140" i="6"/>
  <c r="AK140" i="6" s="1"/>
  <c r="AL140" i="6" s="1"/>
  <c r="AK136" i="6"/>
  <c r="AL136" i="6" s="1"/>
  <c r="AK137" i="6"/>
  <c r="AL137" i="6" s="1"/>
  <c r="AK138" i="6"/>
  <c r="AL138" i="6" s="1"/>
  <c r="AK139" i="6"/>
  <c r="AL139" i="6" s="1"/>
  <c r="AK141" i="6"/>
  <c r="AL141" i="6" s="1"/>
  <c r="AK142" i="6"/>
  <c r="AL142" i="6" s="1"/>
  <c r="AK143" i="6"/>
  <c r="AL143" i="6" s="1"/>
  <c r="AK144" i="6"/>
  <c r="AL144" i="6" s="1"/>
  <c r="AK145" i="6"/>
  <c r="AL145" i="6" s="1"/>
  <c r="AK146" i="6"/>
  <c r="AL146" i="6" s="1"/>
  <c r="AK147" i="6"/>
  <c r="AL147" i="6" s="1"/>
  <c r="AK148" i="6"/>
  <c r="AL148" i="6" s="1"/>
  <c r="AK149" i="6"/>
  <c r="AL149" i="6" s="1"/>
  <c r="AH136" i="6"/>
  <c r="AH137" i="6"/>
  <c r="AH138" i="6"/>
  <c r="AH139" i="6"/>
  <c r="AH140" i="6"/>
  <c r="AH141" i="6"/>
  <c r="AH142" i="6"/>
  <c r="AH143" i="6"/>
  <c r="AH144" i="6"/>
  <c r="AH145" i="6"/>
  <c r="AH146" i="6"/>
  <c r="AH147" i="6"/>
  <c r="AH148" i="6"/>
  <c r="AH149" i="6"/>
  <c r="G69" i="2" l="1"/>
  <c r="U69" i="2" s="1"/>
  <c r="V69" i="2" s="1"/>
  <c r="H80" i="2"/>
  <c r="P80" i="2" s="1"/>
  <c r="S80" i="2" s="1"/>
  <c r="G75" i="2"/>
  <c r="H77" i="2" s="1"/>
  <c r="O89" i="2"/>
  <c r="P89" i="2" s="1"/>
  <c r="S89" i="2" s="1"/>
  <c r="H81" i="2"/>
  <c r="O81" i="2" s="1"/>
  <c r="P81" i="2" s="1"/>
  <c r="S81" i="2" s="1"/>
  <c r="U81" i="2"/>
  <c r="V81" i="2" s="1"/>
  <c r="O85" i="2"/>
  <c r="P85" i="2" s="1"/>
  <c r="S85" i="2" s="1"/>
  <c r="O69" i="2"/>
  <c r="P69" i="2" s="1"/>
  <c r="S69" i="2" s="1"/>
  <c r="O84" i="2"/>
  <c r="P84" i="2" s="1"/>
  <c r="S84" i="2" s="1"/>
  <c r="G72" i="2"/>
  <c r="H82" i="2"/>
  <c r="H83" i="2"/>
  <c r="P76" i="2"/>
  <c r="S76" i="2" s="1"/>
  <c r="Z23" i="2"/>
  <c r="G23" i="2" s="1"/>
  <c r="Z66" i="2"/>
  <c r="AK126" i="6"/>
  <c r="AL126" i="6" s="1"/>
  <c r="AK127" i="6"/>
  <c r="AL127" i="6" s="1"/>
  <c r="AK128" i="6"/>
  <c r="AL128" i="6" s="1"/>
  <c r="AK129" i="6"/>
  <c r="AL129" i="6" s="1"/>
  <c r="AK130" i="6"/>
  <c r="AL130" i="6" s="1"/>
  <c r="AK131" i="6"/>
  <c r="AL131" i="6" s="1"/>
  <c r="AK132" i="6"/>
  <c r="AL132" i="6" s="1"/>
  <c r="AK133" i="6"/>
  <c r="AL133" i="6" s="1"/>
  <c r="AK134" i="6"/>
  <c r="AL134" i="6" s="1"/>
  <c r="AK135" i="6"/>
  <c r="AL135" i="6" s="1"/>
  <c r="AH126" i="6"/>
  <c r="AH127" i="6"/>
  <c r="AH128" i="6"/>
  <c r="AH129" i="6"/>
  <c r="AH130" i="6"/>
  <c r="AH131" i="6"/>
  <c r="AH132" i="6"/>
  <c r="AH133" i="6"/>
  <c r="AH134" i="6"/>
  <c r="AH135" i="6"/>
  <c r="Z67" i="2"/>
  <c r="J67" i="2"/>
  <c r="J68" i="2" s="1"/>
  <c r="E67" i="2"/>
  <c r="E68" i="2" s="1"/>
  <c r="D67" i="2"/>
  <c r="D68" i="2" s="1"/>
  <c r="AG66" i="2"/>
  <c r="G68" i="2" s="1"/>
  <c r="Z63" i="2"/>
  <c r="Z64" i="2"/>
  <c r="J64" i="2"/>
  <c r="J65" i="2" s="1"/>
  <c r="E64" i="2"/>
  <c r="E65" i="2" s="1"/>
  <c r="D64" i="2"/>
  <c r="D65" i="2" s="1"/>
  <c r="AG63" i="2"/>
  <c r="G65" i="2" s="1"/>
  <c r="Z60" i="2"/>
  <c r="Z61" i="2"/>
  <c r="J61" i="2"/>
  <c r="J62" i="2" s="1"/>
  <c r="E61" i="2"/>
  <c r="E62" i="2" s="1"/>
  <c r="D61" i="2"/>
  <c r="D62" i="2" s="1"/>
  <c r="AG60" i="2"/>
  <c r="G62" i="2" s="1"/>
  <c r="AJ48" i="6"/>
  <c r="AK112" i="6"/>
  <c r="AL112" i="6" s="1"/>
  <c r="AK113" i="6"/>
  <c r="AL113" i="6" s="1"/>
  <c r="AK114" i="6"/>
  <c r="AL114" i="6" s="1"/>
  <c r="AK115" i="6"/>
  <c r="AL115" i="6" s="1"/>
  <c r="AK116" i="6"/>
  <c r="AL116" i="6" s="1"/>
  <c r="AK117" i="6"/>
  <c r="AL117" i="6" s="1"/>
  <c r="AK118" i="6"/>
  <c r="AL118" i="6" s="1"/>
  <c r="AK119" i="6"/>
  <c r="AL119" i="6" s="1"/>
  <c r="AK120" i="6"/>
  <c r="AL120" i="6" s="1"/>
  <c r="AK121" i="6"/>
  <c r="AL121" i="6" s="1"/>
  <c r="AK122" i="6"/>
  <c r="AL122" i="6" s="1"/>
  <c r="AK123" i="6"/>
  <c r="AL123" i="6" s="1"/>
  <c r="AK124" i="6"/>
  <c r="AL124" i="6" s="1"/>
  <c r="AK125" i="6"/>
  <c r="AL125" i="6" s="1"/>
  <c r="AH112" i="6"/>
  <c r="AH113" i="6"/>
  <c r="AH114" i="6"/>
  <c r="AH115" i="6"/>
  <c r="AH116" i="6"/>
  <c r="AH117" i="6"/>
  <c r="AH118" i="6"/>
  <c r="AH119" i="6"/>
  <c r="AH120" i="6"/>
  <c r="AH121" i="6"/>
  <c r="AH122" i="6"/>
  <c r="AH123" i="6"/>
  <c r="AH124" i="6"/>
  <c r="AH125" i="6"/>
  <c r="AJ83" i="6"/>
  <c r="AJ70" i="6"/>
  <c r="AJ108" i="6"/>
  <c r="AK108" i="6" s="1"/>
  <c r="AL108" i="6" s="1"/>
  <c r="AJ81" i="6"/>
  <c r="AK105" i="6"/>
  <c r="AL105" i="6" s="1"/>
  <c r="AK106" i="6"/>
  <c r="AL106" i="6" s="1"/>
  <c r="AK107" i="6"/>
  <c r="AL107" i="6" s="1"/>
  <c r="AK109" i="6"/>
  <c r="AL109" i="6" s="1"/>
  <c r="AK110" i="6"/>
  <c r="AL110" i="6" s="1"/>
  <c r="AK111" i="6"/>
  <c r="AL111" i="6" s="1"/>
  <c r="AH105" i="6"/>
  <c r="AH106" i="6"/>
  <c r="AH107" i="6"/>
  <c r="AH108" i="6"/>
  <c r="AH109" i="6"/>
  <c r="AH110" i="6"/>
  <c r="AH111" i="6"/>
  <c r="O83" i="2" l="1"/>
  <c r="P83" i="2" s="1"/>
  <c r="S83" i="2" s="1"/>
  <c r="H71" i="2"/>
  <c r="P71" i="2" s="1"/>
  <c r="S71" i="2" s="1"/>
  <c r="H74" i="2"/>
  <c r="U72" i="2"/>
  <c r="V72" i="2" s="1"/>
  <c r="O82" i="2"/>
  <c r="P82" i="2" s="1"/>
  <c r="S82" i="2" s="1"/>
  <c r="H73" i="2"/>
  <c r="H72" i="2"/>
  <c r="P75" i="2"/>
  <c r="S75" i="2" s="1"/>
  <c r="O78" i="2"/>
  <c r="P78" i="2" s="1"/>
  <c r="S78" i="2" s="1"/>
  <c r="G66" i="2"/>
  <c r="G63" i="2"/>
  <c r="H65" i="2" s="1"/>
  <c r="P65" i="2" s="1"/>
  <c r="S65" i="2" s="1"/>
  <c r="G60" i="2"/>
  <c r="I9" i="5"/>
  <c r="B10" i="5"/>
  <c r="AJ98" i="6"/>
  <c r="O74" i="2" l="1"/>
  <c r="P74" i="2" s="1"/>
  <c r="S74" i="2" s="1"/>
  <c r="N9" i="5"/>
  <c r="O9" i="5" s="1"/>
  <c r="P9" i="5" s="1"/>
  <c r="P67" i="2"/>
  <c r="S67" i="2" s="1"/>
  <c r="U66" i="2"/>
  <c r="V66" i="2" s="1"/>
  <c r="O73" i="2"/>
  <c r="P73" i="2" s="1"/>
  <c r="S73" i="2" s="1"/>
  <c r="O72" i="2"/>
  <c r="P72" i="2" s="1"/>
  <c r="S72" i="2" s="1"/>
  <c r="H62" i="2"/>
  <c r="H68" i="2"/>
  <c r="P68" i="2" s="1"/>
  <c r="S68" i="2" s="1"/>
  <c r="AK98" i="6"/>
  <c r="AL98" i="6" s="1"/>
  <c r="AK99" i="6"/>
  <c r="AL99" i="6" s="1"/>
  <c r="AK100" i="6"/>
  <c r="AL100" i="6" s="1"/>
  <c r="AK101" i="6"/>
  <c r="AL101" i="6" s="1"/>
  <c r="AK102" i="6"/>
  <c r="AL102" i="6" s="1"/>
  <c r="AK103" i="6"/>
  <c r="AL103" i="6" s="1"/>
  <c r="AK104" i="6"/>
  <c r="AL104" i="6" s="1"/>
  <c r="AH98" i="6"/>
  <c r="AH99" i="6"/>
  <c r="AH100" i="6"/>
  <c r="AH101" i="6"/>
  <c r="AH102" i="6"/>
  <c r="AH103" i="6"/>
  <c r="AH104" i="6"/>
  <c r="AK91" i="6"/>
  <c r="AL91" i="6" s="1"/>
  <c r="AK92" i="6"/>
  <c r="AL92" i="6" s="1"/>
  <c r="AK93" i="6"/>
  <c r="AL93" i="6" s="1"/>
  <c r="AK94" i="6"/>
  <c r="AL94" i="6" s="1"/>
  <c r="AK95" i="6"/>
  <c r="AL95" i="6" s="1"/>
  <c r="AK96" i="6"/>
  <c r="AL96" i="6" s="1"/>
  <c r="AK97" i="6"/>
  <c r="AL97" i="6" s="1"/>
  <c r="AH91" i="6"/>
  <c r="AH92" i="6"/>
  <c r="AH93" i="6"/>
  <c r="AH94" i="6"/>
  <c r="AH95" i="6"/>
  <c r="AH96" i="6"/>
  <c r="AH97" i="6"/>
  <c r="AJ14" i="6"/>
  <c r="AJ2" i="6"/>
  <c r="AJ88" i="6"/>
  <c r="AK88" i="6" s="1"/>
  <c r="AL88" i="6" s="1"/>
  <c r="AJ54" i="6"/>
  <c r="AJ90" i="6"/>
  <c r="AK90" i="6" s="1"/>
  <c r="AL90" i="6" s="1"/>
  <c r="AJ77" i="6"/>
  <c r="AJ56" i="6"/>
  <c r="O2" i="2"/>
  <c r="P2" i="2" s="1"/>
  <c r="S2" i="2" s="1"/>
  <c r="AJ80" i="6"/>
  <c r="AK80" i="6" s="1"/>
  <c r="AL80" i="6" s="1"/>
  <c r="AJ55" i="6"/>
  <c r="AJ32" i="6"/>
  <c r="AK78" i="6"/>
  <c r="AL78" i="6" s="1"/>
  <c r="AK79" i="6"/>
  <c r="AL79" i="6" s="1"/>
  <c r="AK81" i="6"/>
  <c r="AL81" i="6" s="1"/>
  <c r="AK82" i="6"/>
  <c r="AL82" i="6" s="1"/>
  <c r="AK83" i="6"/>
  <c r="AL83" i="6" s="1"/>
  <c r="AK84" i="6"/>
  <c r="AL84" i="6" s="1"/>
  <c r="AK85" i="6"/>
  <c r="AL85" i="6" s="1"/>
  <c r="AK86" i="6"/>
  <c r="AL86" i="6" s="1"/>
  <c r="AK87" i="6"/>
  <c r="AL87" i="6" s="1"/>
  <c r="AK89" i="6"/>
  <c r="AL89" i="6" s="1"/>
  <c r="AH78" i="6"/>
  <c r="AH79" i="6"/>
  <c r="AH80" i="6"/>
  <c r="AH81" i="6"/>
  <c r="AH82" i="6"/>
  <c r="AH83" i="6"/>
  <c r="AH84" i="6"/>
  <c r="AH85" i="6"/>
  <c r="AH86" i="6"/>
  <c r="AH87" i="6"/>
  <c r="AH88" i="6"/>
  <c r="AH89" i="6"/>
  <c r="AH90" i="6"/>
  <c r="Z38" i="2"/>
  <c r="O63" i="2" l="1"/>
  <c r="P63" i="2" s="1"/>
  <c r="S63" i="2" s="1"/>
  <c r="O64" i="2"/>
  <c r="P64" i="2" s="1"/>
  <c r="S64" i="2" s="1"/>
  <c r="O60" i="2"/>
  <c r="P60" i="2" s="1"/>
  <c r="S60" i="2" s="1"/>
  <c r="O66" i="2"/>
  <c r="P66" i="2" s="1"/>
  <c r="S66" i="2" s="1"/>
  <c r="AG56" i="2"/>
  <c r="AG53" i="2"/>
  <c r="AG50" i="2"/>
  <c r="Z56" i="2"/>
  <c r="Z57" i="2"/>
  <c r="J57" i="2"/>
  <c r="E57" i="2"/>
  <c r="D57" i="2"/>
  <c r="B5" i="5"/>
  <c r="I5" i="5"/>
  <c r="Z53" i="2"/>
  <c r="Z54" i="2"/>
  <c r="J54" i="2"/>
  <c r="J55" i="2" s="1"/>
  <c r="E54" i="2"/>
  <c r="E55" i="2" s="1"/>
  <c r="D54" i="2"/>
  <c r="D55" i="2" s="1"/>
  <c r="AK74" i="6"/>
  <c r="AL74" i="6" s="1"/>
  <c r="AK75" i="6"/>
  <c r="AL75" i="6" s="1"/>
  <c r="AK76" i="6"/>
  <c r="AL76" i="6" s="1"/>
  <c r="AK77" i="6"/>
  <c r="AL77" i="6" s="1"/>
  <c r="AH74" i="6"/>
  <c r="AH75" i="6"/>
  <c r="AH76" i="6"/>
  <c r="AH77" i="6"/>
  <c r="AJ69" i="6"/>
  <c r="AJ67" i="6"/>
  <c r="AJ22" i="6"/>
  <c r="N5" i="5" l="1"/>
  <c r="O5" i="5" s="1"/>
  <c r="P5" i="5" s="1"/>
  <c r="G55" i="2"/>
  <c r="G59" i="2"/>
  <c r="G53" i="2"/>
  <c r="J59" i="2"/>
  <c r="J58" i="2"/>
  <c r="D59" i="2"/>
  <c r="D58" i="2"/>
  <c r="E59" i="2"/>
  <c r="E58" i="2"/>
  <c r="G56" i="2"/>
  <c r="Z50" i="2"/>
  <c r="G52" i="2"/>
  <c r="Z51" i="2"/>
  <c r="J51" i="2"/>
  <c r="J52" i="2" s="1"/>
  <c r="E51" i="2"/>
  <c r="E52" i="2" s="1"/>
  <c r="D51" i="2"/>
  <c r="D52" i="2" s="1"/>
  <c r="AK67" i="6"/>
  <c r="AL67" i="6" s="1"/>
  <c r="AK68" i="6"/>
  <c r="AL68" i="6" s="1"/>
  <c r="AK69" i="6"/>
  <c r="AL69" i="6" s="1"/>
  <c r="AK70" i="6"/>
  <c r="AL70" i="6" s="1"/>
  <c r="AK71" i="6"/>
  <c r="AL71" i="6" s="1"/>
  <c r="AK72" i="6"/>
  <c r="AL72" i="6" s="1"/>
  <c r="AK73" i="6"/>
  <c r="AL73" i="6" s="1"/>
  <c r="AH67" i="6"/>
  <c r="AH68" i="6"/>
  <c r="AH69" i="6"/>
  <c r="AH70" i="6"/>
  <c r="AH71" i="6"/>
  <c r="AH72" i="6"/>
  <c r="AH73" i="6"/>
  <c r="AK59" i="6"/>
  <c r="AL59" i="6" s="1"/>
  <c r="AK60" i="6"/>
  <c r="AL60" i="6" s="1"/>
  <c r="AK61" i="6"/>
  <c r="AL61" i="6" s="1"/>
  <c r="AK62" i="6"/>
  <c r="AL62" i="6" s="1"/>
  <c r="AK63" i="6"/>
  <c r="AL63" i="6" s="1"/>
  <c r="AK64" i="6"/>
  <c r="AL64" i="6" s="1"/>
  <c r="AK65" i="6"/>
  <c r="AL65" i="6" s="1"/>
  <c r="AK66" i="6"/>
  <c r="AL66" i="6" s="1"/>
  <c r="AH59" i="6"/>
  <c r="AH60" i="6"/>
  <c r="AH61" i="6"/>
  <c r="AH62" i="6"/>
  <c r="AH63" i="6"/>
  <c r="AH64" i="6"/>
  <c r="AH65" i="6"/>
  <c r="AH66" i="6"/>
  <c r="Z47" i="2"/>
  <c r="AB47" i="2" s="1"/>
  <c r="AG47" i="2" s="1"/>
  <c r="G49" i="2" s="1"/>
  <c r="Z48" i="2"/>
  <c r="J48" i="2"/>
  <c r="J49" i="2" s="1"/>
  <c r="E48" i="2"/>
  <c r="E49" i="2" s="1"/>
  <c r="D48" i="2"/>
  <c r="D49" i="2" s="1"/>
  <c r="H55" i="2" l="1"/>
  <c r="P55" i="2" s="1"/>
  <c r="S55" i="2" s="1"/>
  <c r="U53" i="2"/>
  <c r="V53" i="2" s="1"/>
  <c r="H59" i="2"/>
  <c r="P59" i="2" s="1"/>
  <c r="S59" i="2" s="1"/>
  <c r="U56" i="2"/>
  <c r="V56" i="2" s="1"/>
  <c r="G50" i="2"/>
  <c r="G47" i="2"/>
  <c r="AE17" i="2"/>
  <c r="AG44" i="2"/>
  <c r="Z20" i="2"/>
  <c r="G20" i="2" s="1"/>
  <c r="Z41" i="2"/>
  <c r="E45" i="2"/>
  <c r="E46" i="2" s="1"/>
  <c r="D45" i="2"/>
  <c r="D46" i="2" s="1"/>
  <c r="Z44" i="2"/>
  <c r="Z45" i="2"/>
  <c r="J45" i="2"/>
  <c r="J46" i="2" s="1"/>
  <c r="Z35" i="2"/>
  <c r="AJ58" i="6"/>
  <c r="AK58" i="6" s="1"/>
  <c r="AL58" i="6" s="1"/>
  <c r="AK51" i="6"/>
  <c r="AL51" i="6" s="1"/>
  <c r="AK52" i="6"/>
  <c r="AL52" i="6" s="1"/>
  <c r="AK53" i="6"/>
  <c r="AL53" i="6" s="1"/>
  <c r="AK54" i="6"/>
  <c r="AL54" i="6" s="1"/>
  <c r="AK55" i="6"/>
  <c r="AL55" i="6" s="1"/>
  <c r="AK56" i="6"/>
  <c r="AL56" i="6" s="1"/>
  <c r="AK57" i="6"/>
  <c r="AL57" i="6" s="1"/>
  <c r="AH58" i="6"/>
  <c r="AH45" i="6"/>
  <c r="AH46" i="6"/>
  <c r="AH47" i="6"/>
  <c r="AH48" i="6"/>
  <c r="AH49" i="6"/>
  <c r="AH50" i="6"/>
  <c r="AH51" i="6"/>
  <c r="AH52" i="6"/>
  <c r="AH53" i="6"/>
  <c r="AH54" i="6"/>
  <c r="AH55" i="6"/>
  <c r="AH56" i="6"/>
  <c r="AH57" i="6"/>
  <c r="AH33" i="6"/>
  <c r="AH34" i="6"/>
  <c r="AH35" i="6"/>
  <c r="AH36" i="6"/>
  <c r="AH37" i="6"/>
  <c r="AH38" i="6"/>
  <c r="AH39" i="6"/>
  <c r="AH40" i="6"/>
  <c r="AH41" i="6"/>
  <c r="AH42" i="6"/>
  <c r="AH43" i="6"/>
  <c r="AH44" i="6"/>
  <c r="AH23" i="6"/>
  <c r="AH24" i="6"/>
  <c r="AH25" i="6"/>
  <c r="AH26" i="6"/>
  <c r="AH27" i="6"/>
  <c r="AH28" i="6"/>
  <c r="AH29" i="6"/>
  <c r="AH30" i="6"/>
  <c r="AH31" i="6"/>
  <c r="AH32" i="6"/>
  <c r="AH22" i="6"/>
  <c r="AH14" i="6"/>
  <c r="AH15" i="6"/>
  <c r="AH16" i="6"/>
  <c r="AH17" i="6"/>
  <c r="AH18" i="6"/>
  <c r="AH19" i="6"/>
  <c r="AH20" i="6"/>
  <c r="AH4" i="6"/>
  <c r="AH5" i="6"/>
  <c r="AH6" i="6"/>
  <c r="AH7" i="6"/>
  <c r="AH9" i="6"/>
  <c r="AH10" i="6"/>
  <c r="AH11" i="6"/>
  <c r="AH12" i="6"/>
  <c r="AH13" i="6"/>
  <c r="AH3" i="6"/>
  <c r="AH2" i="6"/>
  <c r="AJ44" i="6"/>
  <c r="AJ45" i="6"/>
  <c r="H158" i="7"/>
  <c r="H155" i="7"/>
  <c r="H141" i="7"/>
  <c r="H49" i="2" l="1"/>
  <c r="P49" i="2" s="1"/>
  <c r="S49" i="2" s="1"/>
  <c r="U47" i="2"/>
  <c r="V47" i="2" s="1"/>
  <c r="H52" i="2"/>
  <c r="U50" i="2"/>
  <c r="V50" i="2" s="1"/>
  <c r="G46" i="2"/>
  <c r="O53" i="2"/>
  <c r="P53" i="2" s="1"/>
  <c r="S53" i="2" s="1"/>
  <c r="O57" i="2"/>
  <c r="P57" i="2" s="1"/>
  <c r="S57" i="2" s="1"/>
  <c r="O54" i="2"/>
  <c r="P54" i="2" s="1"/>
  <c r="S54" i="2" s="1"/>
  <c r="O56" i="2"/>
  <c r="P56" i="2" s="1"/>
  <c r="S56" i="2" s="1"/>
  <c r="P48" i="2"/>
  <c r="S48" i="2" s="1"/>
  <c r="H50" i="2"/>
  <c r="H51" i="2"/>
  <c r="G44" i="2"/>
  <c r="G41" i="2"/>
  <c r="AK45" i="6"/>
  <c r="AL45" i="6" s="1"/>
  <c r="AK46" i="6"/>
  <c r="AL46" i="6" s="1"/>
  <c r="AK47" i="6"/>
  <c r="AL47" i="6" s="1"/>
  <c r="AK48" i="6"/>
  <c r="AL48" i="6" s="1"/>
  <c r="AK49" i="6"/>
  <c r="AL49" i="6" s="1"/>
  <c r="AK50" i="6"/>
  <c r="AL50" i="6" s="1"/>
  <c r="AJ40" i="6"/>
  <c r="AJ43" i="6"/>
  <c r="O52" i="2" l="1"/>
  <c r="P52" i="2" s="1"/>
  <c r="S52" i="2" s="1"/>
  <c r="H46" i="2"/>
  <c r="P46" i="2" s="1"/>
  <c r="S46" i="2" s="1"/>
  <c r="U44" i="2"/>
  <c r="V44" i="2" s="1"/>
  <c r="O47" i="2"/>
  <c r="P47" i="2" s="1"/>
  <c r="S47" i="2" s="1"/>
  <c r="O51" i="2"/>
  <c r="P51" i="2" s="1"/>
  <c r="S51" i="2" s="1"/>
  <c r="O50" i="2"/>
  <c r="P50" i="2" s="1"/>
  <c r="S50" i="2" s="1"/>
  <c r="AK43" i="6"/>
  <c r="AL43" i="6" s="1"/>
  <c r="AK44" i="6"/>
  <c r="AL44" i="6" s="1"/>
  <c r="AK42" i="6"/>
  <c r="AL42" i="6" s="1"/>
  <c r="AK41" i="6"/>
  <c r="AL41" i="6" s="1"/>
  <c r="AJ37" i="6"/>
  <c r="O44" i="2" l="1"/>
  <c r="P44" i="2" s="1"/>
  <c r="S44" i="2" s="1"/>
  <c r="O45" i="2"/>
  <c r="P45" i="2" s="1"/>
  <c r="S45" i="2" s="1"/>
  <c r="AK38" i="6"/>
  <c r="AL38" i="6" s="1"/>
  <c r="AK39" i="6"/>
  <c r="AL39" i="6" s="1"/>
  <c r="AK37" i="6"/>
  <c r="AL37" i="6" s="1"/>
  <c r="AK40" i="6"/>
  <c r="AL40" i="6" s="1"/>
  <c r="E134" i="7"/>
  <c r="F134" i="7" s="1"/>
  <c r="H134" i="7" l="1"/>
  <c r="I134" i="7" s="1"/>
  <c r="O8" i="2"/>
  <c r="P8" i="2" s="1"/>
  <c r="S8" i="2" s="1"/>
  <c r="O11" i="2"/>
  <c r="P11" i="2" s="1"/>
  <c r="S11" i="2" s="1"/>
  <c r="O14" i="2"/>
  <c r="P14" i="2" s="1"/>
  <c r="S14" i="2" s="1"/>
  <c r="AJ35" i="6"/>
  <c r="N7" i="5"/>
  <c r="O7" i="5" s="1"/>
  <c r="P7" i="5" s="1"/>
  <c r="I8" i="5"/>
  <c r="N8" i="5" l="1"/>
  <c r="O8" i="5" s="1"/>
  <c r="P8" i="5" s="1"/>
  <c r="AK36" i="6"/>
  <c r="AL36" i="6" s="1"/>
  <c r="AK35" i="6"/>
  <c r="AL35" i="6" s="1"/>
  <c r="B6" i="5"/>
  <c r="B7" i="5"/>
  <c r="B8" i="5"/>
  <c r="B9" i="5"/>
  <c r="B3" i="5"/>
  <c r="B4" i="5"/>
  <c r="D27" i="1" l="1"/>
  <c r="AJ28" i="6"/>
  <c r="AJ21" i="6" l="1"/>
  <c r="H106" i="7"/>
  <c r="J23" i="7"/>
  <c r="J57" i="7"/>
  <c r="AK32" i="6"/>
  <c r="AL32" i="6" s="1"/>
  <c r="AK33" i="6"/>
  <c r="AL33" i="6" s="1"/>
  <c r="AK34" i="6"/>
  <c r="AL34" i="6" s="1"/>
  <c r="AK21" i="6" l="1"/>
  <c r="AL21" i="6" s="1"/>
  <c r="AJ18" i="6" l="1"/>
  <c r="F63" i="7"/>
  <c r="P63" i="7" s="1"/>
  <c r="F62" i="7"/>
  <c r="P62" i="7" s="1"/>
  <c r="J63" i="7"/>
  <c r="H12" i="2" l="1"/>
  <c r="O12" i="2" l="1"/>
  <c r="P12" i="2" s="1"/>
  <c r="S12" i="2" s="1"/>
  <c r="AG5" i="2"/>
  <c r="C6" i="2"/>
  <c r="C7" i="2" s="1"/>
  <c r="D6" i="2"/>
  <c r="D7" i="2" s="1"/>
  <c r="E6" i="2"/>
  <c r="E7" i="2" s="1"/>
  <c r="D15" i="2"/>
  <c r="AR14" i="7"/>
  <c r="AR16" i="7"/>
  <c r="AR17" i="7"/>
  <c r="AR18" i="7"/>
  <c r="AR19" i="7"/>
  <c r="AR20" i="7"/>
  <c r="AR21" i="7"/>
  <c r="AR15" i="7"/>
  <c r="U5" i="2" l="1"/>
  <c r="V5" i="2" s="1"/>
  <c r="G7" i="2"/>
  <c r="H7" i="2" s="1"/>
  <c r="AJ26" i="6"/>
  <c r="AG2" i="2"/>
  <c r="AG11" i="2"/>
  <c r="U11" i="2" s="1"/>
  <c r="V11" i="2" s="1"/>
  <c r="E18" i="2"/>
  <c r="E19" i="2" s="1"/>
  <c r="D18" i="2"/>
  <c r="D19" i="2" s="1"/>
  <c r="C18" i="2"/>
  <c r="C19" i="2" s="1"/>
  <c r="AG17" i="2"/>
  <c r="AG41" i="2"/>
  <c r="AG38" i="2"/>
  <c r="AG35" i="2"/>
  <c r="G37" i="2" s="1"/>
  <c r="AG32" i="2"/>
  <c r="G34" i="2" s="1"/>
  <c r="AG29" i="2"/>
  <c r="G31" i="2" s="1"/>
  <c r="AG26" i="2"/>
  <c r="G28" i="2" s="1"/>
  <c r="AG23" i="2"/>
  <c r="AG8" i="2"/>
  <c r="E15" i="2"/>
  <c r="E16" i="2" s="1"/>
  <c r="D16" i="2"/>
  <c r="D12" i="2"/>
  <c r="D13" i="2" s="1"/>
  <c r="E12" i="2"/>
  <c r="E13" i="2" s="1"/>
  <c r="C15" i="2"/>
  <c r="C16" i="2" s="1"/>
  <c r="D9" i="2"/>
  <c r="D10" i="2" s="1"/>
  <c r="E9" i="2"/>
  <c r="E10" i="2" s="1"/>
  <c r="E3" i="2"/>
  <c r="E4" i="2" s="1"/>
  <c r="D3" i="2"/>
  <c r="D4" i="2" s="1"/>
  <c r="G43" i="2" l="1"/>
  <c r="U41" i="2"/>
  <c r="V41" i="2" s="1"/>
  <c r="G25" i="2"/>
  <c r="U23" i="2"/>
  <c r="V23" i="2" s="1"/>
  <c r="G4" i="2"/>
  <c r="H4" i="2"/>
  <c r="P4" i="2" s="1"/>
  <c r="S4" i="2" s="1"/>
  <c r="U8" i="2"/>
  <c r="V8" i="2" s="1"/>
  <c r="H10" i="2"/>
  <c r="G40" i="2"/>
  <c r="O7" i="2"/>
  <c r="P7" i="2" s="1"/>
  <c r="H19" i="2"/>
  <c r="F17" i="1" s="1"/>
  <c r="U17" i="2"/>
  <c r="V17" i="2" s="1"/>
  <c r="H13" i="2"/>
  <c r="G19" i="2"/>
  <c r="G13" i="2"/>
  <c r="G16" i="2"/>
  <c r="G10" i="2"/>
  <c r="U14" i="2"/>
  <c r="V14" i="2" s="1"/>
  <c r="U2" i="2"/>
  <c r="V2" i="2" s="1"/>
  <c r="O13" i="2" l="1"/>
  <c r="P13" i="2" s="1"/>
  <c r="S13" i="2" s="1"/>
  <c r="S7" i="2"/>
  <c r="P10" i="2"/>
  <c r="S10" i="2" s="1"/>
  <c r="O19" i="2"/>
  <c r="P19" i="2" s="1"/>
  <c r="S19" i="2" s="1"/>
  <c r="C12" i="2"/>
  <c r="C13" i="2" s="1"/>
  <c r="C9" i="2"/>
  <c r="C10" i="2" s="1"/>
  <c r="C3" i="2"/>
  <c r="C4" i="2" s="1"/>
  <c r="C21" i="2"/>
  <c r="C22" i="2" s="1"/>
  <c r="AK25" i="6"/>
  <c r="AL25" i="6" s="1"/>
  <c r="I6" i="5"/>
  <c r="N6" i="5" l="1"/>
  <c r="O6" i="5" s="1"/>
  <c r="P6" i="5" s="1"/>
  <c r="AK23" i="6" l="1"/>
  <c r="AL23" i="6" s="1"/>
  <c r="AK20" i="6"/>
  <c r="AL20" i="6" s="1"/>
  <c r="AK19" i="6"/>
  <c r="AL19" i="6" s="1"/>
  <c r="AK18" i="6"/>
  <c r="AL18" i="6" s="1"/>
  <c r="AK17" i="6"/>
  <c r="AL17" i="6" s="1"/>
  <c r="AK16" i="6"/>
  <c r="AL16" i="6" s="1"/>
  <c r="AK15" i="6"/>
  <c r="AL15" i="6" s="1"/>
  <c r="AK14" i="6"/>
  <c r="AL14" i="6" s="1"/>
  <c r="AK13" i="6"/>
  <c r="AL13" i="6" s="1"/>
  <c r="AK11" i="6"/>
  <c r="AL11" i="6" s="1"/>
  <c r="AK6" i="6"/>
  <c r="AL6" i="6" s="1"/>
  <c r="AK3" i="6"/>
  <c r="AL3" i="6" s="1"/>
  <c r="AK2" i="6"/>
  <c r="AJ24" i="6"/>
  <c r="AL2" i="6" l="1"/>
  <c r="AK24" i="6"/>
  <c r="AL24" i="6" s="1"/>
  <c r="AK22" i="6" l="1"/>
  <c r="AL22" i="6" s="1"/>
  <c r="AJ5" i="6"/>
  <c r="AK5" i="6" s="1"/>
  <c r="AL5" i="6" s="1"/>
  <c r="J54" i="7" l="1"/>
  <c r="E91" i="7"/>
  <c r="F91" i="7" s="1"/>
  <c r="I91" i="7" s="1"/>
  <c r="E101" i="7"/>
  <c r="F101" i="7" s="1"/>
  <c r="AJ4" i="6"/>
  <c r="AK4" i="6" l="1"/>
  <c r="H101" i="7"/>
  <c r="I101" i="7" s="1"/>
  <c r="AJ7" i="6"/>
  <c r="AK7" i="6" s="1"/>
  <c r="AL7" i="6" s="1"/>
  <c r="AL4" i="6" l="1"/>
  <c r="T2" i="1"/>
  <c r="V6" i="7" l="1"/>
  <c r="AJ12" i="6" l="1"/>
  <c r="AK12" i="6" l="1"/>
  <c r="AL12" i="6" s="1"/>
  <c r="AJ9" i="6"/>
  <c r="AK9" i="6" s="1"/>
  <c r="AJ10" i="6"/>
  <c r="AL9" i="6" l="1"/>
  <c r="I28" i="1"/>
  <c r="AK10" i="6"/>
  <c r="AL10" i="6" s="1"/>
  <c r="AF10" i="7"/>
  <c r="AF13" i="7"/>
  <c r="E163" i="7" l="1"/>
  <c r="F163" i="7" s="1"/>
  <c r="AE10" i="7"/>
  <c r="AG10" i="7" s="1"/>
  <c r="AE13" i="7"/>
  <c r="AG13" i="7" s="1"/>
  <c r="H163" i="7" l="1"/>
  <c r="I163" i="7" s="1"/>
  <c r="E162" i="7"/>
  <c r="F162" i="7" s="1"/>
  <c r="E161" i="7"/>
  <c r="F161" i="7" s="1"/>
  <c r="E160" i="7"/>
  <c r="F160" i="7" s="1"/>
  <c r="E159" i="7"/>
  <c r="F159" i="7" s="1"/>
  <c r="E158" i="7"/>
  <c r="F158" i="7" s="1"/>
  <c r="I158" i="7" s="1"/>
  <c r="E157" i="7"/>
  <c r="F157" i="7" s="1"/>
  <c r="E156" i="7"/>
  <c r="E155" i="7"/>
  <c r="F155" i="7" s="1"/>
  <c r="I155" i="7" s="1"/>
  <c r="E154" i="7"/>
  <c r="F154" i="7" s="1"/>
  <c r="E153" i="7"/>
  <c r="F153" i="7" s="1"/>
  <c r="E152" i="7"/>
  <c r="F152" i="7" s="1"/>
  <c r="E151" i="7"/>
  <c r="F151" i="7" s="1"/>
  <c r="E150" i="7"/>
  <c r="F150" i="7" s="1"/>
  <c r="E149" i="7"/>
  <c r="F149" i="7" s="1"/>
  <c r="E148" i="7"/>
  <c r="F148" i="7" s="1"/>
  <c r="E147" i="7"/>
  <c r="F147" i="7" s="1"/>
  <c r="E146" i="7"/>
  <c r="F146" i="7" s="1"/>
  <c r="E145" i="7"/>
  <c r="F145" i="7" s="1"/>
  <c r="E144" i="7"/>
  <c r="F144" i="7" s="1"/>
  <c r="E143" i="7"/>
  <c r="F143" i="7" s="1"/>
  <c r="E142" i="7"/>
  <c r="F142" i="7" s="1"/>
  <c r="E141" i="7"/>
  <c r="F141" i="7" s="1"/>
  <c r="I141" i="7" s="1"/>
  <c r="E140" i="7"/>
  <c r="F140" i="7" s="1"/>
  <c r="E139" i="7"/>
  <c r="F139" i="7" s="1"/>
  <c r="E138" i="7"/>
  <c r="F138" i="7" s="1"/>
  <c r="E137" i="7"/>
  <c r="F137" i="7" s="1"/>
  <c r="E136" i="7"/>
  <c r="F136" i="7" s="1"/>
  <c r="E133" i="7"/>
  <c r="F133" i="7" s="1"/>
  <c r="E132" i="7"/>
  <c r="F132" i="7" s="1"/>
  <c r="E131" i="7"/>
  <c r="F131" i="7" s="1"/>
  <c r="E130" i="7"/>
  <c r="F130" i="7" s="1"/>
  <c r="E129" i="7"/>
  <c r="F129" i="7" s="1"/>
  <c r="E128" i="7"/>
  <c r="F128" i="7" s="1"/>
  <c r="E127" i="7"/>
  <c r="F127" i="7" s="1"/>
  <c r="E126" i="7"/>
  <c r="F126" i="7" s="1"/>
  <c r="E125" i="7"/>
  <c r="F125" i="7" s="1"/>
  <c r="E124" i="7"/>
  <c r="F124" i="7" s="1"/>
  <c r="E123" i="7"/>
  <c r="F123" i="7" s="1"/>
  <c r="I123" i="7" s="1"/>
  <c r="E122" i="7"/>
  <c r="F122" i="7" s="1"/>
  <c r="E121" i="7"/>
  <c r="F121" i="7" s="1"/>
  <c r="E120" i="7"/>
  <c r="F120" i="7" s="1"/>
  <c r="E119" i="7"/>
  <c r="F119" i="7" s="1"/>
  <c r="I119" i="7" s="1"/>
  <c r="E118" i="7"/>
  <c r="F118" i="7" s="1"/>
  <c r="E117" i="7"/>
  <c r="F117" i="7" s="1"/>
  <c r="E116" i="7"/>
  <c r="F116" i="7" s="1"/>
  <c r="E115" i="7"/>
  <c r="F115" i="7" s="1"/>
  <c r="E114" i="7"/>
  <c r="F114" i="7" s="1"/>
  <c r="E113" i="7"/>
  <c r="F113" i="7" s="1"/>
  <c r="E112" i="7"/>
  <c r="F112" i="7" s="1"/>
  <c r="E111" i="7"/>
  <c r="F111" i="7" s="1"/>
  <c r="E110" i="7"/>
  <c r="F110" i="7" s="1"/>
  <c r="E109" i="7"/>
  <c r="F109" i="7" s="1"/>
  <c r="I109" i="7" s="1"/>
  <c r="E108" i="7"/>
  <c r="F108" i="7" s="1"/>
  <c r="E107" i="7"/>
  <c r="F107" i="7" s="1"/>
  <c r="E106" i="7"/>
  <c r="F106" i="7" s="1"/>
  <c r="I106" i="7" s="1"/>
  <c r="E105" i="7"/>
  <c r="F105" i="7" s="1"/>
  <c r="E104" i="7"/>
  <c r="F104" i="7" s="1"/>
  <c r="I104" i="7" s="1"/>
  <c r="E103" i="7"/>
  <c r="F103" i="7" s="1"/>
  <c r="E102" i="7"/>
  <c r="F102" i="7" s="1"/>
  <c r="E100" i="7"/>
  <c r="F100" i="7" s="1"/>
  <c r="I100" i="7" s="1"/>
  <c r="E99" i="7"/>
  <c r="F99" i="7" s="1"/>
  <c r="E98" i="7"/>
  <c r="F98" i="7" s="1"/>
  <c r="I98" i="7" s="1"/>
  <c r="E97" i="7"/>
  <c r="F97" i="7" s="1"/>
  <c r="I97" i="7" s="1"/>
  <c r="E96" i="7"/>
  <c r="F96" i="7" s="1"/>
  <c r="I96" i="7" s="1"/>
  <c r="E95" i="7"/>
  <c r="F95" i="7" s="1"/>
  <c r="I95" i="7" s="1"/>
  <c r="E94" i="7"/>
  <c r="F94" i="7" s="1"/>
  <c r="I94" i="7" s="1"/>
  <c r="E93" i="7"/>
  <c r="F93" i="7" s="1"/>
  <c r="I93" i="7" s="1"/>
  <c r="E92" i="7"/>
  <c r="F92" i="7" s="1"/>
  <c r="I92" i="7" s="1"/>
  <c r="E90" i="7"/>
  <c r="F90" i="7" s="1"/>
  <c r="I90" i="7" s="1"/>
  <c r="E89" i="7"/>
  <c r="F89" i="7" s="1"/>
  <c r="I89" i="7" s="1"/>
  <c r="E88" i="7"/>
  <c r="F88" i="7" s="1"/>
  <c r="I88" i="7" s="1"/>
  <c r="E87" i="7"/>
  <c r="F87" i="7" s="1"/>
  <c r="I87" i="7" s="1"/>
  <c r="E86" i="7"/>
  <c r="F86" i="7" s="1"/>
  <c r="I86" i="7" s="1"/>
  <c r="E85" i="7"/>
  <c r="F85" i="7" s="1"/>
  <c r="I85" i="7" s="1"/>
  <c r="E84" i="7"/>
  <c r="F84" i="7" s="1"/>
  <c r="I84" i="7" s="1"/>
  <c r="E83" i="7"/>
  <c r="F83" i="7" s="1"/>
  <c r="I83" i="7" s="1"/>
  <c r="E82" i="7"/>
  <c r="F82" i="7" s="1"/>
  <c r="I82" i="7" s="1"/>
  <c r="E81" i="7"/>
  <c r="F81" i="7" s="1"/>
  <c r="I81" i="7" s="1"/>
  <c r="E80" i="7"/>
  <c r="F80" i="7" s="1"/>
  <c r="E79" i="7"/>
  <c r="F79" i="7" s="1"/>
  <c r="I79" i="7" s="1"/>
  <c r="E78" i="7"/>
  <c r="F78" i="7" s="1"/>
  <c r="I78" i="7" s="1"/>
  <c r="E77" i="7"/>
  <c r="F77" i="7" s="1"/>
  <c r="I77" i="7" s="1"/>
  <c r="E76" i="7"/>
  <c r="F76" i="7" s="1"/>
  <c r="E75" i="7"/>
  <c r="F75" i="7" s="1"/>
  <c r="AD70" i="7"/>
  <c r="AB70" i="7"/>
  <c r="AB69" i="7"/>
  <c r="I69" i="7"/>
  <c r="AB68" i="7"/>
  <c r="V68" i="7"/>
  <c r="I68" i="7"/>
  <c r="E68" i="7"/>
  <c r="O63" i="7"/>
  <c r="A63" i="7"/>
  <c r="K62" i="7"/>
  <c r="J62" i="7"/>
  <c r="O61" i="7"/>
  <c r="Q61" i="7" s="1"/>
  <c r="F61" i="7"/>
  <c r="P61" i="7" s="1"/>
  <c r="O60" i="7"/>
  <c r="Q60" i="7" s="1"/>
  <c r="F60" i="7"/>
  <c r="O59" i="7"/>
  <c r="F59" i="7"/>
  <c r="O58" i="7"/>
  <c r="Q58" i="7" s="1"/>
  <c r="E58" i="7"/>
  <c r="F58" i="7" s="1"/>
  <c r="O57" i="7"/>
  <c r="Q57" i="7" s="1"/>
  <c r="F57" i="7"/>
  <c r="P57" i="7" s="1"/>
  <c r="O56" i="7"/>
  <c r="P56" i="7" s="1"/>
  <c r="F56" i="7"/>
  <c r="J56" i="7" s="1"/>
  <c r="O55" i="7"/>
  <c r="P55" i="7" s="1"/>
  <c r="F55" i="7"/>
  <c r="J55" i="7" s="1"/>
  <c r="O54" i="7"/>
  <c r="Q54" i="7" s="1"/>
  <c r="F54" i="7"/>
  <c r="P54" i="7" s="1"/>
  <c r="O53" i="7"/>
  <c r="P53" i="7" s="1"/>
  <c r="F53" i="7"/>
  <c r="J53" i="7" s="1"/>
  <c r="O52" i="7"/>
  <c r="P52" i="7" s="1"/>
  <c r="F52" i="7"/>
  <c r="J52" i="7" s="1"/>
  <c r="F51" i="7"/>
  <c r="O50" i="7"/>
  <c r="P50" i="7" s="1"/>
  <c r="F50" i="7"/>
  <c r="J50" i="7" s="1"/>
  <c r="O49" i="7"/>
  <c r="P49" i="7" s="1"/>
  <c r="F49" i="7"/>
  <c r="J49" i="7" s="1"/>
  <c r="O48" i="7"/>
  <c r="P48" i="7" s="1"/>
  <c r="F48" i="7"/>
  <c r="J48" i="7" s="1"/>
  <c r="O47" i="7"/>
  <c r="P47" i="7" s="1"/>
  <c r="F47" i="7"/>
  <c r="J47" i="7" s="1"/>
  <c r="O46" i="7"/>
  <c r="Q46" i="7" s="1"/>
  <c r="J46" i="7"/>
  <c r="F46" i="7"/>
  <c r="P46" i="7" s="1"/>
  <c r="O45" i="7"/>
  <c r="Q45" i="7" s="1"/>
  <c r="J45" i="7"/>
  <c r="F45" i="7"/>
  <c r="P45" i="7" s="1"/>
  <c r="O44" i="7"/>
  <c r="K44" i="7"/>
  <c r="P44" i="7" s="1"/>
  <c r="J44" i="7"/>
  <c r="O43" i="7"/>
  <c r="Q43" i="7" s="1"/>
  <c r="J43" i="7"/>
  <c r="F43" i="7"/>
  <c r="P43" i="7" s="1"/>
  <c r="O42" i="7"/>
  <c r="Q42" i="7" s="1"/>
  <c r="J42" i="7"/>
  <c r="F42" i="7"/>
  <c r="P42" i="7" s="1"/>
  <c r="O41" i="7"/>
  <c r="Q41" i="7" s="1"/>
  <c r="K41" i="7"/>
  <c r="P41" i="7" s="1"/>
  <c r="J41" i="7"/>
  <c r="O40" i="7"/>
  <c r="Q40" i="7" s="1"/>
  <c r="K40" i="7"/>
  <c r="P40" i="7" s="1"/>
  <c r="J40" i="7"/>
  <c r="O39" i="7"/>
  <c r="Q39" i="7" s="1"/>
  <c r="J39" i="7"/>
  <c r="F39" i="7"/>
  <c r="P39" i="7" s="1"/>
  <c r="O38" i="7"/>
  <c r="Q38" i="7" s="1"/>
  <c r="J38" i="7"/>
  <c r="F38" i="7"/>
  <c r="P38" i="7" s="1"/>
  <c r="O37" i="7"/>
  <c r="Q37" i="7" s="1"/>
  <c r="J37" i="7"/>
  <c r="F37" i="7"/>
  <c r="P37" i="7" s="1"/>
  <c r="O36" i="7"/>
  <c r="Q36" i="7" s="1"/>
  <c r="J36" i="7"/>
  <c r="F36" i="7"/>
  <c r="P36" i="7" s="1"/>
  <c r="O35" i="7"/>
  <c r="K35" i="7"/>
  <c r="P35" i="7" s="1"/>
  <c r="J35" i="7"/>
  <c r="O34" i="7"/>
  <c r="Q34" i="7" s="1"/>
  <c r="J34" i="7"/>
  <c r="F34" i="7"/>
  <c r="P34" i="7" s="1"/>
  <c r="O33" i="7"/>
  <c r="Q33" i="7" s="1"/>
  <c r="J33" i="7"/>
  <c r="F33" i="7"/>
  <c r="P33" i="7" s="1"/>
  <c r="O32" i="7"/>
  <c r="Q32" i="7" s="1"/>
  <c r="J32" i="7"/>
  <c r="F32" i="7"/>
  <c r="P32" i="7" s="1"/>
  <c r="O31" i="7"/>
  <c r="Q31" i="7" s="1"/>
  <c r="J31" i="7"/>
  <c r="F31" i="7"/>
  <c r="P31" i="7" s="1"/>
  <c r="O30" i="7"/>
  <c r="K30" i="7"/>
  <c r="P30" i="7" s="1"/>
  <c r="J30" i="7"/>
  <c r="O29" i="7"/>
  <c r="Q29" i="7" s="1"/>
  <c r="J29" i="7"/>
  <c r="F29" i="7"/>
  <c r="P29" i="7" s="1"/>
  <c r="O28" i="7"/>
  <c r="K28" i="7"/>
  <c r="P28" i="7" s="1"/>
  <c r="J28" i="7"/>
  <c r="O27" i="7"/>
  <c r="K27" i="7"/>
  <c r="P27" i="7" s="1"/>
  <c r="J27" i="7"/>
  <c r="A27" i="7"/>
  <c r="A28" i="7" s="1"/>
  <c r="A29" i="7" s="1"/>
  <c r="A30" i="7" s="1"/>
  <c r="A31" i="7" s="1"/>
  <c r="A32" i="7" s="1"/>
  <c r="A33" i="7" s="1"/>
  <c r="A34" i="7" s="1"/>
  <c r="A35" i="7" s="1"/>
  <c r="A36" i="7" s="1"/>
  <c r="A37" i="7" s="1"/>
  <c r="A38" i="7" s="1"/>
  <c r="A39" i="7" s="1"/>
  <c r="A40" i="7" s="1"/>
  <c r="A41" i="7" s="1"/>
  <c r="A42" i="7" s="1"/>
  <c r="A43" i="7" s="1"/>
  <c r="A44" i="7" s="1"/>
  <c r="A45" i="7" s="1"/>
  <c r="A46" i="7" s="1"/>
  <c r="O26" i="7"/>
  <c r="Q26" i="7" s="1"/>
  <c r="J26" i="7"/>
  <c r="F26" i="7"/>
  <c r="P26" i="7" s="1"/>
  <c r="AX21" i="7"/>
  <c r="AY21" i="7" s="1"/>
  <c r="X21" i="7"/>
  <c r="U21" i="7"/>
  <c r="P21" i="7"/>
  <c r="K21" i="7"/>
  <c r="F21" i="7"/>
  <c r="W21" i="7" s="1"/>
  <c r="AX20" i="7"/>
  <c r="AY20" i="7" s="1"/>
  <c r="X20" i="7"/>
  <c r="U20" i="7"/>
  <c r="K20" i="7"/>
  <c r="F20" i="7"/>
  <c r="L20" i="7" s="1"/>
  <c r="AX19" i="7"/>
  <c r="AY19" i="7" s="1"/>
  <c r="X19" i="7"/>
  <c r="U19" i="7"/>
  <c r="K19" i="7"/>
  <c r="F19" i="7"/>
  <c r="L19" i="7" s="1"/>
  <c r="AX18" i="7"/>
  <c r="AY18" i="7" s="1"/>
  <c r="X18" i="7"/>
  <c r="W18" i="7"/>
  <c r="U18" i="7"/>
  <c r="L18" i="7"/>
  <c r="P18" i="7" s="1"/>
  <c r="G18" i="7"/>
  <c r="AX17" i="7"/>
  <c r="AY17" i="7" s="1"/>
  <c r="X17" i="7"/>
  <c r="U17" i="7"/>
  <c r="K17" i="7"/>
  <c r="F17" i="7"/>
  <c r="G17" i="7" s="1"/>
  <c r="AX16" i="7"/>
  <c r="AY16" i="7" s="1"/>
  <c r="X16" i="7"/>
  <c r="U16" i="7"/>
  <c r="P16" i="7"/>
  <c r="K16" i="7"/>
  <c r="F16" i="7"/>
  <c r="W16" i="7" s="1"/>
  <c r="AX15" i="7"/>
  <c r="AY15" i="7" s="1"/>
  <c r="X15" i="7"/>
  <c r="U15" i="7"/>
  <c r="P15" i="7"/>
  <c r="K15" i="7"/>
  <c r="F15" i="7"/>
  <c r="W15" i="7" s="1"/>
  <c r="AX14" i="7"/>
  <c r="AY14" i="7" s="1"/>
  <c r="X14" i="7"/>
  <c r="U14" i="7"/>
  <c r="P14" i="7"/>
  <c r="K14" i="7"/>
  <c r="F14" i="7"/>
  <c r="L14" i="7" s="1"/>
  <c r="AX12" i="7"/>
  <c r="AY12" i="7" s="1"/>
  <c r="AH12" i="7"/>
  <c r="X12" i="7"/>
  <c r="U12" i="7"/>
  <c r="K12" i="7"/>
  <c r="F12" i="7"/>
  <c r="W12" i="7" s="1"/>
  <c r="AX11" i="7"/>
  <c r="AY11" i="7" s="1"/>
  <c r="AH11" i="7"/>
  <c r="X11" i="7"/>
  <c r="U11" i="7"/>
  <c r="F11" i="7"/>
  <c r="W11" i="7" s="1"/>
  <c r="AX10" i="7"/>
  <c r="AY10" i="7" s="1"/>
  <c r="AR9" i="7"/>
  <c r="X9" i="7" s="1"/>
  <c r="Y9" i="7" s="1"/>
  <c r="AL9" i="7"/>
  <c r="AH9" i="7"/>
  <c r="V9" i="7"/>
  <c r="U9" i="7"/>
  <c r="P9" i="7"/>
  <c r="K9" i="7"/>
  <c r="AX8" i="7"/>
  <c r="AY8" i="7" s="1"/>
  <c r="AH8" i="7"/>
  <c r="X8" i="7"/>
  <c r="U8" i="7"/>
  <c r="P8" i="7"/>
  <c r="K8" i="7"/>
  <c r="F8" i="7"/>
  <c r="L8" i="7" s="1"/>
  <c r="AH7" i="7"/>
  <c r="X7" i="7"/>
  <c r="V7" i="7"/>
  <c r="U7" i="7"/>
  <c r="P7" i="7"/>
  <c r="K7" i="7"/>
  <c r="E7" i="7"/>
  <c r="AR6" i="7"/>
  <c r="X6" i="7" s="1"/>
  <c r="AL6" i="7"/>
  <c r="AH6" i="7"/>
  <c r="U6" i="7"/>
  <c r="P6" i="7"/>
  <c r="K6" i="7"/>
  <c r="E6" i="7"/>
  <c r="AR5" i="7"/>
  <c r="X5" i="7" s="1"/>
  <c r="AH5" i="7"/>
  <c r="U5" i="7"/>
  <c r="P5" i="7"/>
  <c r="K5" i="7"/>
  <c r="F5" i="7"/>
  <c r="G5" i="7" s="1"/>
  <c r="AK31" i="6"/>
  <c r="AL31" i="6" s="1"/>
  <c r="AK30" i="6"/>
  <c r="AL30" i="6" s="1"/>
  <c r="AK29" i="6"/>
  <c r="AL29" i="6" s="1"/>
  <c r="AK28" i="6"/>
  <c r="AL28" i="6" s="1"/>
  <c r="AK27" i="6"/>
  <c r="AL27" i="6" s="1"/>
  <c r="AK26" i="6"/>
  <c r="I4" i="5"/>
  <c r="I3" i="5"/>
  <c r="I2" i="5"/>
  <c r="J42" i="2"/>
  <c r="J43" i="2" s="1"/>
  <c r="E42" i="2"/>
  <c r="E43" i="2" s="1"/>
  <c r="D42" i="2"/>
  <c r="D43" i="2" s="1"/>
  <c r="H42" i="2"/>
  <c r="E39" i="2"/>
  <c r="E40" i="2" s="1"/>
  <c r="D39" i="2"/>
  <c r="D40" i="2" s="1"/>
  <c r="G38" i="2"/>
  <c r="U38" i="2" s="1"/>
  <c r="V38" i="2" s="1"/>
  <c r="J36" i="2"/>
  <c r="J37" i="2" s="1"/>
  <c r="E36" i="2"/>
  <c r="E37" i="2" s="1"/>
  <c r="D36" i="2"/>
  <c r="D37" i="2" s="1"/>
  <c r="G35" i="2"/>
  <c r="H37" i="2" s="1"/>
  <c r="H34" i="2"/>
  <c r="J33" i="2"/>
  <c r="J34" i="2" s="1"/>
  <c r="H33" i="2"/>
  <c r="P33" i="2" s="1"/>
  <c r="S33" i="2" s="1"/>
  <c r="E33" i="2"/>
  <c r="E34" i="2" s="1"/>
  <c r="D33" i="2"/>
  <c r="D34" i="2" s="1"/>
  <c r="H32" i="2"/>
  <c r="O32" i="2" s="1"/>
  <c r="J30" i="2"/>
  <c r="J31" i="2" s="1"/>
  <c r="E30" i="2"/>
  <c r="E31" i="2" s="1"/>
  <c r="D30" i="2"/>
  <c r="D31" i="2" s="1"/>
  <c r="G29" i="2"/>
  <c r="H29" i="2" s="1"/>
  <c r="H28" i="2"/>
  <c r="J27" i="2"/>
  <c r="J28" i="2" s="1"/>
  <c r="H27" i="2"/>
  <c r="P27" i="2" s="1"/>
  <c r="S27" i="2" s="1"/>
  <c r="E27" i="2"/>
  <c r="E28" i="2" s="1"/>
  <c r="D27" i="2"/>
  <c r="D28" i="2" s="1"/>
  <c r="H26" i="2"/>
  <c r="P26" i="2" s="1"/>
  <c r="S26" i="2" s="1"/>
  <c r="H25" i="2"/>
  <c r="J24" i="2"/>
  <c r="H24" i="2"/>
  <c r="E24" i="2"/>
  <c r="E25" i="2" s="1"/>
  <c r="D24" i="2"/>
  <c r="D25" i="2" s="1"/>
  <c r="H23" i="2"/>
  <c r="H21" i="2"/>
  <c r="E21" i="2"/>
  <c r="E22" i="2" s="1"/>
  <c r="D21" i="2"/>
  <c r="D22" i="2" s="1"/>
  <c r="AG20" i="2"/>
  <c r="U20" i="2" s="1"/>
  <c r="V20" i="2" s="1"/>
  <c r="H20" i="2"/>
  <c r="P42" i="1"/>
  <c r="F31" i="1" s="1"/>
  <c r="E31" i="1" s="1"/>
  <c r="P40" i="1"/>
  <c r="F29" i="1" s="1"/>
  <c r="E29" i="1" s="1"/>
  <c r="P41" i="1"/>
  <c r="F30" i="1" s="1"/>
  <c r="E30" i="1" s="1"/>
  <c r="O38" i="1"/>
  <c r="N38" i="1"/>
  <c r="M38" i="1"/>
  <c r="L38" i="1"/>
  <c r="K38" i="1"/>
  <c r="J38" i="1"/>
  <c r="I38" i="1"/>
  <c r="H38" i="1"/>
  <c r="G38" i="1"/>
  <c r="F38" i="1"/>
  <c r="E38" i="1"/>
  <c r="O36" i="1"/>
  <c r="N36" i="1"/>
  <c r="M36" i="1"/>
  <c r="L36" i="1"/>
  <c r="K36" i="1"/>
  <c r="J36" i="1"/>
  <c r="I36" i="1"/>
  <c r="E36" i="1"/>
  <c r="D36" i="1"/>
  <c r="O37" i="2" l="1"/>
  <c r="P37" i="2" s="1"/>
  <c r="S37" i="2" s="1"/>
  <c r="E27" i="1"/>
  <c r="F27" i="1"/>
  <c r="E17" i="1"/>
  <c r="N3" i="5"/>
  <c r="O3" i="5" s="1"/>
  <c r="P3" i="5" s="1"/>
  <c r="O25" i="2"/>
  <c r="P25" i="2" s="1"/>
  <c r="S25" i="2" s="1"/>
  <c r="P32" i="2"/>
  <c r="S32" i="2" s="1"/>
  <c r="H102" i="7"/>
  <c r="I102" i="7" s="1"/>
  <c r="AL26" i="6"/>
  <c r="H28" i="1" s="1"/>
  <c r="G28" i="1"/>
  <c r="O21" i="2"/>
  <c r="P21" i="2" s="1"/>
  <c r="S21" i="2" s="1"/>
  <c r="O24" i="2"/>
  <c r="P24" i="2" s="1"/>
  <c r="S24" i="2" s="1"/>
  <c r="N2" i="5"/>
  <c r="O2" i="5" s="1"/>
  <c r="O23" i="2"/>
  <c r="P23" i="2" s="1"/>
  <c r="S23" i="2" s="1"/>
  <c r="O20" i="2"/>
  <c r="P20" i="2" s="1"/>
  <c r="J59" i="7"/>
  <c r="P59" i="7"/>
  <c r="Q59" i="7"/>
  <c r="Q63" i="7"/>
  <c r="O42" i="2"/>
  <c r="P42" i="2" s="1"/>
  <c r="S42" i="2" s="1"/>
  <c r="H40" i="2"/>
  <c r="F156" i="7"/>
  <c r="H116" i="7"/>
  <c r="I116" i="7" s="1"/>
  <c r="H112" i="7"/>
  <c r="I112" i="7" s="1"/>
  <c r="N4" i="5"/>
  <c r="O4" i="5" s="1"/>
  <c r="P4" i="5" s="1"/>
  <c r="H147" i="7"/>
  <c r="I147" i="7" s="1"/>
  <c r="H152" i="7"/>
  <c r="I152" i="7" s="1"/>
  <c r="H157" i="7"/>
  <c r="I157" i="7" s="1"/>
  <c r="J25" i="2"/>
  <c r="G22" i="2"/>
  <c r="H22" i="2"/>
  <c r="P22" i="2" s="1"/>
  <c r="S22" i="2" s="1"/>
  <c r="J61" i="7"/>
  <c r="H140" i="7"/>
  <c r="I140" i="7" s="1"/>
  <c r="H132" i="7"/>
  <c r="I132" i="7" s="1"/>
  <c r="J60" i="7"/>
  <c r="P60" i="7"/>
  <c r="O62" i="7"/>
  <c r="H105" i="7"/>
  <c r="I105" i="7" s="1"/>
  <c r="H117" i="7"/>
  <c r="I117" i="7" s="1"/>
  <c r="H107" i="7"/>
  <c r="I107" i="7" s="1"/>
  <c r="H120" i="7"/>
  <c r="I120" i="7" s="1"/>
  <c r="H110" i="7"/>
  <c r="I110" i="7" s="1"/>
  <c r="H122" i="7"/>
  <c r="I122" i="7" s="1"/>
  <c r="H111" i="7"/>
  <c r="I111" i="7" s="1"/>
  <c r="H99" i="7"/>
  <c r="I99" i="7" s="1"/>
  <c r="H114" i="7"/>
  <c r="I114" i="7" s="1"/>
  <c r="H118" i="7"/>
  <c r="I118" i="7" s="1"/>
  <c r="H137" i="7"/>
  <c r="I137" i="7" s="1"/>
  <c r="H124" i="7"/>
  <c r="I124" i="7" s="1"/>
  <c r="H121" i="7"/>
  <c r="I121" i="7" s="1"/>
  <c r="Q47" i="7"/>
  <c r="Q51" i="7"/>
  <c r="H125" i="7"/>
  <c r="I125" i="7" s="1"/>
  <c r="H128" i="7"/>
  <c r="I128" i="7" s="1"/>
  <c r="H129" i="7"/>
  <c r="I129" i="7" s="1"/>
  <c r="H143" i="7"/>
  <c r="I143" i="7" s="1"/>
  <c r="H144" i="7"/>
  <c r="I144" i="7" s="1"/>
  <c r="H131" i="7"/>
  <c r="I131" i="7" s="1"/>
  <c r="H145" i="7"/>
  <c r="I145" i="7" s="1"/>
  <c r="H146" i="7"/>
  <c r="I146" i="7" s="1"/>
  <c r="H160" i="7"/>
  <c r="I160" i="7" s="1"/>
  <c r="H139" i="7"/>
  <c r="I139" i="7" s="1"/>
  <c r="H150" i="7"/>
  <c r="I150" i="7" s="1"/>
  <c r="H113" i="7"/>
  <c r="I113" i="7" s="1"/>
  <c r="I80" i="7"/>
  <c r="P36" i="2"/>
  <c r="S36" i="2" s="1"/>
  <c r="J58" i="7"/>
  <c r="P58" i="7"/>
  <c r="H136" i="7"/>
  <c r="I136" i="7" s="1"/>
  <c r="H148" i="7"/>
  <c r="I148" i="7" s="1"/>
  <c r="H142" i="7"/>
  <c r="I142" i="7" s="1"/>
  <c r="H127" i="7"/>
  <c r="I127" i="7" s="1"/>
  <c r="H130" i="7"/>
  <c r="I130" i="7" s="1"/>
  <c r="H103" i="7"/>
  <c r="I103" i="7" s="1"/>
  <c r="H108" i="7"/>
  <c r="I108" i="7" s="1"/>
  <c r="E43" i="1"/>
  <c r="H126" i="7"/>
  <c r="I126" i="7" s="1"/>
  <c r="H115" i="7"/>
  <c r="I115" i="7" s="1"/>
  <c r="H133" i="7"/>
  <c r="I133" i="7" s="1"/>
  <c r="H149" i="7"/>
  <c r="I149" i="7" s="1"/>
  <c r="H138" i="7"/>
  <c r="I138" i="7" s="1"/>
  <c r="AE9" i="7"/>
  <c r="AG9" i="7" s="1"/>
  <c r="AF9" i="7"/>
  <c r="V17" i="7"/>
  <c r="K18" i="7"/>
  <c r="Y12" i="7"/>
  <c r="AE12" i="7" s="1"/>
  <c r="W20" i="7"/>
  <c r="Y20" i="7" s="1"/>
  <c r="L17" i="7"/>
  <c r="P17" i="7" s="1"/>
  <c r="H38" i="2"/>
  <c r="G8" i="7"/>
  <c r="V8" i="7" s="1"/>
  <c r="D38" i="1"/>
  <c r="L43" i="1"/>
  <c r="AX5" i="7"/>
  <c r="AY5" i="7" s="1"/>
  <c r="O43" i="1"/>
  <c r="M43" i="1"/>
  <c r="F6" i="7"/>
  <c r="W6" i="7" s="1"/>
  <c r="Y6" i="7" s="1"/>
  <c r="W8" i="7"/>
  <c r="Y8" i="7" s="1"/>
  <c r="AE8" i="7" s="1"/>
  <c r="AG8" i="7" s="1"/>
  <c r="H151" i="7"/>
  <c r="I151" i="7" s="1"/>
  <c r="H159" i="7"/>
  <c r="I159" i="7" s="1"/>
  <c r="H161" i="7"/>
  <c r="I161" i="7" s="1"/>
  <c r="H153" i="7"/>
  <c r="I153" i="7" s="1"/>
  <c r="H154" i="7"/>
  <c r="I154" i="7" s="1"/>
  <c r="I43" i="1"/>
  <c r="Y18" i="7"/>
  <c r="AF18" i="7" s="1"/>
  <c r="L5" i="7"/>
  <c r="W17" i="7"/>
  <c r="Y17" i="7" s="1"/>
  <c r="Q55" i="7"/>
  <c r="K68" i="7"/>
  <c r="W68" i="7" s="1"/>
  <c r="X68" i="7" s="1"/>
  <c r="AD68" i="7" s="1"/>
  <c r="W19" i="7"/>
  <c r="Y19" i="7" s="1"/>
  <c r="Y15" i="7"/>
  <c r="Y21" i="7"/>
  <c r="AF21" i="7" s="1"/>
  <c r="P39" i="1"/>
  <c r="K43" i="1"/>
  <c r="Q53" i="7"/>
  <c r="L12" i="7"/>
  <c r="P12" i="7" s="1"/>
  <c r="Q50" i="7"/>
  <c r="W5" i="7"/>
  <c r="Y5" i="7" s="1"/>
  <c r="AE5" i="7" s="1"/>
  <c r="AG5" i="7" s="1"/>
  <c r="Y11" i="7"/>
  <c r="AE11" i="7" s="1"/>
  <c r="G19" i="7"/>
  <c r="G20" i="7"/>
  <c r="G12" i="7"/>
  <c r="G11" i="7"/>
  <c r="Q56" i="7"/>
  <c r="Y16" i="7"/>
  <c r="AF16" i="7" s="1"/>
  <c r="Q48" i="7"/>
  <c r="Q52" i="7"/>
  <c r="N43" i="1"/>
  <c r="J43" i="1"/>
  <c r="Q49" i="7"/>
  <c r="P20" i="7"/>
  <c r="H162" i="7"/>
  <c r="I162" i="7" s="1"/>
  <c r="D32" i="1"/>
  <c r="J22" i="2"/>
  <c r="W14" i="7"/>
  <c r="Y14" i="7" s="1"/>
  <c r="H30" i="2"/>
  <c r="F7" i="7"/>
  <c r="W7" i="7" s="1"/>
  <c r="Y7" i="7" s="1"/>
  <c r="AX7" i="7"/>
  <c r="AY7" i="7" s="1"/>
  <c r="F9" i="7"/>
  <c r="L11" i="7"/>
  <c r="P11" i="7" s="1"/>
  <c r="H43" i="2"/>
  <c r="AX6" i="7"/>
  <c r="AY6" i="7" s="1"/>
  <c r="H31" i="2"/>
  <c r="H41" i="2"/>
  <c r="P19" i="7"/>
  <c r="AX9" i="7"/>
  <c r="AY9" i="7" s="1"/>
  <c r="G14" i="7"/>
  <c r="O40" i="2" l="1"/>
  <c r="P40" i="2" s="1"/>
  <c r="S40" i="2" s="1"/>
  <c r="H36" i="1"/>
  <c r="H43" i="1" s="1"/>
  <c r="I17" i="1"/>
  <c r="I27" i="1"/>
  <c r="P2" i="5"/>
  <c r="H27" i="1" s="1"/>
  <c r="G27" i="1"/>
  <c r="G17" i="1"/>
  <c r="G13" i="1"/>
  <c r="I13" i="1"/>
  <c r="N13" i="1"/>
  <c r="L13" i="1"/>
  <c r="J13" i="1"/>
  <c r="H13" i="1"/>
  <c r="D13" i="1"/>
  <c r="H17" i="1"/>
  <c r="M13" i="1"/>
  <c r="O13" i="1"/>
  <c r="E25" i="1"/>
  <c r="E32" i="1" s="1"/>
  <c r="F13" i="1"/>
  <c r="F25" i="1"/>
  <c r="E13" i="1"/>
  <c r="K13" i="1"/>
  <c r="S20" i="2"/>
  <c r="P13" i="1"/>
  <c r="O35" i="2"/>
  <c r="P35" i="2" s="1"/>
  <c r="S35" i="2" s="1"/>
  <c r="O43" i="2"/>
  <c r="P43" i="2" s="1"/>
  <c r="S43" i="2" s="1"/>
  <c r="G36" i="1"/>
  <c r="G43" i="1" s="1"/>
  <c r="O41" i="2"/>
  <c r="P41" i="2" s="1"/>
  <c r="S41" i="2" s="1"/>
  <c r="O38" i="2"/>
  <c r="P38" i="2" s="1"/>
  <c r="S38" i="2" s="1"/>
  <c r="H156" i="7"/>
  <c r="I156" i="7" s="1"/>
  <c r="D43" i="1"/>
  <c r="F36" i="1"/>
  <c r="AG12" i="7"/>
  <c r="AF17" i="7"/>
  <c r="AF5" i="7"/>
  <c r="AE20" i="7"/>
  <c r="AH20" i="7"/>
  <c r="V14" i="7"/>
  <c r="AF14" i="7"/>
  <c r="AE7" i="7"/>
  <c r="AG7" i="7" s="1"/>
  <c r="AF7" i="7"/>
  <c r="V15" i="7"/>
  <c r="AF15" i="7"/>
  <c r="AE6" i="7"/>
  <c r="AG6" i="7" s="1"/>
  <c r="AF6" i="7"/>
  <c r="AF8" i="7"/>
  <c r="V19" i="7"/>
  <c r="AF19" i="7"/>
  <c r="K11" i="7"/>
  <c r="AG11" i="7" s="1"/>
  <c r="AF11" i="7"/>
  <c r="V12" i="7"/>
  <c r="AF12" i="7"/>
  <c r="V20" i="7"/>
  <c r="AF20" i="7"/>
  <c r="P38" i="1"/>
  <c r="AH21" i="7"/>
  <c r="AE21" i="7"/>
  <c r="AH15" i="7"/>
  <c r="AE15" i="7"/>
  <c r="AH19" i="7"/>
  <c r="AE19" i="7"/>
  <c r="AH17" i="7"/>
  <c r="AE17" i="7"/>
  <c r="AH18" i="7"/>
  <c r="AE18" i="7"/>
  <c r="AH16" i="7"/>
  <c r="AE16" i="7"/>
  <c r="AH14" i="7"/>
  <c r="AE14" i="7"/>
  <c r="X69" i="7"/>
  <c r="AD69" i="7" s="1"/>
  <c r="H25" i="1" l="1"/>
  <c r="G25" i="1"/>
  <c r="I25" i="1"/>
  <c r="Q17" i="1"/>
  <c r="G7" i="1" s="1"/>
  <c r="I7" i="1" s="1"/>
  <c r="AG20" i="7"/>
  <c r="Q13" i="1"/>
  <c r="E7" i="1" s="1"/>
  <c r="F43" i="1"/>
  <c r="P36" i="1"/>
  <c r="P43" i="1" s="1"/>
  <c r="F32" i="1"/>
  <c r="AG21" i="7"/>
  <c r="AG16" i="7"/>
  <c r="AG18" i="7"/>
  <c r="AG17" i="7"/>
  <c r="AG15" i="7"/>
  <c r="AG19" i="7"/>
  <c r="AG14" i="7"/>
  <c r="G32" i="1" l="1"/>
  <c r="K7" i="1" s="1"/>
  <c r="I32" i="1" l="1"/>
  <c r="O7" i="1" s="1"/>
  <c r="I75" i="7"/>
  <c r="H32" i="1" l="1"/>
  <c r="M7" i="1" s="1"/>
</calcChain>
</file>

<file path=xl/comments1.xml><?xml version="1.0" encoding="utf-8"?>
<comments xmlns="http://schemas.openxmlformats.org/spreadsheetml/2006/main">
  <authors>
    <author>Administrator</author>
  </authors>
  <commentList>
    <comment ref="F1" authorId="0" shapeId="0">
      <text>
        <r>
          <rPr>
            <b/>
            <sz val="9"/>
            <color indexed="81"/>
            <rFont val="돋움"/>
            <family val="3"/>
            <charset val="129"/>
          </rPr>
          <t>기술자문</t>
        </r>
        <r>
          <rPr>
            <b/>
            <sz val="9"/>
            <color indexed="81"/>
            <rFont val="Tahoma"/>
            <family val="2"/>
          </rPr>
          <t xml:space="preserve"> </t>
        </r>
        <r>
          <rPr>
            <b/>
            <sz val="9"/>
            <color indexed="81"/>
            <rFont val="돋움"/>
            <family val="3"/>
            <charset val="129"/>
          </rPr>
          <t>계약금액</t>
        </r>
        <r>
          <rPr>
            <b/>
            <sz val="9"/>
            <color indexed="81"/>
            <rFont val="Tahoma"/>
            <family val="2"/>
          </rPr>
          <t xml:space="preserve"> </t>
        </r>
        <r>
          <rPr>
            <b/>
            <sz val="9"/>
            <color indexed="81"/>
            <rFont val="돋움"/>
            <family val="3"/>
            <charset val="129"/>
          </rPr>
          <t>산정기준</t>
        </r>
        <r>
          <rPr>
            <b/>
            <sz val="9"/>
            <color indexed="81"/>
            <rFont val="Tahoma"/>
            <family val="2"/>
          </rPr>
          <t>(</t>
        </r>
        <r>
          <rPr>
            <b/>
            <sz val="9"/>
            <color indexed="81"/>
            <rFont val="돋움"/>
            <family val="3"/>
            <charset val="129"/>
          </rPr>
          <t>내부</t>
        </r>
        <r>
          <rPr>
            <b/>
            <sz val="9"/>
            <color indexed="81"/>
            <rFont val="Tahoma"/>
            <family val="2"/>
          </rPr>
          <t xml:space="preserve"> </t>
        </r>
        <r>
          <rPr>
            <b/>
            <sz val="9"/>
            <color indexed="81"/>
            <rFont val="돋움"/>
            <family val="3"/>
            <charset val="129"/>
          </rPr>
          <t>영업사원</t>
        </r>
        <r>
          <rPr>
            <b/>
            <sz val="9"/>
            <color indexed="81"/>
            <rFont val="Tahoma"/>
            <family val="2"/>
          </rPr>
          <t>)</t>
        </r>
        <r>
          <rPr>
            <sz val="9"/>
            <color indexed="81"/>
            <rFont val="Tahoma"/>
            <family val="2"/>
          </rPr>
          <t xml:space="preserve">
</t>
        </r>
        <r>
          <rPr>
            <sz val="9"/>
            <color indexed="81"/>
            <rFont val="돋움"/>
            <family val="3"/>
            <charset val="129"/>
          </rPr>
          <t>계약금액</t>
        </r>
        <r>
          <rPr>
            <sz val="9"/>
            <color indexed="81"/>
            <rFont val="Tahoma"/>
            <family val="2"/>
          </rPr>
          <t xml:space="preserve"> = 
</t>
        </r>
        <r>
          <rPr>
            <sz val="9"/>
            <color indexed="81"/>
            <rFont val="돋움"/>
            <family val="3"/>
            <charset val="129"/>
          </rPr>
          <t>낙찰가</t>
        </r>
        <r>
          <rPr>
            <sz val="9"/>
            <color indexed="81"/>
            <rFont val="Tahoma"/>
            <family val="2"/>
          </rPr>
          <t>-</t>
        </r>
        <r>
          <rPr>
            <sz val="9"/>
            <color indexed="81"/>
            <rFont val="돋움"/>
            <family val="3"/>
            <charset val="129"/>
          </rPr>
          <t>실행가</t>
        </r>
        <r>
          <rPr>
            <sz val="9"/>
            <color indexed="81"/>
            <rFont val="Tahoma"/>
            <family val="2"/>
          </rPr>
          <t>(A)-</t>
        </r>
        <r>
          <rPr>
            <sz val="9"/>
            <color indexed="81"/>
            <rFont val="돋움"/>
            <family val="3"/>
            <charset val="129"/>
          </rPr>
          <t>면대비</t>
        </r>
        <r>
          <rPr>
            <sz val="9"/>
            <color indexed="81"/>
            <rFont val="Tahoma"/>
            <family val="2"/>
          </rPr>
          <t xml:space="preserve">(B)
</t>
        </r>
        <r>
          <rPr>
            <sz val="9"/>
            <color indexed="81"/>
            <rFont val="돋움"/>
            <family val="3"/>
            <charset val="129"/>
          </rPr>
          <t xml:space="preserve">
</t>
        </r>
        <r>
          <rPr>
            <sz val="9"/>
            <color indexed="81"/>
            <rFont val="Tahoma"/>
            <family val="2"/>
          </rPr>
          <t xml:space="preserve"> A : </t>
        </r>
        <r>
          <rPr>
            <sz val="9"/>
            <color indexed="81"/>
            <rFont val="돋움"/>
            <family val="3"/>
            <charset val="129"/>
          </rPr>
          <t>실행가</t>
        </r>
        <r>
          <rPr>
            <sz val="9"/>
            <color indexed="81"/>
            <rFont val="Tahoma"/>
            <family val="2"/>
          </rPr>
          <t>(</t>
        </r>
        <r>
          <rPr>
            <sz val="9"/>
            <color indexed="81"/>
            <rFont val="돋움"/>
            <family val="3"/>
            <charset val="129"/>
          </rPr>
          <t>낙찰가의</t>
        </r>
        <r>
          <rPr>
            <sz val="9"/>
            <color indexed="81"/>
            <rFont val="Tahoma"/>
            <family val="2"/>
          </rPr>
          <t xml:space="preserve"> 40%)
 B : </t>
        </r>
        <r>
          <rPr>
            <sz val="9"/>
            <color indexed="81"/>
            <rFont val="돋움"/>
            <family val="3"/>
            <charset val="129"/>
          </rPr>
          <t>면대비</t>
        </r>
        <r>
          <rPr>
            <sz val="9"/>
            <color indexed="81"/>
            <rFont val="Tahoma"/>
            <family val="2"/>
          </rPr>
          <t>(</t>
        </r>
        <r>
          <rPr>
            <sz val="9"/>
            <color indexed="81"/>
            <rFont val="돋움"/>
            <family val="3"/>
            <charset val="129"/>
          </rPr>
          <t>낙찰가의</t>
        </r>
        <r>
          <rPr>
            <sz val="9"/>
            <color indexed="81"/>
            <rFont val="Tahoma"/>
            <family val="2"/>
          </rPr>
          <t xml:space="preserve"> 10%)</t>
        </r>
      </text>
    </comment>
    <comment ref="E14" authorId="0" shapeId="0">
      <text>
        <r>
          <rPr>
            <b/>
            <sz val="9"/>
            <color indexed="81"/>
            <rFont val="돋움"/>
            <family val="3"/>
            <charset val="129"/>
          </rPr>
          <t>하자</t>
        </r>
        <r>
          <rPr>
            <b/>
            <sz val="9"/>
            <color indexed="81"/>
            <rFont val="Tahoma"/>
            <family val="2"/>
          </rPr>
          <t xml:space="preserve"> </t>
        </r>
        <r>
          <rPr>
            <b/>
            <sz val="9"/>
            <color indexed="81"/>
            <rFont val="돋움"/>
            <family val="3"/>
            <charset val="129"/>
          </rPr>
          <t>소송처리로</t>
        </r>
        <r>
          <rPr>
            <b/>
            <sz val="9"/>
            <color indexed="81"/>
            <rFont val="Tahoma"/>
            <family val="2"/>
          </rPr>
          <t xml:space="preserve"> </t>
        </r>
        <r>
          <rPr>
            <b/>
            <sz val="9"/>
            <color indexed="81"/>
            <rFont val="돋움"/>
            <family val="3"/>
            <charset val="129"/>
          </rPr>
          <t>인해</t>
        </r>
        <r>
          <rPr>
            <b/>
            <sz val="9"/>
            <color indexed="81"/>
            <rFont val="Tahoma"/>
            <family val="2"/>
          </rPr>
          <t xml:space="preserve"> 26-07-30 </t>
        </r>
        <r>
          <rPr>
            <b/>
            <sz val="9"/>
            <color indexed="81"/>
            <rFont val="돋움"/>
            <family val="3"/>
            <charset val="129"/>
          </rPr>
          <t>정산</t>
        </r>
        <r>
          <rPr>
            <b/>
            <sz val="9"/>
            <color indexed="81"/>
            <rFont val="Tahoma"/>
            <family val="2"/>
          </rPr>
          <t xml:space="preserve"> </t>
        </r>
        <r>
          <rPr>
            <b/>
            <sz val="9"/>
            <color indexed="81"/>
            <rFont val="돋움"/>
            <family val="3"/>
            <charset val="129"/>
          </rPr>
          <t>예정</t>
        </r>
      </text>
    </comment>
  </commentList>
</comments>
</file>

<file path=xl/comments2.xml><?xml version="1.0" encoding="utf-8"?>
<comments xmlns="http://schemas.openxmlformats.org/spreadsheetml/2006/main">
  <authors>
    <author>Unknown Author</author>
  </authors>
  <commentList>
    <comment ref="I11" authorId="0" shapeId="0">
      <text>
        <r>
          <rPr>
            <sz val="10"/>
            <rFont val="Noto Sans CJK SC"/>
            <family val="2"/>
          </rPr>
          <t>기존예정일</t>
        </r>
        <r>
          <rPr>
            <sz val="10"/>
            <rFont val="Arial"/>
            <family val="2"/>
          </rPr>
          <t xml:space="preserve">:25.05.30
</t>
        </r>
        <r>
          <rPr>
            <sz val="10"/>
            <rFont val="Noto Sans CJK SC"/>
            <family val="2"/>
          </rPr>
          <t xml:space="preserve">적산건설 대금 흐름진행이어려워 
소장님먼저 처리함 
이에 아파트 중도금 입금 이후로 선급금 
진행이 이루어질듯
</t>
        </r>
        <r>
          <rPr>
            <sz val="10"/>
            <rFont val="Arial"/>
            <family val="2"/>
          </rPr>
          <t xml:space="preserve">7/31 </t>
        </r>
        <r>
          <rPr>
            <sz val="10"/>
            <rFont val="Noto Sans CJK SC"/>
            <family val="2"/>
          </rPr>
          <t xml:space="preserve">일부금액 입금예정
</t>
        </r>
        <r>
          <rPr>
            <sz val="10"/>
            <rFont val="Arial"/>
            <family val="2"/>
          </rPr>
          <t xml:space="preserve">8/11 </t>
        </r>
        <r>
          <rPr>
            <sz val="10"/>
            <rFont val="Noto Sans CJK SC"/>
            <family val="2"/>
          </rPr>
          <t xml:space="preserve">담당자 휴가후 복귀예정
</t>
        </r>
        <r>
          <rPr>
            <sz val="10"/>
            <rFont val="Arial"/>
            <family val="2"/>
          </rPr>
          <t>:</t>
        </r>
        <r>
          <rPr>
            <sz val="10"/>
            <rFont val="Noto Sans CJK SC"/>
            <family val="2"/>
          </rPr>
          <t xml:space="preserve">하자판결금진행현장 </t>
        </r>
        <r>
          <rPr>
            <sz val="10"/>
            <rFont val="Arial"/>
            <family val="2"/>
          </rPr>
          <t>(</t>
        </r>
        <r>
          <rPr>
            <sz val="10"/>
            <rFont val="Noto Sans CJK SC"/>
            <family val="2"/>
          </rPr>
          <t>발주처 미지급중</t>
        </r>
        <r>
          <rPr>
            <sz val="10"/>
            <rFont val="Arial"/>
            <family val="2"/>
          </rPr>
          <t>)
26~27</t>
        </r>
        <r>
          <rPr>
            <sz val="10"/>
            <rFont val="Noto Sans CJK SC"/>
            <family val="2"/>
          </rPr>
          <t>년으로 선</t>
        </r>
        <r>
          <rPr>
            <sz val="10"/>
            <rFont val="Arial"/>
            <family val="2"/>
          </rPr>
          <t>,</t>
        </r>
        <r>
          <rPr>
            <sz val="10"/>
            <rFont val="Noto Sans CJK SC"/>
            <family val="2"/>
          </rPr>
          <t>중</t>
        </r>
        <r>
          <rPr>
            <sz val="10"/>
            <rFont val="Arial"/>
            <family val="2"/>
          </rPr>
          <t>,</t>
        </r>
        <r>
          <rPr>
            <sz val="10"/>
            <rFont val="Noto Sans CJK SC"/>
            <family val="2"/>
          </rPr>
          <t>잔 미뤄질가능성있음 
적산건설 → 이음건설에서
하자판결금으로 지급되는 현장
이와 관련 유림님 대표님께 확인예정</t>
        </r>
        <r>
          <rPr>
            <sz val="10"/>
            <rFont val="Arial"/>
            <family val="2"/>
          </rPr>
          <t xml:space="preserve">_250829
</t>
        </r>
        <r>
          <rPr>
            <sz val="10"/>
            <rFont val="Noto Sans CJK SC"/>
            <family val="2"/>
          </rPr>
          <t xml:space="preserve">대표님 최종확인 </t>
        </r>
        <r>
          <rPr>
            <sz val="10"/>
            <rFont val="Arial"/>
            <family val="2"/>
          </rPr>
          <t xml:space="preserve">: </t>
        </r>
        <r>
          <rPr>
            <sz val="10"/>
            <rFont val="Noto Sans CJK SC"/>
            <family val="2"/>
          </rPr>
          <t xml:space="preserve">해당현장 대금지급기한 
</t>
        </r>
        <r>
          <rPr>
            <sz val="10"/>
            <rFont val="Arial"/>
            <family val="2"/>
          </rPr>
          <t>2026</t>
        </r>
        <r>
          <rPr>
            <sz val="10"/>
            <rFont val="Noto Sans CJK SC"/>
            <family val="2"/>
          </rPr>
          <t>년 진행예정</t>
        </r>
        <r>
          <rPr>
            <sz val="10"/>
            <rFont val="Arial"/>
            <family val="2"/>
          </rPr>
          <t xml:space="preserve">_250902
</t>
        </r>
      </text>
    </comment>
    <comment ref="I16" authorId="0" shapeId="0">
      <text>
        <r>
          <rPr>
            <sz val="10"/>
            <rFont val="Noto Sans CJK SC"/>
            <family val="2"/>
          </rPr>
          <t xml:space="preserve">선급금 없는현장
중도금 진행시 입금예정
</t>
        </r>
      </text>
    </comment>
    <comment ref="H47" authorId="0" shapeId="0">
      <text>
        <r>
          <rPr>
            <sz val="10"/>
            <rFont val="Noto Sans CJK SC"/>
            <family val="2"/>
          </rPr>
          <t>자재대금입금시 함께
입금해준다고는하나</t>
        </r>
        <r>
          <rPr>
            <sz val="10"/>
            <rFont val="Arial"/>
            <family val="2"/>
          </rPr>
          <t xml:space="preserve">..
</t>
        </r>
        <r>
          <rPr>
            <sz val="10"/>
            <rFont val="Noto Sans CJK SC"/>
            <family val="2"/>
          </rPr>
          <t>언제입금되는시점은
정확히모름</t>
        </r>
        <r>
          <rPr>
            <sz val="10"/>
            <rFont val="Arial"/>
            <family val="2"/>
          </rPr>
          <t>-</t>
        </r>
        <r>
          <rPr>
            <sz val="10"/>
            <rFont val="Noto Sans CJK SC"/>
            <family val="2"/>
          </rPr>
          <t xml:space="preserve">이에 </t>
        </r>
        <r>
          <rPr>
            <sz val="10"/>
            <rFont val="Arial"/>
            <family val="2"/>
          </rPr>
          <t>5/19</t>
        </r>
        <r>
          <rPr>
            <sz val="10"/>
            <rFont val="Noto Sans CJK SC"/>
            <family val="2"/>
          </rPr>
          <t xml:space="preserve">업체쪽 전화예정
기존 </t>
        </r>
        <r>
          <rPr>
            <sz val="10"/>
            <rFont val="Arial"/>
            <family val="2"/>
          </rPr>
          <t xml:space="preserve">: 5/30
</t>
        </r>
      </text>
    </comment>
  </commentList>
</comments>
</file>

<file path=xl/sharedStrings.xml><?xml version="1.0" encoding="utf-8"?>
<sst xmlns="http://schemas.openxmlformats.org/spreadsheetml/2006/main" count="18563" uniqueCount="3007">
  <si>
    <r>
      <rPr>
        <b/>
        <sz val="14"/>
        <color theme="0"/>
        <rFont val="맑은 고딕"/>
        <family val="3"/>
        <charset val="129"/>
      </rPr>
      <t>(</t>
    </r>
    <r>
      <rPr>
        <b/>
        <sz val="14"/>
        <color theme="0"/>
        <rFont val="Noto Sans CJK SC"/>
        <family val="2"/>
      </rPr>
      <t>주</t>
    </r>
    <r>
      <rPr>
        <b/>
        <sz val="14"/>
        <color theme="0"/>
        <rFont val="맑은 고딕"/>
        <family val="3"/>
        <charset val="129"/>
      </rPr>
      <t xml:space="preserve">) </t>
    </r>
    <r>
      <rPr>
        <b/>
        <sz val="14"/>
        <color theme="0"/>
        <rFont val="Noto Sans CJK SC"/>
        <family val="2"/>
      </rPr>
      <t xml:space="preserve">넷폼알앤디 </t>
    </r>
    <r>
      <rPr>
        <b/>
        <sz val="14"/>
        <color theme="0"/>
        <rFont val="맑은 고딕"/>
        <family val="3"/>
        <charset val="129"/>
      </rPr>
      <t>2026</t>
    </r>
    <r>
      <rPr>
        <b/>
        <sz val="14"/>
        <color theme="0"/>
        <rFont val="Noto Sans CJK SC"/>
        <family val="2"/>
      </rPr>
      <t>년 매출현황</t>
    </r>
  </si>
  <si>
    <t>목표매출</t>
  </si>
  <si>
    <t>계약매출</t>
  </si>
  <si>
    <t>확정매출</t>
  </si>
  <si>
    <t>달성률</t>
  </si>
  <si>
    <t>수금률</t>
  </si>
  <si>
    <r>
      <rPr>
        <b/>
        <sz val="11"/>
        <color rgb="FF2C3E50"/>
        <rFont val="맑은 고딕"/>
        <family val="3"/>
        <charset val="129"/>
      </rPr>
      <t xml:space="preserve">1. </t>
    </r>
    <r>
      <rPr>
        <b/>
        <sz val="11"/>
        <color rgb="FF2C3E50"/>
        <rFont val="Noto Sans CJK SC"/>
        <family val="2"/>
      </rPr>
      <t>월별 계약 매출</t>
    </r>
  </si>
  <si>
    <t>계약일기준</t>
  </si>
  <si>
    <r>
      <rPr>
        <b/>
        <sz val="9"/>
        <color rgb="FFFFFFFF"/>
        <rFont val="맑은 고딕"/>
        <family val="3"/>
        <charset val="129"/>
      </rPr>
      <t>25</t>
    </r>
    <r>
      <rPr>
        <b/>
        <sz val="9"/>
        <color rgb="FFFFFFFF"/>
        <rFont val="Noto Sans CJK SC"/>
        <family val="2"/>
      </rPr>
      <t>년</t>
    </r>
    <r>
      <rPr>
        <b/>
        <sz val="9"/>
        <color rgb="FFFFFFFF"/>
        <rFont val="맑은 고딕"/>
        <family val="3"/>
        <charset val="129"/>
      </rPr>
      <t>12</t>
    </r>
    <r>
      <rPr>
        <b/>
        <sz val="9"/>
        <color rgb="FFFFFFFF"/>
        <rFont val="Noto Sans CJK SC"/>
        <family val="2"/>
      </rPr>
      <t>월</t>
    </r>
  </si>
  <si>
    <r>
      <rPr>
        <b/>
        <sz val="9"/>
        <color rgb="FFFFFFFF"/>
        <rFont val="맑은 고딕"/>
        <family val="3"/>
        <charset val="129"/>
      </rPr>
      <t>1</t>
    </r>
    <r>
      <rPr>
        <b/>
        <sz val="9"/>
        <color rgb="FFFFFFFF"/>
        <rFont val="Noto Sans CJK SC"/>
        <family val="2"/>
      </rPr>
      <t>월</t>
    </r>
  </si>
  <si>
    <r>
      <rPr>
        <b/>
        <sz val="9"/>
        <color rgb="FFFFFFFF"/>
        <rFont val="맑은 고딕"/>
        <family val="3"/>
        <charset val="129"/>
      </rPr>
      <t>2</t>
    </r>
    <r>
      <rPr>
        <b/>
        <sz val="9"/>
        <color rgb="FFFFFFFF"/>
        <rFont val="Noto Sans CJK SC"/>
        <family val="2"/>
      </rPr>
      <t>월</t>
    </r>
  </si>
  <si>
    <r>
      <rPr>
        <b/>
        <sz val="9"/>
        <color rgb="FFFFFFFF"/>
        <rFont val="맑은 고딕"/>
        <family val="3"/>
        <charset val="129"/>
      </rPr>
      <t>3</t>
    </r>
    <r>
      <rPr>
        <b/>
        <sz val="9"/>
        <color rgb="FFFFFFFF"/>
        <rFont val="Noto Sans CJK SC"/>
        <family val="2"/>
      </rPr>
      <t>월</t>
    </r>
  </si>
  <si>
    <r>
      <rPr>
        <b/>
        <sz val="9"/>
        <color rgb="FFFFFFFF"/>
        <rFont val="맑은 고딕"/>
        <family val="3"/>
        <charset val="129"/>
      </rPr>
      <t>4</t>
    </r>
    <r>
      <rPr>
        <b/>
        <sz val="9"/>
        <color rgb="FFFFFFFF"/>
        <rFont val="Noto Sans CJK SC"/>
        <family val="2"/>
      </rPr>
      <t>월</t>
    </r>
  </si>
  <si>
    <r>
      <rPr>
        <b/>
        <sz val="9"/>
        <color rgb="FFFFFFFF"/>
        <rFont val="맑은 고딕"/>
        <family val="3"/>
        <charset val="129"/>
      </rPr>
      <t>5</t>
    </r>
    <r>
      <rPr>
        <b/>
        <sz val="9"/>
        <color rgb="FFFFFFFF"/>
        <rFont val="Noto Sans CJK SC"/>
        <family val="2"/>
      </rPr>
      <t>월</t>
    </r>
  </si>
  <si>
    <r>
      <rPr>
        <b/>
        <sz val="9"/>
        <color rgb="FFFFFFFF"/>
        <rFont val="맑은 고딕"/>
        <family val="3"/>
        <charset val="129"/>
      </rPr>
      <t>6</t>
    </r>
    <r>
      <rPr>
        <b/>
        <sz val="9"/>
        <color rgb="FFFFFFFF"/>
        <rFont val="Noto Sans CJK SC"/>
        <family val="2"/>
      </rPr>
      <t>월</t>
    </r>
  </si>
  <si>
    <r>
      <rPr>
        <b/>
        <sz val="9"/>
        <color rgb="FFFFFFFF"/>
        <rFont val="맑은 고딕"/>
        <family val="3"/>
        <charset val="129"/>
      </rPr>
      <t>7</t>
    </r>
    <r>
      <rPr>
        <b/>
        <sz val="9"/>
        <color rgb="FFFFFFFF"/>
        <rFont val="Noto Sans CJK SC"/>
        <family val="2"/>
      </rPr>
      <t>월</t>
    </r>
  </si>
  <si>
    <r>
      <rPr>
        <b/>
        <sz val="9"/>
        <color rgb="FFFFFFFF"/>
        <rFont val="맑은 고딕"/>
        <family val="3"/>
        <charset val="129"/>
      </rPr>
      <t>8</t>
    </r>
    <r>
      <rPr>
        <b/>
        <sz val="9"/>
        <color rgb="FFFFFFFF"/>
        <rFont val="Noto Sans CJK SC"/>
        <family val="2"/>
      </rPr>
      <t>월</t>
    </r>
  </si>
  <si>
    <r>
      <rPr>
        <b/>
        <sz val="9"/>
        <color rgb="FFFFFFFF"/>
        <rFont val="맑은 고딕"/>
        <family val="3"/>
        <charset val="129"/>
      </rPr>
      <t>9</t>
    </r>
    <r>
      <rPr>
        <b/>
        <sz val="9"/>
        <color rgb="FFFFFFFF"/>
        <rFont val="Noto Sans CJK SC"/>
        <family val="2"/>
      </rPr>
      <t>월</t>
    </r>
  </si>
  <si>
    <r>
      <rPr>
        <b/>
        <sz val="9"/>
        <color rgb="FFFFFFFF"/>
        <rFont val="맑은 고딕"/>
        <family val="3"/>
        <charset val="129"/>
      </rPr>
      <t>10</t>
    </r>
    <r>
      <rPr>
        <b/>
        <sz val="9"/>
        <color rgb="FFFFFFFF"/>
        <rFont val="Noto Sans CJK SC"/>
        <family val="2"/>
      </rPr>
      <t>월</t>
    </r>
  </si>
  <si>
    <r>
      <rPr>
        <b/>
        <sz val="9"/>
        <color rgb="FFFFFFFF"/>
        <rFont val="맑은 고딕"/>
        <family val="3"/>
        <charset val="129"/>
      </rPr>
      <t>11</t>
    </r>
    <r>
      <rPr>
        <b/>
        <sz val="9"/>
        <color rgb="FFFFFFFF"/>
        <rFont val="Noto Sans CJK SC"/>
        <family val="2"/>
      </rPr>
      <t>월</t>
    </r>
  </si>
  <si>
    <r>
      <rPr>
        <b/>
        <sz val="9"/>
        <color rgb="FFFFFFFF"/>
        <rFont val="맑은 고딕"/>
        <family val="3"/>
        <charset val="129"/>
      </rPr>
      <t>12</t>
    </r>
    <r>
      <rPr>
        <b/>
        <sz val="9"/>
        <color rgb="FFFFFFFF"/>
        <rFont val="Noto Sans CJK SC"/>
        <family val="2"/>
      </rPr>
      <t>월</t>
    </r>
  </si>
  <si>
    <t>합계</t>
  </si>
  <si>
    <t>총액</t>
  </si>
  <si>
    <r>
      <rPr>
        <b/>
        <sz val="11"/>
        <color rgb="FF2C3E50"/>
        <rFont val="맑은 고딕"/>
        <family val="3"/>
        <charset val="129"/>
      </rPr>
      <t xml:space="preserve">2. </t>
    </r>
    <r>
      <rPr>
        <b/>
        <sz val="11"/>
        <color rgb="FF2C3E50"/>
        <rFont val="Noto Sans CJK SC"/>
        <family val="2"/>
      </rPr>
      <t>월별 확정 매출</t>
    </r>
  </si>
  <si>
    <t>매출일기준</t>
  </si>
  <si>
    <r>
      <rPr>
        <b/>
        <sz val="11"/>
        <color rgb="FF2C3E50"/>
        <rFont val="맑은 고딕"/>
        <family val="3"/>
        <charset val="129"/>
      </rPr>
      <t xml:space="preserve">3. </t>
    </r>
    <r>
      <rPr>
        <b/>
        <sz val="11"/>
        <color rgb="FF2C3E50"/>
        <rFont val="Noto Sans CJK SC"/>
        <family val="2"/>
      </rPr>
      <t>카테고리별 매출</t>
    </r>
  </si>
  <si>
    <t>매출구분</t>
  </si>
  <si>
    <t>현장수</t>
  </si>
  <si>
    <t>컨설팅</t>
  </si>
  <si>
    <t>특허기술자문료</t>
  </si>
  <si>
    <t>자재판매</t>
  </si>
  <si>
    <t>포어스토어</t>
  </si>
  <si>
    <t>-</t>
  </si>
  <si>
    <t>그로홈</t>
  </si>
  <si>
    <t>모여라딜</t>
  </si>
  <si>
    <r>
      <rPr>
        <b/>
        <sz val="11"/>
        <color rgb="FF2C3E50"/>
        <rFont val="맑은 고딕"/>
        <family val="3"/>
        <charset val="129"/>
      </rPr>
      <t xml:space="preserve">4. </t>
    </r>
    <r>
      <rPr>
        <b/>
        <sz val="11"/>
        <color rgb="FF2C3E50"/>
        <rFont val="Noto Sans CJK SC"/>
        <family val="2"/>
      </rPr>
      <t>카테고리별 월별 매출</t>
    </r>
  </si>
  <si>
    <t>월합계</t>
  </si>
  <si>
    <t>순번</t>
  </si>
  <si>
    <t>업체명</t>
  </si>
  <si>
    <t>현장명</t>
  </si>
  <si>
    <t>총실행가</t>
  </si>
  <si>
    <t>계약금액(V-)</t>
  </si>
  <si>
    <t>매출금액(v-)</t>
  </si>
  <si>
    <t>구분</t>
  </si>
  <si>
    <t>계약일</t>
  </si>
  <si>
    <t>착공일</t>
  </si>
  <si>
    <t>매출일</t>
  </si>
  <si>
    <t>입금예정일</t>
  </si>
  <si>
    <t>입금일</t>
  </si>
  <si>
    <t>입금액(V+)</t>
  </si>
  <si>
    <t>수금예정액(V+)</t>
  </si>
  <si>
    <t>준공일</t>
  </si>
  <si>
    <t>정산소요일</t>
  </si>
  <si>
    <t>입금지연</t>
  </si>
  <si>
    <t>현장 소장</t>
  </si>
  <si>
    <t>단가</t>
  </si>
  <si>
    <t>노임 금액</t>
  </si>
  <si>
    <t>추가노무비</t>
  </si>
  <si>
    <t>안전관리비</t>
  </si>
  <si>
    <t>장비대금</t>
  </si>
  <si>
    <t>폐기물</t>
  </si>
  <si>
    <t>기타</t>
  </si>
  <si>
    <t>차감총액</t>
  </si>
  <si>
    <t>컨설팅 순이익금</t>
  </si>
  <si>
    <t>이익률</t>
  </si>
  <si>
    <t>이익금액</t>
  </si>
  <si>
    <t>컨설팅현장</t>
  </si>
  <si>
    <t>에이치제이건설</t>
  </si>
  <si>
    <t>해운대 센텀트루엘</t>
  </si>
  <si>
    <t>선금</t>
  </si>
  <si>
    <t>중도금</t>
  </si>
  <si>
    <t>잔금</t>
  </si>
  <si>
    <t>자양10차현대홈타운</t>
  </si>
  <si>
    <t>광덕파크빌</t>
  </si>
  <si>
    <t>기림이앤씨</t>
  </si>
  <si>
    <t>해누리선경</t>
  </si>
  <si>
    <t>지웰시티푸르지오1단지오피스텔</t>
  </si>
  <si>
    <t>덕천동롯데</t>
  </si>
  <si>
    <t>석민이앤씨</t>
  </si>
  <si>
    <t>낙찰금액(v-)</t>
  </si>
  <si>
    <t>특허료 비율</t>
  </si>
  <si>
    <t>자재판매(v-)</t>
  </si>
  <si>
    <t>매출액(v-)</t>
  </si>
  <si>
    <t>공문발송일</t>
  </si>
  <si>
    <t>입금액(v+)</t>
  </si>
  <si>
    <t>(주)효덕산업</t>
  </si>
  <si>
    <t>석진건설(주)</t>
  </si>
  <si>
    <t>포레나광교상현아파트</t>
  </si>
  <si>
    <t>동탄역더샵센트럴시티2차아파트</t>
  </si>
  <si>
    <t>승인번호</t>
  </si>
  <si>
    <t>발급일자</t>
  </si>
  <si>
    <t>전송일자</t>
  </si>
  <si>
    <t>공급자사업자등록번호</t>
  </si>
  <si>
    <t>종사업장번호</t>
  </si>
  <si>
    <t>상호</t>
  </si>
  <si>
    <t>대표자명</t>
  </si>
  <si>
    <t>주소</t>
  </si>
  <si>
    <t>공급받는자사업자등록번호</t>
  </si>
  <si>
    <t>합계금액</t>
  </si>
  <si>
    <t>세액</t>
  </si>
  <si>
    <t>전자세금계산서분류</t>
  </si>
  <si>
    <t>발급유형</t>
  </si>
  <si>
    <t>비고</t>
  </si>
  <si>
    <t>영수/청구 구분</t>
  </si>
  <si>
    <t>공급자 이메일</t>
  </si>
  <si>
    <t>공급받는자 이메일1</t>
  </si>
  <si>
    <t>공급받는자 이메일2</t>
  </si>
  <si>
    <t>품목일자</t>
  </si>
  <si>
    <t>품목명</t>
  </si>
  <si>
    <t>품목규격</t>
  </si>
  <si>
    <t>품목수량</t>
  </si>
  <si>
    <t>품목단가</t>
  </si>
  <si>
    <t>품목공급가액</t>
  </si>
  <si>
    <t>품목세액</t>
  </si>
  <si>
    <t>2026-01-05</t>
  </si>
  <si>
    <t>20260105-10260105-90287761</t>
  </si>
  <si>
    <t>403-81-84528</t>
  </si>
  <si>
    <t>주식회사 넷폼알앤디(NETFORM R&amp;D Corp.)</t>
  </si>
  <si>
    <t>이승우</t>
  </si>
  <si>
    <t>경기도 오산시 서동로 77, 1층,3층(서동)</t>
  </si>
  <si>
    <t>416-81-21999</t>
  </si>
  <si>
    <r>
      <rPr>
        <sz val="10"/>
        <color theme="1"/>
        <rFont val="맑은 고딕"/>
        <family val="3"/>
        <charset val="129"/>
      </rPr>
      <t>(</t>
    </r>
    <r>
      <rPr>
        <sz val="10"/>
        <color theme="1"/>
        <rFont val="Noto Sans CJK SC"/>
        <family val="2"/>
      </rPr>
      <t>주</t>
    </r>
    <r>
      <rPr>
        <sz val="10"/>
        <color theme="1"/>
        <rFont val="맑은 고딕"/>
        <family val="3"/>
        <charset val="129"/>
      </rPr>
      <t>)</t>
    </r>
    <r>
      <rPr>
        <sz val="10"/>
        <color theme="1"/>
        <rFont val="Noto Sans CJK SC"/>
        <family val="2"/>
      </rPr>
      <t>부영씨엔씨</t>
    </r>
  </si>
  <si>
    <t>정동진</t>
  </si>
  <si>
    <t>서울특별시 광진구 자양동 784-1 대동상가동 107</t>
  </si>
  <si>
    <t>세금계산서</t>
  </si>
  <si>
    <t>인터넷발급</t>
  </si>
  <si>
    <t>기업은행 468-084895-04-017 넷폼알앤디</t>
  </si>
  <si>
    <t>청구</t>
  </si>
  <si>
    <t>netform@netformrnd.com</t>
  </si>
  <si>
    <t>booyoung458@hanmail.net</t>
  </si>
  <si>
    <t>자재대금</t>
  </si>
  <si>
    <t>1</t>
  </si>
  <si>
    <t>26,182,000</t>
  </si>
  <si>
    <t>잠실리센츠</t>
  </si>
  <si>
    <t>20260105-10260105-90284342</t>
  </si>
  <si>
    <t>579-87-01622</t>
  </si>
  <si>
    <r>
      <rPr>
        <sz val="10"/>
        <color theme="1"/>
        <rFont val="맑은 고딕"/>
        <family val="3"/>
        <charset val="129"/>
      </rPr>
      <t>(</t>
    </r>
    <r>
      <rPr>
        <sz val="10"/>
        <color theme="1"/>
        <rFont val="Noto Sans CJK SC"/>
        <family val="2"/>
      </rPr>
      <t>주</t>
    </r>
    <r>
      <rPr>
        <sz val="10"/>
        <color theme="1"/>
        <rFont val="맑은 고딕"/>
        <family val="3"/>
        <charset val="129"/>
      </rPr>
      <t>)</t>
    </r>
    <r>
      <rPr>
        <sz val="10"/>
        <color theme="1"/>
        <rFont val="Noto Sans CJK SC"/>
        <family val="2"/>
      </rPr>
      <t>에이치제이건설</t>
    </r>
  </si>
  <si>
    <t>노옥분</t>
  </si>
  <si>
    <t>경상남도 양산시 물금읍 야리3길 34, 부광타워 607</t>
  </si>
  <si>
    <t>hj202002@naver.com</t>
  </si>
  <si>
    <t>1,100,000</t>
  </si>
  <si>
    <t>양산유탑유블레스</t>
  </si>
  <si>
    <t>2026-01-06</t>
  </si>
  <si>
    <t>20260106-10260106-92182686</t>
  </si>
  <si>
    <t>799,000</t>
  </si>
  <si>
    <t>20260106-10260106-91528242</t>
  </si>
  <si>
    <t>607-81-44583</t>
  </si>
  <si>
    <r>
      <rPr>
        <sz val="10"/>
        <color theme="1"/>
        <rFont val="맑은 고딕"/>
        <family val="3"/>
        <charset val="129"/>
      </rPr>
      <t>(</t>
    </r>
    <r>
      <rPr>
        <sz val="10"/>
        <color theme="1"/>
        <rFont val="Noto Sans CJK SC"/>
        <family val="2"/>
      </rPr>
      <t>주</t>
    </r>
    <r>
      <rPr>
        <sz val="10"/>
        <color theme="1"/>
        <rFont val="맑은 고딕"/>
        <family val="3"/>
        <charset val="129"/>
      </rPr>
      <t>)</t>
    </r>
    <r>
      <rPr>
        <sz val="10"/>
        <color theme="1"/>
        <rFont val="Noto Sans CJK SC"/>
        <family val="2"/>
      </rPr>
      <t>대한진단건설</t>
    </r>
  </si>
  <si>
    <t>이헌재</t>
  </si>
  <si>
    <t>부산광역시 동래구 사직북로63번길 55</t>
  </si>
  <si>
    <t>daehan0404@nate.com</t>
  </si>
  <si>
    <t>3,430,000</t>
  </si>
  <si>
    <r>
      <rPr>
        <sz val="14"/>
        <color theme="1"/>
        <rFont val="맑은 고딕"/>
        <family val="3"/>
        <charset val="129"/>
      </rPr>
      <t xml:space="preserve"> 1. </t>
    </r>
    <r>
      <rPr>
        <sz val="14"/>
        <color theme="1"/>
        <rFont val="Noto Sans CJK SC"/>
        <family val="2"/>
      </rPr>
      <t>컨설팅 매출</t>
    </r>
  </si>
  <si>
    <t>선급금</t>
  </si>
  <si>
    <r>
      <rPr>
        <sz val="14"/>
        <color theme="1"/>
        <rFont val="맑은 고딕"/>
        <family val="3"/>
        <charset val="129"/>
      </rPr>
      <t>1</t>
    </r>
    <r>
      <rPr>
        <sz val="14"/>
        <color theme="1"/>
        <rFont val="Noto Sans CJK SC"/>
        <family val="2"/>
      </rPr>
      <t>차 중도금</t>
    </r>
  </si>
  <si>
    <r>
      <rPr>
        <sz val="14"/>
        <color theme="1"/>
        <rFont val="맑은 고딕"/>
        <family val="3"/>
        <charset val="129"/>
      </rPr>
      <t>2</t>
    </r>
    <r>
      <rPr>
        <sz val="14"/>
        <color theme="1"/>
        <rFont val="Noto Sans CJK SC"/>
        <family val="2"/>
      </rPr>
      <t>차 중도금</t>
    </r>
  </si>
  <si>
    <t xml:space="preserve">노임 </t>
  </si>
  <si>
    <t>차감내역</t>
  </si>
  <si>
    <t>자재 금액 - 판매</t>
  </si>
  <si>
    <t>순 
번</t>
  </si>
  <si>
    <t>컨설팅
금액</t>
  </si>
  <si>
    <t>금액</t>
  </si>
  <si>
    <t>발행</t>
  </si>
  <si>
    <t>예정</t>
  </si>
  <si>
    <t>입금</t>
  </si>
  <si>
    <t>미수금액</t>
  </si>
  <si>
    <t>금액2</t>
  </si>
  <si>
    <t>발행3</t>
  </si>
  <si>
    <t>예정4</t>
  </si>
  <si>
    <t>입금5</t>
  </si>
  <si>
    <t>미수금액6</t>
  </si>
  <si>
    <t>금액7</t>
  </si>
  <si>
    <t>발행8</t>
  </si>
  <si>
    <t>예정9</t>
  </si>
  <si>
    <t>입금10</t>
  </si>
  <si>
    <t>미수금액11</t>
  </si>
  <si>
    <t>중간 수금액</t>
  </si>
  <si>
    <t>금액12</t>
  </si>
  <si>
    <t>차감액</t>
  </si>
  <si>
    <t>최종잔금</t>
  </si>
  <si>
    <t>준공일
(A)</t>
  </si>
  <si>
    <t>발행13</t>
  </si>
  <si>
    <t>예정14</t>
  </si>
  <si>
    <t>입금
(B)</t>
  </si>
  <si>
    <t>정산
지연일
(A-B)</t>
  </si>
  <si>
    <t>최종수금액</t>
  </si>
  <si>
    <t>미수금액
(계산서발행o)</t>
  </si>
  <si>
    <t>계산서
미발행액</t>
  </si>
  <si>
    <t>자재 총액</t>
  </si>
  <si>
    <t>일성기업</t>
  </si>
  <si>
    <t>정상혁/신현섭</t>
  </si>
  <si>
    <t>한국전문건설</t>
  </si>
  <si>
    <t>이편한세상화랑대</t>
  </si>
  <si>
    <t>백우현/윤성환</t>
  </si>
  <si>
    <t>엘케이개발</t>
  </si>
  <si>
    <t>율전삼성2단지</t>
  </si>
  <si>
    <t>이용암</t>
  </si>
  <si>
    <t>도경</t>
  </si>
  <si>
    <t>김원규</t>
  </si>
  <si>
    <t>옥탑 190만원</t>
  </si>
  <si>
    <t>혜성씨앤씨</t>
  </si>
  <si>
    <t>호계신성미소지움</t>
  </si>
  <si>
    <t>조재부/이용암</t>
  </si>
  <si>
    <t>삼성리페어링</t>
  </si>
  <si>
    <t>박성훈/장진호</t>
  </si>
  <si>
    <t>적산건설</t>
  </si>
  <si>
    <t>원주기업도시2차 호반베르디움</t>
  </si>
  <si>
    <t>김병석</t>
  </si>
  <si>
    <t>오창롯데캐슬더하이스트</t>
  </si>
  <si>
    <t>조재부/조병철</t>
  </si>
  <si>
    <t>아시아선수촌</t>
  </si>
  <si>
    <t>이준경/장진호</t>
  </si>
  <si>
    <t>은빛마을6단지프라웰</t>
  </si>
  <si>
    <t>김용재</t>
  </si>
  <si>
    <t>12,000/15,000</t>
  </si>
  <si>
    <t>부영씨엔씨</t>
  </si>
  <si>
    <t>이음건설</t>
  </si>
  <si>
    <t>조종억</t>
  </si>
  <si>
    <t>이성수</t>
  </si>
  <si>
    <t>조병철/손영구</t>
  </si>
  <si>
    <t>신화건설</t>
  </si>
  <si>
    <t>정상혁</t>
  </si>
  <si>
    <r>
      <rPr>
        <sz val="14"/>
        <color theme="1"/>
        <rFont val="맑은 고딕"/>
        <family val="3"/>
        <charset val="129"/>
      </rPr>
      <t xml:space="preserve"> 2. </t>
    </r>
    <r>
      <rPr>
        <sz val="14"/>
        <color theme="1"/>
        <rFont val="Noto Sans CJK SC"/>
        <family val="2"/>
      </rPr>
      <t>특허료 매출</t>
    </r>
  </si>
  <si>
    <t>특허 자문료 (1%)-A</t>
  </si>
  <si>
    <t>특허 자문료 (0.5%)-B</t>
  </si>
  <si>
    <t>수금관련</t>
  </si>
  <si>
    <t>특허 자문료 
공문 발송 일자</t>
  </si>
  <si>
    <t>낙찰 금액</t>
  </si>
  <si>
    <t>수금액</t>
  </si>
  <si>
    <t>미수금액2</t>
  </si>
  <si>
    <t>금곡하나</t>
  </si>
  <si>
    <t>초담건설</t>
  </si>
  <si>
    <t>마곡수명산파크2단지</t>
  </si>
  <si>
    <t>이루미건설</t>
  </si>
  <si>
    <t>한강신도시반도유보라2차</t>
  </si>
  <si>
    <t>대표건설</t>
  </si>
  <si>
    <t>영종도힐스테이트</t>
  </si>
  <si>
    <t xml:space="preserve"> 자재 구매-590,000원(295,000원 차감)</t>
  </si>
  <si>
    <t>진성이앤지</t>
  </si>
  <si>
    <t>길동현대</t>
  </si>
  <si>
    <t>일산 센트럴아이파크</t>
  </si>
  <si>
    <t>문촌 뉴삼익</t>
  </si>
  <si>
    <t xml:space="preserve"> 자재 구매-3,461,000원(837,000원 차감)</t>
  </si>
  <si>
    <t>백마마을3단지금호한양</t>
  </si>
  <si>
    <t xml:space="preserve"> 자재 구매-233,000원(116,500원 차감)</t>
  </si>
  <si>
    <t>예은건설</t>
  </si>
  <si>
    <t>인천논현힐스테이트</t>
  </si>
  <si>
    <t xml:space="preserve"> 자재 구매-5,100,000(2,550,000원 차감)</t>
  </si>
  <si>
    <t>현대성우5차</t>
  </si>
  <si>
    <t>코지건설</t>
  </si>
  <si>
    <t>아름마을 태영</t>
  </si>
  <si>
    <t>안서대림2차</t>
  </si>
  <si>
    <t xml:space="preserve"> 자재 구매-386,300(193,150원 차감)</t>
  </si>
  <si>
    <t>대한진단건설</t>
  </si>
  <si>
    <t>신구덕우성</t>
  </si>
  <si>
    <t>이매촌청구</t>
  </si>
  <si>
    <t xml:space="preserve"> 자재 구매-1,350,000 (675,000원 차감)</t>
  </si>
  <si>
    <t>홍성 청솔</t>
  </si>
  <si>
    <r>
      <rPr>
        <sz val="14"/>
        <color theme="1"/>
        <rFont val="맑은 고딕"/>
        <family val="3"/>
        <charset val="129"/>
      </rPr>
      <t>2</t>
    </r>
    <r>
      <rPr>
        <sz val="14"/>
        <color theme="1"/>
        <rFont val="Noto Sans CJK SC"/>
        <family val="2"/>
      </rPr>
      <t>차 그린맨션</t>
    </r>
  </si>
  <si>
    <t>지앤필드종합건설</t>
  </si>
  <si>
    <t>옥빛마을14단지 부영</t>
  </si>
  <si>
    <t xml:space="preserve"> 자재 구매-448,000 (224,000원 차감)</t>
  </si>
  <si>
    <t>일성3차 능수</t>
  </si>
  <si>
    <t xml:space="preserve"> 자재 구매-467,400 (233,700원 차감)</t>
  </si>
  <si>
    <t>생연주공</t>
  </si>
  <si>
    <t>지호건설</t>
  </si>
  <si>
    <t>래미안안양메가트리아</t>
  </si>
  <si>
    <t xml:space="preserve"> 자재 구매-2,469,000 (1,234,500원 차감)</t>
  </si>
  <si>
    <t>서수원자이</t>
  </si>
  <si>
    <t xml:space="preserve"> 자재 구매-2,641,600 (1,320,800원 차감)</t>
  </si>
  <si>
    <t>로토텍다이아몬드</t>
  </si>
  <si>
    <t>운암일신 2차</t>
  </si>
  <si>
    <t xml:space="preserve"> 자재 구매-4,696,000 (2,348,000원 차감)</t>
  </si>
  <si>
    <t>신흥마을</t>
  </si>
  <si>
    <t xml:space="preserve"> 자재 구매-1,800,000 (-900,000원 차감)</t>
  </si>
  <si>
    <t>메르하우젠</t>
  </si>
  <si>
    <t xml:space="preserve"> 자재 구매-48,000 (-24,000원 차감)</t>
  </si>
  <si>
    <t>지안스로가</t>
  </si>
  <si>
    <t xml:space="preserve"> 자재 구매-2,082,200 (-1,041,100원 차감)</t>
  </si>
  <si>
    <t>성남 한빛스위티 주상복합</t>
  </si>
  <si>
    <t xml:space="preserve"> 자재 구매-243,000</t>
  </si>
  <si>
    <t>신음금류1차</t>
  </si>
  <si>
    <t>주원디엔피</t>
  </si>
  <si>
    <t>예랑건설</t>
  </si>
  <si>
    <t>이안 더 센트럴</t>
  </si>
  <si>
    <t>상인청구</t>
  </si>
  <si>
    <t xml:space="preserve"> 자재 구매-2,230,000</t>
  </si>
  <si>
    <t>세원티엠</t>
  </si>
  <si>
    <t>강변래미안</t>
  </si>
  <si>
    <t xml:space="preserve"> 자재 구매-1,947,000</t>
  </si>
  <si>
    <t>한별이앤씨</t>
  </si>
  <si>
    <t xml:space="preserve"> 자재 구매-944,100</t>
  </si>
  <si>
    <t>도원씨엔씨</t>
  </si>
  <si>
    <t>유등마을쌍용</t>
  </si>
  <si>
    <t xml:space="preserve"> 자재 구매-7,024,600</t>
  </si>
  <si>
    <t xml:space="preserve"> 자재 구매-3,960,000</t>
  </si>
  <si>
    <t xml:space="preserve"> 자재 구매-1,350,000</t>
  </si>
  <si>
    <t>경하이앤씨</t>
  </si>
  <si>
    <t>이천롯데골드스카이</t>
  </si>
  <si>
    <r>
      <rPr>
        <b/>
        <sz val="14"/>
        <color theme="1"/>
        <rFont val="맑은 고딕"/>
        <family val="3"/>
        <charset val="129"/>
      </rPr>
      <t xml:space="preserve">3. </t>
    </r>
    <r>
      <rPr>
        <b/>
        <sz val="14"/>
        <color theme="1"/>
        <rFont val="Noto Sans CJK SC"/>
        <family val="2"/>
      </rPr>
      <t>솔루션 현장</t>
    </r>
  </si>
  <si>
    <t>업체 정산내역</t>
  </si>
  <si>
    <t>업체 차감내역</t>
  </si>
  <si>
    <t>대금 회수 내역</t>
  </si>
  <si>
    <t>공사 내역</t>
  </si>
  <si>
    <t>청구액
(A)</t>
  </si>
  <si>
    <t>정산 비율</t>
  </si>
  <si>
    <t>정산 금액</t>
  </si>
  <si>
    <t>정산합계(B)</t>
  </si>
  <si>
    <t>노무비</t>
  </si>
  <si>
    <t>자재</t>
  </si>
  <si>
    <t>지급수수료</t>
  </si>
  <si>
    <t>현장보험료</t>
  </si>
  <si>
    <t>차감총액( C)</t>
  </si>
  <si>
    <t>최종잔금
(A-B-C)</t>
  </si>
  <si>
    <t>발행 금액</t>
  </si>
  <si>
    <t>미입금액</t>
  </si>
  <si>
    <t>잔액
(계산서발행o,
입금x)</t>
  </si>
  <si>
    <t>드림종합건설</t>
  </si>
  <si>
    <t xml:space="preserve">재도장 </t>
  </si>
  <si>
    <r>
      <rPr>
        <b/>
        <sz val="16"/>
        <color theme="1"/>
        <rFont val="맑은 고딕"/>
        <family val="3"/>
        <charset val="129"/>
      </rPr>
      <t xml:space="preserve"> 4. </t>
    </r>
    <r>
      <rPr>
        <b/>
        <sz val="16"/>
        <color theme="1"/>
        <rFont val="Noto Sans CJK SC"/>
        <family val="2"/>
      </rPr>
      <t>자재매출</t>
    </r>
  </si>
  <si>
    <t>발행일</t>
  </si>
  <si>
    <t>공급가</t>
  </si>
  <si>
    <t>합 계</t>
  </si>
  <si>
    <t>비 고</t>
  </si>
  <si>
    <t>월곡일산</t>
  </si>
  <si>
    <t>채권추심 진행 중</t>
  </si>
  <si>
    <t>문지동효성해링턴</t>
  </si>
  <si>
    <t>세종다원파크리안</t>
  </si>
  <si>
    <t>효성해링턴플레이스</t>
  </si>
  <si>
    <t>삼인유엔아이</t>
  </si>
  <si>
    <t>행복한마을서해그랑블</t>
  </si>
  <si>
    <t>24.11.29/25.4.29/25.08.08</t>
  </si>
  <si>
    <t>백승</t>
  </si>
  <si>
    <t>명지중흥S클래스</t>
  </si>
  <si>
    <t>부산명지중흥S클래스</t>
  </si>
  <si>
    <t>관저어반힐스</t>
  </si>
  <si>
    <t>부영씨앤씨</t>
  </si>
  <si>
    <t>까치마을신원</t>
  </si>
  <si>
    <t>우리방재건설</t>
  </si>
  <si>
    <t>삼천세창짜임</t>
  </si>
  <si>
    <t>다한건설</t>
  </si>
  <si>
    <t>양산반도유보라4차</t>
  </si>
  <si>
    <t>성훈종합건설</t>
  </si>
  <si>
    <t>호원건영</t>
  </si>
  <si>
    <t>분당 시범한양</t>
  </si>
  <si>
    <t>원주호반베르디움 2차더힐</t>
  </si>
  <si>
    <t>분당시범한양</t>
  </si>
  <si>
    <t>삼천세창짜임 자재반환</t>
  </si>
  <si>
    <t>해운대센텀트루엘1단지</t>
  </si>
  <si>
    <t>덕일산업</t>
  </si>
  <si>
    <t>화봉쌍용예가</t>
  </si>
  <si>
    <t>포항자이</t>
  </si>
  <si>
    <t>현대도건</t>
  </si>
  <si>
    <t>연산동현대홈타운</t>
  </si>
  <si>
    <t>잠실리센츠 (에폭시)</t>
  </si>
  <si>
    <t>아우리</t>
  </si>
  <si>
    <t>매탄삼성1차</t>
  </si>
  <si>
    <t>석진건설</t>
  </si>
  <si>
    <t>로운건설</t>
  </si>
  <si>
    <t>국제특수건설</t>
  </si>
  <si>
    <t>잠실리센츠 ( 에폭시 )</t>
  </si>
  <si>
    <t>경기이앤에스</t>
  </si>
  <si>
    <t>임광그린 자재반환</t>
  </si>
  <si>
    <t>화봉쌍용예가 자재반환</t>
  </si>
  <si>
    <t>안성공도만정626</t>
  </si>
  <si>
    <t>유진에코</t>
  </si>
  <si>
    <t>신우희가로</t>
  </si>
  <si>
    <t>에스피플래닝</t>
  </si>
  <si>
    <t>한양청솔</t>
  </si>
  <si>
    <t>남양산역반도유보라아이파크5차</t>
  </si>
  <si>
    <t>우단건설</t>
  </si>
  <si>
    <t>함안대경파미르</t>
  </si>
  <si>
    <t>국일구조</t>
  </si>
  <si>
    <t>목강신안인스빌</t>
  </si>
  <si>
    <t>미수금액2</t>
    <phoneticPr fontId="46" type="noConversion"/>
  </si>
  <si>
    <t>2026-01-08</t>
  </si>
  <si>
    <t>20260108-10260108-95917215</t>
  </si>
  <si>
    <t/>
  </si>
  <si>
    <t>408-81-67484</t>
  </si>
  <si>
    <t>정광이엔씨</t>
  </si>
  <si>
    <t>박성배</t>
  </si>
  <si>
    <t>서울특별시 광진구 뚝섬로31길 11(자양동,2층)</t>
  </si>
  <si>
    <t>일반</t>
  </si>
  <si>
    <t>jungyoon0343@hanmail.net</t>
  </si>
  <si>
    <t>528,000</t>
  </si>
  <si>
    <t>(주)석민이앤씨</t>
  </si>
  <si>
    <t>한양청솔</t>
    <phoneticPr fontId="46" type="noConversion"/>
  </si>
  <si>
    <t>업체명변경(에스피플래닝→다수건설)</t>
    <phoneticPr fontId="46" type="noConversion"/>
  </si>
  <si>
    <r>
      <rPr>
        <sz val="11"/>
        <color theme="1"/>
        <rFont val="맑은 고딕"/>
        <family val="3"/>
        <charset val="129"/>
      </rPr>
      <t>중동역</t>
    </r>
    <r>
      <rPr>
        <sz val="11"/>
        <color theme="1"/>
        <rFont val="Noto Sans CJK SC"/>
        <family val="2"/>
      </rPr>
      <t>2</t>
    </r>
    <r>
      <rPr>
        <sz val="11"/>
        <color theme="1"/>
        <rFont val="맑은 고딕"/>
        <family val="3"/>
        <charset val="129"/>
      </rPr>
      <t>차푸르지오</t>
    </r>
    <phoneticPr fontId="46" type="noConversion"/>
  </si>
  <si>
    <t>2026-01-12</t>
  </si>
  <si>
    <t>(주)부영씨엔씨</t>
  </si>
  <si>
    <t>한별이엔씨(주)</t>
  </si>
  <si>
    <t>20260112-10260112-11223034</t>
  </si>
  <si>
    <t>580,000</t>
  </si>
  <si>
    <t>20260112-10260112-11195109</t>
  </si>
  <si>
    <t>585-87-02174</t>
  </si>
  <si>
    <t>천강건설(주)</t>
  </si>
  <si>
    <t>임창석</t>
  </si>
  <si>
    <t>경기도 부천시 중동로 420번길 31-4, 1층일부(삼정동)</t>
  </si>
  <si>
    <t>1000kangk@naver.com</t>
  </si>
  <si>
    <t>3,418,000</t>
  </si>
  <si>
    <t>미사강변샌텀팰리스</t>
    <phoneticPr fontId="46" type="noConversion"/>
  </si>
  <si>
    <t>광교상떼빌파크뷰</t>
    <phoneticPr fontId="46" type="noConversion"/>
  </si>
  <si>
    <t>산격대우</t>
    <phoneticPr fontId="46" type="noConversion"/>
  </si>
  <si>
    <t>250511  자재대금 상계처리</t>
    <phoneticPr fontId="46" type="noConversion"/>
  </si>
  <si>
    <t>호원건영</t>
    <phoneticPr fontId="46" type="noConversion"/>
  </si>
  <si>
    <t>2026-01-14</t>
  </si>
  <si>
    <t>20260114-10260114-13947054</t>
  </si>
  <si>
    <t>607-81-61243</t>
  </si>
  <si>
    <t>(주)일성기업</t>
  </si>
  <si>
    <t>천상우</t>
  </si>
  <si>
    <t>부산광역시 동래구 반송로 317</t>
  </si>
  <si>
    <t>ilsung7704@naver.com</t>
  </si>
  <si>
    <t>496,500</t>
  </si>
  <si>
    <t>대연경동메르빌</t>
    <phoneticPr fontId="46" type="noConversion"/>
  </si>
  <si>
    <t>광명</t>
    <phoneticPr fontId="46" type="noConversion"/>
  </si>
  <si>
    <r>
      <t>LG</t>
    </r>
    <r>
      <rPr>
        <sz val="10"/>
        <color theme="1"/>
        <rFont val="맑은 고딕"/>
        <family val="3"/>
        <charset val="129"/>
      </rPr>
      <t>원당자이아파트</t>
    </r>
    <phoneticPr fontId="46" type="noConversion"/>
  </si>
  <si>
    <t>포레나광교상현</t>
    <phoneticPr fontId="46" type="noConversion"/>
  </si>
  <si>
    <r>
      <rPr>
        <sz val="14"/>
        <color theme="1"/>
        <rFont val="맑은 고딕"/>
        <family val="3"/>
        <charset val="129"/>
      </rPr>
      <t>부영맨션</t>
    </r>
    <r>
      <rPr>
        <sz val="14"/>
        <color theme="1"/>
        <rFont val="Noto Sans CJK SC"/>
        <family val="2"/>
      </rPr>
      <t xml:space="preserve"> 508</t>
    </r>
    <r>
      <rPr>
        <sz val="14"/>
        <color theme="1"/>
        <rFont val="맑은 고딕"/>
        <family val="3"/>
        <charset val="129"/>
      </rPr>
      <t>동</t>
    </r>
    <phoneticPr fontId="46" type="noConversion"/>
  </si>
  <si>
    <t>2026-01-16</t>
  </si>
  <si>
    <t>20260116-10260116-15037901</t>
  </si>
  <si>
    <t>207-81-45460</t>
  </si>
  <si>
    <t>(주)국제특수건설</t>
  </si>
  <si>
    <t>차희남</t>
  </si>
  <si>
    <t>서울특별시 강서구 화곡로68길821203(등촌동,강서아이티밸리)</t>
  </si>
  <si>
    <t>kukjesc@daum.net</t>
  </si>
  <si>
    <t>20260116-10260116-14950351</t>
  </si>
  <si>
    <t>229-81-16058</t>
  </si>
  <si>
    <t>동일산건(주)</t>
  </si>
  <si>
    <t>최철진</t>
  </si>
  <si>
    <t>서울특별시 서초구 논현로 49, 2층</t>
  </si>
  <si>
    <t>5796488@daum.net</t>
  </si>
  <si>
    <t>380,000</t>
  </si>
  <si>
    <t>백현마을8단지</t>
    <phoneticPr fontId="46" type="noConversion"/>
  </si>
  <si>
    <r>
      <rPr>
        <sz val="11"/>
        <color theme="1"/>
        <rFont val="맑은 고딕"/>
        <family val="3"/>
        <charset val="129"/>
      </rPr>
      <t>사무실</t>
    </r>
    <r>
      <rPr>
        <sz val="11"/>
        <color theme="1"/>
        <rFont val="Arial"/>
        <family val="2"/>
      </rPr>
      <t xml:space="preserve"> </t>
    </r>
    <r>
      <rPr>
        <sz val="11"/>
        <color theme="1"/>
        <rFont val="맑은 고딕"/>
        <family val="3"/>
        <charset val="129"/>
      </rPr>
      <t>택배</t>
    </r>
    <phoneticPr fontId="46" type="noConversion"/>
  </si>
  <si>
    <t>등촌임광그린</t>
    <phoneticPr fontId="46" type="noConversion"/>
  </si>
  <si>
    <t>12.11 자재반환 상계처리(-159,500)</t>
    <phoneticPr fontId="46" type="noConversion"/>
  </si>
  <si>
    <t>11.25 자재대금 상계처리(5,341,490)</t>
    <phoneticPr fontId="46" type="noConversion"/>
  </si>
  <si>
    <t>2026-01-20</t>
  </si>
  <si>
    <t>20260120-10260121-17365075</t>
  </si>
  <si>
    <t>2026-01-21</t>
  </si>
  <si>
    <t>수정세금계산서</t>
  </si>
  <si>
    <t>일반(수정)</t>
  </si>
  <si>
    <t>당초 승인번호 (20260120-10260120-16835825)</t>
  </si>
  <si>
    <t>36,816,000</t>
  </si>
  <si>
    <t>*기업은행 468-084895-04-017 넷폼알앤디</t>
  </si>
  <si>
    <t>20260120-10260120-16575567</t>
  </si>
  <si>
    <t>7,390,000</t>
  </si>
  <si>
    <t>기준일자</t>
    <phoneticPr fontId="46" type="noConversion"/>
  </si>
  <si>
    <t>2026-01-22</t>
  </si>
  <si>
    <t>20260122-10260122-18154458</t>
  </si>
  <si>
    <t>당초 승인번호 (20260122-10260122-18064422)</t>
  </si>
  <si>
    <t>56,770,000</t>
  </si>
  <si>
    <t>20260122-10260122-18066632</t>
  </si>
  <si>
    <t>410-81-24440</t>
  </si>
  <si>
    <t>삼우건설(주)</t>
  </si>
  <si>
    <t>김계환</t>
  </si>
  <si>
    <t>광주광역시 서구 경열로 70, 4층(농성동)</t>
  </si>
  <si>
    <t>samwoo2019@daum.net</t>
  </si>
  <si>
    <t>321,000</t>
  </si>
  <si>
    <t>자재판매</t>
    <phoneticPr fontId="46" type="noConversion"/>
  </si>
  <si>
    <t>김포한강신도시롯데캐슬</t>
    <phoneticPr fontId="46" type="noConversion"/>
  </si>
  <si>
    <t>다산종합건설</t>
    <phoneticPr fontId="46" type="noConversion"/>
  </si>
  <si>
    <t>잠실리센츠</t>
    <phoneticPr fontId="46" type="noConversion"/>
  </si>
  <si>
    <r>
      <t xml:space="preserve"> </t>
    </r>
    <r>
      <rPr>
        <sz val="14"/>
        <color theme="1"/>
        <rFont val="맑은 고딕"/>
        <family val="3"/>
        <charset val="129"/>
      </rPr>
      <t>자재</t>
    </r>
    <r>
      <rPr>
        <sz val="14"/>
        <color theme="1"/>
        <rFont val="Noto Sans CJK SC"/>
        <family val="2"/>
      </rPr>
      <t xml:space="preserve"> </t>
    </r>
    <r>
      <rPr>
        <sz val="14"/>
        <color theme="1"/>
        <rFont val="맑은 고딕"/>
        <family val="3"/>
        <charset val="129"/>
      </rPr>
      <t>구매</t>
    </r>
    <r>
      <rPr>
        <sz val="14"/>
        <color theme="1"/>
        <rFont val="Noto Sans CJK SC"/>
        <family val="2"/>
      </rPr>
      <t>-2,760,000</t>
    </r>
    <r>
      <rPr>
        <sz val="14"/>
        <color theme="1"/>
        <rFont val="Noto Sans CJK SC"/>
        <family val="2"/>
        <charset val="1"/>
      </rPr>
      <t xml:space="preserve"> /  883,400</t>
    </r>
    <r>
      <rPr>
        <sz val="14"/>
        <color theme="1"/>
        <rFont val="맑은 고딕"/>
        <family val="2"/>
        <charset val="129"/>
      </rPr>
      <t>원</t>
    </r>
    <r>
      <rPr>
        <sz val="14"/>
        <color theme="1"/>
        <rFont val="Noto Sans CJK SC"/>
        <family val="2"/>
        <charset val="1"/>
      </rPr>
      <t xml:space="preserve"> </t>
    </r>
    <r>
      <rPr>
        <sz val="14"/>
        <color theme="1"/>
        <rFont val="맑은 고딕"/>
        <family val="2"/>
        <charset val="129"/>
      </rPr>
      <t>마이너스</t>
    </r>
    <r>
      <rPr>
        <sz val="14"/>
        <color theme="1"/>
        <rFont val="Noto Sans CJK SC"/>
        <family val="2"/>
        <charset val="1"/>
      </rPr>
      <t xml:space="preserve"> </t>
    </r>
    <r>
      <rPr>
        <sz val="14"/>
        <color theme="1"/>
        <rFont val="맑은 고딕"/>
        <family val="2"/>
        <charset val="129"/>
      </rPr>
      <t>계산서</t>
    </r>
    <r>
      <rPr>
        <sz val="14"/>
        <color theme="1"/>
        <rFont val="Noto Sans CJK SC"/>
        <family val="2"/>
        <charset val="1"/>
      </rPr>
      <t xml:space="preserve"> </t>
    </r>
    <r>
      <rPr>
        <sz val="14"/>
        <color theme="1"/>
        <rFont val="맑은 고딕"/>
        <family val="2"/>
        <charset val="129"/>
      </rPr>
      <t>발행</t>
    </r>
    <r>
      <rPr>
        <sz val="14"/>
        <color theme="1"/>
        <rFont val="Noto Sans CJK SC"/>
        <family val="2"/>
        <charset val="1"/>
      </rPr>
      <t xml:space="preserve"> </t>
    </r>
    <r>
      <rPr>
        <sz val="14"/>
        <color theme="1"/>
        <rFont val="맑은 고딕"/>
        <family val="2"/>
        <charset val="129"/>
      </rPr>
      <t>요청</t>
    </r>
    <r>
      <rPr>
        <sz val="14"/>
        <color theme="1"/>
        <rFont val="Noto Sans CJK SC"/>
        <family val="2"/>
        <charset val="1"/>
      </rPr>
      <t xml:space="preserve"> (</t>
    </r>
    <r>
      <rPr>
        <sz val="14"/>
        <color theme="1"/>
        <rFont val="맑은 고딕"/>
        <family val="2"/>
        <charset val="129"/>
      </rPr>
      <t>최종</t>
    </r>
    <r>
      <rPr>
        <sz val="14"/>
        <color theme="1"/>
        <rFont val="Noto Sans CJK SC"/>
        <family val="2"/>
        <charset val="1"/>
      </rPr>
      <t xml:space="preserve"> </t>
    </r>
    <r>
      <rPr>
        <sz val="14"/>
        <color theme="1"/>
        <rFont val="맑은 고딕"/>
        <family val="2"/>
        <charset val="129"/>
      </rPr>
      <t>특허료</t>
    </r>
    <r>
      <rPr>
        <sz val="14"/>
        <color theme="1"/>
        <rFont val="Noto Sans CJK SC"/>
        <family val="2"/>
        <charset val="1"/>
      </rPr>
      <t xml:space="preserve"> 640,000</t>
    </r>
    <r>
      <rPr>
        <sz val="14"/>
        <color theme="1"/>
        <rFont val="맑은 고딕"/>
        <family val="2"/>
        <charset val="129"/>
      </rPr>
      <t>원</t>
    </r>
    <r>
      <rPr>
        <sz val="14"/>
        <color theme="1"/>
        <rFont val="Noto Sans CJK SC"/>
        <family val="2"/>
        <charset val="1"/>
      </rPr>
      <t>)</t>
    </r>
    <phoneticPr fontId="46" type="noConversion"/>
  </si>
  <si>
    <t>현대도건</t>
    <phoneticPr fontId="52" type="noConversion"/>
  </si>
  <si>
    <t>신안인스빌</t>
    <phoneticPr fontId="52" type="noConversion"/>
  </si>
  <si>
    <t>지앤필드종합건설</t>
    <phoneticPr fontId="46" type="noConversion"/>
  </si>
  <si>
    <t>신봉마을 동일하이빌 3단지</t>
    <phoneticPr fontId="46" type="noConversion"/>
  </si>
  <si>
    <r>
      <rPr>
        <sz val="14"/>
        <color theme="1"/>
        <rFont val="맑은 고딕"/>
        <family val="3"/>
        <charset val="129"/>
      </rPr>
      <t>정자동</t>
    </r>
    <r>
      <rPr>
        <sz val="14"/>
        <color theme="1"/>
        <rFont val="Noto Sans CJK SC"/>
        <family val="2"/>
      </rPr>
      <t xml:space="preserve"> </t>
    </r>
    <r>
      <rPr>
        <sz val="14"/>
        <color theme="1"/>
        <rFont val="맑은 고딕"/>
        <family val="3"/>
        <charset val="129"/>
      </rPr>
      <t>대림진흥</t>
    </r>
    <phoneticPr fontId="46" type="noConversion"/>
  </si>
  <si>
    <t>2026-01-26</t>
  </si>
  <si>
    <t>20260126-10260126-19771716</t>
  </si>
  <si>
    <t>4,784,000</t>
  </si>
  <si>
    <t>20260126-10260126-19753258</t>
  </si>
  <si>
    <t>748-81-01658</t>
  </si>
  <si>
    <t>(주)은성이엔씨</t>
  </si>
  <si>
    <t>최민혁</t>
  </si>
  <si>
    <t>경상남도 창원시 마산회원구 합성남3길 21, 405호, 406호(합성동, KS빌딩)</t>
  </si>
  <si>
    <t>en7704@naver.com</t>
  </si>
  <si>
    <t>15,356,500</t>
  </si>
  <si>
    <t>노형뜨란채</t>
  </si>
  <si>
    <t>2026-01-29</t>
  </si>
  <si>
    <t>20260129-10260129-22789270</t>
  </si>
  <si>
    <t>17,250,000</t>
  </si>
  <si>
    <t>광주남구송하로492</t>
    <phoneticPr fontId="46" type="noConversion"/>
  </si>
  <si>
    <t>신안인스빌</t>
    <phoneticPr fontId="46" type="noConversion"/>
  </si>
  <si>
    <t>20260129-10260129-23053687</t>
  </si>
  <si>
    <t>5,750,000</t>
  </si>
  <si>
    <r>
      <rPr>
        <sz val="11"/>
        <color theme="1"/>
        <rFont val="맑은 고딕"/>
        <family val="3"/>
        <charset val="129"/>
      </rPr>
      <t>해운대센텀트루엘</t>
    </r>
    <r>
      <rPr>
        <sz val="11"/>
        <color theme="1"/>
        <rFont val="Arial"/>
        <family val="2"/>
      </rPr>
      <t>1</t>
    </r>
    <r>
      <rPr>
        <sz val="11"/>
        <color theme="1"/>
        <rFont val="맑은 고딕"/>
        <family val="3"/>
        <charset val="129"/>
      </rPr>
      <t>단지</t>
    </r>
    <phoneticPr fontId="46" type="noConversion"/>
  </si>
  <si>
    <t>양산유탑유블레스</t>
    <phoneticPr fontId="46" type="noConversion"/>
  </si>
  <si>
    <r>
      <rPr>
        <sz val="10"/>
        <color theme="1"/>
        <rFont val="맑은 고딕"/>
        <family val="3"/>
        <charset val="129"/>
      </rPr>
      <t>더샵센텀파크</t>
    </r>
    <r>
      <rPr>
        <sz val="10"/>
        <color theme="1"/>
        <rFont val="Arial"/>
        <family val="2"/>
      </rPr>
      <t>1</t>
    </r>
    <r>
      <rPr>
        <sz val="10"/>
        <color theme="1"/>
        <rFont val="맑은 고딕"/>
        <family val="3"/>
        <charset val="129"/>
      </rPr>
      <t>차</t>
    </r>
    <phoneticPr fontId="46" type="noConversion"/>
  </si>
  <si>
    <t>밤섬경남아너스빌</t>
    <phoneticPr fontId="46" type="noConversion"/>
  </si>
  <si>
    <t>분당시범한양</t>
    <phoneticPr fontId="46" type="noConversion"/>
  </si>
  <si>
    <t>천호현대</t>
    <phoneticPr fontId="46" type="noConversion"/>
  </si>
  <si>
    <t>2025-11-28/2026-01-30</t>
    <phoneticPr fontId="46" type="noConversion"/>
  </si>
  <si>
    <r>
      <rPr>
        <sz val="11"/>
        <color theme="1"/>
        <rFont val="맑은 고딕"/>
        <family val="3"/>
        <charset val="129"/>
      </rPr>
      <t>자재대금</t>
    </r>
    <r>
      <rPr>
        <sz val="11"/>
        <color theme="1"/>
        <rFont val="Arial"/>
        <family val="2"/>
      </rPr>
      <t xml:space="preserve"> </t>
    </r>
    <r>
      <rPr>
        <sz val="11"/>
        <color theme="1"/>
        <rFont val="맑은 고딕"/>
        <family val="3"/>
        <charset val="129"/>
      </rPr>
      <t>일부만</t>
    </r>
    <r>
      <rPr>
        <sz val="11"/>
        <color theme="1"/>
        <rFont val="Arial"/>
        <family val="2"/>
      </rPr>
      <t xml:space="preserve"> </t>
    </r>
    <r>
      <rPr>
        <sz val="11"/>
        <color theme="1"/>
        <rFont val="맑은 고딕"/>
        <family val="3"/>
        <charset val="129"/>
      </rPr>
      <t>입금</t>
    </r>
    <r>
      <rPr>
        <sz val="11"/>
        <color theme="1"/>
        <rFont val="Noto Sans CJK SC"/>
        <family val="3"/>
      </rPr>
      <t xml:space="preserve">_188,150 </t>
    </r>
    <r>
      <rPr>
        <sz val="11"/>
        <color theme="1"/>
        <rFont val="Arial"/>
        <family val="2"/>
      </rPr>
      <t>(25.11.28)</t>
    </r>
    <phoneticPr fontId="46" type="noConversion"/>
  </si>
  <si>
    <r>
      <rPr>
        <sz val="11"/>
        <color theme="1"/>
        <rFont val="맑은 고딕"/>
        <family val="3"/>
        <charset val="129"/>
      </rPr>
      <t>풍년마을동양신명</t>
    </r>
    <r>
      <rPr>
        <sz val="11"/>
        <color theme="1"/>
        <rFont val="Noto Sans CJK SC"/>
        <family val="2"/>
      </rPr>
      <t>(</t>
    </r>
    <r>
      <rPr>
        <sz val="11"/>
        <color theme="1"/>
        <rFont val="맑은 고딕"/>
        <family val="3"/>
        <charset val="129"/>
      </rPr>
      <t>캐노피직영</t>
    </r>
    <r>
      <rPr>
        <sz val="11"/>
        <color theme="1"/>
        <rFont val="Noto Sans CJK SC"/>
        <family val="2"/>
      </rPr>
      <t>)</t>
    </r>
    <phoneticPr fontId="46" type="noConversion"/>
  </si>
  <si>
    <t>신도림쌍용플래티넘노블</t>
    <phoneticPr fontId="46" type="noConversion"/>
  </si>
  <si>
    <t>영종힐스테이트</t>
    <phoneticPr fontId="46" type="noConversion"/>
  </si>
  <si>
    <r>
      <rPr>
        <sz val="14"/>
        <color theme="1"/>
        <rFont val="맑은 고딕"/>
        <family val="3"/>
        <charset val="129"/>
      </rPr>
      <t>대방</t>
    </r>
    <r>
      <rPr>
        <sz val="14"/>
        <color theme="1"/>
        <rFont val="Arial"/>
        <family val="2"/>
      </rPr>
      <t>1</t>
    </r>
    <r>
      <rPr>
        <sz val="14"/>
        <color theme="1"/>
        <rFont val="맑은 고딕"/>
        <family val="3"/>
        <charset val="129"/>
      </rPr>
      <t>차</t>
    </r>
    <r>
      <rPr>
        <sz val="14"/>
        <color theme="1"/>
        <rFont val="Arial"/>
        <family val="2"/>
      </rPr>
      <t>e-</t>
    </r>
    <r>
      <rPr>
        <sz val="14"/>
        <color theme="1"/>
        <rFont val="맑은 고딕"/>
        <family val="3"/>
        <charset val="129"/>
      </rPr>
      <t>편한세상</t>
    </r>
    <phoneticPr fontId="46" type="noConversion"/>
  </si>
  <si>
    <r>
      <rPr>
        <sz val="11"/>
        <color theme="1"/>
        <rFont val="맑은 고딕"/>
        <family val="3"/>
        <charset val="129"/>
      </rPr>
      <t>대방</t>
    </r>
    <r>
      <rPr>
        <sz val="11"/>
        <color theme="1"/>
        <rFont val="Noto Sans CJK SC"/>
        <family val="2"/>
      </rPr>
      <t>1</t>
    </r>
    <r>
      <rPr>
        <sz val="11"/>
        <color theme="1"/>
        <rFont val="맑은 고딕"/>
        <family val="3"/>
        <charset val="129"/>
      </rPr>
      <t>차이편한세상</t>
    </r>
    <phoneticPr fontId="46" type="noConversion"/>
  </si>
  <si>
    <t>2026-02-02</t>
  </si>
  <si>
    <t>20260202-10260202-26895369</t>
  </si>
  <si>
    <t>283-16-01279</t>
  </si>
  <si>
    <t>샛별종합관리</t>
  </si>
  <si>
    <t>김성관</t>
  </si>
  <si>
    <t>경기도 수원시 장안구 상률로 12번길 28, 201동 806호</t>
  </si>
  <si>
    <t>ksgjuan@naver.com</t>
  </si>
  <si>
    <t>231,000</t>
  </si>
  <si>
    <t>20260202-10260202-26433456</t>
  </si>
  <si>
    <t>509-88-01993</t>
  </si>
  <si>
    <t>코지건설(주)</t>
  </si>
  <si>
    <t>이지훈</t>
  </si>
  <si>
    <t>경기도 수원시 팔달구 수성로 92, 2층 203호(화서동, 농민회관)</t>
  </si>
  <si>
    <t>cozy2024@naver.com</t>
  </si>
  <si>
    <t>219,000</t>
  </si>
  <si>
    <t>수림1차</t>
    <phoneticPr fontId="46" type="noConversion"/>
  </si>
  <si>
    <t>2026-02-03</t>
  </si>
  <si>
    <t>20260203-10260203-28553332</t>
  </si>
  <si>
    <t>662-88-01974</t>
  </si>
  <si>
    <t>(주)케이원씨앤씨</t>
  </si>
  <si>
    <t>주용근</t>
  </si>
  <si>
    <t>경남 창원시 의창구 평산로 159번길 3,2층 201호 (서상동)</t>
  </si>
  <si>
    <t>k1cnc@naver.com</t>
  </si>
  <si>
    <t>432,000</t>
  </si>
  <si>
    <t>창원지하</t>
    <phoneticPr fontId="46" type="noConversion"/>
  </si>
  <si>
    <r>
      <rPr>
        <b/>
        <sz val="9"/>
        <color rgb="FFFFFFFF"/>
        <rFont val="맑은 고딕"/>
        <family val="3"/>
        <charset val="129"/>
      </rPr>
      <t>수금예정액</t>
    </r>
    <r>
      <rPr>
        <b/>
        <sz val="9"/>
        <color rgb="FFFFFFFF"/>
        <rFont val="Noto Sans CJK SC"/>
        <family val="2"/>
        <charset val="1"/>
      </rPr>
      <t>(v-)</t>
    </r>
    <phoneticPr fontId="46" type="noConversion"/>
  </si>
  <si>
    <t>관리미수금(v-)</t>
    <phoneticPr fontId="46" type="noConversion"/>
  </si>
  <si>
    <t>(주)다산종합건설</t>
  </si>
  <si>
    <t>지행역동원베네스트</t>
  </si>
  <si>
    <t>주식회사 삼흥티에스건설</t>
  </si>
  <si>
    <t>협성그린타운아파트</t>
  </si>
  <si>
    <t>명하씨앤씨</t>
    <phoneticPr fontId="46" type="noConversion"/>
  </si>
  <si>
    <t>부영씨엔씨</t>
    <phoneticPr fontId="46" type="noConversion"/>
  </si>
  <si>
    <r>
      <rPr>
        <sz val="14"/>
        <color theme="1"/>
        <rFont val="맑은 고딕"/>
        <family val="3"/>
        <charset val="129"/>
      </rPr>
      <t>탑마을</t>
    </r>
    <r>
      <rPr>
        <sz val="14"/>
        <color theme="1"/>
        <rFont val="Arial"/>
        <family val="2"/>
      </rPr>
      <t xml:space="preserve"> </t>
    </r>
    <r>
      <rPr>
        <sz val="14"/>
        <color theme="1"/>
        <rFont val="맑은 고딕"/>
        <family val="3"/>
        <charset val="129"/>
      </rPr>
      <t>타워빌</t>
    </r>
    <phoneticPr fontId="46" type="noConversion"/>
  </si>
  <si>
    <t>선금</t>
    <phoneticPr fontId="46" type="noConversion"/>
  </si>
  <si>
    <t>중도금</t>
    <phoneticPr fontId="46" type="noConversion"/>
  </si>
  <si>
    <t>잔금</t>
    <phoneticPr fontId="46" type="noConversion"/>
  </si>
  <si>
    <r>
      <rPr>
        <sz val="14"/>
        <color theme="1"/>
        <rFont val="맑은 고딕"/>
        <family val="3"/>
        <charset val="129"/>
      </rPr>
      <t>행원마을</t>
    </r>
    <r>
      <rPr>
        <sz val="14"/>
        <color theme="1"/>
        <rFont val="Noto Sans CJK SC"/>
        <family val="2"/>
      </rPr>
      <t xml:space="preserve"> </t>
    </r>
    <r>
      <rPr>
        <sz val="14"/>
        <color theme="1"/>
        <rFont val="맑은 고딕"/>
        <family val="3"/>
        <charset val="129"/>
      </rPr>
      <t>동아솔레시티</t>
    </r>
    <phoneticPr fontId="46" type="noConversion"/>
  </si>
  <si>
    <t>이음건설</t>
    <phoneticPr fontId="46" type="noConversion"/>
  </si>
  <si>
    <t>강서힐스테이트</t>
    <phoneticPr fontId="46" type="noConversion"/>
  </si>
  <si>
    <t>석민이앤씨</t>
    <phoneticPr fontId="46" type="noConversion"/>
  </si>
  <si>
    <t>여름건설</t>
    <phoneticPr fontId="46" type="noConversion"/>
  </si>
  <si>
    <t>원불교안암교당</t>
    <phoneticPr fontId="46" type="noConversion"/>
  </si>
  <si>
    <t>광명노온정수장</t>
    <phoneticPr fontId="46" type="noConversion"/>
  </si>
  <si>
    <t>신화건설</t>
    <phoneticPr fontId="46" type="noConversion"/>
  </si>
  <si>
    <t>이성수</t>
    <phoneticPr fontId="46" type="noConversion"/>
  </si>
  <si>
    <t>신현섭/윤성환</t>
    <phoneticPr fontId="46" type="noConversion"/>
  </si>
  <si>
    <t>조종억</t>
    <phoneticPr fontId="46" type="noConversion"/>
  </si>
  <si>
    <r>
      <rPr>
        <sz val="10"/>
        <rFont val="맑은 고딕"/>
        <family val="3"/>
        <charset val="129"/>
      </rPr>
      <t>조병철</t>
    </r>
    <r>
      <rPr>
        <sz val="10"/>
        <rFont val="Noto Sans CJK SC"/>
        <family val="2"/>
        <charset val="1"/>
      </rPr>
      <t>/조재부</t>
    </r>
    <phoneticPr fontId="46" type="noConversion"/>
  </si>
  <si>
    <t>손영구(재도장)</t>
    <phoneticPr fontId="46" type="noConversion"/>
  </si>
  <si>
    <t>정상혁</t>
    <phoneticPr fontId="46" type="noConversion"/>
  </si>
  <si>
    <t>김용진</t>
    <phoneticPr fontId="46" type="noConversion"/>
  </si>
  <si>
    <t>(주)대한진단건설</t>
  </si>
  <si>
    <t>진영자이아파트</t>
  </si>
  <si>
    <t>미사강변센텀팰리스</t>
  </si>
  <si>
    <t>2026-02-09</t>
  </si>
  <si>
    <t>아시아선수촌</t>
    <phoneticPr fontId="46" type="noConversion"/>
  </si>
  <si>
    <t>이준경</t>
    <phoneticPr fontId="46" type="noConversion"/>
  </si>
  <si>
    <t>장진호</t>
    <phoneticPr fontId="46" type="noConversion"/>
  </si>
  <si>
    <t>탑마을타워빌</t>
  </si>
  <si>
    <t>행원마을동아솔레시티</t>
  </si>
  <si>
    <t>동탄역시범한화꿈에그린프레스티지</t>
    <phoneticPr fontId="46" type="noConversion"/>
  </si>
  <si>
    <t>신정현대6차아파트</t>
  </si>
  <si>
    <t>경동안성공도만정626</t>
  </si>
  <si>
    <t>본사방문</t>
  </si>
  <si>
    <t>2026-02-10</t>
  </si>
  <si>
    <t>더샵센텀파크1차</t>
  </si>
  <si>
    <t>성남메트로칸</t>
  </si>
  <si>
    <t>(주)이음건설</t>
  </si>
  <si>
    <r>
      <t>*</t>
    </r>
    <r>
      <rPr>
        <sz val="11"/>
        <color theme="1"/>
        <rFont val="맑은 고딕"/>
        <family val="3"/>
        <charset val="129"/>
      </rPr>
      <t>대표님 협의(유예)</t>
    </r>
    <phoneticPr fontId="46" type="noConversion"/>
  </si>
  <si>
    <t>연향금호타운</t>
    <phoneticPr fontId="46" type="noConversion"/>
  </si>
  <si>
    <t>*대표님 협의(유예)</t>
    <phoneticPr fontId="46" type="noConversion"/>
  </si>
  <si>
    <t>해운대센텀트루엘</t>
    <phoneticPr fontId="46" type="noConversion"/>
  </si>
  <si>
    <r>
      <rPr>
        <sz val="14"/>
        <color theme="1"/>
        <rFont val="맑은 고딕"/>
        <family val="3"/>
        <charset val="129"/>
      </rPr>
      <t>이성수
신현섭</t>
    </r>
    <r>
      <rPr>
        <sz val="14"/>
        <color theme="1"/>
        <rFont val="Arial"/>
        <family val="2"/>
      </rPr>
      <t>/</t>
    </r>
    <r>
      <rPr>
        <sz val="14"/>
        <color theme="1"/>
        <rFont val="맑은 고딕"/>
        <family val="3"/>
        <charset val="129"/>
      </rPr>
      <t>윤성환</t>
    </r>
    <phoneticPr fontId="46" type="noConversion"/>
  </si>
  <si>
    <r>
      <rPr>
        <sz val="14"/>
        <color theme="1"/>
        <rFont val="맑은 고딕"/>
        <family val="3"/>
        <charset val="129"/>
      </rPr>
      <t>순</t>
    </r>
    <r>
      <rPr>
        <sz val="14"/>
        <color theme="1"/>
        <rFont val="Arial"/>
        <family val="2"/>
      </rPr>
      <t xml:space="preserve"> </t>
    </r>
    <r>
      <rPr>
        <sz val="14"/>
        <color theme="1"/>
        <rFont val="맑은 고딕"/>
        <family val="3"/>
        <charset val="129"/>
      </rPr>
      <t>번</t>
    </r>
    <phoneticPr fontId="46" type="noConversion"/>
  </si>
  <si>
    <t>2026-01-30</t>
  </si>
  <si>
    <t>엘케이개발㈜</t>
    <phoneticPr fontId="46" type="noConversion"/>
  </si>
  <si>
    <t>원주호반베르디움2차</t>
    <phoneticPr fontId="46" type="noConversion"/>
  </si>
  <si>
    <t>(주)에이치제이건설</t>
  </si>
  <si>
    <t>주식회사 예은건설</t>
  </si>
  <si>
    <t>무동센텀파라디아</t>
  </si>
  <si>
    <t>2026-02-11</t>
  </si>
  <si>
    <t>*26년 1월 30일 마이너스 계산서 발행, 완료</t>
    <phoneticPr fontId="46" type="noConversion"/>
  </si>
  <si>
    <t>신화건설㈜</t>
    <phoneticPr fontId="46" type="noConversion"/>
  </si>
  <si>
    <t>2026-02-12</t>
  </si>
  <si>
    <t>(주)다수건설</t>
  </si>
  <si>
    <t>2026-02-13</t>
  </si>
  <si>
    <t>20260213-10260213-42616414</t>
  </si>
  <si>
    <t>35,304,000</t>
  </si>
  <si>
    <t>잠실리센츠</t>
    <phoneticPr fontId="46" type="noConversion"/>
  </si>
  <si>
    <t>서울노원구</t>
  </si>
  <si>
    <t>2026-02-23</t>
  </si>
  <si>
    <t>20260223-10260223-45375828</t>
  </si>
  <si>
    <t>356-81-00431</t>
  </si>
  <si>
    <t>(주)태영건설</t>
  </si>
  <si>
    <t>심봉섭</t>
  </si>
  <si>
    <t>경기도 수원시 권선구 동수원로 146번길 54-13, 102호</t>
  </si>
  <si>
    <t>tyc356@hanmail.net</t>
  </si>
  <si>
    <t>2,706,000</t>
  </si>
  <si>
    <t>2026-02-20</t>
  </si>
  <si>
    <t>20260220-10260220-44666787</t>
  </si>
  <si>
    <t>638-15-01453</t>
  </si>
  <si>
    <t>청록개발</t>
  </si>
  <si>
    <t>황석구</t>
  </si>
  <si>
    <t>서울 노원구 마들로 111,28동 401호(월계동,아파트)</t>
  </si>
  <si>
    <t>650603kjs@naver.com</t>
  </si>
  <si>
    <t>5,436,700</t>
  </si>
  <si>
    <t>37,600,000</t>
  </si>
  <si>
    <t>20260220-10260220-44297347</t>
  </si>
  <si>
    <t>경기도광주</t>
  </si>
  <si>
    <t>대표건설㈜</t>
    <phoneticPr fontId="46" type="noConversion"/>
  </si>
  <si>
    <t>금당그리안</t>
    <phoneticPr fontId="46" type="noConversion"/>
  </si>
  <si>
    <t>순 번</t>
    <phoneticPr fontId="46" type="noConversion"/>
  </si>
  <si>
    <t>20260223-10260223-45588438</t>
  </si>
  <si>
    <t>11,500,000</t>
  </si>
  <si>
    <t>20260223-10260223-45429240</t>
  </si>
  <si>
    <t>2026-02-24</t>
  </si>
  <si>
    <t>20260224-10260224-46322465</t>
  </si>
  <si>
    <t>416-81-62200</t>
  </si>
  <si>
    <t>방영민</t>
  </si>
  <si>
    <t>서울특별시 강서구 공항대로220, 10층12호(마곡동, 우성에스비타워Ⅱ)</t>
  </si>
  <si>
    <t>ieum-enc@naver.com</t>
  </si>
  <si>
    <t>502,300</t>
  </si>
  <si>
    <t>풍납현대리버빌1차</t>
    <phoneticPr fontId="46" type="noConversion"/>
  </si>
  <si>
    <t>성남메트로칸</t>
    <phoneticPr fontId="46" type="noConversion"/>
  </si>
  <si>
    <t>천호현대코아아파트</t>
  </si>
  <si>
    <t>20260224-10260224-46514298</t>
  </si>
  <si>
    <t>121-81-17170</t>
  </si>
  <si>
    <t>엘케이개발(주)</t>
  </si>
  <si>
    <t>김재명</t>
  </si>
  <si>
    <t>경기도 용인시 기흥구 흥덕2로87번길 18, 에이동 304호</t>
  </si>
  <si>
    <t>lk2020k@daum.net</t>
  </si>
  <si>
    <t>106,200</t>
  </si>
  <si>
    <t>2026-02-26</t>
  </si>
  <si>
    <t>20260226-10260226-48412159</t>
  </si>
  <si>
    <t>122-86-21556</t>
  </si>
  <si>
    <t>삼정ING건설</t>
  </si>
  <si>
    <t>박정식</t>
  </si>
  <si>
    <t>인천광역시 계양구 임학동로 38(임학동,훼밀리코아 5층)</t>
  </si>
  <si>
    <t>samjung2012@hanmail.net</t>
  </si>
  <si>
    <t>13,858,000</t>
  </si>
  <si>
    <t>2026-02-25</t>
  </si>
  <si>
    <t>20260225-10260225-47528608</t>
  </si>
  <si>
    <t>당초 승인번호 (20260225-10260225-47318664)</t>
  </si>
  <si>
    <t>4,787,500</t>
  </si>
  <si>
    <t>삼익세라믹1,2차</t>
    <phoneticPr fontId="46" type="noConversion"/>
  </si>
  <si>
    <t>까치마을신원</t>
    <phoneticPr fontId="46" type="noConversion"/>
  </si>
  <si>
    <t>본사사무실</t>
  </si>
  <si>
    <t>20260226-10260226-48781617</t>
  </si>
  <si>
    <t>836-87-03450</t>
  </si>
  <si>
    <t>(주)대승이앤씨</t>
  </si>
  <si>
    <t>이종범</t>
  </si>
  <si>
    <t>인천광역시 계양구 안남로 573번길 17,5층 (효성동)</t>
  </si>
  <si>
    <t>당초 승인번호 (20260226-10260226-48776702)</t>
  </si>
  <si>
    <t>daeseung2024@naver.com</t>
  </si>
  <si>
    <t>4,470,000</t>
  </si>
  <si>
    <t>은하마을주공1단지</t>
    <phoneticPr fontId="46" type="noConversion"/>
  </si>
  <si>
    <t>등촌임광그린</t>
    <phoneticPr fontId="46" type="noConversion"/>
  </si>
  <si>
    <t>2026-02-27</t>
  </si>
  <si>
    <t>20260227-10260227-50333161</t>
  </si>
  <si>
    <t>203-25-19644</t>
  </si>
  <si>
    <t>랜반</t>
  </si>
  <si>
    <t>류동환</t>
  </si>
  <si>
    <t>경기도 용인시 처인구 남사읍 당하로 135-5, 2층</t>
  </si>
  <si>
    <t>rennbahn94@gmail.com</t>
  </si>
  <si>
    <t>210,000</t>
  </si>
  <si>
    <t>20260227-10260227-49908184</t>
  </si>
  <si>
    <t>607-81-83311</t>
  </si>
  <si>
    <t>최국진</t>
  </si>
  <si>
    <t>부산광역시 금정구 기찰로 48 (부곡동)</t>
  </si>
  <si>
    <t>samhd2007@daum.net</t>
  </si>
  <si>
    <t>893,000</t>
  </si>
  <si>
    <t>20260227-10260227-49819970</t>
  </si>
  <si>
    <t>129-86-59539</t>
  </si>
  <si>
    <t>(주)모아씨앤에스</t>
  </si>
  <si>
    <t>이수근</t>
  </si>
  <si>
    <t>서울시 강서구 마곡중앙5로1길20 보타닉비즈타워 408, 409호</t>
  </si>
  <si>
    <t>moa0477@daum.net</t>
  </si>
  <si>
    <t>4,490,000</t>
  </si>
  <si>
    <t>20260227-10260227-49512999</t>
  </si>
  <si>
    <t>250-81-03222</t>
  </si>
  <si>
    <t>(주)기림이앤씨</t>
  </si>
  <si>
    <t>양경수</t>
  </si>
  <si>
    <t>충청남도 천안시 동남구 청수14로 60, 701호(청당동, 서미법조타워)</t>
  </si>
  <si>
    <t>girim250@naver.com</t>
  </si>
  <si>
    <t>1,516,000</t>
  </si>
  <si>
    <t>20260227-10260227-49512462</t>
  </si>
  <si>
    <t>521,000</t>
  </si>
  <si>
    <t>20260227-10260227-49510673</t>
  </si>
  <si>
    <t>163-88-03010</t>
  </si>
  <si>
    <t>여름건설(주)</t>
  </si>
  <si>
    <t>박종옥</t>
  </si>
  <si>
    <t>인천 부평구 경원대로 1344번길34,352호 (부평동,e편한세상시티부평역)</t>
  </si>
  <si>
    <t>summertime888@naver.com</t>
  </si>
  <si>
    <t>6,520,600</t>
  </si>
  <si>
    <t>던에드워드페인트</t>
    <phoneticPr fontId="46" type="noConversion"/>
  </si>
  <si>
    <t>포항북구죽도644영업소</t>
    <phoneticPr fontId="46" type="noConversion"/>
  </si>
  <si>
    <t>수지동보1차</t>
    <phoneticPr fontId="46" type="noConversion"/>
  </si>
  <si>
    <t>두정마을우남1단지</t>
    <phoneticPr fontId="46" type="noConversion"/>
  </si>
  <si>
    <t>오산한라그린타운</t>
    <phoneticPr fontId="46" type="noConversion"/>
  </si>
  <si>
    <t>2026-03-03</t>
  </si>
  <si>
    <t>20260303-10260303-54198017</t>
  </si>
  <si>
    <t>131-86-21114</t>
  </si>
  <si>
    <t>(주)진성이앤지</t>
  </si>
  <si>
    <t>강성수</t>
  </si>
  <si>
    <t>경기도 고양시 일산서구 킨텍스로 240, 201동 1602호</t>
  </si>
  <si>
    <t>jinsung7475@naver.com</t>
  </si>
  <si>
    <t>2,330,000</t>
  </si>
  <si>
    <t>20260303-10260303-54188759</t>
  </si>
  <si>
    <t>106-86-92501</t>
  </si>
  <si>
    <t>심은용</t>
  </si>
  <si>
    <t>서울특별시 노원구 노원로1바길 12, 2층(공릉동)</t>
  </si>
  <si>
    <t>dasu2013@naver.com</t>
  </si>
  <si>
    <t>52,200</t>
  </si>
  <si>
    <t>20260303-10260303-54186226</t>
  </si>
  <si>
    <t>7,624,000</t>
  </si>
  <si>
    <t>20260303-10260303-54180944</t>
  </si>
  <si>
    <t>224-81-46130</t>
  </si>
  <si>
    <t>대명이엔씨(주)</t>
  </si>
  <si>
    <t>송경종</t>
  </si>
  <si>
    <t>광주광역시 서구 무진대로 605,1층 (유촌동)</t>
  </si>
  <si>
    <t>dmenc2024@naver.com</t>
  </si>
  <si>
    <t>4,010,000</t>
  </si>
  <si>
    <t>20260303-10260303-54174155</t>
  </si>
  <si>
    <t>889,500</t>
  </si>
  <si>
    <t>20260303-10260303-54166793</t>
  </si>
  <si>
    <t>113-81-52012</t>
  </si>
  <si>
    <t>(주)국일구조</t>
  </si>
  <si>
    <t>정진명</t>
  </si>
  <si>
    <t>서울 구로구 구일로10길 27, 에스케이허브수 비동 211호 (구로동)</t>
  </si>
  <si>
    <t>kukil3282@naver.com</t>
  </si>
  <si>
    <t>2,470,000</t>
  </si>
  <si>
    <t>20260303-10260303-54162869</t>
  </si>
  <si>
    <t>132-86-06886</t>
  </si>
  <si>
    <t>(주)피앤텍이엔지</t>
  </si>
  <si>
    <t>유명상,조순제</t>
  </si>
  <si>
    <t>경기도 안산시 단원구 풍전로 37-9, 301동337호 (원곡동,트리플렉스)</t>
  </si>
  <si>
    <t>pntech2012@daum.net</t>
  </si>
  <si>
    <t>72,937,600</t>
  </si>
  <si>
    <t>20260303-10260303-54137844</t>
  </si>
  <si>
    <t>864-31-00922</t>
  </si>
  <si>
    <t>가온알앤씨</t>
  </si>
  <si>
    <t>이민규</t>
  </si>
  <si>
    <t>경기도 화성시 만세구 팔탄면 3.1만세로 804 A동, 204호</t>
  </si>
  <si>
    <t>99732093@hanmail.net</t>
  </si>
  <si>
    <t>5,427,900</t>
  </si>
  <si>
    <t>불암현대</t>
    <phoneticPr fontId="46" type="noConversion"/>
  </si>
  <si>
    <t>사무실택배</t>
    <phoneticPr fontId="46" type="noConversion"/>
  </si>
  <si>
    <t>중산11단지현대</t>
    <phoneticPr fontId="46" type="noConversion"/>
  </si>
  <si>
    <t>소촌동대성베르힐</t>
    <phoneticPr fontId="46" type="noConversion"/>
  </si>
  <si>
    <t>동백역벽산블루밍</t>
    <phoneticPr fontId="46" type="noConversion"/>
  </si>
  <si>
    <t>중동역2차푸르지오</t>
    <phoneticPr fontId="46" type="noConversion"/>
  </si>
  <si>
    <t>서울역센트럴자이</t>
    <phoneticPr fontId="46" type="noConversion"/>
  </si>
  <si>
    <t>시흥참이슬아파트</t>
    <phoneticPr fontId="46" type="noConversion"/>
  </si>
  <si>
    <t>박성은</t>
    <phoneticPr fontId="46" type="noConversion"/>
  </si>
  <si>
    <t>컨설팅현장</t>
    <phoneticPr fontId="46" type="noConversion"/>
  </si>
  <si>
    <t>영산대학교</t>
    <phoneticPr fontId="46" type="noConversion"/>
  </si>
  <si>
    <t>이주일</t>
    <phoneticPr fontId="46" type="noConversion"/>
  </si>
  <si>
    <t>이상돈</t>
    <phoneticPr fontId="46" type="noConversion"/>
  </si>
  <si>
    <t>2026-03-05</t>
  </si>
  <si>
    <t>(주)이두건설</t>
  </si>
  <si>
    <t>정종일,정재혁</t>
  </si>
  <si>
    <t>대구광역시 달서구 월배로 439 (송현동)</t>
  </si>
  <si>
    <t>5,775,000</t>
  </si>
  <si>
    <t>2,260,000</t>
  </si>
  <si>
    <t>237,000</t>
  </si>
  <si>
    <t>167,500</t>
  </si>
  <si>
    <t>3,179,600</t>
  </si>
  <si>
    <t>5,500,000</t>
  </si>
  <si>
    <t>1,801,000</t>
  </si>
  <si>
    <t>6,400,500</t>
  </si>
  <si>
    <t>20260305-10260305-57084946</t>
  </si>
  <si>
    <t>20260305-10260305-57084279</t>
  </si>
  <si>
    <t>20260305-10260305-57082885</t>
  </si>
  <si>
    <t>20260305-10260305-57082061</t>
  </si>
  <si>
    <t>514-81-27206</t>
  </si>
  <si>
    <t>20260305-10260305-57080609</t>
  </si>
  <si>
    <t>20260305-10260305-57076624</t>
  </si>
  <si>
    <t>20260305-10260305-57074882</t>
  </si>
  <si>
    <t>20260305-10260305-57074389</t>
  </si>
  <si>
    <t>E편한세상한강신도시2차 아파트</t>
    <phoneticPr fontId="46" type="noConversion"/>
  </si>
  <si>
    <t>정오연</t>
    <phoneticPr fontId="46" type="noConversion"/>
  </si>
  <si>
    <t>OBM</t>
    <phoneticPr fontId="46" type="noConversion"/>
  </si>
  <si>
    <t>jooidoo@naver.com</t>
  </si>
  <si>
    <t>상무모아제일아파트</t>
    <phoneticPr fontId="46" type="noConversion"/>
  </si>
  <si>
    <t>동수원월드메르디앙</t>
    <phoneticPr fontId="46" type="noConversion"/>
  </si>
  <si>
    <t>수원로얄팰리스</t>
    <phoneticPr fontId="46" type="noConversion"/>
  </si>
  <si>
    <t>2026-03-06</t>
  </si>
  <si>
    <t>20260306-10260306-59853664</t>
  </si>
  <si>
    <t>753,000</t>
  </si>
  <si>
    <t>20260306-10260306-59845222</t>
  </si>
  <si>
    <t>3,230,000</t>
  </si>
  <si>
    <t>20260306-10260306-59841122</t>
  </si>
  <si>
    <t>당초 승인번호 (20260306-10260306-59059565)</t>
  </si>
  <si>
    <t>5,030,650</t>
  </si>
  <si>
    <t>20260306-10260306-59068213</t>
  </si>
  <si>
    <t>415-81-52034</t>
  </si>
  <si>
    <t>두레이앤씨(주)</t>
  </si>
  <si>
    <t>김문성</t>
  </si>
  <si>
    <t>서울특별시 중랑구 동일로130길 57, 2층(중화동)</t>
  </si>
  <si>
    <t>doore0577@hanmail.net</t>
  </si>
  <si>
    <t>9,140,500</t>
  </si>
  <si>
    <t>20260306-10260306-59065509</t>
  </si>
  <si>
    <t>16,695,000</t>
  </si>
  <si>
    <t>20260306-10260306-59061433</t>
  </si>
  <si>
    <t>1,870,000</t>
  </si>
  <si>
    <t>20260306-10260306-59055676</t>
  </si>
  <si>
    <t>215-86-87883</t>
  </si>
  <si>
    <t>경기이앤에스(주)</t>
  </si>
  <si>
    <t>정장균</t>
  </si>
  <si>
    <t>경기도 용인시 처인구 낙은로 29-6, 2층(역북동)</t>
  </si>
  <si>
    <t>sgc0694@gmail.com</t>
  </si>
  <si>
    <t>12,478,000</t>
  </si>
  <si>
    <t>헬리오시티</t>
    <phoneticPr fontId="46" type="noConversion"/>
  </si>
  <si>
    <t>조치원자이</t>
    <phoneticPr fontId="46" type="noConversion"/>
  </si>
  <si>
    <t>월암창고</t>
  </si>
  <si>
    <t>소촌동대성베르힐</t>
  </si>
  <si>
    <t>월산마을7단지</t>
    <phoneticPr fontId="46" type="noConversion"/>
  </si>
  <si>
    <t>해운대센텀트루엘1단지</t>
    <phoneticPr fontId="46" type="noConversion"/>
  </si>
  <si>
    <t>성균관대역서희스타힐스 1,2단지아파트</t>
    <phoneticPr fontId="46" type="noConversion"/>
  </si>
  <si>
    <t>김원규</t>
    <phoneticPr fontId="46" type="noConversion"/>
  </si>
  <si>
    <t>기술자문료</t>
    <phoneticPr fontId="46" type="noConversion"/>
  </si>
  <si>
    <t>특허료</t>
    <phoneticPr fontId="46" type="noConversion"/>
  </si>
  <si>
    <t>2026-03-09</t>
  </si>
  <si>
    <t>20260309-10260309-62396128</t>
  </si>
  <si>
    <t>3,390,000</t>
  </si>
  <si>
    <t>20260309-10260309-62388734</t>
  </si>
  <si>
    <t>861-86-01000</t>
  </si>
  <si>
    <t>(주)정민씨앤씨</t>
  </si>
  <si>
    <t>조성문, 신동인</t>
  </si>
  <si>
    <t>서울특별시 성북구 정릉로402-9 제상가동제3층303호(돈암동,범양아파트)</t>
  </si>
  <si>
    <t>jmcnc04@daum.net</t>
  </si>
  <si>
    <t>20260309-10260309-62370054</t>
  </si>
  <si>
    <t>4,719,500</t>
  </si>
  <si>
    <t>20260309-10260309-62361849</t>
  </si>
  <si>
    <t>410-86-25541</t>
  </si>
  <si>
    <t>(주)수안건설</t>
  </si>
  <si>
    <t>이준엽</t>
  </si>
  <si>
    <t>전라남도 나주시 노안면 학산길 85</t>
  </si>
  <si>
    <t>ljy7417@hanmail.net</t>
  </si>
  <si>
    <t>38,534,600</t>
  </si>
  <si>
    <t>검단우방아이유쉘</t>
    <phoneticPr fontId="46" type="noConversion"/>
  </si>
  <si>
    <t>무등산광신프로그레스</t>
    <phoneticPr fontId="46" type="noConversion"/>
  </si>
  <si>
    <t>성원아파트2단지</t>
    <phoneticPr fontId="46" type="noConversion"/>
  </si>
  <si>
    <t>갈매스타힐스아파트</t>
    <phoneticPr fontId="46" type="noConversion"/>
  </si>
  <si>
    <t>중도금</t>
    <phoneticPr fontId="46" type="noConversion"/>
  </si>
  <si>
    <t>이루미건설㈜</t>
    <phoneticPr fontId="46" type="noConversion"/>
  </si>
  <si>
    <t>조병철/조재부</t>
    <phoneticPr fontId="46" type="noConversion"/>
  </si>
  <si>
    <t>2026-03-10</t>
  </si>
  <si>
    <t>20260310-10260310-66361496</t>
  </si>
  <si>
    <t>8,400,000</t>
  </si>
  <si>
    <t>20260310-10260310-66359178</t>
  </si>
  <si>
    <t>46,282,000</t>
  </si>
  <si>
    <t>20260310-10260310-66354108</t>
  </si>
  <si>
    <t>314-86-57819</t>
  </si>
  <si>
    <t>(주)백승</t>
  </si>
  <si>
    <t>민영자</t>
  </si>
  <si>
    <t>대전광역시 대덕구 대전로1033번길 60(오정동)</t>
  </si>
  <si>
    <t>bjbs3677@daum.net</t>
  </si>
  <si>
    <t>1,832,500</t>
  </si>
  <si>
    <t>20260310-10260310-66349181</t>
  </si>
  <si>
    <t>222,000</t>
  </si>
  <si>
    <t>20260310-10260310-66344464</t>
  </si>
  <si>
    <t>14,080,000</t>
  </si>
  <si>
    <t>20260310-10260310-66341463</t>
  </si>
  <si>
    <t>20260310-10260310-66337990</t>
  </si>
  <si>
    <t>1,186,600</t>
  </si>
  <si>
    <t>20260310-10260310-66335150</t>
  </si>
  <si>
    <t>124-87-43193</t>
  </si>
  <si>
    <t>(주)지앤필드종합건설</t>
  </si>
  <si>
    <t>김형준, 정회욱</t>
  </si>
  <si>
    <t>경기도 화성시 병점동로78,3층 302호(병점동,유진클라우스상가)</t>
  </si>
  <si>
    <t>wdcnc@hanmail.net</t>
  </si>
  <si>
    <t>270,000</t>
  </si>
  <si>
    <t>20260310-10260310-66328200</t>
  </si>
  <si>
    <t>5,912,000</t>
  </si>
  <si>
    <t>20260310-10260310-66325503</t>
  </si>
  <si>
    <t>4,992,000</t>
  </si>
  <si>
    <t>20260310-10260310-66319740</t>
  </si>
  <si>
    <t>950,350</t>
  </si>
  <si>
    <t>20260310-10260310-66315843</t>
  </si>
  <si>
    <t>770,400</t>
  </si>
  <si>
    <t>20260310-10260310-65505469</t>
  </si>
  <si>
    <t>405-88-01008</t>
  </si>
  <si>
    <t>주식회사 이산이씨에프</t>
  </si>
  <si>
    <t>전충식</t>
  </si>
  <si>
    <t>경기도 남양주시 진접읍 장현로광동1길 6, 1층 3호</t>
  </si>
  <si>
    <t>esanecf@daum.net</t>
  </si>
  <si>
    <t>473,600</t>
  </si>
  <si>
    <t>오창2지구대원칸타빌</t>
    <phoneticPr fontId="46" type="noConversion"/>
  </si>
  <si>
    <t>효천1중흥S클래스에코시티</t>
    <phoneticPr fontId="46" type="noConversion"/>
  </si>
  <si>
    <t>무지개마을신한건영</t>
    <phoneticPr fontId="46" type="noConversion"/>
  </si>
  <si>
    <t>오성빌라</t>
    <phoneticPr fontId="46" type="noConversion"/>
  </si>
  <si>
    <r>
      <rPr>
        <sz val="10"/>
        <color theme="1"/>
        <rFont val="맑은 고딕"/>
        <family val="3"/>
        <charset val="129"/>
      </rPr>
      <t>중도금</t>
    </r>
    <r>
      <rPr>
        <sz val="10"/>
        <color theme="1"/>
        <rFont val="Noto Sans CJK SC"/>
        <family val="2"/>
        <charset val="1"/>
      </rPr>
      <t>1차</t>
    </r>
    <phoneticPr fontId="46" type="noConversion"/>
  </si>
  <si>
    <t>중도금2차</t>
    <phoneticPr fontId="46" type="noConversion"/>
  </si>
  <si>
    <t>2026-03-11</t>
  </si>
  <si>
    <t>20260311-10260311-67488510</t>
  </si>
  <si>
    <t>605-81-61849</t>
  </si>
  <si>
    <t>(주)세원산업개발</t>
  </si>
  <si>
    <t>송연숙</t>
  </si>
  <si>
    <t>부산광역시 연제구 월드컵대로243번길 19,상가23동 501호</t>
  </si>
  <si>
    <t>sewon301@hanmail.net</t>
  </si>
  <si>
    <t>121,500</t>
  </si>
  <si>
    <t>20260311-10260311-67486947</t>
  </si>
  <si>
    <t>202-07-08742</t>
  </si>
  <si>
    <t>조민준</t>
  </si>
  <si>
    <t>경남 양산시 물금읍 부산대학로 150,대한빌딩 306호</t>
  </si>
  <si>
    <t>ekgks2023@naver.com</t>
  </si>
  <si>
    <t>16,818,900</t>
  </si>
  <si>
    <t>20260311-10260311-67486443</t>
  </si>
  <si>
    <t>215-81-15555</t>
  </si>
  <si>
    <t>(주)적산건설</t>
  </si>
  <si>
    <t>조영수</t>
  </si>
  <si>
    <t>서울특별시 송파구 새말로 157 ,401호(문정동)</t>
  </si>
  <si>
    <t>juek99@hanmail.net</t>
  </si>
  <si>
    <t>294,800</t>
  </si>
  <si>
    <t>20260311-10260311-67484303</t>
  </si>
  <si>
    <t>20260311-10260311-67482761</t>
  </si>
  <si>
    <t>167-88-03142</t>
  </si>
  <si>
    <t>(주)청람건설</t>
  </si>
  <si>
    <t>김다경</t>
  </si>
  <si>
    <t>부산광역시 사상구 주례로 101,1동 209-2호</t>
  </si>
  <si>
    <t>chung2019@daum.net</t>
  </si>
  <si>
    <t>1,275,400</t>
  </si>
  <si>
    <t>20260311-10260311-67479989</t>
  </si>
  <si>
    <t>11,000,000</t>
  </si>
  <si>
    <t>20260311-10260311-67479370</t>
  </si>
  <si>
    <t>5,475,500</t>
  </si>
  <si>
    <t>주택</t>
    <phoneticPr fontId="46" type="noConversion"/>
  </si>
  <si>
    <t>오양힐타운</t>
    <phoneticPr fontId="46" type="noConversion"/>
  </si>
  <si>
    <t>도경오벨리스</t>
    <phoneticPr fontId="46" type="noConversion"/>
  </si>
  <si>
    <r>
      <rPr>
        <sz val="10"/>
        <color theme="1"/>
        <rFont val="맑은 고딕"/>
        <family val="3"/>
        <charset val="129"/>
      </rPr>
      <t>동일산건</t>
    </r>
    <r>
      <rPr>
        <sz val="10"/>
        <color theme="1"/>
        <rFont val="Noto Sans CJK SC"/>
        <family val="3"/>
        <charset val="1"/>
      </rPr>
      <t>㈜</t>
    </r>
    <phoneticPr fontId="46" type="noConversion"/>
  </si>
  <si>
    <t>백현마을8단지아파트</t>
  </si>
  <si>
    <t>2026-03-12</t>
  </si>
  <si>
    <t>20260312-10260312-68123438</t>
  </si>
  <si>
    <t>312,000</t>
  </si>
  <si>
    <t>500,500</t>
  </si>
  <si>
    <t>20260312-10260312-68121589</t>
  </si>
  <si>
    <t>616-87-01163</t>
  </si>
  <si>
    <t>혜성씨앤씨(주)</t>
  </si>
  <si>
    <t>정영배</t>
  </si>
  <si>
    <t>서울특별시 금천구 가산디지털1로 205-27, 14층 1402호(가산동)</t>
  </si>
  <si>
    <t>hscnc2024@naver.com</t>
  </si>
  <si>
    <t>1,000,500</t>
  </si>
  <si>
    <t>20260312-10260312-68121136</t>
  </si>
  <si>
    <t>20260312-10260312-68120466</t>
  </si>
  <si>
    <t>1,190,000</t>
  </si>
  <si>
    <t>20260312-10260312-68118787</t>
  </si>
  <si>
    <t>229-81-24543</t>
  </si>
  <si>
    <t>이인희</t>
  </si>
  <si>
    <t>서울특별시 강남구 논현로12길 19-6,4층(개포동,우도빌딩)</t>
  </si>
  <si>
    <t>sukjin67@hanmail.net</t>
  </si>
  <si>
    <t>11,147,800</t>
  </si>
  <si>
    <t>20260312-10260312-68118180</t>
  </si>
  <si>
    <t>2,613,000</t>
  </si>
  <si>
    <t>20260312-10260312-68116399</t>
  </si>
  <si>
    <t>7,339,000</t>
  </si>
  <si>
    <t>궁전빌라파트</t>
    <phoneticPr fontId="46" type="noConversion"/>
  </si>
  <si>
    <t>문촌마을10단지동부</t>
    <phoneticPr fontId="46" type="noConversion"/>
  </si>
  <si>
    <t>철산두산위브</t>
    <phoneticPr fontId="46" type="noConversion"/>
  </si>
  <si>
    <t>광양금광1차</t>
    <phoneticPr fontId="46" type="noConversion"/>
  </si>
  <si>
    <r>
      <rPr>
        <sz val="10"/>
        <color theme="1"/>
        <rFont val="맑은 고딕"/>
        <family val="3"/>
        <charset val="129"/>
      </rPr>
      <t>엘케이개발</t>
    </r>
    <r>
      <rPr>
        <sz val="10"/>
        <color theme="1"/>
        <rFont val="Noto Sans CJK SC"/>
        <family val="3"/>
        <charset val="1"/>
      </rPr>
      <t>㈜</t>
    </r>
    <phoneticPr fontId="46" type="noConversion"/>
  </si>
  <si>
    <t>신당삼성아파트</t>
    <phoneticPr fontId="46" type="noConversion"/>
  </si>
  <si>
    <t>2026-03-13</t>
  </si>
  <si>
    <t>20260313-10260313-68596926</t>
  </si>
  <si>
    <t>221-23-28695</t>
  </si>
  <si>
    <t>미래산업개발</t>
  </si>
  <si>
    <t>윤정삼</t>
  </si>
  <si>
    <t>경기도 광주시 도척면 도척로 330번길 24, 라동 201호 (궁전빌라)</t>
  </si>
  <si>
    <t>ssyy3104@naver.com</t>
  </si>
  <si>
    <t>20260313-10260313-68584233</t>
  </si>
  <si>
    <t>3,448,000</t>
  </si>
  <si>
    <t>20260313-10260313-68582678</t>
  </si>
  <si>
    <t>28,750,000</t>
  </si>
  <si>
    <t>20260313-10260313-68582213</t>
  </si>
  <si>
    <t>20260313-10260313-68577983</t>
  </si>
  <si>
    <t>14,700,000</t>
  </si>
  <si>
    <t>20260313-10260313-68569357</t>
  </si>
  <si>
    <t>163-87-03143</t>
  </si>
  <si>
    <t>(주)두영이앤씨</t>
  </si>
  <si>
    <t>김정숙</t>
  </si>
  <si>
    <t>경기도 용인시 기흥구 강남서로 9, 820호(구갈동, 아카데미프라자)</t>
  </si>
  <si>
    <t>doyoung_enc@naver.com</t>
  </si>
  <si>
    <t>780,000</t>
  </si>
  <si>
    <t>20260313-10260313-68565484</t>
  </si>
  <si>
    <t>220,100</t>
  </si>
  <si>
    <t>용현금호어울림4단지</t>
    <phoneticPr fontId="46" type="noConversion"/>
  </si>
  <si>
    <t>백현마을경남아너스빌</t>
    <phoneticPr fontId="46" type="noConversion"/>
  </si>
  <si>
    <t>기흥우방아이유쉘</t>
    <phoneticPr fontId="46" type="noConversion"/>
  </si>
  <si>
    <t>2026-03-17</t>
  </si>
  <si>
    <t>20260317-10260317-70390632</t>
  </si>
  <si>
    <t>19,467,400</t>
  </si>
  <si>
    <t>20260317-10260317-70390121</t>
  </si>
  <si>
    <t>4,765,000</t>
  </si>
  <si>
    <t>20260317-10260317-70388515</t>
  </si>
  <si>
    <t>954,500</t>
  </si>
  <si>
    <t>20260317-10260317-70386969</t>
  </si>
  <si>
    <t>9,631,000</t>
  </si>
  <si>
    <t>20260317-10260317-70386415</t>
  </si>
  <si>
    <t>1,745,000</t>
  </si>
  <si>
    <t>20260317-10260317-70384170</t>
  </si>
  <si>
    <t>493,400</t>
  </si>
  <si>
    <t>20260317-10260317-70383256</t>
  </si>
  <si>
    <t>3,568,200</t>
  </si>
  <si>
    <t>20260317-10260317-70380584</t>
  </si>
  <si>
    <t>4,110,300</t>
  </si>
  <si>
    <t>20260317-10260317-70378602</t>
  </si>
  <si>
    <t>1,318,600</t>
  </si>
  <si>
    <t>20260317-10260317-70377669</t>
  </si>
  <si>
    <t>812-88-01638</t>
  </si>
  <si>
    <t>(주)스타건설</t>
  </si>
  <si>
    <t>김영민</t>
  </si>
  <si>
    <t>경기도 부천시 길주로 77번길 55-19,굿모닝프라자 701호</t>
  </si>
  <si>
    <t>starcon2022@naver.com</t>
  </si>
  <si>
    <t>3,541,500</t>
  </si>
  <si>
    <t>20260317-10260317-70375852</t>
  </si>
  <si>
    <t>3,512,300</t>
  </si>
  <si>
    <t>20260317-10260317-70375349</t>
  </si>
  <si>
    <t>20260317-10260317-70373718</t>
  </si>
  <si>
    <t>21,000,000</t>
  </si>
  <si>
    <t>20260317-10260317-70373092</t>
  </si>
  <si>
    <t>806,000</t>
  </si>
  <si>
    <t>하계극동건영벽산</t>
    <phoneticPr fontId="46" type="noConversion"/>
  </si>
  <si>
    <t>동탄더레이크팰리스</t>
    <phoneticPr fontId="46" type="noConversion"/>
  </si>
  <si>
    <t>평택비전지웰푸르지오</t>
    <phoneticPr fontId="46" type="noConversion"/>
  </si>
  <si>
    <t>동탄역시범리슈빌</t>
    <phoneticPr fontId="46" type="noConversion"/>
  </si>
  <si>
    <t>민락엘레트19아파트</t>
    <phoneticPr fontId="46" type="noConversion"/>
  </si>
  <si>
    <t>삼호한아름2차</t>
    <phoneticPr fontId="46" type="noConversion"/>
  </si>
  <si>
    <t>철원산호그린빌</t>
    <phoneticPr fontId="46" type="noConversion"/>
  </si>
  <si>
    <t>무동센텀파라디아</t>
    <phoneticPr fontId="46" type="noConversion"/>
  </si>
  <si>
    <t>가천대역두산위브</t>
    <phoneticPr fontId="46" type="noConversion"/>
  </si>
  <si>
    <t>잠실리센츠</t>
    <phoneticPr fontId="46" type="noConversion"/>
  </si>
  <si>
    <t>(주)국제특수건설</t>
    <phoneticPr fontId="46" type="noConversion"/>
  </si>
  <si>
    <t>고척파크푸르지오</t>
    <phoneticPr fontId="46" type="noConversion"/>
  </si>
  <si>
    <t>백우현</t>
    <phoneticPr fontId="46" type="noConversion"/>
  </si>
  <si>
    <t>코오롱아파트</t>
    <phoneticPr fontId="46" type="noConversion"/>
  </si>
  <si>
    <t>동현이앤씨㈜</t>
    <phoneticPr fontId="46" type="noConversion"/>
  </si>
  <si>
    <t>이용학</t>
    <phoneticPr fontId="46" type="noConversion"/>
  </si>
  <si>
    <t>10,000/9,000</t>
    <phoneticPr fontId="46" type="noConversion"/>
  </si>
  <si>
    <t>수림1차아파트</t>
    <phoneticPr fontId="46" type="noConversion"/>
  </si>
  <si>
    <t>2026-03-18</t>
  </si>
  <si>
    <t>20260318-10260318-70977137</t>
  </si>
  <si>
    <t>1,842,500</t>
  </si>
  <si>
    <t>20260318-10260318-70975421</t>
  </si>
  <si>
    <t>6,583,500</t>
  </si>
  <si>
    <t>20260318-10260318-70975069</t>
  </si>
  <si>
    <t>2,038,700</t>
  </si>
  <si>
    <t>20260318-10260318-70972071</t>
  </si>
  <si>
    <t>4,750,000</t>
  </si>
  <si>
    <t>20260318-10260318-70969182</t>
  </si>
  <si>
    <t>3,572,000</t>
  </si>
  <si>
    <t>20260318-10260318-70967443</t>
  </si>
  <si>
    <t>435,000</t>
  </si>
  <si>
    <t>20260318-10260318-70964711</t>
  </si>
  <si>
    <t>211-86-23252</t>
  </si>
  <si>
    <t>대표건설(주)</t>
  </si>
  <si>
    <t>박종현</t>
  </si>
  <si>
    <t>daepyo04@naver.com</t>
  </si>
  <si>
    <t>637,000</t>
  </si>
  <si>
    <t>20260318-10260318-70964025</t>
  </si>
  <si>
    <t>617-81-41434</t>
  </si>
  <si>
    <t>(주)삼정엔지니어링</t>
  </si>
  <si>
    <t>김기령</t>
  </si>
  <si>
    <t>sjeng051@hanmail.net</t>
  </si>
  <si>
    <t>34,583,000</t>
  </si>
  <si>
    <t>20260318-10260318-70962161</t>
  </si>
  <si>
    <t>6,600,000</t>
  </si>
  <si>
    <t>20260318-10260318-70960347</t>
  </si>
  <si>
    <t>15,802,000</t>
  </si>
  <si>
    <t>보령광명샤인빌</t>
    <phoneticPr fontId="46" type="noConversion"/>
  </si>
  <si>
    <t>역전할머니맥주부산안락점</t>
    <phoneticPr fontId="46" type="noConversion"/>
  </si>
  <si>
    <t>노형뜨란채</t>
    <phoneticPr fontId="46" type="noConversion"/>
  </si>
  <si>
    <t>이편한세상태전2차</t>
    <phoneticPr fontId="46" type="noConversion"/>
  </si>
  <si>
    <t>대표건설본사</t>
    <phoneticPr fontId="46" type="noConversion"/>
  </si>
  <si>
    <t>민락동진로비치</t>
    <phoneticPr fontId="46" type="noConversion"/>
  </si>
  <si>
    <t>불당파크푸르지오2단지</t>
    <phoneticPr fontId="46" type="noConversion"/>
  </si>
  <si>
    <t>김대현</t>
    <phoneticPr fontId="46" type="noConversion"/>
  </si>
  <si>
    <t>13,000/10,000</t>
    <phoneticPr fontId="46" type="noConversion"/>
  </si>
  <si>
    <t>윤정삼</t>
    <phoneticPr fontId="46" type="noConversion"/>
  </si>
  <si>
    <t>12,000/15,000</t>
    <phoneticPr fontId="46" type="noConversion"/>
  </si>
  <si>
    <t>2026-03-19</t>
  </si>
  <si>
    <t>20260319-10260319-71597980</t>
  </si>
  <si>
    <t>9,450,000</t>
  </si>
  <si>
    <t>20260319-10260319-71584808</t>
  </si>
  <si>
    <t>20260319-10260319-71584500</t>
  </si>
  <si>
    <t>333,000</t>
  </si>
  <si>
    <t>20260319-10260319-71582951</t>
  </si>
  <si>
    <t>2,835,000</t>
  </si>
  <si>
    <t>20260319-10260319-71582502</t>
  </si>
  <si>
    <t>351,900</t>
  </si>
  <si>
    <t>20260319-10260319-71581745</t>
  </si>
  <si>
    <t>839,000</t>
  </si>
  <si>
    <t>20260319-10260319-71579841</t>
  </si>
  <si>
    <t>631-87-00237</t>
  </si>
  <si>
    <t>(주)정문씨앤씨</t>
  </si>
  <si>
    <t>공효인</t>
  </si>
  <si>
    <t>119ng@hanmail.net</t>
  </si>
  <si>
    <t>1,507,200</t>
  </si>
  <si>
    <t>20260319-10260319-71575078</t>
  </si>
  <si>
    <t>585,000</t>
  </si>
  <si>
    <t>20260319-10260319-71573463</t>
  </si>
  <si>
    <t>615,000</t>
  </si>
  <si>
    <t>20260319-10260319-71573015</t>
  </si>
  <si>
    <t>44,793,500</t>
  </si>
  <si>
    <t>20260319-10260319-71571460</t>
  </si>
  <si>
    <t>602,300</t>
  </si>
  <si>
    <t>20260319-10260319-71570811</t>
  </si>
  <si>
    <t>1,180,000</t>
  </si>
  <si>
    <t>20260319-10260319-71570430</t>
  </si>
  <si>
    <t>3,300,000</t>
  </si>
  <si>
    <t>20260319-10260319-71567677</t>
  </si>
  <si>
    <t>1,548,500</t>
  </si>
  <si>
    <t>문수피오레</t>
    <phoneticPr fontId="46" type="noConversion"/>
  </si>
  <si>
    <t>가람마을10단지</t>
    <phoneticPr fontId="46" type="noConversion"/>
  </si>
  <si>
    <t>염리상록아파트</t>
    <phoneticPr fontId="46" type="noConversion"/>
  </si>
  <si>
    <t>소촌대성베르힐써밋페인트</t>
    <phoneticPr fontId="46" type="noConversion"/>
  </si>
  <si>
    <t>소촌대성베르힐</t>
    <phoneticPr fontId="46" type="noConversion"/>
  </si>
  <si>
    <t>공릉한보에센시티</t>
    <phoneticPr fontId="46" type="noConversion"/>
  </si>
  <si>
    <t>OBM</t>
    <phoneticPr fontId="46" type="noConversion"/>
  </si>
  <si>
    <t>주식회사 위즈페인팅</t>
    <phoneticPr fontId="46" type="noConversion"/>
  </si>
  <si>
    <t>크로바아파트</t>
    <phoneticPr fontId="46" type="noConversion"/>
  </si>
  <si>
    <t>(주)도경</t>
    <phoneticPr fontId="46" type="noConversion"/>
  </si>
  <si>
    <t>삼일원앙아파트</t>
    <phoneticPr fontId="46" type="noConversion"/>
  </si>
  <si>
    <t>경기도수원시팔달구수성로92,2층203호(화서동,농민회관)</t>
  </si>
  <si>
    <t>기업은행468-084895-04-017넷폼알앤디</t>
  </si>
  <si>
    <t>서울특별시광진구자양동784-1대동상가동107</t>
  </si>
  <si>
    <t>서울영등포구도신로70,신길우성1차상가207호</t>
  </si>
  <si>
    <t>부산광역시수영구망미번영로38번길3,삼정빌딩8층</t>
  </si>
  <si>
    <t>충청남도천안시동남구청수14로60,701호(청당동,서미법조타워)</t>
  </si>
  <si>
    <t>경기도안산시단원구풍전로37-9,301동337호(원곡동,트리플렉스)</t>
  </si>
  <si>
    <t>경기도고양시일산서구킨텍스로240,201동1602호</t>
  </si>
  <si>
    <t>경기도용인시기흥구흥덕2로87번길18,에이동304호</t>
  </si>
  <si>
    <t>*기업은행468-084895-04-017넷폼알앤디</t>
  </si>
  <si>
    <t>경기도용인시처인구낙은로29-6,2층(역북동)</t>
  </si>
  <si>
    <t>경남창원시의창구평산로159번길3,2층201호(서상동)</t>
  </si>
  <si>
    <t>서울특별시송파구새말로157,401호(문정동)</t>
  </si>
  <si>
    <t>인천광역시서구가정로37번길33,제에이동제1층108-1호(가좌동)</t>
  </si>
  <si>
    <t>광주광역시서구무진대로605,1층(유촌동)</t>
  </si>
  <si>
    <t>경기도부천시길주로77번길55-19,굿모닝프라자701호</t>
  </si>
  <si>
    <t>㈜일성기업</t>
    <phoneticPr fontId="46" type="noConversion"/>
  </si>
  <si>
    <t>산격대우아파트</t>
    <phoneticPr fontId="46" type="noConversion"/>
  </si>
  <si>
    <t>2026-03-20</t>
  </si>
  <si>
    <t>20260320-10260320-72487762</t>
  </si>
  <si>
    <t>137-81-42766</t>
  </si>
  <si>
    <t>(주)방수존건설</t>
  </si>
  <si>
    <t>김양환</t>
  </si>
  <si>
    <t>경기도 김포시 사우동257 정원빌딩4층</t>
  </si>
  <si>
    <t>rbcp@naver.com</t>
  </si>
  <si>
    <t>114,000</t>
  </si>
  <si>
    <t>20260320-10260320-72484967</t>
  </si>
  <si>
    <t>9,563,000</t>
  </si>
  <si>
    <t>20260320-10260320-72132048</t>
  </si>
  <si>
    <t>2,270,000</t>
  </si>
  <si>
    <t>20260320-10260320-72129282</t>
  </si>
  <si>
    <t>404-86-02432</t>
  </si>
  <si>
    <t>(주)첨단누수연구소</t>
  </si>
  <si>
    <t>구봉경</t>
  </si>
  <si>
    <t>경기도 시흥시 군자로 474,삼성프라자 201호</t>
  </si>
  <si>
    <t>ys_system0491@naver.com</t>
  </si>
  <si>
    <t>20260320-10260320-72127504</t>
  </si>
  <si>
    <t>658,000</t>
  </si>
  <si>
    <t>태전주공2단지</t>
    <phoneticPr fontId="46" type="noConversion"/>
  </si>
  <si>
    <t>장현2엔플러스빌</t>
    <phoneticPr fontId="46" type="noConversion"/>
  </si>
  <si>
    <t>경동김포감정389영업소</t>
  </si>
  <si>
    <t>권영수</t>
    <phoneticPr fontId="46" type="noConversion"/>
  </si>
  <si>
    <t>이용암</t>
    <phoneticPr fontId="46" type="noConversion"/>
  </si>
  <si>
    <t>신현섭</t>
    <phoneticPr fontId="46" type="noConversion"/>
  </si>
  <si>
    <t>윤성환</t>
    <phoneticPr fontId="46" type="noConversion"/>
  </si>
  <si>
    <t>2026-03-23</t>
  </si>
  <si>
    <t>20260323-10260323-73638205</t>
  </si>
  <si>
    <t>4,290,000</t>
  </si>
  <si>
    <t>20260323-10260323-73636679</t>
  </si>
  <si>
    <t>844-86-01188</t>
  </si>
  <si>
    <t>호연상사</t>
  </si>
  <si>
    <t>한신호</t>
  </si>
  <si>
    <t>인천광역시 서구 파랑로 495 (청라동) 1동 1007호(청라동, 에이스하이테크시티)</t>
  </si>
  <si>
    <t>hoyeon0420@naver.com</t>
  </si>
  <si>
    <t>8,800,000</t>
  </si>
  <si>
    <t>20260323-10260323-73636165</t>
  </si>
  <si>
    <t>465,000</t>
  </si>
  <si>
    <t>20260323-10260323-73634604</t>
  </si>
  <si>
    <t>5,765,500</t>
  </si>
  <si>
    <t>20260323-10260323-73607923</t>
  </si>
  <si>
    <t>20260323-10260323-73605468</t>
  </si>
  <si>
    <t>1,866,000</t>
  </si>
  <si>
    <t>20260323-10260323-73601924</t>
  </si>
  <si>
    <t>798,500</t>
  </si>
  <si>
    <t>20260323-10260323-73596537</t>
  </si>
  <si>
    <t>615-81-87977</t>
  </si>
  <si>
    <t>(주)조광피엔텍</t>
  </si>
  <si>
    <t>변영준</t>
  </si>
  <si>
    <t>부산광역시 사상구 장인로 7</t>
  </si>
  <si>
    <t>ckp7709@naver.com</t>
  </si>
  <si>
    <t>20260323-10260323-73594744</t>
  </si>
  <si>
    <t>2,969,500</t>
  </si>
  <si>
    <t>20260323-10260323-73592994</t>
  </si>
  <si>
    <t>10,451,300</t>
  </si>
  <si>
    <t>20260323-10260323-73592253</t>
  </si>
  <si>
    <t>2,250,000</t>
  </si>
  <si>
    <t>광교자연앤힐스테이트</t>
    <phoneticPr fontId="46" type="noConversion"/>
  </si>
  <si>
    <t>경남여성가족재단</t>
    <phoneticPr fontId="46" type="noConversion"/>
  </si>
  <si>
    <t>인성마을신갈현대</t>
    <phoneticPr fontId="46" type="noConversion"/>
  </si>
  <si>
    <t>효천1중흥s크래스</t>
    <phoneticPr fontId="46" type="noConversion"/>
  </si>
  <si>
    <t>에듀타운자이1단지</t>
    <phoneticPr fontId="46" type="noConversion"/>
  </si>
  <si>
    <t>동부산아이존빌</t>
    <phoneticPr fontId="46" type="noConversion"/>
  </si>
  <si>
    <t>불당지웰시티푸르지오1단지</t>
    <phoneticPr fontId="46" type="noConversion"/>
  </si>
  <si>
    <t>하안주공7단지</t>
    <phoneticPr fontId="46" type="noConversion"/>
  </si>
  <si>
    <t>해운대센텀트루엘2단지</t>
    <phoneticPr fontId="46" type="noConversion"/>
  </si>
  <si>
    <t>한보구암마을아파트</t>
    <phoneticPr fontId="46" type="noConversion"/>
  </si>
  <si>
    <t>김병석</t>
    <phoneticPr fontId="46" type="noConversion"/>
  </si>
  <si>
    <t>10,000/15,000</t>
    <phoneticPr fontId="46" type="noConversion"/>
  </si>
  <si>
    <t>㈜케이탑건설</t>
    <phoneticPr fontId="46" type="noConversion"/>
  </si>
  <si>
    <t>암사동한솔아파트</t>
    <phoneticPr fontId="46" type="noConversion"/>
  </si>
  <si>
    <t>김용재</t>
    <phoneticPr fontId="46" type="noConversion"/>
  </si>
  <si>
    <t>㈜적산건설</t>
    <phoneticPr fontId="46" type="noConversion"/>
  </si>
  <si>
    <t>2026-03-24</t>
  </si>
  <si>
    <t>20260324-10260324-74434812</t>
  </si>
  <si>
    <t>2,711,000</t>
  </si>
  <si>
    <t>20260324-10260324-74434217</t>
  </si>
  <si>
    <t>10,539,000</t>
  </si>
  <si>
    <t>20260324-10260324-74432572</t>
  </si>
  <si>
    <t>268-86-03437</t>
  </si>
  <si>
    <t>(주)미사건설</t>
  </si>
  <si>
    <t>이준휘</t>
  </si>
  <si>
    <t>경기도 하남시 감북로 71,1층</t>
  </si>
  <si>
    <t>misa8204@naver.com</t>
  </si>
  <si>
    <t>1,021,000</t>
  </si>
  <si>
    <t>20260324-10260324-74432116</t>
  </si>
  <si>
    <t>127-86-59455</t>
  </si>
  <si>
    <t>심주영</t>
  </si>
  <si>
    <t>경기도 남양주시 가운로1길 7,2층 201호(다산동,아인스빌)</t>
  </si>
  <si>
    <t>tpaud2015@daum.net</t>
  </si>
  <si>
    <t>427,800</t>
  </si>
  <si>
    <t>20260324-10260324-74430721</t>
  </si>
  <si>
    <t>20260324-10260324-74430260</t>
  </si>
  <si>
    <t>4,520,000</t>
  </si>
  <si>
    <t>20260324-10260324-74429796</t>
  </si>
  <si>
    <t>157,000</t>
  </si>
  <si>
    <t>20260324-10260324-74429056</t>
  </si>
  <si>
    <t>2,380,000</t>
  </si>
  <si>
    <t>속초청초대우</t>
    <phoneticPr fontId="46" type="noConversion"/>
  </si>
  <si>
    <t>상계주공14단지</t>
    <phoneticPr fontId="46" type="noConversion"/>
  </si>
  <si>
    <t>천안역우방아이유쉘</t>
    <phoneticPr fontId="46" type="noConversion"/>
  </si>
  <si>
    <t>호매실경남아너스빌</t>
    <phoneticPr fontId="46" type="noConversion"/>
  </si>
  <si>
    <t>영주동도경오벨리스아파트</t>
    <phoneticPr fontId="46" type="noConversion"/>
  </si>
  <si>
    <t>코지건설㈜</t>
    <phoneticPr fontId="46" type="noConversion"/>
  </si>
  <si>
    <t>동탄역시범리슈빌아파트</t>
    <phoneticPr fontId="46" type="noConversion"/>
  </si>
  <si>
    <t>2026-03-25</t>
  </si>
  <si>
    <t>20260325-10260325-75475626</t>
  </si>
  <si>
    <t>350,000</t>
  </si>
  <si>
    <t>20260325-10260325-75470694</t>
  </si>
  <si>
    <t>4,748,300</t>
  </si>
  <si>
    <t>20260325-10260325-75468912</t>
  </si>
  <si>
    <t>833-88-02968</t>
  </si>
  <si>
    <t>황인성</t>
  </si>
  <si>
    <t>경기도 하남시 미사대로 540, 제2층 제비씨02-040호</t>
  </si>
  <si>
    <t>hanbyeolenc1010@naver.com</t>
  </si>
  <si>
    <t>396,000</t>
  </si>
  <si>
    <t>20260325-10260325-75466942</t>
  </si>
  <si>
    <t>1,414,500</t>
  </si>
  <si>
    <t>20260325-10260325-75460244</t>
  </si>
  <si>
    <t>936,000</t>
  </si>
  <si>
    <t>20260325-10260325-75458737</t>
  </si>
  <si>
    <t>8,336,500</t>
  </si>
  <si>
    <t>20260325-10260325-75458147</t>
  </si>
  <si>
    <t>555,000</t>
  </si>
  <si>
    <t>20260325-10260325-75452745</t>
  </si>
  <si>
    <t>508,400</t>
  </si>
  <si>
    <t>20260325-10260325-75450285</t>
  </si>
  <si>
    <t>122-86-01680</t>
  </si>
  <si>
    <t>색채산업개발(주)</t>
  </si>
  <si>
    <t>김성언</t>
  </si>
  <si>
    <t>경기도 군포시 엘에스로 13, 1406호</t>
  </si>
  <si>
    <t>cdd2002@bill36524.com</t>
  </si>
  <si>
    <t>6,771,000</t>
  </si>
  <si>
    <t>20260325-10260325-75447612</t>
  </si>
  <si>
    <t>2,997,000</t>
  </si>
  <si>
    <t>목감중흥S클래스</t>
    <phoneticPr fontId="46" type="noConversion"/>
  </si>
  <si>
    <t>매탄그린빌3단지</t>
    <phoneticPr fontId="46" type="noConversion"/>
  </si>
  <si>
    <t>옥길센트리뷰</t>
    <phoneticPr fontId="46" type="noConversion"/>
  </si>
  <si>
    <t>의왕민들레베스파트아파트</t>
    <phoneticPr fontId="46" type="noConversion"/>
  </si>
  <si>
    <t>송도캐슬해모로아파트</t>
    <phoneticPr fontId="46" type="noConversion"/>
  </si>
  <si>
    <t>소새울역청구아파트</t>
    <phoneticPr fontId="46" type="noConversion"/>
  </si>
  <si>
    <t>목동10단지</t>
    <phoneticPr fontId="46" type="noConversion"/>
  </si>
  <si>
    <t>태장주공2단지</t>
    <phoneticPr fontId="46" type="noConversion"/>
  </si>
  <si>
    <t>사무실택배</t>
  </si>
  <si>
    <t>정릉중앙하이츠빌2단지아파트</t>
    <phoneticPr fontId="46" type="noConversion"/>
  </si>
  <si>
    <t>13,000/14,000</t>
    <phoneticPr fontId="46" type="noConversion"/>
  </si>
  <si>
    <t>기술자문료</t>
    <phoneticPr fontId="46" type="noConversion"/>
  </si>
  <si>
    <t>㈜대한진단건설</t>
    <phoneticPr fontId="46" type="noConversion"/>
  </si>
  <si>
    <t>해운대 센텀트루엘아파트(주차장)</t>
    <phoneticPr fontId="46" type="noConversion"/>
  </si>
  <si>
    <t>2026-03-26</t>
  </si>
  <si>
    <t>20260326-10260326-76518867</t>
  </si>
  <si>
    <t>111,000</t>
  </si>
  <si>
    <t>20260326-10260326-76518152</t>
  </si>
  <si>
    <t>1,135,000</t>
  </si>
  <si>
    <t>20260326-10260326-76504039</t>
  </si>
  <si>
    <t>14,380,000</t>
  </si>
  <si>
    <t>20260326-10260326-76500930</t>
  </si>
  <si>
    <t>5,473,000</t>
  </si>
  <si>
    <t>20260326-10260326-76500290</t>
  </si>
  <si>
    <t>52,914,000</t>
  </si>
  <si>
    <t>20260326-10260326-76499460</t>
  </si>
  <si>
    <t>427,500</t>
  </si>
  <si>
    <t>20260326-10260326-76496636</t>
  </si>
  <si>
    <t>5,032,500</t>
  </si>
  <si>
    <t>20260326-10260326-76494227</t>
  </si>
  <si>
    <t>987,000</t>
  </si>
  <si>
    <t>20260326-10260326-76492478</t>
  </si>
  <si>
    <t>616-81-18022</t>
  </si>
  <si>
    <t>(주)다원건설</t>
  </si>
  <si>
    <t>김병규</t>
  </si>
  <si>
    <t>서울특별시 송파구 중대로 124(가락동), 6층</t>
  </si>
  <si>
    <t>dawoncons@naver.com</t>
  </si>
  <si>
    <t>2,884,600</t>
  </si>
  <si>
    <t>20260326-10260326-76488455</t>
  </si>
  <si>
    <t>180,000</t>
  </si>
  <si>
    <t>20260326-10260326-76486113</t>
  </si>
  <si>
    <t>24,591,000</t>
  </si>
  <si>
    <t>20260326-10260326-76484258</t>
  </si>
  <si>
    <t>20260326-10260326-76482631</t>
  </si>
  <si>
    <t>4,637,500</t>
  </si>
  <si>
    <t>부천소사엠제이펠리스</t>
    <phoneticPr fontId="46" type="noConversion"/>
  </si>
  <si>
    <t>부천위브더스테이트</t>
    <phoneticPr fontId="46" type="noConversion"/>
  </si>
  <si>
    <t>자재대금</t>
    <phoneticPr fontId="46" type="noConversion"/>
  </si>
  <si>
    <t>신사한신휴플러스</t>
    <phoneticPr fontId="46" type="noConversion"/>
  </si>
  <si>
    <t>아인스빌</t>
    <phoneticPr fontId="46" type="noConversion"/>
  </si>
  <si>
    <t>파크푸르지오2단지</t>
    <phoneticPr fontId="46" type="noConversion"/>
  </si>
  <si>
    <t>2026-03-27</t>
  </si>
  <si>
    <t>20260327-10260327-77265905</t>
  </si>
  <si>
    <t>20260327-10260327-77265463</t>
  </si>
  <si>
    <t>610-81-32730</t>
  </si>
  <si>
    <t>(주)덕일산업</t>
  </si>
  <si>
    <t>김용준</t>
  </si>
  <si>
    <t>울산광역시 중구 학성2길 21(복산동)</t>
  </si>
  <si>
    <t>duckil1998@hanmail.net</t>
  </si>
  <si>
    <t>13,647,200</t>
  </si>
  <si>
    <t>20260327-10260327-77263797</t>
  </si>
  <si>
    <t>1,810,000</t>
  </si>
  <si>
    <t>20260327-10260327-77258514</t>
  </si>
  <si>
    <t>33,000,000</t>
  </si>
  <si>
    <t>20260327-10260327-77256392</t>
  </si>
  <si>
    <t>584-81-01393</t>
  </si>
  <si>
    <t>(주)청명이앤디</t>
  </si>
  <si>
    <t>안영준</t>
  </si>
  <si>
    <t>부산광역시 기장군 정관읍 달산2길 18, 1층</t>
  </si>
  <si>
    <t>cmend051@daum.net</t>
  </si>
  <si>
    <t>548,000</t>
  </si>
  <si>
    <t>경동아산음봉산동850영업소</t>
    <phoneticPr fontId="46" type="noConversion"/>
  </si>
  <si>
    <t>구영2차푸르지오</t>
    <phoneticPr fontId="46" type="noConversion"/>
  </si>
  <si>
    <t>일광자이푸르지오1단지</t>
    <phoneticPr fontId="46" type="noConversion"/>
  </si>
  <si>
    <t>2026-03-30</t>
  </si>
  <si>
    <t>20260330-10260330-78357311</t>
  </si>
  <si>
    <t>215-81-73803</t>
  </si>
  <si>
    <t>태원건설(주)</t>
  </si>
  <si>
    <t>김성원</t>
  </si>
  <si>
    <t>서울특별시 송파구 동남로 4길30 (문정동,2층)</t>
  </si>
  <si>
    <t>teawon98@naver.com</t>
  </si>
  <si>
    <t>216,000</t>
  </si>
  <si>
    <t>20260330-10260330-77913338</t>
  </si>
  <si>
    <t>305-81-29084</t>
  </si>
  <si>
    <t>덕수건설(주)</t>
  </si>
  <si>
    <t>조덕수</t>
  </si>
  <si>
    <t>대전광역시 서구 계룡로 583번길 55,111호 (탄방동,위즈상가)</t>
  </si>
  <si>
    <t>ds7804@hanmail.net</t>
  </si>
  <si>
    <t>35,839,300</t>
  </si>
  <si>
    <t>남가좌현대</t>
    <phoneticPr fontId="46" type="noConversion"/>
  </si>
  <si>
    <t>푸른뫼아파트</t>
    <phoneticPr fontId="46" type="noConversion"/>
  </si>
  <si>
    <t>*재연님 협의 (4월 15일까지 유예)</t>
    <phoneticPr fontId="46" type="noConversion"/>
  </si>
  <si>
    <t>금오주공그린빌4단지아파트</t>
    <phoneticPr fontId="46" type="noConversion"/>
  </si>
  <si>
    <t>김병석</t>
    <phoneticPr fontId="46" type="noConversion"/>
  </si>
  <si>
    <t>13,000/10,000</t>
    <phoneticPr fontId="46" type="noConversion"/>
  </si>
  <si>
    <t>두정이편한세상3차아파트</t>
    <phoneticPr fontId="46" type="noConversion"/>
  </si>
  <si>
    <t>김원규</t>
    <phoneticPr fontId="46" type="noConversion"/>
  </si>
  <si>
    <t>12,000/5,000</t>
    <phoneticPr fontId="46" type="noConversion"/>
  </si>
  <si>
    <t>우미이노스빌아파트</t>
    <phoneticPr fontId="46" type="noConversion"/>
  </si>
  <si>
    <t>대지마을현대홈타운아파트</t>
    <phoneticPr fontId="46" type="noConversion"/>
  </si>
  <si>
    <t>2026-04-02</t>
  </si>
  <si>
    <t>20260402-10260402-85002165</t>
  </si>
  <si>
    <t>231-81-11717</t>
  </si>
  <si>
    <t>(주)유니드건설</t>
  </si>
  <si>
    <t>이정호</t>
  </si>
  <si>
    <t>경기도 하남시 미사강변동로 125,3층310호 (망원동,미사푸르지오시티 A동)</t>
  </si>
  <si>
    <t>uneed1229@naver.com</t>
  </si>
  <si>
    <t>인왕산아이파크</t>
    <phoneticPr fontId="46" type="noConversion"/>
  </si>
  <si>
    <t>주식회사 수지씨앤에스</t>
    <phoneticPr fontId="46" type="noConversion"/>
  </si>
  <si>
    <t>25-12-31 /26-03-25 /03-31/04-03</t>
    <phoneticPr fontId="46" type="noConversion"/>
  </si>
  <si>
    <t>2026-04-06</t>
  </si>
  <si>
    <t>20260406-10260406-88160385</t>
  </si>
  <si>
    <t>835,000</t>
  </si>
  <si>
    <t>20260406-10260406-88158947</t>
  </si>
  <si>
    <t>426-86-02320</t>
  </si>
  <si>
    <t>(주)예운</t>
  </si>
  <si>
    <t>박상란</t>
  </si>
  <si>
    <t>대전광역시 서구 대덕대로168번길 74, 202호(갈마동)</t>
  </si>
  <si>
    <t>dowoon8016@naver.com</t>
  </si>
  <si>
    <t>1,295,800</t>
  </si>
  <si>
    <t>20260406-10260406-88158766</t>
  </si>
  <si>
    <t>3,180,000</t>
  </si>
  <si>
    <t>20260406-10260406-88158586</t>
  </si>
  <si>
    <t>40,027,000</t>
  </si>
  <si>
    <t>20260406-10260406-88158190</t>
  </si>
  <si>
    <t>897-81-01208</t>
  </si>
  <si>
    <t>(주)우단건설</t>
  </si>
  <si>
    <t>민건태</t>
  </si>
  <si>
    <t>부산광역시 동래구 미남로 51, 2층(사직동, 해명빌딩)</t>
  </si>
  <si>
    <t>woodan001@hanmail.net</t>
  </si>
  <si>
    <t>63,450,600</t>
  </si>
  <si>
    <t>20260406-10260406-88158100</t>
  </si>
  <si>
    <t>3,060,000</t>
  </si>
  <si>
    <t>20260406-10260406-88157960</t>
  </si>
  <si>
    <t>310,800</t>
  </si>
  <si>
    <t>20260406-10260406-88157758</t>
  </si>
  <si>
    <t>381,000</t>
  </si>
  <si>
    <t>20260406-10260406-88157359</t>
  </si>
  <si>
    <t>267-86-03259</t>
  </si>
  <si>
    <t>하린이앤씨 주식회사</t>
  </si>
  <si>
    <t>임종구</t>
  </si>
  <si>
    <t>대전광역시 서구 대덕대로 325, 5층 533호(월평동)</t>
  </si>
  <si>
    <t>harinenc@naver.com</t>
  </si>
  <si>
    <t>295,000</t>
  </si>
  <si>
    <t>20260406-10260406-88155577</t>
  </si>
  <si>
    <t>5,664,000</t>
  </si>
  <si>
    <t>20260406-10260406-88155488</t>
  </si>
  <si>
    <t>216,900</t>
  </si>
  <si>
    <t>20260406-10260406-88155379</t>
  </si>
  <si>
    <t>4,160,000</t>
  </si>
  <si>
    <t>20260406-10260406-88155246</t>
  </si>
  <si>
    <t>1,460,000</t>
  </si>
  <si>
    <t>20260406-10260406-88155157</t>
  </si>
  <si>
    <t>720,000</t>
  </si>
  <si>
    <t>20260406-10260406-88155079</t>
  </si>
  <si>
    <t>424-88-03332</t>
  </si>
  <si>
    <t>(주)도경</t>
  </si>
  <si>
    <t>송진영</t>
  </si>
  <si>
    <t xml:space="preserve">충청남도 아산시 음봉면 음봉로 567, 상가동 306호(더샵레이크사이드아파트) </t>
  </si>
  <si>
    <t>dk03332@naver.com</t>
  </si>
  <si>
    <t>3,380,000</t>
  </si>
  <si>
    <t>20260406-10260406-88153973</t>
  </si>
  <si>
    <t>1,230,000</t>
  </si>
  <si>
    <t>20260406-10260406-88153898</t>
  </si>
  <si>
    <t>2,378,500</t>
  </si>
  <si>
    <t>20260406-10260406-88153782</t>
  </si>
  <si>
    <t>957,000</t>
  </si>
  <si>
    <t>20260406-10260406-88153617</t>
  </si>
  <si>
    <t>2,975,000</t>
  </si>
  <si>
    <t>2026-04-03</t>
  </si>
  <si>
    <t>20260403-10260403-86480616</t>
  </si>
  <si>
    <t>1,182,500</t>
  </si>
  <si>
    <t>20260403-10260403-86475993</t>
  </si>
  <si>
    <t>275-81-00020</t>
  </si>
  <si>
    <t>(주)주원디엔피</t>
  </si>
  <si>
    <t>김대승,김근태</t>
  </si>
  <si>
    <t>인천 계양구 서운산단로 29,506호 (서운동,서운센트럴플라츠)</t>
  </si>
  <si>
    <t>juwondnp@naver.com</t>
  </si>
  <si>
    <t>4,300,000</t>
  </si>
  <si>
    <t>20260403-10260403-86474033</t>
  </si>
  <si>
    <t>134-81-99372</t>
  </si>
  <si>
    <t>(주)세원</t>
  </si>
  <si>
    <t>한봉수</t>
  </si>
  <si>
    <t>경기도 안산시 상록구 해안로 705,RIT동 808호</t>
  </si>
  <si>
    <t>me7617@nate.com</t>
  </si>
  <si>
    <t>550,950</t>
  </si>
  <si>
    <t>20260403-10260403-86466831</t>
  </si>
  <si>
    <t>473-86-00783</t>
  </si>
  <si>
    <t>주식회사 유일건설</t>
  </si>
  <si>
    <t>손성운,박동규</t>
  </si>
  <si>
    <t>경기도 하남시 신장로 104,305호(신장동)</t>
  </si>
  <si>
    <t>youill1004@naver.com</t>
  </si>
  <si>
    <t>736,000</t>
  </si>
  <si>
    <t>20260403-10260403-86456058</t>
  </si>
  <si>
    <t>1,432,700</t>
  </si>
  <si>
    <t>20260403-10260403-86452962</t>
  </si>
  <si>
    <t>18,900,000</t>
  </si>
  <si>
    <t>20260403-10260403-86452201</t>
  </si>
  <si>
    <t>1,478,000</t>
  </si>
  <si>
    <t>20260403-10260403-86450303</t>
  </si>
  <si>
    <t>2,261,000</t>
  </si>
  <si>
    <t>20260403-10260403-86448460</t>
  </si>
  <si>
    <t>5,104,500</t>
  </si>
  <si>
    <t>20260403-10260403-86446640</t>
  </si>
  <si>
    <t>1,575,000</t>
  </si>
  <si>
    <t>20260403-10260403-86444149</t>
  </si>
  <si>
    <t>부산광역시 수영구 망미번영로 38번길 3,삼정빌딩 8층</t>
  </si>
  <si>
    <t>16,446,000</t>
  </si>
  <si>
    <t>20260403-10260403-86439425</t>
  </si>
  <si>
    <t>156,900</t>
  </si>
  <si>
    <t>20260403-10260403-86437827</t>
  </si>
  <si>
    <t>2,137,500</t>
  </si>
  <si>
    <t>20260403-10260403-86434894</t>
  </si>
  <si>
    <t>1,469,400</t>
  </si>
  <si>
    <t>20260403-10260403-86432785</t>
  </si>
  <si>
    <t>4,770,000</t>
  </si>
  <si>
    <t>20260403-10260403-86426005</t>
  </si>
  <si>
    <t>5,661,500</t>
  </si>
  <si>
    <t>20260403-10260403-86424158</t>
  </si>
  <si>
    <t>1,700,000</t>
  </si>
  <si>
    <t>20260403-10260403-86421979</t>
  </si>
  <si>
    <t>5,060,000</t>
  </si>
  <si>
    <t>20260403-10260403-86419803</t>
  </si>
  <si>
    <t>6,050,000</t>
  </si>
  <si>
    <t>20260403-10260403-86419192</t>
  </si>
  <si>
    <t>20260403-10260403-86418035</t>
  </si>
  <si>
    <t>33,428,500</t>
  </si>
  <si>
    <t>북한산더샵</t>
    <phoneticPr fontId="46" type="noConversion"/>
  </si>
  <si>
    <t>의왕민들레베스파트</t>
    <phoneticPr fontId="46" type="noConversion"/>
  </si>
  <si>
    <t>민락엘레트19단지</t>
    <phoneticPr fontId="46" type="noConversion"/>
  </si>
  <si>
    <t>창원개인주택</t>
  </si>
  <si>
    <t>여름건설㈜</t>
    <phoneticPr fontId="46" type="noConversion"/>
  </si>
  <si>
    <t>검단힐스테이트1차</t>
  </si>
  <si>
    <t>서면동일파크스위트3차</t>
  </si>
  <si>
    <t>윤창홈타운</t>
  </si>
  <si>
    <t>천안역우방아이유쉘</t>
  </si>
  <si>
    <t>강변들보람아파트</t>
  </si>
  <si>
    <t>동탄더레이크팰리스</t>
  </si>
  <si>
    <t>성수동아그린</t>
  </si>
  <si>
    <t>리베라아이누리2차</t>
  </si>
  <si>
    <t>래미안대치하이스턴</t>
  </si>
  <si>
    <t>경기테크노파크</t>
  </si>
  <si>
    <t>한가람아파트</t>
  </si>
  <si>
    <t>태왕아너스오션</t>
  </si>
  <si>
    <t>운양까치</t>
  </si>
  <si>
    <t>문촌마을10단지</t>
  </si>
  <si>
    <t>남강휴번빌</t>
  </si>
  <si>
    <t>일광자이푸르지오1단지</t>
  </si>
  <si>
    <t>삼정그린코아</t>
  </si>
  <si>
    <t>평택비전지웰푸르지오</t>
  </si>
  <si>
    <t>백현마을경남아너스빌</t>
  </si>
  <si>
    <t>태장주공2단지</t>
  </si>
  <si>
    <t>민락동진로비치</t>
  </si>
  <si>
    <t>소새울역청구</t>
  </si>
  <si>
    <t>당하태평샹베르</t>
  </si>
  <si>
    <t>힐스테이트광산</t>
  </si>
  <si>
    <t>동탄역시범리슈빌</t>
  </si>
  <si>
    <t>하계극동건영벽산</t>
  </si>
  <si>
    <t>태장주공2단지</t>
    <phoneticPr fontId="46" type="noConversion"/>
  </si>
  <si>
    <t>동탄역시범리슈빌</t>
    <phoneticPr fontId="46" type="noConversion"/>
  </si>
  <si>
    <t>석수e편한세상아파트</t>
    <phoneticPr fontId="46" type="noConversion"/>
  </si>
  <si>
    <t>노길영</t>
    <phoneticPr fontId="46" type="noConversion"/>
  </si>
  <si>
    <t>24품</t>
    <phoneticPr fontId="46" type="noConversion"/>
  </si>
  <si>
    <t>본사사무실</t>
    <phoneticPr fontId="46" type="noConversion"/>
  </si>
  <si>
    <t xml:space="preserve">신동아파밀리에아파트  </t>
    <phoneticPr fontId="46" type="noConversion"/>
  </si>
  <si>
    <t>2026-04-08</t>
  </si>
  <si>
    <t>20260408-10260408-92845228</t>
  </si>
  <si>
    <t>135-81-78405</t>
  </si>
  <si>
    <t>주식회사 수지씨앤에스</t>
  </si>
  <si>
    <t>김덕선</t>
  </si>
  <si>
    <t>경기도 수원시 권선구 서둔로 18-1(고색동)</t>
  </si>
  <si>
    <t>sj2460354@naver.com</t>
  </si>
  <si>
    <t>1,019,800</t>
  </si>
  <si>
    <t>이천수림1차</t>
  </si>
  <si>
    <t>20260408-10260408-92814705</t>
  </si>
  <si>
    <t>565,000</t>
  </si>
  <si>
    <t>서울역센트럴자이</t>
  </si>
  <si>
    <t>20260408-10260408-92814039</t>
  </si>
  <si>
    <t>헬리오시티</t>
  </si>
  <si>
    <t>20260408-10260408-92811688</t>
  </si>
  <si>
    <t>22,000,000</t>
  </si>
  <si>
    <t>20260408-10260408-92811126</t>
  </si>
  <si>
    <t>천안시티자이</t>
  </si>
  <si>
    <t>20260408-10260408-92809118</t>
  </si>
  <si>
    <t>3,689,400</t>
  </si>
  <si>
    <t>인성마을신갈현대</t>
  </si>
  <si>
    <t>20260408-10260408-92806595</t>
  </si>
  <si>
    <t>416,000</t>
  </si>
  <si>
    <t>20260408-10260408-92804887</t>
  </si>
  <si>
    <t>1,754,000</t>
  </si>
  <si>
    <t>20260408-10260408-92801757</t>
  </si>
  <si>
    <t>427-88-01503</t>
  </si>
  <si>
    <t>주식회사 탑이앤씨</t>
  </si>
  <si>
    <t>김용귀</t>
  </si>
  <si>
    <t>충청북도 청주시 청원구 외남로 48-36, 2층</t>
  </si>
  <si>
    <t>topenc7@naver.com</t>
  </si>
  <si>
    <t>6,917,000</t>
  </si>
  <si>
    <t>대주피오레2차</t>
  </si>
  <si>
    <t>20260408-10260408-92801093</t>
  </si>
  <si>
    <t>108-81-46691</t>
  </si>
  <si>
    <t>신양아이엔지건설(주)</t>
  </si>
  <si>
    <t>강경구</t>
  </si>
  <si>
    <t>서울특별시 송파구 위례순환로 478, 905호(장지동, 센트라포레)</t>
  </si>
  <si>
    <t>sypaint04@hanmail.net</t>
  </si>
  <si>
    <t>13,478,000</t>
  </si>
  <si>
    <t>20260408-10260408-92799672</t>
  </si>
  <si>
    <t>11,211,800</t>
  </si>
  <si>
    <t>OBM</t>
    <phoneticPr fontId="46" type="noConversion"/>
  </si>
  <si>
    <t>2026-04-09</t>
  </si>
  <si>
    <t>20260409-10260409-95059109</t>
  </si>
  <si>
    <t>4,492,000</t>
  </si>
  <si>
    <t>태장주공1단지</t>
  </si>
  <si>
    <t>20260409-10260409-95050869</t>
  </si>
  <si>
    <t>31,045,500</t>
  </si>
  <si>
    <t>남악경남아너스빌</t>
  </si>
  <si>
    <t>20260409-10260409-95048122</t>
  </si>
  <si>
    <t>574,800</t>
  </si>
  <si>
    <t>개봉한마을</t>
  </si>
  <si>
    <t>20260409-10260409-95044591</t>
  </si>
  <si>
    <t>3,687,500</t>
  </si>
  <si>
    <t>흥한웰가아파트</t>
  </si>
  <si>
    <t>20260409-10260409-95032511</t>
  </si>
  <si>
    <t>21,780,000</t>
  </si>
  <si>
    <t>천안불당대동다숲</t>
  </si>
  <si>
    <t>20260409-10260409-95029864</t>
  </si>
  <si>
    <t>224-81-15729</t>
  </si>
  <si>
    <t>(주)지호건설</t>
  </si>
  <si>
    <t>신현교</t>
  </si>
  <si>
    <t>경기도 시흥시 수인로 3335번길 20(신천동)</t>
  </si>
  <si>
    <t>jihocons@naver.com</t>
  </si>
  <si>
    <t>1,630,000</t>
  </si>
  <si>
    <t>인덕원동아에코빌</t>
  </si>
  <si>
    <t>20260409-10260409-95026983</t>
  </si>
  <si>
    <t>20,219,600</t>
  </si>
  <si>
    <t>20260409-10260409-95021986</t>
  </si>
  <si>
    <t>963,200</t>
  </si>
  <si>
    <t>20260409-10260409-95019445</t>
  </si>
  <si>
    <t>750-88-02697</t>
  </si>
  <si>
    <t>(주)효성씨앤씨</t>
  </si>
  <si>
    <t>한승혜</t>
  </si>
  <si>
    <t>서울 강동구 고덕로 427,고덕리엔파크2단지 상가동 202호</t>
  </si>
  <si>
    <t>hyosungcc@naver.com</t>
  </si>
  <si>
    <t>1,380,000</t>
  </si>
  <si>
    <t>일봉산해피트리</t>
  </si>
  <si>
    <t>2026-04-10</t>
  </si>
  <si>
    <t>20260410-10260410-96185038</t>
  </si>
  <si>
    <t>410,000</t>
  </si>
  <si>
    <t>매탄삼성3차</t>
  </si>
  <si>
    <t>20260410-10260410-96153335</t>
  </si>
  <si>
    <t>464,000</t>
  </si>
  <si>
    <t>20260410-10260410-96153141</t>
  </si>
  <si>
    <t>1,261,000</t>
  </si>
  <si>
    <t>율전서희스타힐스</t>
  </si>
  <si>
    <t>OBM</t>
    <phoneticPr fontId="46" type="noConversion"/>
  </si>
  <si>
    <t>당초 승인번호 (20260408-10260408-92814405)</t>
  </si>
  <si>
    <t>102,368,000</t>
  </si>
  <si>
    <t>-1</t>
  </si>
  <si>
    <t>20260408-10260409-95068137</t>
  </si>
  <si>
    <t>창원지하</t>
  </si>
  <si>
    <t>옥길센트리뷰</t>
  </si>
  <si>
    <t>금호두산아파트</t>
    <phoneticPr fontId="46" type="noConversion"/>
  </si>
  <si>
    <t>용산데시앙포레아파트</t>
    <phoneticPr fontId="46" type="noConversion"/>
  </si>
  <si>
    <t>여름건설㈜</t>
    <phoneticPr fontId="46" type="noConversion"/>
  </si>
  <si>
    <t>8품</t>
    <phoneticPr fontId="46" type="noConversion"/>
  </si>
  <si>
    <t>양산평산KCC스위첸</t>
    <phoneticPr fontId="46" type="noConversion"/>
  </si>
  <si>
    <t>중도금</t>
    <phoneticPr fontId="46" type="noConversion"/>
  </si>
  <si>
    <t>(주)부영씨엔씨</t>
    <phoneticPr fontId="46" type="noConversion"/>
  </si>
  <si>
    <t>일광자이푸르지오2단지아파트</t>
    <phoneticPr fontId="46" type="noConversion"/>
  </si>
  <si>
    <t>20260326-10260409-95307936</t>
  </si>
  <si>
    <t>당초 승인번호 (20260326-10260326-76502486)</t>
  </si>
  <si>
    <t>4,175,400</t>
  </si>
  <si>
    <t>20260410-10260410-97082477</t>
  </si>
  <si>
    <t>866,400</t>
  </si>
  <si>
    <t>원스톱방문</t>
  </si>
  <si>
    <t>20260410-10260410-96318129</t>
  </si>
  <si>
    <t>자재반환</t>
  </si>
  <si>
    <t>785,400</t>
  </si>
  <si>
    <t>보령광명샤인빌</t>
    <phoneticPr fontId="46" type="noConversion"/>
  </si>
  <si>
    <t>레이크팰리스</t>
    <phoneticPr fontId="46" type="noConversion"/>
  </si>
  <si>
    <t>산들마을2단지서광청구</t>
    <phoneticPr fontId="46" type="noConversion"/>
  </si>
  <si>
    <t>잠실리센츠</t>
    <phoneticPr fontId="46" type="noConversion"/>
  </si>
  <si>
    <t>대창센시티아파트</t>
    <phoneticPr fontId="46" type="noConversion"/>
  </si>
  <si>
    <t>㈜적산건설</t>
    <phoneticPr fontId="46" type="noConversion"/>
  </si>
  <si>
    <t>이용암</t>
    <phoneticPr fontId="46" type="noConversion"/>
  </si>
  <si>
    <t>2026-04-14</t>
  </si>
  <si>
    <t>20260414-10260414-99441708</t>
  </si>
  <si>
    <t>52,695,000</t>
  </si>
  <si>
    <t>20260414-10260414-99441576</t>
  </si>
  <si>
    <t>122-88-01423</t>
  </si>
  <si>
    <t>(주)로운건설</t>
  </si>
  <si>
    <t>이효은</t>
  </si>
  <si>
    <t>인천광역시 서구 북항로32번안길 31(원창동) 제1동 제2층 제 205호 및 206호</t>
  </si>
  <si>
    <t>loun7@kakao.com</t>
  </si>
  <si>
    <t>1,217,300</t>
  </si>
  <si>
    <t>20260414-10260414-99441465</t>
  </si>
  <si>
    <t>23,634,000</t>
  </si>
  <si>
    <t>20260414-10260414-99441332</t>
  </si>
  <si>
    <t>139-86-01558</t>
  </si>
  <si>
    <t>동현이앤씨(주)</t>
  </si>
  <si>
    <t>박수현</t>
  </si>
  <si>
    <t>경기도 평택시 고덕국제대로 94(고덕동, 우성고덕타워), 905호</t>
  </si>
  <si>
    <t>dhenc8884@naver.com</t>
  </si>
  <si>
    <t>7,826,000</t>
  </si>
  <si>
    <t>202-87-02599</t>
  </si>
  <si>
    <t>(주)현덕건설</t>
  </si>
  <si>
    <t>정미정</t>
  </si>
  <si>
    <t>전북 무주군 무주읍 당산강변로 218, 101-1호</t>
  </si>
  <si>
    <t>hyundeok314@naver.com</t>
  </si>
  <si>
    <t>2026-04-13</t>
  </si>
  <si>
    <t>20260413-10260413-99161928</t>
  </si>
  <si>
    <t>44,522,500</t>
  </si>
  <si>
    <t>20260413-10260413-98992603</t>
  </si>
  <si>
    <t>582-87-00333</t>
  </si>
  <si>
    <t>㈜경하이앤씨</t>
  </si>
  <si>
    <t>박현서</t>
  </si>
  <si>
    <t>경기도 시흥시 은계호수로 49, 2095호</t>
  </si>
  <si>
    <t>khenc0830@naver.com</t>
  </si>
  <si>
    <t>10,572,000</t>
  </si>
  <si>
    <t>20260413-10260413-98992404</t>
  </si>
  <si>
    <t>604-81-22746</t>
  </si>
  <si>
    <t>(주)은화</t>
  </si>
  <si>
    <t>김도형</t>
  </si>
  <si>
    <t>부산광역시 금정구 중앙대로 1600,101호(부곡동)</t>
  </si>
  <si>
    <t>ew04@eunwha.com</t>
  </si>
  <si>
    <t>280,000</t>
  </si>
  <si>
    <t>20260413-10260413-98890409</t>
  </si>
  <si>
    <t>7,665,000</t>
  </si>
  <si>
    <t>20260413-10260413-98859351</t>
  </si>
  <si>
    <t>410-82-72385</t>
  </si>
  <si>
    <t>첨단2차부영아파트 입주자 대표회의</t>
  </si>
  <si>
    <t>김희환</t>
  </si>
  <si>
    <t>광주광역시 광산구 첨단중앙로 68번길 22</t>
  </si>
  <si>
    <t>apt7783@hanmail.net</t>
  </si>
  <si>
    <t>481,100</t>
  </si>
  <si>
    <t>20260413-10260413-98843533</t>
  </si>
  <si>
    <t>3,109,500</t>
  </si>
  <si>
    <t>20260413-10260413-98843214</t>
  </si>
  <si>
    <t>129-81-66919</t>
  </si>
  <si>
    <t>(주)아우리</t>
  </si>
  <si>
    <t>권기준</t>
  </si>
  <si>
    <t>경기도 성남시 분당구 황새울로200번길 9-7, 1517호(수내동, 현대판테온)</t>
  </si>
  <si>
    <t>auriok@hanmail.net</t>
  </si>
  <si>
    <t>399,900</t>
  </si>
  <si>
    <t>20260413-10260413-98772084</t>
  </si>
  <si>
    <t>294-81-02335</t>
  </si>
  <si>
    <t>(주)우인건설</t>
  </si>
  <si>
    <t>윤성근</t>
  </si>
  <si>
    <t>대전광역시 서구 구봉로 455-6 (정림동)</t>
  </si>
  <si>
    <t>wooin947@naver.com</t>
  </si>
  <si>
    <t>4,678,300</t>
  </si>
  <si>
    <t>20260413-10260413-98750306</t>
  </si>
  <si>
    <t>941,200</t>
  </si>
  <si>
    <t>20260413-10260413-98749895</t>
  </si>
  <si>
    <t>1,885,800</t>
  </si>
  <si>
    <t>20260413-10260413-98749750</t>
  </si>
  <si>
    <t>332,400</t>
  </si>
  <si>
    <t>20260413-10260413-98749447</t>
  </si>
  <si>
    <t>1,254,000</t>
  </si>
  <si>
    <t>20260413-10260413-98749235</t>
  </si>
  <si>
    <t>7,680,000</t>
  </si>
  <si>
    <t>20260413-10260413-98749094</t>
  </si>
  <si>
    <t>403-81-84528</t>
    <phoneticPr fontId="60" type="noConversion"/>
  </si>
  <si>
    <t>720,200</t>
  </si>
  <si>
    <t>사무실</t>
    <phoneticPr fontId="46" type="noConversion"/>
  </si>
  <si>
    <t>서정마을금호타운</t>
    <phoneticPr fontId="46" type="noConversion"/>
  </si>
  <si>
    <t>무주상록아파트</t>
    <phoneticPr fontId="46" type="noConversion"/>
  </si>
  <si>
    <t>관리사무소</t>
    <phoneticPr fontId="46" type="noConversion"/>
  </si>
  <si>
    <t>탄방동산호한양아파트</t>
    <phoneticPr fontId="46" type="noConversion"/>
  </si>
  <si>
    <t>강변들금성백조</t>
    <phoneticPr fontId="46" type="noConversion"/>
  </si>
  <si>
    <t>송화우미이노스빌</t>
    <phoneticPr fontId="46" type="noConversion"/>
  </si>
  <si>
    <t>힐스테이트광교</t>
    <phoneticPr fontId="46" type="noConversion"/>
  </si>
  <si>
    <t>태왕아너스오션</t>
    <phoneticPr fontId="46" type="noConversion"/>
  </si>
  <si>
    <t>위브더스테이트</t>
    <phoneticPr fontId="46" type="noConversion"/>
  </si>
  <si>
    <t>호반베르디움더퍼스트</t>
    <phoneticPr fontId="46" type="noConversion"/>
  </si>
  <si>
    <t>기술자문료_s</t>
    <phoneticPr fontId="46" type="noConversion"/>
  </si>
  <si>
    <r>
      <t>(</t>
    </r>
    <r>
      <rPr>
        <sz val="10"/>
        <color theme="1"/>
        <rFont val="맑은 고딕"/>
        <family val="3"/>
        <charset val="129"/>
      </rPr>
      <t>주</t>
    </r>
    <r>
      <rPr>
        <sz val="10"/>
        <color theme="1"/>
        <rFont val="Noto Sans CJK SC"/>
        <family val="3"/>
        <charset val="129"/>
      </rPr>
      <t>)</t>
    </r>
    <r>
      <rPr>
        <sz val="10"/>
        <color theme="1"/>
        <rFont val="맑은 고딕"/>
        <family val="3"/>
        <charset val="129"/>
      </rPr>
      <t>지건씨앤씨</t>
    </r>
    <phoneticPr fontId="46" type="noConversion"/>
  </si>
  <si>
    <t>면목풍림아파트</t>
  </si>
  <si>
    <t>20260414-10260414-99852275</t>
  </si>
  <si>
    <t>802,000</t>
  </si>
  <si>
    <t>20260414-10260414-99752408</t>
  </si>
  <si>
    <t>990,000</t>
  </si>
  <si>
    <t>20260414-10260414-99688947</t>
  </si>
  <si>
    <t>306-81-10744</t>
  </si>
  <si>
    <t>(주)청익</t>
  </si>
  <si>
    <t>권오현,권오영</t>
  </si>
  <si>
    <t>대전광역시 중구 대흥로 176-36 (대흥동)</t>
  </si>
  <si>
    <t>ci8078@hanmail.net</t>
  </si>
  <si>
    <t>3,592,300</t>
  </si>
  <si>
    <t>20260414-10260414-99548505</t>
  </si>
  <si>
    <t>20260414-10260414-99546910</t>
  </si>
  <si>
    <t>11,295,600</t>
  </si>
  <si>
    <t>이천수림1차</t>
    <phoneticPr fontId="46" type="noConversion"/>
  </si>
  <si>
    <t>한우리아파트</t>
    <phoneticPr fontId="46" type="noConversion"/>
  </si>
  <si>
    <t>병점한신아파트</t>
    <phoneticPr fontId="46" type="noConversion"/>
  </si>
  <si>
    <t>2026-04-15</t>
  </si>
  <si>
    <t>20260415-10260415-10783086</t>
  </si>
  <si>
    <t>4,826,000</t>
  </si>
  <si>
    <t>20260415-10260415-10780649</t>
  </si>
  <si>
    <t>266,400</t>
  </si>
  <si>
    <t>20260415-10260415-10723890</t>
  </si>
  <si>
    <t>1,013,300</t>
  </si>
  <si>
    <t>20260415-10260415-10542694</t>
  </si>
  <si>
    <t>449,400</t>
  </si>
  <si>
    <t>20260415-10260415-10320769</t>
  </si>
  <si>
    <t>자재대금</t>
    <phoneticPr fontId="60" type="noConversion"/>
  </si>
  <si>
    <t>7,260,000</t>
  </si>
  <si>
    <t>20260415-10260415-10318587</t>
  </si>
  <si>
    <t>10,770,000</t>
  </si>
  <si>
    <t>20260415-10260415-10318317</t>
  </si>
  <si>
    <t>744-81-00550</t>
  </si>
  <si>
    <t>(주)에이원건설</t>
  </si>
  <si>
    <t>윤영걸</t>
  </si>
  <si>
    <t>경기도 평택시 안중읍 안현로서2길 34, 2층</t>
  </si>
  <si>
    <t>a1con@naver.com</t>
  </si>
  <si>
    <t>46,300</t>
  </si>
  <si>
    <t>11,690,000</t>
  </si>
  <si>
    <t>천안불당대동다숲</t>
    <phoneticPr fontId="46" type="noConversion"/>
  </si>
  <si>
    <t>성호2차샤인힐즈</t>
    <phoneticPr fontId="46" type="noConversion"/>
  </si>
  <si>
    <t>경동택배대전중구오류183</t>
  </si>
  <si>
    <t>11월 10일</t>
    <phoneticPr fontId="46" type="noConversion"/>
  </si>
  <si>
    <t>11월 13일</t>
    <phoneticPr fontId="46" type="noConversion"/>
  </si>
  <si>
    <t>계약매출</t>
    <phoneticPr fontId="46" type="noConversion"/>
  </si>
  <si>
    <t>확정매출</t>
    <phoneticPr fontId="46" type="noConversion"/>
  </si>
  <si>
    <t>수금예정액</t>
    <phoneticPr fontId="46" type="noConversion"/>
  </si>
  <si>
    <t>2026-04-16</t>
  </si>
  <si>
    <t>20260416-10260416-11562289</t>
  </si>
  <si>
    <t>595-87-02768</t>
  </si>
  <si>
    <t>와이티파트너스(주)</t>
  </si>
  <si>
    <t>김유라</t>
  </si>
  <si>
    <t>경기도 안양시 동안구 엘에스로 142,107호 (호계 금정역 SK V1center)</t>
  </si>
  <si>
    <t>ytcctv@naver.com</t>
  </si>
  <si>
    <t>2,000,200</t>
  </si>
  <si>
    <t>20260416-10260416-11451280</t>
  </si>
  <si>
    <t>8,651,000</t>
  </si>
  <si>
    <t>20260416-10260416-11449918</t>
  </si>
  <si>
    <t>2,110,000</t>
  </si>
  <si>
    <t>20260416-10260416-11449434</t>
  </si>
  <si>
    <t>1,006,400</t>
  </si>
  <si>
    <t>하남성원상떼빌</t>
    <phoneticPr fontId="46" type="noConversion"/>
  </si>
  <si>
    <t>성수동아그린</t>
    <phoneticPr fontId="46" type="noConversion"/>
  </si>
  <si>
    <t>호수마을풍림아파트</t>
    <phoneticPr fontId="46" type="noConversion"/>
  </si>
  <si>
    <t>이상오</t>
    <phoneticPr fontId="46" type="noConversion"/>
  </si>
  <si>
    <t>중도금1차</t>
    <phoneticPr fontId="46" type="noConversion"/>
  </si>
  <si>
    <t>조병철</t>
    <phoneticPr fontId="46" type="noConversion"/>
  </si>
  <si>
    <t>조재부</t>
    <phoneticPr fontId="46" type="noConversion"/>
  </si>
  <si>
    <t>2026-04-20</t>
  </si>
  <si>
    <t>20260420-10260420-12643481</t>
  </si>
  <si>
    <t>10,709,900</t>
  </si>
  <si>
    <t>20260420-10260420-12643399</t>
  </si>
  <si>
    <t>230-88-02679</t>
  </si>
  <si>
    <t>(주)세영건설</t>
  </si>
  <si>
    <t>김준호</t>
  </si>
  <si>
    <t>경기도 시흥시 복지로 15,제지1층 B112호 (신천동,시흥5차푸르지오)</t>
  </si>
  <si>
    <t>seyoung7889@naver.com</t>
  </si>
  <si>
    <t>8,250,000</t>
  </si>
  <si>
    <t>20260420-10260420-12643167</t>
  </si>
  <si>
    <t>7,032,000</t>
  </si>
  <si>
    <t>20260420-10260420-12643078</t>
  </si>
  <si>
    <t>20,070,100</t>
  </si>
  <si>
    <t>20260420-10260420-12641976</t>
  </si>
  <si>
    <t>25,734,800</t>
  </si>
  <si>
    <t>2026-04-17</t>
  </si>
  <si>
    <t>20260417-10260420-12663763</t>
  </si>
  <si>
    <t>700,000</t>
  </si>
  <si>
    <t>20260417-10260417-12164920</t>
  </si>
  <si>
    <t>12,079,800</t>
  </si>
  <si>
    <t>20260417-10260417-12125302</t>
  </si>
  <si>
    <t>167,600</t>
  </si>
  <si>
    <t>20260417-10260417-12085434</t>
  </si>
  <si>
    <t>851-03-03459</t>
  </si>
  <si>
    <t>성진산업</t>
  </si>
  <si>
    <t>박순영</t>
  </si>
  <si>
    <t>대전광역시 유성구 테크노3로 74,829호 (관평동,중앙하이츠관평)</t>
  </si>
  <si>
    <t>tnsdud0710@naver.com</t>
  </si>
  <si>
    <t>233,200</t>
  </si>
  <si>
    <t>20260417-10260417-12083217</t>
  </si>
  <si>
    <t>1,969,000</t>
  </si>
  <si>
    <t>신대방신동아아파트</t>
    <phoneticPr fontId="46" type="noConversion"/>
  </si>
  <si>
    <t>20260420-10260420-13282125</t>
  </si>
  <si>
    <t>5,047,800</t>
  </si>
  <si>
    <t>20260420-10260420-13227253</t>
  </si>
  <si>
    <t>56,594,600</t>
  </si>
  <si>
    <t>운남우방아이유쉘</t>
  </si>
  <si>
    <t>20260420-10260420-13225620</t>
  </si>
  <si>
    <t>1,277,000</t>
  </si>
  <si>
    <t>소사엠제이펠리스</t>
  </si>
  <si>
    <t>20260420-10260420-13101177</t>
  </si>
  <si>
    <t>2,242,500</t>
  </si>
  <si>
    <t>20260420-10260420-13098948</t>
  </si>
  <si>
    <t>2,107,200</t>
  </si>
  <si>
    <t>도경오벨리스아파트</t>
  </si>
  <si>
    <t>죽림푸르지오3차</t>
  </si>
  <si>
    <t>석수두산위브아파트</t>
  </si>
  <si>
    <t>원일가대라곡아파트</t>
  </si>
  <si>
    <t>2026-04-21</t>
  </si>
  <si>
    <t>20260421-10260421-13770160</t>
  </si>
  <si>
    <t>15,595,200</t>
  </si>
  <si>
    <t>군문주공2단지</t>
  </si>
  <si>
    <t>20260421-10260421-13759463</t>
  </si>
  <si>
    <t>484,000</t>
  </si>
  <si>
    <t>20260421-10260421-13759324</t>
  </si>
  <si>
    <t>972,200</t>
  </si>
  <si>
    <t>주안역신일해피트리</t>
  </si>
  <si>
    <t>20260421-10260421-13751678</t>
  </si>
  <si>
    <t>498,600</t>
  </si>
  <si>
    <t>20260421-10260421-13751646</t>
  </si>
  <si>
    <t>18,524,900</t>
  </si>
  <si>
    <t>20260421-10260421-13751619</t>
  </si>
  <si>
    <t>3,547,500</t>
  </si>
  <si>
    <t>덕이동문굿모닝힐3차</t>
  </si>
  <si>
    <t>20260421-10260421-13751528</t>
  </si>
  <si>
    <t>5,362,500</t>
  </si>
  <si>
    <t>부천원미풍림아파트</t>
  </si>
  <si>
    <t>20260421-10260421-13751495</t>
  </si>
  <si>
    <t>4,472,000</t>
  </si>
  <si>
    <t>20260421-10260421-14231636</t>
  </si>
  <si>
    <t>766-51-00927</t>
  </si>
  <si>
    <t>정진코킹</t>
  </si>
  <si>
    <t>박희현</t>
  </si>
  <si>
    <t>서울특별시 관악구 성현로 80, 134동 1202호 (봉천동,관악드림타운)</t>
  </si>
  <si>
    <t>pcft123@daum.net</t>
  </si>
  <si>
    <t>900,000</t>
  </si>
  <si>
    <t>대현테크노월드주상복합</t>
  </si>
  <si>
    <t>20260421-10260421-14080122</t>
  </si>
  <si>
    <t>300,800</t>
  </si>
  <si>
    <t>20260421-10260421-14052054</t>
  </si>
  <si>
    <t>4,882,500</t>
  </si>
  <si>
    <t>서정마을금호타운</t>
  </si>
  <si>
    <t>20260421-10260421-14049848</t>
  </si>
  <si>
    <t>717,500</t>
  </si>
  <si>
    <t>20260421-10260421-14049626</t>
  </si>
  <si>
    <t>1,836,000</t>
  </si>
  <si>
    <t>20260421-10260421-14049331</t>
  </si>
  <si>
    <t>109,200</t>
  </si>
  <si>
    <t>인창1차동문굿모닝힐</t>
  </si>
  <si>
    <t>관리미수금</t>
    <phoneticPr fontId="46" type="noConversion"/>
  </si>
  <si>
    <t>영승한마음타운아파트</t>
    <phoneticPr fontId="46" type="noConversion"/>
  </si>
  <si>
    <t>14,000/13,000</t>
    <phoneticPr fontId="46" type="noConversion"/>
  </si>
  <si>
    <r>
      <t>(</t>
    </r>
    <r>
      <rPr>
        <sz val="10"/>
        <color theme="1"/>
        <rFont val="맑은 고딕"/>
        <family val="3"/>
        <charset val="129"/>
      </rPr>
      <t>주</t>
    </r>
    <r>
      <rPr>
        <sz val="10"/>
        <color theme="1"/>
        <rFont val="Noto Sans CJK SC"/>
        <family val="3"/>
        <charset val="129"/>
      </rPr>
      <t>)</t>
    </r>
    <r>
      <rPr>
        <sz val="10"/>
        <color theme="1"/>
        <rFont val="맑은 고딕"/>
        <family val="3"/>
        <charset val="129"/>
      </rPr>
      <t>무한하우징</t>
    </r>
    <phoneticPr fontId="46" type="noConversion"/>
  </si>
  <si>
    <t>혁신도시 엘에이치5단지아파트</t>
    <phoneticPr fontId="46" type="noConversion"/>
  </si>
  <si>
    <t>㈜청람건설</t>
    <phoneticPr fontId="46" type="noConversion"/>
  </si>
  <si>
    <t>여름건설㈜</t>
    <phoneticPr fontId="46" type="noConversion"/>
  </si>
  <si>
    <t>죽전현대홈타운아파트</t>
    <phoneticPr fontId="46" type="noConversion"/>
  </si>
  <si>
    <t>코지건설㈜</t>
    <phoneticPr fontId="46" type="noConversion"/>
  </si>
  <si>
    <t>송도캐슬&amp;해모로아파트</t>
    <phoneticPr fontId="46" type="noConversion"/>
  </si>
  <si>
    <t>평택비전지웰푸르지오아파트</t>
    <phoneticPr fontId="46" type="noConversion"/>
  </si>
  <si>
    <t>동수원월드메르디앙아파트</t>
    <phoneticPr fontId="46" type="noConversion"/>
  </si>
  <si>
    <t>호매실경남아너스빌(4세대)</t>
    <phoneticPr fontId="46" type="noConversion"/>
  </si>
  <si>
    <t>호매실경남아너스빌(1세대)</t>
    <phoneticPr fontId="46" type="noConversion"/>
  </si>
  <si>
    <t>매탄그린빌3단지아파트</t>
    <phoneticPr fontId="46" type="noConversion"/>
  </si>
  <si>
    <t>서남병원</t>
    <phoneticPr fontId="46" type="noConversion"/>
  </si>
  <si>
    <t>신한1차아파트</t>
    <phoneticPr fontId="46" type="noConversion"/>
  </si>
  <si>
    <t>대천흥화아파트(보령흥화아파트)</t>
    <phoneticPr fontId="46" type="noConversion"/>
  </si>
  <si>
    <t>산들마을2단지서광청구아파트</t>
    <phoneticPr fontId="46" type="noConversion"/>
  </si>
  <si>
    <t>민들레베스파트아파트</t>
    <phoneticPr fontId="46" type="noConversion"/>
  </si>
  <si>
    <t>나눔빌딩</t>
    <phoneticPr fontId="46" type="noConversion"/>
  </si>
  <si>
    <t>보령광명샤인빌아파트</t>
    <phoneticPr fontId="46" type="noConversion"/>
  </si>
  <si>
    <t>강변들보람아파트</t>
    <phoneticPr fontId="46" type="noConversion"/>
  </si>
  <si>
    <t>인성마을현대(신갈현대)</t>
    <phoneticPr fontId="46" type="noConversion"/>
  </si>
  <si>
    <t>신갈신미주아파트</t>
    <phoneticPr fontId="46" type="noConversion"/>
  </si>
  <si>
    <t>미정</t>
    <phoneticPr fontId="46" type="noConversion"/>
  </si>
  <si>
    <t>신성둔촌미소지움아파트</t>
    <phoneticPr fontId="46" type="noConversion"/>
  </si>
  <si>
    <t>해가든더클래식아파트</t>
    <phoneticPr fontId="46" type="noConversion"/>
  </si>
  <si>
    <t>이천신둔코아루아파트</t>
    <phoneticPr fontId="46" type="noConversion"/>
  </si>
  <si>
    <t>김원규</t>
    <phoneticPr fontId="46" type="noConversion"/>
  </si>
  <si>
    <t>(예)2026-05-31</t>
    <phoneticPr fontId="46" type="noConversion"/>
  </si>
  <si>
    <t>(예)2026-06-30</t>
    <phoneticPr fontId="46" type="noConversion"/>
  </si>
  <si>
    <t>(예)2026-07-15</t>
    <phoneticPr fontId="46" type="noConversion"/>
  </si>
  <si>
    <t>(예)2026-08-08</t>
    <phoneticPr fontId="46" type="noConversion"/>
  </si>
  <si>
    <t>(예)2026-08-14</t>
    <phoneticPr fontId="46" type="noConversion"/>
  </si>
  <si>
    <t>(예)2026-06-15</t>
    <phoneticPr fontId="46" type="noConversion"/>
  </si>
  <si>
    <t>2026-04-22</t>
  </si>
  <si>
    <t>20260422-10260422-14931337</t>
  </si>
  <si>
    <t>110-81-93692</t>
  </si>
  <si>
    <t>주식회사 주태건설</t>
  </si>
  <si>
    <t>서미정</t>
  </si>
  <si>
    <t>경기도 고양시 일산동구 호수로 358-39(백석동, 동문타워I) 10층 1016호</t>
  </si>
  <si>
    <t>jootae@hanmail.net</t>
  </si>
  <si>
    <t>76,300</t>
  </si>
  <si>
    <t>대왕중학교</t>
  </si>
  <si>
    <t>20260422-10260422-14929797</t>
  </si>
  <si>
    <t>1,710,000</t>
  </si>
  <si>
    <t>20260422-10260422-14730098</t>
  </si>
  <si>
    <t>20260422-10260422-14728724</t>
  </si>
  <si>
    <t>1,555,000</t>
  </si>
  <si>
    <t>20260422-10260422-14587299</t>
  </si>
  <si>
    <t>5,776,000</t>
  </si>
  <si>
    <t>20260422-10260422-14556959</t>
  </si>
  <si>
    <t>818-26-00361</t>
  </si>
  <si>
    <t>알파플러스</t>
  </si>
  <si>
    <t>함민정</t>
  </si>
  <si>
    <t>경기도 안산시 단원구 신원로 341번길 21,3층 304호 ((주)대성일렉)</t>
  </si>
  <si>
    <t>alphago0313@naver.com</t>
  </si>
  <si>
    <t>612,800</t>
  </si>
  <si>
    <t>봉천동건영6차</t>
  </si>
  <si>
    <t>20260422-10260422-14556629</t>
  </si>
  <si>
    <t>1,411,400</t>
  </si>
  <si>
    <t>20260422-10260422-14556315</t>
  </si>
  <si>
    <t>1,005,000</t>
  </si>
  <si>
    <t>권선삼성래미안</t>
  </si>
  <si>
    <t>20260422-10260422-14554972</t>
  </si>
  <si>
    <t>계룡삼환아파트</t>
  </si>
  <si>
    <t>20260422-10260422-14554213</t>
  </si>
  <si>
    <t>10,922,300</t>
  </si>
  <si>
    <t>20260422-10260422-14552731</t>
  </si>
  <si>
    <t>6,292,500</t>
  </si>
  <si>
    <t>검단힐스테이트2차</t>
  </si>
  <si>
    <t>20260422-10260422-14552473</t>
  </si>
  <si>
    <t>591,200</t>
  </si>
  <si>
    <t>20260422-10260422-14552182</t>
  </si>
  <si>
    <t>712-86-03351</t>
  </si>
  <si>
    <t>(주)케이탑건설</t>
  </si>
  <si>
    <t>한태원</t>
  </si>
  <si>
    <t>인천광역시 서구 중봉대로 490,9층 981호 (청라동,청라더리브티아모지식산업센터)</t>
  </si>
  <si>
    <t>ktop0420@naver.com</t>
  </si>
  <si>
    <t>2,142,500</t>
  </si>
  <si>
    <t>힐스테이트광교</t>
  </si>
  <si>
    <t>2026-04-23</t>
  </si>
  <si>
    <t>20260423-10260423-15535008</t>
  </si>
  <si>
    <t>2,561,000</t>
  </si>
  <si>
    <t>20260423-10260423-15533767</t>
  </si>
  <si>
    <t>15,465,500</t>
  </si>
  <si>
    <t>20260423-10260423-15533454</t>
  </si>
  <si>
    <t>7,350,000</t>
  </si>
  <si>
    <t>20260423-10260423-15533256</t>
  </si>
  <si>
    <t>4,767,200</t>
  </si>
  <si>
    <t>20260423-10260423-15533030</t>
  </si>
  <si>
    <t>392,500</t>
  </si>
  <si>
    <t>20260423-10260423-15531720</t>
  </si>
  <si>
    <t>716-87-03189</t>
  </si>
  <si>
    <t>(주)무한하우징</t>
  </si>
  <si>
    <t>김향미</t>
  </si>
  <si>
    <t>서울 강서구 마곡중앙로 161-17,509호(보타닉파크타워 I )</t>
  </si>
  <si>
    <t>mhhousing7777@naver.com</t>
  </si>
  <si>
    <t>896,000</t>
  </si>
  <si>
    <t>20260423-10260423-15453702</t>
  </si>
  <si>
    <t>6,565,000</t>
  </si>
  <si>
    <t>20260423-10260423-15453381</t>
  </si>
  <si>
    <t>20260423-10260423-15451838</t>
  </si>
  <si>
    <t>10,737,500</t>
  </si>
  <si>
    <t>20260423-10260423-15451426</t>
  </si>
  <si>
    <t>16,640,000</t>
  </si>
  <si>
    <t>20260423-10260423-15300881</t>
  </si>
  <si>
    <t>137,300</t>
  </si>
  <si>
    <t>송도베르디움더퍼스트</t>
  </si>
  <si>
    <t>20260423-10260423-15294087</t>
  </si>
  <si>
    <t>1,160,100</t>
  </si>
  <si>
    <t>20260423-10260423-15270848</t>
  </si>
  <si>
    <t>500,000</t>
  </si>
  <si>
    <t>금촌동문아파트</t>
  </si>
  <si>
    <t>20260423-10260423-15270310</t>
  </si>
  <si>
    <t>1,592,000</t>
  </si>
  <si>
    <t>목동세종그랑시아</t>
  </si>
  <si>
    <t>20260423-10260423-15270092</t>
  </si>
  <si>
    <t>7,681,500</t>
  </si>
  <si>
    <t>상무버들마을2단지</t>
  </si>
  <si>
    <t>20260423-10260423-15267899</t>
  </si>
  <si>
    <t>3,597,000</t>
  </si>
  <si>
    <t>안성베르빌</t>
  </si>
  <si>
    <t>20260423-10260423-15267694</t>
  </si>
  <si>
    <t>1,515,000</t>
  </si>
  <si>
    <t>대천홍화아파트</t>
  </si>
  <si>
    <t>20260423-10260423-15267524</t>
  </si>
  <si>
    <t>2,122,500</t>
  </si>
  <si>
    <t>20260423-10260423-15267268</t>
  </si>
  <si>
    <t>4,190,000</t>
  </si>
  <si>
    <t>태왕아너스오션</t>
    <phoneticPr fontId="46" type="noConversion"/>
  </si>
  <si>
    <t>사곡영진자이온2단지</t>
    <phoneticPr fontId="46" type="noConversion"/>
  </si>
  <si>
    <t>삼익세라믹1.2차</t>
    <phoneticPr fontId="46" type="noConversion"/>
  </si>
  <si>
    <t>고덕현대</t>
    <phoneticPr fontId="46" type="noConversion"/>
  </si>
  <si>
    <t>동탄더레이크팰리스</t>
    <phoneticPr fontId="46" type="noConversion"/>
  </si>
  <si>
    <t>대림3동현대</t>
    <phoneticPr fontId="46" type="noConversion"/>
  </si>
  <si>
    <t>대전창고</t>
    <phoneticPr fontId="46" type="noConversion"/>
  </si>
  <si>
    <t>2026-04-24</t>
  </si>
  <si>
    <t>20260424-10260424-16538271</t>
  </si>
  <si>
    <t>50,550,500</t>
  </si>
  <si>
    <t>20260424-10260424-16470585</t>
  </si>
  <si>
    <t>685-88-02904</t>
  </si>
  <si>
    <t>(주)대륜씨엔씨</t>
  </si>
  <si>
    <t>김서현</t>
  </si>
  <si>
    <t>경기도 평택시 고덕면 도시지원1길 116, 708~709호</t>
  </si>
  <si>
    <t>dr240311ds@gmail.com</t>
  </si>
  <si>
    <t>72,000</t>
  </si>
  <si>
    <t>20260424-10260424-16419283</t>
  </si>
  <si>
    <t>207,000</t>
  </si>
  <si>
    <t>20260424-10260424-16405944</t>
  </si>
  <si>
    <t>1,314,100</t>
  </si>
  <si>
    <t>20260424-10260424-16405610</t>
  </si>
  <si>
    <t>1,053,500</t>
  </si>
  <si>
    <t>20260424-10260424-16405229</t>
  </si>
  <si>
    <t>1,625,800</t>
  </si>
  <si>
    <t>20260424-10260424-16403833</t>
  </si>
  <si>
    <t>616-29-44065</t>
  </si>
  <si>
    <t>재현방수,페인트</t>
  </si>
  <si>
    <t>강승필</t>
  </si>
  <si>
    <t>제주특별자치도 제주시 남성로4길 5 (용담일동)</t>
  </si>
  <si>
    <t>ksp4037@naver.com</t>
  </si>
  <si>
    <t>5,198,400</t>
  </si>
  <si>
    <t>20260424-10260424-16403237</t>
  </si>
  <si>
    <t>363-81-03135</t>
  </si>
  <si>
    <t>(주)라인탑케이에스</t>
  </si>
  <si>
    <t>김창희</t>
  </si>
  <si>
    <t>서울 양천구 목동중앙본로30가길 15,1층 101-1호</t>
  </si>
  <si>
    <t>linetopks@naver.com</t>
  </si>
  <si>
    <t>10,059,400</t>
  </si>
  <si>
    <t>20260424-10260424-16398224</t>
  </si>
  <si>
    <t>1,455,500</t>
  </si>
  <si>
    <t>20260424-10260424-16396883</t>
  </si>
  <si>
    <t>503,200</t>
  </si>
  <si>
    <t>골드클래스시그니처</t>
    <phoneticPr fontId="46" type="noConversion"/>
  </si>
  <si>
    <t>잠원동롯데캐슬갤럭시1차</t>
    <phoneticPr fontId="46" type="noConversion"/>
  </si>
  <si>
    <t>신월금용아파트</t>
    <phoneticPr fontId="46" type="noConversion"/>
  </si>
  <si>
    <t>주안역신일해피트리</t>
    <phoneticPr fontId="46" type="noConversion"/>
  </si>
  <si>
    <t>무등산광신프로그래스</t>
    <phoneticPr fontId="46" type="noConversion"/>
  </si>
  <si>
    <t>2026-04-27</t>
  </si>
  <si>
    <t>20260427-10260427-17178180</t>
  </si>
  <si>
    <t>13,750,000</t>
  </si>
  <si>
    <t>20260427-10260427-17178047</t>
  </si>
  <si>
    <t>2,192,900</t>
  </si>
  <si>
    <t>20260427-10260427-17176921</t>
  </si>
  <si>
    <t>2,507,500</t>
  </si>
  <si>
    <t>20260427-10260427-17176764</t>
  </si>
  <si>
    <t>2,793,000</t>
  </si>
  <si>
    <t>천안프라지움6차</t>
    <phoneticPr fontId="46" type="noConversion"/>
  </si>
  <si>
    <t>하남은행아파트</t>
    <phoneticPr fontId="46" type="noConversion"/>
  </si>
  <si>
    <t>흥한웰가아파트추가</t>
  </si>
  <si>
    <t>경동대전중구오류183추가</t>
  </si>
  <si>
    <t>무주상록아파트추가</t>
  </si>
  <si>
    <t>경동택배제주화북일4701</t>
  </si>
  <si>
    <r>
      <rPr>
        <b/>
        <sz val="10"/>
        <color theme="1"/>
        <rFont val="Noto Sans CJK SC"/>
        <family val="3"/>
      </rPr>
      <t>(</t>
    </r>
    <r>
      <rPr>
        <b/>
        <sz val="10"/>
        <color theme="1"/>
        <rFont val="맑은 고딕"/>
        <family val="3"/>
        <charset val="129"/>
      </rPr>
      <t>주</t>
    </r>
    <r>
      <rPr>
        <b/>
        <sz val="10"/>
        <color theme="1"/>
        <rFont val="Noto Sans CJK SC"/>
        <family val="3"/>
      </rPr>
      <t>)</t>
    </r>
    <r>
      <rPr>
        <b/>
        <sz val="10"/>
        <color theme="1"/>
        <rFont val="맑은 고딕"/>
        <family val="3"/>
        <charset val="129"/>
      </rPr>
      <t>에이치제이건설</t>
    </r>
    <phoneticPr fontId="46" type="noConversion"/>
  </si>
  <si>
    <t>(주)에이치제이건설</t>
    <phoneticPr fontId="46" type="noConversion"/>
  </si>
  <si>
    <t>해운대 센텀트루엘아파트(재도장)</t>
    <phoneticPr fontId="46" type="noConversion"/>
  </si>
  <si>
    <t>서면동일파크스위트3차아파트</t>
    <phoneticPr fontId="46" type="noConversion"/>
  </si>
  <si>
    <t>(주)청명이앤디</t>
    <phoneticPr fontId="46" type="noConversion"/>
  </si>
  <si>
    <t>영업수수료</t>
    <phoneticPr fontId="46" type="noConversion"/>
  </si>
  <si>
    <t>차감총액</t>
    <phoneticPr fontId="46" type="noConversion"/>
  </si>
  <si>
    <r>
      <rPr>
        <b/>
        <sz val="10"/>
        <color theme="1"/>
        <rFont val="Noto Sans CJK SC"/>
        <family val="3"/>
      </rPr>
      <t>(</t>
    </r>
    <r>
      <rPr>
        <b/>
        <sz val="10"/>
        <color theme="1"/>
        <rFont val="맑은 고딕"/>
        <family val="3"/>
        <charset val="129"/>
      </rPr>
      <t>주</t>
    </r>
    <r>
      <rPr>
        <b/>
        <sz val="10"/>
        <color theme="1"/>
        <rFont val="Noto Sans CJK SC"/>
        <family val="3"/>
      </rPr>
      <t>)</t>
    </r>
    <r>
      <rPr>
        <b/>
        <sz val="10"/>
        <color theme="1"/>
        <rFont val="맑은 고딕"/>
        <family val="3"/>
        <charset val="129"/>
      </rPr>
      <t>석민이앤씨</t>
    </r>
    <phoneticPr fontId="46" type="noConversion"/>
  </si>
  <si>
    <r>
      <rPr>
        <b/>
        <sz val="10"/>
        <color theme="1"/>
        <rFont val="Noto Sans CJK SC"/>
        <family val="3"/>
      </rPr>
      <t xml:space="preserve">	(</t>
    </r>
    <r>
      <rPr>
        <b/>
        <sz val="10"/>
        <color theme="1"/>
        <rFont val="맑은 고딕"/>
        <family val="3"/>
        <charset val="129"/>
      </rPr>
      <t>주</t>
    </r>
    <r>
      <rPr>
        <b/>
        <sz val="10"/>
        <color theme="1"/>
        <rFont val="Noto Sans CJK SC"/>
        <family val="3"/>
      </rPr>
      <t>)</t>
    </r>
    <r>
      <rPr>
        <b/>
        <sz val="10"/>
        <color theme="1"/>
        <rFont val="맑은 고딕"/>
        <family val="3"/>
        <charset val="129"/>
      </rPr>
      <t>에이치제이건설</t>
    </r>
    <phoneticPr fontId="46" type="noConversion"/>
  </si>
  <si>
    <r>
      <rPr>
        <b/>
        <sz val="10"/>
        <color theme="1"/>
        <rFont val="맑은 고딕"/>
        <family val="3"/>
        <charset val="129"/>
      </rPr>
      <t>여름건설</t>
    </r>
    <r>
      <rPr>
        <b/>
        <sz val="10"/>
        <color theme="1"/>
        <rFont val="Noto Sans CJK SC"/>
        <family val="3"/>
        <charset val="129"/>
      </rPr>
      <t>㈜</t>
    </r>
    <phoneticPr fontId="46" type="noConversion"/>
  </si>
  <si>
    <r>
      <rPr>
        <b/>
        <sz val="10"/>
        <color theme="1"/>
        <rFont val="Noto Sans CJK SC"/>
        <family val="3"/>
      </rPr>
      <t>(</t>
    </r>
    <r>
      <rPr>
        <b/>
        <sz val="10"/>
        <color theme="1"/>
        <rFont val="맑은 고딕"/>
        <family val="3"/>
        <charset val="129"/>
      </rPr>
      <t>주</t>
    </r>
    <r>
      <rPr>
        <b/>
        <sz val="10"/>
        <color theme="1"/>
        <rFont val="Noto Sans CJK SC"/>
        <family val="3"/>
      </rPr>
      <t>)</t>
    </r>
    <r>
      <rPr>
        <b/>
        <sz val="10"/>
        <color theme="1"/>
        <rFont val="맑은 고딕"/>
        <family val="3"/>
        <charset val="129"/>
      </rPr>
      <t>기림이앤씨</t>
    </r>
    <phoneticPr fontId="46" type="noConversion"/>
  </si>
  <si>
    <r>
      <rPr>
        <b/>
        <sz val="10"/>
        <color theme="1"/>
        <rFont val="맑은 고딕"/>
        <family val="3"/>
        <charset val="129"/>
      </rPr>
      <t>건진개발</t>
    </r>
    <r>
      <rPr>
        <b/>
        <sz val="10"/>
        <color theme="1"/>
        <rFont val="Noto Sans CJK SC"/>
        <family val="3"/>
        <charset val="129"/>
      </rPr>
      <t>㈜</t>
    </r>
    <phoneticPr fontId="46" type="noConversion"/>
  </si>
  <si>
    <r>
      <rPr>
        <b/>
        <sz val="10"/>
        <color theme="1"/>
        <rFont val="맑은 고딕"/>
        <family val="3"/>
        <charset val="129"/>
      </rPr>
      <t>색채산업개발</t>
    </r>
    <r>
      <rPr>
        <b/>
        <sz val="10"/>
        <color theme="1"/>
        <rFont val="Noto Sans CJK SC"/>
        <family val="3"/>
        <charset val="129"/>
      </rPr>
      <t>㈜</t>
    </r>
    <phoneticPr fontId="46" type="noConversion"/>
  </si>
  <si>
    <r>
      <rPr>
        <b/>
        <sz val="10"/>
        <color theme="1"/>
        <rFont val="맑은 고딕"/>
        <family val="3"/>
        <charset val="129"/>
      </rPr>
      <t>토당금강</t>
    </r>
    <r>
      <rPr>
        <b/>
        <sz val="10"/>
        <color theme="1"/>
        <rFont val="Arial"/>
        <family val="2"/>
      </rPr>
      <t>KCC</t>
    </r>
    <phoneticPr fontId="46" type="noConversion"/>
  </si>
  <si>
    <r>
      <rPr>
        <b/>
        <sz val="10"/>
        <color theme="1"/>
        <rFont val="돋움"/>
        <family val="3"/>
        <charset val="129"/>
      </rPr>
      <t>주식회사</t>
    </r>
    <r>
      <rPr>
        <b/>
        <sz val="10"/>
        <color theme="1"/>
        <rFont val="Noto Sans CJK SC"/>
        <family val="3"/>
        <charset val="129"/>
      </rPr>
      <t xml:space="preserve"> </t>
    </r>
    <r>
      <rPr>
        <b/>
        <sz val="10"/>
        <color theme="1"/>
        <rFont val="돋움"/>
        <family val="3"/>
        <charset val="129"/>
      </rPr>
      <t>대신하우징</t>
    </r>
    <phoneticPr fontId="46" type="noConversion"/>
  </si>
  <si>
    <r>
      <rPr>
        <b/>
        <sz val="10"/>
        <color theme="1"/>
        <rFont val="돋움"/>
        <family val="3"/>
        <charset val="129"/>
      </rPr>
      <t>새로이건설</t>
    </r>
    <r>
      <rPr>
        <b/>
        <sz val="10"/>
        <color theme="1"/>
        <rFont val="Noto Sans CJK SC"/>
        <family val="3"/>
        <charset val="129"/>
      </rPr>
      <t>㈜</t>
    </r>
    <phoneticPr fontId="46" type="noConversion"/>
  </si>
  <si>
    <r>
      <rPr>
        <b/>
        <sz val="10"/>
        <color theme="1"/>
        <rFont val="Noto Sans CJK SC"/>
        <family val="3"/>
      </rPr>
      <t>(</t>
    </r>
    <r>
      <rPr>
        <b/>
        <sz val="10"/>
        <color theme="1"/>
        <rFont val="맑은 고딕"/>
        <family val="3"/>
        <charset val="129"/>
      </rPr>
      <t>주</t>
    </r>
    <r>
      <rPr>
        <b/>
        <sz val="10"/>
        <color theme="1"/>
        <rFont val="Noto Sans CJK SC"/>
        <family val="3"/>
      </rPr>
      <t>)</t>
    </r>
    <r>
      <rPr>
        <b/>
        <sz val="10"/>
        <color theme="1"/>
        <rFont val="맑은 고딕"/>
        <family val="3"/>
        <charset val="129"/>
      </rPr>
      <t>모아씨앤에스</t>
    </r>
    <phoneticPr fontId="46" type="noConversion"/>
  </si>
  <si>
    <r>
      <rPr>
        <b/>
        <sz val="10"/>
        <color theme="1"/>
        <rFont val="맑은 고딕"/>
        <family val="3"/>
        <charset val="129"/>
      </rPr>
      <t>주식회사</t>
    </r>
    <r>
      <rPr>
        <b/>
        <sz val="10"/>
        <color theme="1"/>
        <rFont val="Noto Sans CJK SC"/>
        <family val="3"/>
      </rPr>
      <t xml:space="preserve"> </t>
    </r>
    <r>
      <rPr>
        <b/>
        <sz val="10"/>
        <color theme="1"/>
        <rFont val="맑은 고딕"/>
        <family val="3"/>
        <charset val="129"/>
      </rPr>
      <t>유광씨앤씨</t>
    </r>
    <phoneticPr fontId="46" type="noConversion"/>
  </si>
  <si>
    <r>
      <rPr>
        <b/>
        <sz val="10"/>
        <color theme="1"/>
        <rFont val="맑은 고딕"/>
        <family val="3"/>
        <charset val="129"/>
      </rPr>
      <t>삼정</t>
    </r>
    <r>
      <rPr>
        <b/>
        <sz val="10"/>
        <color theme="1"/>
        <rFont val="Noto Sans CJK SC"/>
        <family val="3"/>
      </rPr>
      <t>ING</t>
    </r>
    <r>
      <rPr>
        <b/>
        <sz val="10"/>
        <color theme="1"/>
        <rFont val="맑은 고딕"/>
        <family val="3"/>
        <charset val="129"/>
      </rPr>
      <t>건설</t>
    </r>
    <phoneticPr fontId="46" type="noConversion"/>
  </si>
  <si>
    <r>
      <t>(</t>
    </r>
    <r>
      <rPr>
        <b/>
        <sz val="10"/>
        <color theme="1"/>
        <rFont val="맑은 고딕"/>
        <family val="3"/>
        <charset val="129"/>
      </rPr>
      <t>주</t>
    </r>
    <r>
      <rPr>
        <b/>
        <sz val="10"/>
        <color theme="1"/>
        <rFont val="Noto Sans CJK SC"/>
        <family val="3"/>
        <charset val="129"/>
      </rPr>
      <t>)</t>
    </r>
    <r>
      <rPr>
        <b/>
        <sz val="10"/>
        <color theme="1"/>
        <rFont val="맑은 고딕"/>
        <family val="3"/>
        <charset val="129"/>
      </rPr>
      <t>다수건설</t>
    </r>
    <phoneticPr fontId="46" type="noConversion"/>
  </si>
  <si>
    <r>
      <rPr>
        <b/>
        <sz val="10"/>
        <color theme="1"/>
        <rFont val="맑은 고딕"/>
        <family val="3"/>
        <charset val="129"/>
      </rPr>
      <t>초담건설</t>
    </r>
    <r>
      <rPr>
        <b/>
        <sz val="10"/>
        <color theme="1"/>
        <rFont val="Noto Sans CJK SC"/>
        <family val="3"/>
        <charset val="129"/>
      </rPr>
      <t>㈜</t>
    </r>
    <phoneticPr fontId="46" type="noConversion"/>
  </si>
  <si>
    <r>
      <rPr>
        <b/>
        <sz val="10"/>
        <color theme="1"/>
        <rFont val="Noto Sans CJK SC"/>
        <family val="3"/>
      </rPr>
      <t>(</t>
    </r>
    <r>
      <rPr>
        <b/>
        <sz val="10"/>
        <color theme="1"/>
        <rFont val="맑은 고딕"/>
        <family val="3"/>
        <charset val="129"/>
      </rPr>
      <t>주</t>
    </r>
    <r>
      <rPr>
        <b/>
        <sz val="10"/>
        <color theme="1"/>
        <rFont val="Noto Sans CJK SC"/>
        <family val="3"/>
      </rPr>
      <t>)</t>
    </r>
    <r>
      <rPr>
        <b/>
        <sz val="10"/>
        <color theme="1"/>
        <rFont val="맑은 고딕"/>
        <family val="3"/>
        <charset val="129"/>
      </rPr>
      <t>에스엠에이</t>
    </r>
    <phoneticPr fontId="46" type="noConversion"/>
  </si>
  <si>
    <r>
      <rPr>
        <b/>
        <sz val="10"/>
        <color theme="1"/>
        <rFont val="Noto Sans CJK SC"/>
        <family val="3"/>
      </rPr>
      <t>(</t>
    </r>
    <r>
      <rPr>
        <b/>
        <sz val="10"/>
        <color theme="1"/>
        <rFont val="맑은 고딕"/>
        <family val="3"/>
        <charset val="129"/>
      </rPr>
      <t>주</t>
    </r>
    <r>
      <rPr>
        <b/>
        <sz val="10"/>
        <color theme="1"/>
        <rFont val="Noto Sans CJK SC"/>
        <family val="3"/>
      </rPr>
      <t>)</t>
    </r>
    <r>
      <rPr>
        <b/>
        <sz val="10"/>
        <color theme="1"/>
        <rFont val="맑은 고딕"/>
        <family val="3"/>
        <charset val="129"/>
      </rPr>
      <t>부영씨엔씨</t>
    </r>
    <phoneticPr fontId="46" type="noConversion"/>
  </si>
  <si>
    <r>
      <rPr>
        <b/>
        <sz val="10"/>
        <color theme="1"/>
        <rFont val="Noto Sans CJK SC"/>
        <family val="3"/>
      </rPr>
      <t>(</t>
    </r>
    <r>
      <rPr>
        <b/>
        <sz val="10"/>
        <color theme="1"/>
        <rFont val="맑은 고딕"/>
        <family val="3"/>
        <charset val="129"/>
      </rPr>
      <t>주</t>
    </r>
    <r>
      <rPr>
        <b/>
        <sz val="10"/>
        <color theme="1"/>
        <rFont val="Noto Sans CJK SC"/>
        <family val="3"/>
      </rPr>
      <t>)</t>
    </r>
    <r>
      <rPr>
        <b/>
        <sz val="10"/>
        <color theme="1"/>
        <rFont val="맑은 고딕"/>
        <family val="3"/>
        <charset val="129"/>
      </rPr>
      <t>이음건설</t>
    </r>
    <phoneticPr fontId="46" type="noConversion"/>
  </si>
  <si>
    <t>20260427-10260427-17896752</t>
  </si>
  <si>
    <t>1,627,500</t>
  </si>
  <si>
    <t>20260427-10260427-17702706</t>
  </si>
  <si>
    <t>660,700</t>
  </si>
  <si>
    <t>513,200</t>
  </si>
  <si>
    <t>20260427-10260427-17673325</t>
  </si>
  <si>
    <t>20260427-10260427-17671985</t>
  </si>
  <si>
    <t>12,079,200</t>
  </si>
  <si>
    <t>20260427-10260427-17671628</t>
  </si>
  <si>
    <t>9,625,000</t>
  </si>
  <si>
    <t>20260427-10260427-17671062</t>
  </si>
  <si>
    <t>3,462,000</t>
  </si>
  <si>
    <t>20260427-10260427-17669649</t>
  </si>
  <si>
    <t>752,000</t>
  </si>
  <si>
    <t>20260427-10260427-17669216</t>
  </si>
  <si>
    <t>2,920,800</t>
  </si>
  <si>
    <t>대전한우리아파트</t>
    <phoneticPr fontId="46" type="noConversion"/>
  </si>
  <si>
    <t>삼정그린코아포레스트2단지</t>
    <phoneticPr fontId="46" type="noConversion"/>
  </si>
  <si>
    <t>칠곡효성해링턴3단지</t>
    <phoneticPr fontId="46" type="noConversion"/>
  </si>
  <si>
    <t>산들마을2단지서광청구</t>
  </si>
  <si>
    <t>김호호반베르디움더퍼스트</t>
  </si>
  <si>
    <t>2026-04-28</t>
  </si>
  <si>
    <t>20260428-10260428-18352032</t>
  </si>
  <si>
    <t>620-81-27160</t>
  </si>
  <si>
    <t>(주)일진건설</t>
  </si>
  <si>
    <t>박진조</t>
  </si>
  <si>
    <t>울산광역시 중구 병영16길 4 (동동)</t>
  </si>
  <si>
    <t>pak6563@hanmail.net</t>
  </si>
  <si>
    <t>232,000</t>
  </si>
  <si>
    <t>20260428-10260428-18350974</t>
  </si>
  <si>
    <t>6,454,000</t>
  </si>
  <si>
    <t>20260428-10260428-18350896</t>
  </si>
  <si>
    <t>13,014,800</t>
  </si>
  <si>
    <t>20260428-10260428-18350741</t>
  </si>
  <si>
    <t>505,600</t>
  </si>
  <si>
    <t>3,082,000</t>
  </si>
  <si>
    <t>4,096,100</t>
  </si>
  <si>
    <t>사무실 택배</t>
    <phoneticPr fontId="46" type="noConversion"/>
  </si>
  <si>
    <t>선진정공 당진공장</t>
    <phoneticPr fontId="46" type="noConversion"/>
  </si>
  <si>
    <t>신월금호타운</t>
    <phoneticPr fontId="46" type="noConversion"/>
  </si>
  <si>
    <t>내서숲속마을주공그린빌4단지</t>
    <phoneticPr fontId="46" type="noConversion"/>
  </si>
  <si>
    <t>여주현대하리</t>
    <phoneticPr fontId="46" type="noConversion"/>
  </si>
  <si>
    <t>(예)2026-05-31</t>
    <phoneticPr fontId="46" type="noConversion"/>
  </si>
  <si>
    <t>일광자이푸르지오1단지 아파트</t>
    <phoneticPr fontId="46" type="noConversion"/>
  </si>
  <si>
    <t>구로두산위브아파트</t>
    <phoneticPr fontId="46" type="noConversion"/>
  </si>
  <si>
    <t>삼송리슈빌센트럴파크</t>
    <phoneticPr fontId="46" type="noConversion"/>
  </si>
  <si>
    <t>그린빌7단지아파트</t>
    <phoneticPr fontId="46" type="noConversion"/>
  </si>
  <si>
    <t>평택비전지웰푸르지오</t>
    <phoneticPr fontId="46" type="noConversion"/>
  </si>
  <si>
    <t>오산대역 엘크루 아파트</t>
    <phoneticPr fontId="46" type="noConversion"/>
  </si>
  <si>
    <t>㈜방수존건설</t>
    <phoneticPr fontId="46" type="noConversion"/>
  </si>
  <si>
    <t>(예)2026-06-30</t>
    <phoneticPr fontId="46" type="noConversion"/>
  </si>
  <si>
    <t>(예)2026-05-30</t>
    <phoneticPr fontId="46" type="noConversion"/>
  </si>
  <si>
    <t>(예)2026-07-28</t>
    <phoneticPr fontId="46" type="noConversion"/>
  </si>
  <si>
    <t>㈜세원티엠</t>
    <phoneticPr fontId="46" type="noConversion"/>
  </si>
  <si>
    <t>㈜두영이앤씨</t>
    <phoneticPr fontId="46" type="noConversion"/>
  </si>
  <si>
    <t>(예)2026-07-31</t>
    <phoneticPr fontId="46" type="noConversion"/>
  </si>
  <si>
    <t>(예)2026-08-31</t>
    <phoneticPr fontId="46" type="noConversion"/>
  </si>
  <si>
    <t>(주)청명이앤디</t>
    <phoneticPr fontId="46" type="noConversion"/>
  </si>
  <si>
    <t>천강건설㈜</t>
    <phoneticPr fontId="46" type="noConversion"/>
  </si>
  <si>
    <t>대림3동현대아파트</t>
  </si>
  <si>
    <t>학마을서원아파트</t>
  </si>
  <si>
    <t>2026-04-29</t>
  </si>
  <si>
    <t>20260429-10260429-19753683</t>
  </si>
  <si>
    <t>1,466,000</t>
  </si>
  <si>
    <t>20260429-10260429-19454632</t>
  </si>
  <si>
    <t>27,350,000</t>
  </si>
  <si>
    <t>20260429-10260429-19441951</t>
  </si>
  <si>
    <t>141,100</t>
  </si>
  <si>
    <t>20260429-10260429-19441289</t>
  </si>
  <si>
    <t>20260429-10260429-19439741</t>
  </si>
  <si>
    <t>510,000</t>
  </si>
  <si>
    <t>20260429-10260429-19439141</t>
  </si>
  <si>
    <t>1,229,300</t>
  </si>
  <si>
    <t>20260429-10260429-19437444</t>
  </si>
  <si>
    <t>12,067,400</t>
  </si>
  <si>
    <t>봉선지웰아파트</t>
    <phoneticPr fontId="46" type="noConversion"/>
  </si>
  <si>
    <t>삼호진덕아파트</t>
    <phoneticPr fontId="46" type="noConversion"/>
  </si>
  <si>
    <t>금촌동문아파트</t>
    <phoneticPr fontId="46" type="noConversion"/>
  </si>
  <si>
    <t>원일가대라곡</t>
    <phoneticPr fontId="46" type="noConversion"/>
  </si>
  <si>
    <t>목동세종그랑시아</t>
    <phoneticPr fontId="46" type="noConversion"/>
  </si>
  <si>
    <t>2026-04-30</t>
  </si>
  <si>
    <t>20260430-10260430-20419274</t>
  </si>
  <si>
    <t>450,300</t>
  </si>
  <si>
    <t>20260430-10260430-20419094</t>
  </si>
  <si>
    <t>572,800</t>
  </si>
  <si>
    <t>20260430-10260430-20416889</t>
  </si>
  <si>
    <t>석수두산위브</t>
    <phoneticPr fontId="46" type="noConversion"/>
  </si>
  <si>
    <t>2026-04-20/29</t>
    <phoneticPr fontId="46" type="noConversion"/>
  </si>
  <si>
    <t>계산서발행일</t>
  </si>
  <si>
    <t>트랙</t>
  </si>
  <si>
    <t>미수금액(v-)</t>
  </si>
  <si>
    <t>경과일</t>
  </si>
  <si>
    <t>단계</t>
  </si>
  <si>
    <t>예상입금일</t>
  </si>
  <si>
    <t>프로세스현황</t>
    <phoneticPr fontId="75" type="noConversion"/>
  </si>
  <si>
    <t>예외여부</t>
  </si>
  <si>
    <t>예외사유</t>
  </si>
  <si>
    <t>지연사유</t>
  </si>
  <si>
    <t>예외승인일</t>
  </si>
  <si>
    <t>예외종료예정</t>
  </si>
  <si>
    <t>[L4] 장기 미수 관련 경영 보고</t>
    <phoneticPr fontId="75" type="noConversion"/>
  </si>
  <si>
    <t>Y</t>
  </si>
  <si>
    <t>발주처 정산 지연 확인</t>
  </si>
  <si>
    <t>선보수 공사건(이음 확인 필요)</t>
  </si>
  <si>
    <t>26년 하반기-27년 상반기 정산예정</t>
  </si>
  <si>
    <t>영업수수료</t>
  </si>
  <si>
    <t>옥방방수 착송 시 정산 예정(김훈 지사장님 협의)</t>
  </si>
  <si>
    <t>(주)한국전문건설</t>
  </si>
  <si>
    <t>채권추심 진행</t>
  </si>
  <si>
    <t>발주처 미정산, 대표님 협의 중</t>
  </si>
  <si>
    <t>특허료</t>
  </si>
  <si>
    <t>로토텍다이아몬드(주)</t>
  </si>
  <si>
    <t>대표님 협의</t>
  </si>
  <si>
    <t xml:space="preserve">별도 공유 전까지 </t>
  </si>
  <si>
    <t>신봉마을 동일하이빌 3단지</t>
  </si>
  <si>
    <t>소액 미입금 담당자 확인중</t>
  </si>
  <si>
    <t>대표님 협의</t>
    <phoneticPr fontId="75" type="noConversion"/>
  </si>
  <si>
    <t>부영씨앤씨 청구보류(2/9대표님확인)</t>
    <phoneticPr fontId="75" type="noConversion"/>
  </si>
  <si>
    <t>우리방재건설(주)</t>
  </si>
  <si>
    <t>재연님 협의</t>
  </si>
  <si>
    <t>12/31 1천만원 입금/3/25 14,545,455만원입금</t>
    <phoneticPr fontId="75" type="noConversion"/>
  </si>
  <si>
    <t>3/31 18,181,818원 4/5 9,090,909원</t>
    <phoneticPr fontId="75" type="noConversion"/>
  </si>
  <si>
    <t>컨설팅</t>
    <phoneticPr fontId="46" type="noConversion"/>
  </si>
  <si>
    <t>자재</t>
    <phoneticPr fontId="46" type="noConversion"/>
  </si>
  <si>
    <t># ~25년 이전 미수금 리스트</t>
    <phoneticPr fontId="46" type="noConversion"/>
  </si>
  <si>
    <t>예외여부</t>
    <phoneticPr fontId="46" type="noConversion"/>
  </si>
  <si>
    <t>예외사유</t>
    <phoneticPr fontId="46" type="noConversion"/>
  </si>
  <si>
    <t>브랜드</t>
    <phoneticPr fontId="46" type="noConversion"/>
  </si>
  <si>
    <t>Y</t>
    <phoneticPr fontId="46" type="noConversion"/>
  </si>
  <si>
    <t>예외여부</t>
    <phoneticPr fontId="46" type="noConversion"/>
  </si>
  <si>
    <t>예외사유</t>
    <phoneticPr fontId="46" type="noConversion"/>
  </si>
  <si>
    <t>영업수수료</t>
    <phoneticPr fontId="46" type="noConversion"/>
  </si>
  <si>
    <t>김용재</t>
    <phoneticPr fontId="46" type="noConversion"/>
  </si>
  <si>
    <t>조종억</t>
    <phoneticPr fontId="46" type="noConversion"/>
  </si>
  <si>
    <t>정상혁</t>
    <phoneticPr fontId="46" type="noConversion"/>
  </si>
  <si>
    <t>20260430-10260430-21620975</t>
  </si>
  <si>
    <t>1,797,000</t>
  </si>
  <si>
    <t>20260430-10260430-21618001</t>
  </si>
  <si>
    <t>4,116,100</t>
  </si>
  <si>
    <t>20260430-10260430-21427712</t>
  </si>
  <si>
    <t>1,437,500</t>
  </si>
  <si>
    <t>20260430-10260430-21424298</t>
  </si>
  <si>
    <t>20260430-10260430-20613840</t>
  </si>
  <si>
    <t>1,094,000</t>
  </si>
  <si>
    <t>당하동태평아파트</t>
    <phoneticPr fontId="46" type="noConversion"/>
  </si>
  <si>
    <t>경동택배 무안청계882</t>
    <phoneticPr fontId="46" type="noConversion"/>
  </si>
  <si>
    <t>2026-05-04</t>
  </si>
  <si>
    <t>20260504-10260504-24369584</t>
  </si>
  <si>
    <t>506-15-88342</t>
  </si>
  <si>
    <t>신일종합상사</t>
  </si>
  <si>
    <t>이재현</t>
  </si>
  <si>
    <t>경북 포항시 북구 양학천로 26 (죽도동)</t>
  </si>
  <si>
    <t>sinil88088@hanmail.net</t>
  </si>
  <si>
    <t>3,624,000</t>
  </si>
  <si>
    <t>20260504-10260504-24369321</t>
  </si>
  <si>
    <t>27,500,000</t>
  </si>
  <si>
    <t>동촌연구소</t>
    <phoneticPr fontId="46" type="noConversion"/>
  </si>
  <si>
    <t>20260504-10260504-25220183</t>
  </si>
  <si>
    <t>이지훈, 문형현</t>
  </si>
  <si>
    <t>260,000</t>
  </si>
  <si>
    <t>122-86-06292</t>
  </si>
  <si>
    <t>디오공법(주)</t>
  </si>
  <si>
    <t>이민행</t>
  </si>
  <si>
    <t>경기 화성시 병점구 병점중앙로 155번길 10,에이동 102호 (진안동,트레비앙)</t>
  </si>
  <si>
    <t>do_0504@naver.com</t>
  </si>
  <si>
    <t>20260504-10260504-25176401</t>
  </si>
  <si>
    <t>234-86-00887</t>
  </si>
  <si>
    <t>초담건설(주)</t>
  </si>
  <si>
    <t>이명희</t>
  </si>
  <si>
    <t>경기도 하남시 미사대로 550, A동 5층 0007호 (현대지식산업센터 한강미사)</t>
  </si>
  <si>
    <t>chodam2018@hanmail.net</t>
  </si>
  <si>
    <t>2,128,400</t>
  </si>
  <si>
    <t>20260504-10260504-24936546</t>
  </si>
  <si>
    <t>178,600</t>
  </si>
  <si>
    <t>20260504-10260504-24726453</t>
  </si>
  <si>
    <t>601,600</t>
  </si>
  <si>
    <t>20260504-10260504-24594029</t>
  </si>
  <si>
    <t>675,800</t>
  </si>
  <si>
    <t>20260504-10260504-24589863</t>
  </si>
  <si>
    <t>1,776,900</t>
  </si>
  <si>
    <t>대지마을현대홈타운3차</t>
    <phoneticPr fontId="46" type="noConversion"/>
  </si>
  <si>
    <t>창원트리비앙</t>
    <phoneticPr fontId="46" type="noConversion"/>
  </si>
  <si>
    <t>초담건설㈜</t>
    <phoneticPr fontId="46" type="noConversion"/>
  </si>
  <si>
    <t>원다빌2차아파트</t>
    <phoneticPr fontId="46" type="noConversion"/>
  </si>
  <si>
    <t>13,000/15,000</t>
    <phoneticPr fontId="46" type="noConversion"/>
  </si>
  <si>
    <t>다솜아파트</t>
    <phoneticPr fontId="46" type="noConversion"/>
  </si>
  <si>
    <t>김병석</t>
    <phoneticPr fontId="46" type="noConversion"/>
  </si>
  <si>
    <t>2026-05-07</t>
  </si>
  <si>
    <t>20260504-10260507-30999182</t>
  </si>
  <si>
    <t>당초 승인번호 (20260504-10260504-25178121)</t>
  </si>
  <si>
    <t>178,000</t>
  </si>
  <si>
    <t>20260507-10260507-30982862</t>
  </si>
  <si>
    <t>당초 승인번호 (20260507-10260507-29583819)</t>
  </si>
  <si>
    <t>1,890,000</t>
  </si>
  <si>
    <t>20260507-10260507-30953044</t>
  </si>
  <si>
    <t>9,426,100</t>
  </si>
  <si>
    <t>20260507-10260507-30769912</t>
  </si>
  <si>
    <t>2,715,000</t>
  </si>
  <si>
    <t>20260507-10260507-30765275</t>
  </si>
  <si>
    <t>1,808,000</t>
  </si>
  <si>
    <t>94,290,000</t>
  </si>
  <si>
    <t>20260507-10260507-30739984</t>
  </si>
  <si>
    <t>2,170,000</t>
  </si>
  <si>
    <t>20260507-10260507-30725355</t>
  </si>
  <si>
    <t>4,468,000</t>
  </si>
  <si>
    <t>20260507-10260507-30718104</t>
  </si>
  <si>
    <t>205,300</t>
  </si>
  <si>
    <t>20260507-10260507-29697003</t>
  </si>
  <si>
    <t>282,000</t>
  </si>
  <si>
    <t>20260507-10260507-29644569</t>
  </si>
  <si>
    <t>13,074,100</t>
  </si>
  <si>
    <t>20260507-10260507-29585654</t>
  </si>
  <si>
    <t>4,100,000</t>
  </si>
  <si>
    <t>20260507-10260507-29585498</t>
  </si>
  <si>
    <t>8,604,400</t>
  </si>
  <si>
    <t>20260507-10260507-29585101</t>
  </si>
  <si>
    <t>20260507-10260507-29583654</t>
  </si>
  <si>
    <t>46,400</t>
  </si>
  <si>
    <t>20260507-10260507-29581862</t>
  </si>
  <si>
    <t>238-87-00872</t>
  </si>
  <si>
    <t>(주)더원산업개발</t>
  </si>
  <si>
    <t>이미은</t>
  </si>
  <si>
    <t>경기도 부천시 소사구 서촌로 44번길 7-16, 1층(송내동)</t>
  </si>
  <si>
    <t>theone238@naver.com</t>
  </si>
  <si>
    <t>16,665,500</t>
  </si>
  <si>
    <t>황성현대5차</t>
    <phoneticPr fontId="46" type="noConversion"/>
  </si>
  <si>
    <t>삼송호반베르디움9단지</t>
    <phoneticPr fontId="46" type="noConversion"/>
  </si>
  <si>
    <t>여주하리현대</t>
    <phoneticPr fontId="46" type="noConversion"/>
  </si>
  <si>
    <t>작전미도아파트</t>
    <phoneticPr fontId="46" type="noConversion"/>
  </si>
  <si>
    <t>죽림푸르지오3차</t>
    <phoneticPr fontId="46" type="noConversion"/>
  </si>
  <si>
    <t>구월동아아파트</t>
    <phoneticPr fontId="46" type="noConversion"/>
  </si>
  <si>
    <t>일광자이푸르지오2단지</t>
    <phoneticPr fontId="46" type="noConversion"/>
  </si>
  <si>
    <t>신흥역하늘채랜더스원1단지</t>
    <phoneticPr fontId="46" type="noConversion"/>
  </si>
  <si>
    <t>진달래마을신동아</t>
    <phoneticPr fontId="46" type="noConversion"/>
  </si>
  <si>
    <t>2026-05-06</t>
  </si>
  <si>
    <t>20260506-10260506-28854073</t>
  </si>
  <si>
    <t>135-86-29480</t>
  </si>
  <si>
    <t>주식회사 세오엔지니어링</t>
  </si>
  <si>
    <t>박윤</t>
  </si>
  <si>
    <t>서울 금천구 가산디지털2로 169-16, 8층 제오805호 (하우스디가산퍼스타)</t>
  </si>
  <si>
    <t>seoeng22@naver.com</t>
  </si>
  <si>
    <t>20260506-10260506-28158277</t>
  </si>
  <si>
    <t>88,935,000</t>
  </si>
  <si>
    <t>20260506-10260506-28152787</t>
  </si>
  <si>
    <t>서울 영등포구 도신로 70,신길우성1차 상가 207호</t>
  </si>
  <si>
    <t>20260506-10260506-28144437</t>
  </si>
  <si>
    <t>20260506-10260506-28142250</t>
  </si>
  <si>
    <t>20260506-10260506-28138627</t>
  </si>
  <si>
    <t>775,700</t>
  </si>
  <si>
    <t>20260506-10260506-28133340</t>
  </si>
  <si>
    <t>1,162,000</t>
  </si>
  <si>
    <t>20260506-10260506-28127953</t>
  </si>
  <si>
    <t>1,369,300</t>
  </si>
  <si>
    <t>20260506-10260506-28125646</t>
  </si>
  <si>
    <t>2,001,500</t>
  </si>
  <si>
    <t>20260506-10260506-28120729</t>
  </si>
  <si>
    <t>38,948,500</t>
  </si>
  <si>
    <t>1,367,800</t>
  </si>
  <si>
    <t>20260506-10260506-28113231</t>
  </si>
  <si>
    <t>20260506-10260506-28109458</t>
  </si>
  <si>
    <t>20260506-10260506-28107053</t>
  </si>
  <si>
    <t>정평역하늘채리버파크</t>
    <phoneticPr fontId="46" type="noConversion"/>
  </si>
  <si>
    <t>민락엘레트19</t>
    <phoneticPr fontId="46" type="noConversion"/>
  </si>
  <si>
    <t>포천극동2차스타클래스</t>
    <phoneticPr fontId="46" type="noConversion"/>
  </si>
  <si>
    <t>초원성원아파트</t>
    <phoneticPr fontId="46" type="noConversion"/>
  </si>
  <si>
    <t>운남우방아이유쉘</t>
    <phoneticPr fontId="46" type="noConversion"/>
  </si>
  <si>
    <t>늘푸른마을코오롱</t>
    <phoneticPr fontId="46" type="noConversion"/>
  </si>
  <si>
    <t>남악경남아너스빌</t>
    <phoneticPr fontId="46" type="noConversion"/>
  </si>
  <si>
    <t>모락산현대아파트</t>
    <phoneticPr fontId="46" type="noConversion"/>
  </si>
  <si>
    <t>2026-05-08</t>
  </si>
  <si>
    <t>20260508-10260508-32268788</t>
  </si>
  <si>
    <t>6,875,000</t>
  </si>
  <si>
    <t>20260508-10260508-32266527</t>
  </si>
  <si>
    <t>1,842,000</t>
  </si>
  <si>
    <t>20260508-10260508-32264148</t>
  </si>
  <si>
    <t>334,200</t>
  </si>
  <si>
    <t>20260506-10260506-28389688</t>
  </si>
  <si>
    <t>1,560,000</t>
  </si>
  <si>
    <t>20260507-10260507-30748737</t>
  </si>
  <si>
    <t>김포호반베르디움</t>
  </si>
  <si>
    <t>경동택배대전서구정림416</t>
  </si>
  <si>
    <t>OBM</t>
    <phoneticPr fontId="46" type="noConversion"/>
  </si>
  <si>
    <t>20260430-10260507-30188167</t>
  </si>
  <si>
    <t>110-81-61507</t>
  </si>
  <si>
    <t>황윤선</t>
  </si>
  <si>
    <t>경기도 오산시 서동로77(서동)2층</t>
  </si>
  <si>
    <t>119sukminc@naver.com</t>
  </si>
  <si>
    <t>2,137,800</t>
  </si>
  <si>
    <t>2026-05-07</t>
    <phoneticPr fontId="46" type="noConversion"/>
  </si>
  <si>
    <t>20260508-10260508-33506620</t>
  </si>
  <si>
    <t>875,000</t>
  </si>
  <si>
    <t>20260508-10260508-32647748</t>
  </si>
  <si>
    <t>5,364,000</t>
  </si>
  <si>
    <t>여주하리현대</t>
  </si>
  <si>
    <t>20260508-10260508-32644308</t>
  </si>
  <si>
    <t>532,800</t>
  </si>
  <si>
    <t>봉선지웰아파트</t>
  </si>
  <si>
    <t>신월금호타운</t>
  </si>
  <si>
    <t>백현마을롯데캐슬</t>
  </si>
  <si>
    <t>진산마을성원상떼빌</t>
  </si>
  <si>
    <t>2026-05-08</t>
    <phoneticPr fontId="46" type="noConversion"/>
  </si>
  <si>
    <t>용인공장 방문건</t>
    <phoneticPr fontId="46" type="noConversion"/>
  </si>
  <si>
    <t>서강쌍용예가아파트</t>
    <phoneticPr fontId="46" type="noConversion"/>
  </si>
  <si>
    <t>13,000/14,000</t>
    <phoneticPr fontId="46" type="noConversion"/>
  </si>
  <si>
    <t>(예)2026-06-29</t>
    <phoneticPr fontId="46" type="noConversion"/>
  </si>
  <si>
    <t xml:space="preserve">송산푸르지오아파트 </t>
    <phoneticPr fontId="46" type="noConversion"/>
  </si>
  <si>
    <t>15,000/16,000</t>
    <phoneticPr fontId="46" type="noConversion"/>
  </si>
  <si>
    <t>20260428-10260511-37043310</t>
  </si>
  <si>
    <t>2026-05-11</t>
  </si>
  <si>
    <t>당초 승인번호 (20260428-10260428-18350480)</t>
  </si>
  <si>
    <t>여주현대하리</t>
  </si>
  <si>
    <t>20260428-10260511-37038976</t>
  </si>
  <si>
    <t>당초 승인번호 (20260428-10260428-18350557)</t>
  </si>
  <si>
    <t>송정풍산아파트</t>
  </si>
  <si>
    <t>20260415-10260511-37034753</t>
  </si>
  <si>
    <t>당초 승인번호 (20260415-10260415-10318017)</t>
  </si>
  <si>
    <t>20260403-10260511-37028654</t>
  </si>
  <si>
    <t>당초 승인번호 (20260403-10260403-86429396)</t>
  </si>
  <si>
    <t>2026-05-11</t>
    <phoneticPr fontId="46" type="noConversion"/>
  </si>
  <si>
    <t>하계극동건영벽산</t>
    <phoneticPr fontId="46" type="noConversion"/>
  </si>
  <si>
    <t>20260511-10260511-37124549</t>
  </si>
  <si>
    <t>1,674,000</t>
  </si>
  <si>
    <t>20260511-10260511-37109943</t>
  </si>
  <si>
    <t>353,000</t>
  </si>
  <si>
    <t>20260511-10260511-37108519</t>
  </si>
  <si>
    <t>3,758,000</t>
  </si>
  <si>
    <t>20260511-10260511-37100065</t>
  </si>
  <si>
    <t>32,485,000</t>
  </si>
  <si>
    <t>20260511-10260511-37096891</t>
  </si>
  <si>
    <t>4,993,600</t>
  </si>
  <si>
    <t>20260511-10260511-37095027</t>
  </si>
  <si>
    <t>316-86-02469</t>
  </si>
  <si>
    <t>(주)삼성리페어링</t>
  </si>
  <si>
    <t>이동광</t>
  </si>
  <si>
    <t>서울특별시 강서구 화곡로 278(화곡동, 동도센트리움오피스텔), 305호</t>
  </si>
  <si>
    <t>smash1092@trussinc.co.kr</t>
  </si>
  <si>
    <t>1,880,000</t>
  </si>
  <si>
    <t>20260511-10260511-37085939</t>
  </si>
  <si>
    <t>47,557,000</t>
  </si>
  <si>
    <t>20260511-10260511-37081190</t>
  </si>
  <si>
    <t>571-87-00968</t>
  </si>
  <si>
    <t>조성수</t>
  </si>
  <si>
    <t>경기도 성남시 분당구 쇳골로17번길 3, A동 4층 (금곡동, 소곡회관)</t>
  </si>
  <si>
    <t>yeunconst@daum.net</t>
  </si>
  <si>
    <t>2,870,400</t>
  </si>
  <si>
    <t>20260511-10260511-37077472</t>
  </si>
  <si>
    <t>295-87-02311</t>
  </si>
  <si>
    <t>(주)세원티엠</t>
  </si>
  <si>
    <t>정진영</t>
  </si>
  <si>
    <t>인천광역시 서구 청라한내로 96,4층 402호 (하엘에스페이스)</t>
  </si>
  <si>
    <t>sw7475-2@naver.com</t>
  </si>
  <si>
    <t>605,000</t>
  </si>
  <si>
    <t>늘푸른마을코오롱 추가</t>
    <phoneticPr fontId="46" type="noConversion"/>
  </si>
  <si>
    <t>삼정그린코아포레스트2단지</t>
    <phoneticPr fontId="46" type="noConversion"/>
  </si>
  <si>
    <t>늘푸른마을코오롱</t>
    <phoneticPr fontId="46" type="noConversion"/>
  </si>
  <si>
    <t>구로한신휴플러스</t>
    <phoneticPr fontId="46" type="noConversion"/>
  </si>
  <si>
    <t>대전한우리아파트</t>
    <phoneticPr fontId="46" type="noConversion"/>
  </si>
  <si>
    <t>한빛마을8단지운정아모리움</t>
    <phoneticPr fontId="46" type="noConversion"/>
  </si>
  <si>
    <t>성산마을서해그랑블</t>
    <phoneticPr fontId="46" type="noConversion"/>
  </si>
  <si>
    <t>현대한강아파트</t>
    <phoneticPr fontId="46" type="noConversion"/>
  </si>
  <si>
    <t>삼송리슈빌센트럴파크</t>
    <phoneticPr fontId="46" type="noConversion"/>
  </si>
  <si>
    <t>20260506-10260508-33046294</t>
  </si>
  <si>
    <t>당초 승인번호 (20260506-10260506-28116273)</t>
  </si>
  <si>
    <r>
      <t>(</t>
    </r>
    <r>
      <rPr>
        <sz val="10"/>
        <color theme="1"/>
        <rFont val="맑은 고딕"/>
        <family val="3"/>
        <charset val="129"/>
      </rPr>
      <t>주</t>
    </r>
    <r>
      <rPr>
        <sz val="10"/>
        <color theme="1"/>
        <rFont val="Noto Sans CJK SC"/>
        <family val="3"/>
        <charset val="129"/>
      </rPr>
      <t>)</t>
    </r>
    <r>
      <rPr>
        <sz val="10"/>
        <color theme="1"/>
        <rFont val="맑은 고딕"/>
        <family val="3"/>
        <charset val="129"/>
      </rPr>
      <t>경하이앤씨</t>
    </r>
    <phoneticPr fontId="46" type="noConversion"/>
  </si>
  <si>
    <r>
      <t>(</t>
    </r>
    <r>
      <rPr>
        <sz val="10"/>
        <color theme="1"/>
        <rFont val="맑은 고딕"/>
        <family val="3"/>
        <charset val="129"/>
      </rPr>
      <t>주</t>
    </r>
    <r>
      <rPr>
        <sz val="10"/>
        <color theme="1"/>
        <rFont val="Noto Sans CJK SC"/>
        <family val="3"/>
        <charset val="129"/>
      </rPr>
      <t>)</t>
    </r>
    <r>
      <rPr>
        <sz val="10"/>
        <color theme="1"/>
        <rFont val="맑은 고딕"/>
        <family val="3"/>
        <charset val="129"/>
      </rPr>
      <t>도원씨엔씨</t>
    </r>
    <phoneticPr fontId="46" type="noConversion"/>
  </si>
  <si>
    <t>은행마을녹원아파트</t>
    <phoneticPr fontId="46" type="noConversion"/>
  </si>
  <si>
    <t>해운대비스타동원아파트</t>
    <phoneticPr fontId="46" type="noConversion"/>
  </si>
  <si>
    <t>㈜조광피앤텍</t>
    <phoneticPr fontId="46" type="noConversion"/>
  </si>
  <si>
    <t>(예)2026-10-30</t>
    <phoneticPr fontId="46" type="noConversion"/>
  </si>
  <si>
    <t>㈜다산종합건설</t>
    <phoneticPr fontId="46" type="noConversion"/>
  </si>
  <si>
    <t>한강신도시롯데캐슬아파트</t>
    <phoneticPr fontId="46" type="noConversion"/>
  </si>
  <si>
    <t>수지벽산4단지아파트</t>
    <phoneticPr fontId="46" type="noConversion"/>
  </si>
  <si>
    <t>대표건설㈜</t>
    <phoneticPr fontId="46" type="noConversion"/>
  </si>
  <si>
    <t>의정부SKVIEW아파트</t>
    <phoneticPr fontId="46" type="noConversion"/>
  </si>
  <si>
    <t>(예)2026-06-10</t>
    <phoneticPr fontId="46" type="noConversion"/>
  </si>
  <si>
    <t>효양아파트</t>
    <phoneticPr fontId="46" type="noConversion"/>
  </si>
  <si>
    <t>(예)2026-05-23</t>
    <phoneticPr fontId="46" type="noConversion"/>
  </si>
  <si>
    <t>2026-05-12</t>
  </si>
  <si>
    <t>20260512-10260512-38830915</t>
  </si>
  <si>
    <t>476-88-01539</t>
  </si>
  <si>
    <t>성훈종합건설(주)</t>
  </si>
  <si>
    <t>권태훈</t>
  </si>
  <si>
    <t>경기도 시흥시 옥구상가2길 9-1, 302호(정왕동)</t>
  </si>
  <si>
    <t>sunghoon5139@naver.com</t>
  </si>
  <si>
    <t>5,569,000</t>
  </si>
  <si>
    <t>20260512-10260512-38830635</t>
  </si>
  <si>
    <t>20260512-10260512-38830465</t>
  </si>
  <si>
    <t>7,775,400</t>
  </si>
  <si>
    <t>20260512-10260512-38830254</t>
  </si>
  <si>
    <t>365,000</t>
  </si>
  <si>
    <t>20260512-10260512-38830072</t>
  </si>
  <si>
    <t>1,184,000</t>
  </si>
  <si>
    <t>20260512-10260512-38828916</t>
  </si>
  <si>
    <t>212-86-03813</t>
  </si>
  <si>
    <t>이루미건설(주)</t>
  </si>
  <si>
    <t>이주열</t>
  </si>
  <si>
    <t>서울특별시 중랑구 봉화산로234,3층 302호(신내동,한빛빌딩)</t>
  </si>
  <si>
    <t>irumicon2018@naver.com</t>
  </si>
  <si>
    <t>7,360,700</t>
  </si>
  <si>
    <t>20260512-10260512-38828756</t>
  </si>
  <si>
    <t>50,957,500</t>
  </si>
  <si>
    <t>20260512-10260512-38828624</t>
  </si>
  <si>
    <t>508,700</t>
  </si>
  <si>
    <t>20260512-10260512-38828449</t>
  </si>
  <si>
    <t>20260512-10260512-38828260</t>
  </si>
  <si>
    <t>3,096,900</t>
  </si>
  <si>
    <t>20260512-10260512-38828087</t>
  </si>
  <si>
    <t>20260512-10260512-38826846</t>
  </si>
  <si>
    <t>5,146,300</t>
  </si>
  <si>
    <t>2026-05-12</t>
    <phoneticPr fontId="46" type="noConversion"/>
  </si>
  <si>
    <t>보성우산주공</t>
    <phoneticPr fontId="46" type="noConversion"/>
  </si>
  <si>
    <t>효천1지구중흥S클래스</t>
    <phoneticPr fontId="46" type="noConversion"/>
  </si>
  <si>
    <t>신정마을극동임광</t>
    <phoneticPr fontId="46" type="noConversion"/>
  </si>
  <si>
    <t>김포이편한세상한강신도시2차</t>
    <phoneticPr fontId="46" type="noConversion"/>
  </si>
  <si>
    <t>이편한세상밀양삼문</t>
    <phoneticPr fontId="46" type="noConversion"/>
  </si>
  <si>
    <t>평택장당우미이노스빌3차</t>
    <phoneticPr fontId="46" type="noConversion"/>
  </si>
  <si>
    <t>흥한웰가아파트</t>
    <phoneticPr fontId="46" type="noConversion"/>
  </si>
  <si>
    <t>씨엘늘채움아파트</t>
    <phoneticPr fontId="46" type="noConversion"/>
  </si>
  <si>
    <t>군문주공2단지</t>
    <phoneticPr fontId="46" type="noConversion"/>
  </si>
  <si>
    <t>20260511-10260511-37471912</t>
  </si>
  <si>
    <t>당초 승인번호 (20260511-10260511-37467618)</t>
  </si>
  <si>
    <t>20260112-10260112-12028623</t>
  </si>
  <si>
    <t>2,200,000</t>
  </si>
  <si>
    <t>5월 11일 마이너스 계산서 처리 완료</t>
    <phoneticPr fontId="46" type="noConversion"/>
  </si>
  <si>
    <t>1/12 계산서 취소건_처리완료</t>
    <phoneticPr fontId="46" type="noConversion"/>
  </si>
  <si>
    <t xml:space="preserve">벽산첼시빌아파트 </t>
    <phoneticPr fontId="46" type="noConversion"/>
  </si>
  <si>
    <t>김병석</t>
    <phoneticPr fontId="46" type="noConversion"/>
  </si>
  <si>
    <t>에이치디건설㈜</t>
    <phoneticPr fontId="46" type="noConversion"/>
  </si>
  <si>
    <t>미사강변센텀팰리스아파트</t>
    <phoneticPr fontId="46" type="noConversion"/>
  </si>
  <si>
    <r>
      <rPr>
        <sz val="10"/>
        <color theme="1"/>
        <rFont val="맑은 고딕"/>
        <family val="3"/>
        <charset val="129"/>
      </rPr>
      <t>천강건설</t>
    </r>
    <r>
      <rPr>
        <sz val="10"/>
        <color theme="1"/>
        <rFont val="Noto Sans CJK SC"/>
        <family val="3"/>
        <charset val="129"/>
      </rPr>
      <t>㈜</t>
    </r>
    <phoneticPr fontId="46" type="noConversion"/>
  </si>
  <si>
    <t>2026-05-13</t>
  </si>
  <si>
    <t>20260513-10260513-39532121</t>
  </si>
  <si>
    <t>당초 승인번호 (20260513-10260513-39494152)</t>
  </si>
  <si>
    <t>3,735,500</t>
  </si>
  <si>
    <t>20260513-10260513-39254472</t>
  </si>
  <si>
    <t>3,067,500</t>
  </si>
  <si>
    <t>20260513-10260513-39254306</t>
  </si>
  <si>
    <t>4,333,500</t>
  </si>
  <si>
    <t>2026-05-13</t>
    <phoneticPr fontId="46" type="noConversion"/>
  </si>
  <si>
    <t>대전신한미리내아파트</t>
    <phoneticPr fontId="46" type="noConversion"/>
  </si>
  <si>
    <t>태산그린아파트</t>
    <phoneticPr fontId="46" type="noConversion"/>
  </si>
  <si>
    <t>2026-05-14</t>
  </si>
  <si>
    <t>20260514-10260514-39938543</t>
  </si>
  <si>
    <t>411-87-03232</t>
  </si>
  <si>
    <t>(주)더베스트 이앤비</t>
  </si>
  <si>
    <t>배윤영</t>
  </si>
  <si>
    <t>인천 연수구 송도과학로 16번길 13-18,송도건원테크노큐브 822호</t>
  </si>
  <si>
    <t>thebest_enb@naver.com</t>
  </si>
  <si>
    <t>578,100</t>
  </si>
  <si>
    <t>20260514-10260514-39927101</t>
  </si>
  <si>
    <t>2,870,000</t>
  </si>
  <si>
    <t>20260514-10260514-39926795</t>
  </si>
  <si>
    <t>20260514-10260514-39892712</t>
  </si>
  <si>
    <t>1,042,500</t>
  </si>
  <si>
    <t>20260514-10260514-39892006</t>
  </si>
  <si>
    <t>20260514-10260514-39890218</t>
  </si>
  <si>
    <t>20,625,000</t>
  </si>
  <si>
    <t>20260514-10260514-39889268</t>
  </si>
  <si>
    <t>130-86-30454</t>
  </si>
  <si>
    <t>(주)에스엠에이</t>
  </si>
  <si>
    <t>김성태</t>
  </si>
  <si>
    <t>경기도 부천시 경인로 141, 국일빌딩 4층</t>
  </si>
  <si>
    <t>sma8244@naver.com</t>
  </si>
  <si>
    <t>6,090,700</t>
  </si>
  <si>
    <t>20260514-10260514-39887856</t>
  </si>
  <si>
    <t>9,123,000</t>
  </si>
  <si>
    <t>20260514-10260514-39887459</t>
  </si>
  <si>
    <t>859,100</t>
  </si>
  <si>
    <t>20260514-10260514-39887034</t>
  </si>
  <si>
    <t>1,002,000</t>
  </si>
  <si>
    <t>20260514-10260514-39886490</t>
  </si>
  <si>
    <t>20260514-10260514-39886001</t>
  </si>
  <si>
    <t>1,413,900</t>
  </si>
  <si>
    <t>20260514-10260514-39883399</t>
  </si>
  <si>
    <t>1,012,800</t>
  </si>
  <si>
    <t>20260514-10260514-39883085</t>
  </si>
  <si>
    <t>4,318,000</t>
  </si>
  <si>
    <t>20260514-10260514-39882655</t>
  </si>
  <si>
    <t>1,556,200</t>
  </si>
  <si>
    <t>20260514-10260514-39837803</t>
  </si>
  <si>
    <t>1,624,500</t>
  </si>
  <si>
    <t>2026-05-14</t>
    <phoneticPr fontId="46" type="noConversion"/>
  </si>
  <si>
    <t>숲속마을주공그린빌4단지</t>
    <phoneticPr fontId="46" type="noConversion"/>
  </si>
  <si>
    <t>계룡삼환아파트</t>
    <phoneticPr fontId="46" type="noConversion"/>
  </si>
  <si>
    <t>쌍용역코오롱하늘채</t>
    <phoneticPr fontId="46" type="noConversion"/>
  </si>
  <si>
    <t>부천두산위브트레지움1단지</t>
    <phoneticPr fontId="46" type="noConversion"/>
  </si>
  <si>
    <t>이천신한1차</t>
    <phoneticPr fontId="46" type="noConversion"/>
  </si>
  <si>
    <t>평택효명아파트</t>
    <phoneticPr fontId="46" type="noConversion"/>
  </si>
  <si>
    <t>평택힐스테이트3차</t>
    <phoneticPr fontId="46" type="noConversion"/>
  </si>
  <si>
    <t>엠코타운더프라하</t>
    <phoneticPr fontId="46" type="noConversion"/>
  </si>
  <si>
    <t>힐스테이트광산</t>
    <phoneticPr fontId="46" type="noConversion"/>
  </si>
  <si>
    <t>운암주공5단지</t>
    <phoneticPr fontId="46" type="noConversion"/>
  </si>
  <si>
    <t>윤정삼</t>
    <phoneticPr fontId="46" type="noConversion"/>
  </si>
  <si>
    <t>김대연</t>
    <phoneticPr fontId="46" type="noConversion"/>
  </si>
  <si>
    <t>12식</t>
    <phoneticPr fontId="46" type="noConversion"/>
  </si>
  <si>
    <t>김용재</t>
    <phoneticPr fontId="46" type="noConversion"/>
  </si>
  <si>
    <t>신현섭</t>
    <phoneticPr fontId="46" type="noConversion"/>
  </si>
  <si>
    <t>윤성환</t>
    <phoneticPr fontId="46" type="noConversion"/>
  </si>
  <si>
    <t>12,000/13,000</t>
    <phoneticPr fontId="46" type="noConversion"/>
  </si>
  <si>
    <t>20260514-10260514-40172077</t>
  </si>
  <si>
    <t>9,664,000</t>
  </si>
  <si>
    <t>20260514-10260514-40169857</t>
  </si>
  <si>
    <t>401,400</t>
  </si>
  <si>
    <t>20260514-10260514-40169409</t>
  </si>
  <si>
    <t>2,059,200</t>
  </si>
  <si>
    <t>20260514-10260514-40167997</t>
  </si>
  <si>
    <t>12,845,500</t>
  </si>
  <si>
    <t>20260514-10260514-40167569</t>
  </si>
  <si>
    <t>1,012,500</t>
  </si>
  <si>
    <t>20260514-10260514-40066584</t>
  </si>
  <si>
    <t>1,604,000</t>
  </si>
  <si>
    <t>해운대센트럴푸르지오</t>
    <phoneticPr fontId="46" type="noConversion"/>
  </si>
  <si>
    <t>4/7일 취소건</t>
    <phoneticPr fontId="46" type="noConversion"/>
  </si>
  <si>
    <t>선진정공당진공장</t>
  </si>
  <si>
    <t>녹번역센트레빌아파트</t>
    <phoneticPr fontId="46" type="noConversion"/>
  </si>
  <si>
    <t>강서힐스테이트아파트(2)</t>
    <phoneticPr fontId="46" type="noConversion"/>
  </si>
  <si>
    <t>7품</t>
    <phoneticPr fontId="46" type="noConversion"/>
  </si>
  <si>
    <t>2026-05-18</t>
  </si>
  <si>
    <t>20260518-10260518-41449104</t>
  </si>
  <si>
    <t>1,262,000</t>
  </si>
  <si>
    <t>20260518-10260518-41449058</t>
  </si>
  <si>
    <t>333,800</t>
  </si>
  <si>
    <t>20260518-10260518-41448845</t>
  </si>
  <si>
    <t>20260518-10260518-41448795</t>
  </si>
  <si>
    <t>경기도 하남시 대청로 50-1,3층,2호 (백송한신아파트 상가동)</t>
  </si>
  <si>
    <t>1,699,600</t>
  </si>
  <si>
    <t>20260518-10260518-41448716</t>
  </si>
  <si>
    <t>4,712,300</t>
  </si>
  <si>
    <t>20260518-10260518-41448614</t>
  </si>
  <si>
    <t>20260518-10260518-41448571</t>
  </si>
  <si>
    <t>1,232,500</t>
  </si>
  <si>
    <t>20260518-10260518-41448476</t>
  </si>
  <si>
    <t>4,892,500</t>
  </si>
  <si>
    <t>20260518-10260518-41448425</t>
  </si>
  <si>
    <t>1,445,000</t>
  </si>
  <si>
    <t>20260518-10260518-41448362</t>
  </si>
  <si>
    <t>2026-05-18</t>
    <phoneticPr fontId="46" type="noConversion"/>
  </si>
  <si>
    <t>성포주공11단지</t>
    <phoneticPr fontId="46" type="noConversion"/>
  </si>
  <si>
    <t>상훈아파트</t>
    <phoneticPr fontId="46" type="noConversion"/>
  </si>
  <si>
    <t>제주도</t>
    <phoneticPr fontId="46" type="noConversion"/>
  </si>
  <si>
    <t>광교오드카운티</t>
    <phoneticPr fontId="46" type="noConversion"/>
  </si>
  <si>
    <t>거제신현두산위브</t>
    <phoneticPr fontId="46" type="noConversion"/>
  </si>
  <si>
    <t>태왕아너스오션 추가</t>
    <phoneticPr fontId="46" type="noConversion"/>
  </si>
  <si>
    <t>검단힐스테이트2차</t>
    <phoneticPr fontId="46" type="noConversion"/>
  </si>
  <si>
    <r>
      <rPr>
        <sz val="14"/>
        <color theme="1"/>
        <rFont val="맑은 고딕"/>
        <family val="3"/>
        <charset val="129"/>
      </rPr>
      <t>홍은풍림</t>
    </r>
    <r>
      <rPr>
        <sz val="14"/>
        <color theme="1"/>
        <rFont val="Noto Sans CJK SC"/>
        <family val="2"/>
      </rPr>
      <t>1</t>
    </r>
    <r>
      <rPr>
        <sz val="14"/>
        <color theme="1"/>
        <rFont val="맑은 고딕"/>
        <family val="3"/>
        <charset val="129"/>
      </rPr>
      <t>차</t>
    </r>
    <phoneticPr fontId="46" type="noConversion"/>
  </si>
  <si>
    <t>20260518-10260518-41904799</t>
  </si>
  <si>
    <t>20260518-10260518-41904306</t>
  </si>
  <si>
    <t>2,120,000</t>
  </si>
  <si>
    <t>20260518-10260518-41903748</t>
  </si>
  <si>
    <t>20260518-10260518-41903041</t>
  </si>
  <si>
    <t>32,825,000</t>
  </si>
  <si>
    <t>20260518-10260518-41901088</t>
  </si>
  <si>
    <t>3,804,000</t>
  </si>
  <si>
    <t>20260518-10260518-41900425</t>
  </si>
  <si>
    <t>20260518-10260518-41898845</t>
  </si>
  <si>
    <t>768-86-02961</t>
  </si>
  <si>
    <t>(주)보람씨앤씨</t>
  </si>
  <si>
    <t>이경희</t>
  </si>
  <si>
    <t>경기도 남양주시 별내면 청학로 78, 스파빌 211호</t>
  </si>
  <si>
    <t>gkr3641@naver.com</t>
  </si>
  <si>
    <t>1,177,400</t>
  </si>
  <si>
    <t>20260518-10260518-41896529</t>
  </si>
  <si>
    <t>5,121,000</t>
  </si>
  <si>
    <t>20260518-10260518-41894952</t>
  </si>
  <si>
    <t>1,515,700</t>
  </si>
  <si>
    <t>20260518-10260518-41893378</t>
  </si>
  <si>
    <t>6,975,000</t>
  </si>
  <si>
    <t>20260518-10260518-41892294</t>
  </si>
  <si>
    <t>4,994,400</t>
  </si>
  <si>
    <t>20260518-10260518-41887807</t>
  </si>
  <si>
    <t>214-86-05137</t>
  </si>
  <si>
    <t>(주)성익건설</t>
  </si>
  <si>
    <t>권태붕</t>
  </si>
  <si>
    <t>서울 금천구 서부샛길 606,B동 501호(가산동,대성디폴리스지식산업센터)</t>
  </si>
  <si>
    <t>sungik@bill36524.com</t>
  </si>
  <si>
    <t>2,047,900</t>
  </si>
  <si>
    <t>20260518-10260518-41886818</t>
  </si>
  <si>
    <t>865-81-03228</t>
  </si>
  <si>
    <t>알지씨앤씨(주)</t>
  </si>
  <si>
    <t>유진아</t>
  </si>
  <si>
    <t>충남 천안시 서북구 성거읍 신월소우길 324-26,2층</t>
  </si>
  <si>
    <t>rg5545@naver.com</t>
  </si>
  <si>
    <t>1,222,000</t>
  </si>
  <si>
    <t>20260518-10260518-41884790</t>
  </si>
  <si>
    <t>1,532,800</t>
  </si>
  <si>
    <t>20260518-10260518-41884077</t>
  </si>
  <si>
    <t>887,800</t>
  </si>
  <si>
    <t>모락산현대</t>
    <phoneticPr fontId="46" type="noConversion"/>
  </si>
  <si>
    <t>면목두산1차</t>
    <phoneticPr fontId="46" type="noConversion"/>
  </si>
  <si>
    <t>화봉쌍용예가</t>
    <phoneticPr fontId="46" type="noConversion"/>
  </si>
  <si>
    <t>대전신한미리내</t>
    <phoneticPr fontId="46" type="noConversion"/>
  </si>
  <si>
    <t>봉담신명아파트</t>
    <phoneticPr fontId="46" type="noConversion"/>
  </si>
  <si>
    <t>당진세안아파트</t>
    <phoneticPr fontId="46" type="noConversion"/>
  </si>
  <si>
    <t>삼정아이엔지건설㈜</t>
    <phoneticPr fontId="46" type="noConversion"/>
  </si>
  <si>
    <t>이천롯데캐슬골드스카이아파트</t>
  </si>
  <si>
    <t>동백역벽산블루밍아파트</t>
  </si>
  <si>
    <t>2026-05-19</t>
  </si>
  <si>
    <t>20260519-10260519-42597860</t>
  </si>
  <si>
    <t>443,900</t>
  </si>
  <si>
    <t>20260519-10260519-42580772</t>
  </si>
  <si>
    <t>417-81-39148</t>
  </si>
  <si>
    <t>에이치디건설 주식회사</t>
  </si>
  <si>
    <t>전라남도 여수시 교동남1길 6-32(교동)</t>
  </si>
  <si>
    <t>hdc7704@naver.com</t>
  </si>
  <si>
    <t>457,600</t>
  </si>
  <si>
    <t>20260519-10260519-42580265</t>
  </si>
  <si>
    <t>903,200</t>
  </si>
  <si>
    <t>20260519-10260519-42578783</t>
  </si>
  <si>
    <t>1,235,200</t>
  </si>
  <si>
    <t>20260519-10260519-42578235</t>
  </si>
  <si>
    <t>4,816,500</t>
  </si>
  <si>
    <t>20260519-10260519-42576690</t>
  </si>
  <si>
    <t>5,832,100</t>
  </si>
  <si>
    <t>20260519-10260519-42575693</t>
  </si>
  <si>
    <t>2,968,000</t>
  </si>
  <si>
    <t>2026-05-19</t>
    <phoneticPr fontId="46" type="noConversion"/>
  </si>
  <si>
    <t>여수중앙하이츠</t>
    <phoneticPr fontId="46" type="noConversion"/>
  </si>
  <si>
    <t>청주대주피오레2차</t>
    <phoneticPr fontId="46" type="noConversion"/>
  </si>
  <si>
    <t>2026-05-20</t>
  </si>
  <si>
    <t>20260520-10260520-42946171</t>
  </si>
  <si>
    <t>627,900</t>
  </si>
  <si>
    <t>20260520-10260520-42946005</t>
  </si>
  <si>
    <t>20260520-10260520-42944734</t>
  </si>
  <si>
    <t>317-81-03597</t>
  </si>
  <si>
    <t>대흥씨앤씨 주식회사</t>
  </si>
  <si>
    <t>고승영</t>
  </si>
  <si>
    <t>서울특별시 서초구 언남길 63(양재동, 신아빌딩) 201호</t>
  </si>
  <si>
    <t>dhcnc1201@naver.com</t>
  </si>
  <si>
    <t>8,342,900</t>
  </si>
  <si>
    <t>2026-05-20</t>
    <phoneticPr fontId="46" type="noConversion"/>
  </si>
  <si>
    <t>송곡신일아파트</t>
    <phoneticPr fontId="46" type="noConversion"/>
  </si>
  <si>
    <t>신도림현대</t>
    <phoneticPr fontId="46" type="noConversion"/>
  </si>
  <si>
    <t>㈜도원씨엔씨</t>
    <phoneticPr fontId="46" type="noConversion"/>
  </si>
  <si>
    <t>마곡청구아파트</t>
    <phoneticPr fontId="46" type="noConversion"/>
  </si>
  <si>
    <t xml:space="preserve">경향렉스빌아파트 </t>
    <phoneticPr fontId="46" type="noConversion"/>
  </si>
  <si>
    <t>진성이엔지㈜</t>
    <phoneticPr fontId="46" type="noConversion"/>
  </si>
  <si>
    <t>이상돈</t>
    <phoneticPr fontId="46" type="noConversion"/>
  </si>
  <si>
    <t>2026-05-21</t>
  </si>
  <si>
    <t>20260521-10260521-44318301</t>
  </si>
  <si>
    <t>777,500</t>
  </si>
  <si>
    <t>20260521-10260521-44232157</t>
  </si>
  <si>
    <t>623,400</t>
  </si>
  <si>
    <t>20260521-10260521-44056751</t>
  </si>
  <si>
    <t>353,400</t>
  </si>
  <si>
    <t>20260521-10260521-43971929</t>
  </si>
  <si>
    <t>20260521-10260521-43971679</t>
  </si>
  <si>
    <t>1,732,000</t>
  </si>
  <si>
    <t>20260521-10260521-43971349</t>
  </si>
  <si>
    <t>502-81-98668</t>
  </si>
  <si>
    <t>주식회사 명하씨앤씨</t>
  </si>
  <si>
    <t>임태진,최형민</t>
  </si>
  <si>
    <t>서울특별시 강서구 마곡중앙로 161-8,C동 503호(마곡동 두산더랜드파크)</t>
  </si>
  <si>
    <t>myoungha1@hanmail.net</t>
  </si>
  <si>
    <t>7,796,200</t>
  </si>
  <si>
    <t>20260521-10260521-43969930</t>
  </si>
  <si>
    <t>2,978,000</t>
  </si>
  <si>
    <t>20260521-10260521-43969745</t>
  </si>
  <si>
    <t>420,700</t>
  </si>
  <si>
    <t>2026-05-21</t>
    <phoneticPr fontId="46" type="noConversion"/>
  </si>
  <si>
    <t>플루리움1단지</t>
    <phoneticPr fontId="46" type="noConversion"/>
  </si>
  <si>
    <t>벽산블루밍2차</t>
    <phoneticPr fontId="46" type="noConversion"/>
  </si>
  <si>
    <t>진달래마을대림</t>
    <phoneticPr fontId="46" type="noConversion"/>
  </si>
  <si>
    <t>동춘무지개마을</t>
    <phoneticPr fontId="46" type="noConversion"/>
  </si>
  <si>
    <t>진산마을성원상떼빌</t>
    <phoneticPr fontId="46" type="noConversion"/>
  </si>
  <si>
    <t>2026-05-22</t>
  </si>
  <si>
    <t>20260522-10260522-45201102</t>
  </si>
  <si>
    <t>150,400</t>
  </si>
  <si>
    <t>20260522-10260522-45123310</t>
  </si>
  <si>
    <t>608-81-85160</t>
  </si>
  <si>
    <t>현대도건(주)</t>
  </si>
  <si>
    <t>장승호,장치홍</t>
  </si>
  <si>
    <t>광주광역시 광산구 임방울대로 578 (도천동)</t>
  </si>
  <si>
    <t>hdeng7717@naver.com</t>
  </si>
  <si>
    <t>1,099,500</t>
  </si>
  <si>
    <t>20260522-10260522-45120937</t>
  </si>
  <si>
    <t>2,689,200</t>
  </si>
  <si>
    <t>20260522-10260522-44998784</t>
  </si>
  <si>
    <t>211-86-70264</t>
  </si>
  <si>
    <t>(주)한림제코</t>
  </si>
  <si>
    <t>전경종</t>
  </si>
  <si>
    <t>대구광역시 북구 검단공단로21길 19</t>
  </si>
  <si>
    <t>hanlimgeco@naver.com</t>
  </si>
  <si>
    <t>477,500</t>
  </si>
  <si>
    <t>20260522-10260522-44998588</t>
  </si>
  <si>
    <t>456,100</t>
  </si>
  <si>
    <t>20260522-10260522-44998381</t>
  </si>
  <si>
    <t>4,602,600</t>
  </si>
  <si>
    <t>20260522-10260522-44725888</t>
  </si>
  <si>
    <t>1,772,100</t>
  </si>
  <si>
    <t>20260518-10260522-44937265</t>
  </si>
  <si>
    <t>당초 승인번호 (20260518-10260518-41894473)</t>
  </si>
  <si>
    <t>1,426,200</t>
  </si>
  <si>
    <t>20260513-10260522-44935511</t>
  </si>
  <si>
    <t>당초 승인번호 (20260513-10260513-39313558)</t>
  </si>
  <si>
    <t>23,134,500</t>
  </si>
  <si>
    <t>2026-05-22</t>
    <phoneticPr fontId="46" type="noConversion"/>
  </si>
  <si>
    <t>첨단대우아파트</t>
    <phoneticPr fontId="46" type="noConversion"/>
  </si>
  <si>
    <t>민락동진로비치</t>
    <phoneticPr fontId="46" type="noConversion"/>
  </si>
  <si>
    <t>은곡(내수)덕일한마음아파트</t>
    <phoneticPr fontId="46" type="noConversion"/>
  </si>
  <si>
    <t>노길영</t>
    <phoneticPr fontId="46" type="noConversion"/>
  </si>
  <si>
    <t xml:space="preserve">산청삼한사랑채아파트 </t>
    <phoneticPr fontId="46" type="noConversion"/>
  </si>
  <si>
    <t>김병석</t>
    <phoneticPr fontId="46" type="noConversion"/>
  </si>
  <si>
    <t>2026-05-26</t>
  </si>
  <si>
    <t>20260526-10260526-46543169</t>
  </si>
  <si>
    <t>382-87-02920</t>
  </si>
  <si>
    <t>허규성,최병준</t>
  </si>
  <si>
    <t>경기도 남양주시 다산중앙로 105-18,지앤지비즈타워 305호</t>
  </si>
  <si>
    <t>dasanctc@naver.com</t>
  </si>
  <si>
    <t>66,990,000</t>
  </si>
  <si>
    <t>20260526-10260526-46542172</t>
  </si>
  <si>
    <t>52,260,000</t>
  </si>
  <si>
    <t>20260526-10260526-46484929</t>
  </si>
  <si>
    <t>901,600</t>
  </si>
  <si>
    <t>20260526-10260526-46484280</t>
  </si>
  <si>
    <t>573,800</t>
  </si>
  <si>
    <t>20260526-10260526-46341170</t>
  </si>
  <si>
    <t>9,386,400</t>
  </si>
  <si>
    <t>20260526-10260526-46338346</t>
  </si>
  <si>
    <t>3,386,000</t>
  </si>
  <si>
    <t>20260526-10260526-46335573</t>
  </si>
  <si>
    <t>1,174,000</t>
  </si>
  <si>
    <t>20260526-10260526-46014829</t>
  </si>
  <si>
    <t>46,016,000</t>
  </si>
  <si>
    <t>20260526-10260526-45962662</t>
  </si>
  <si>
    <t>471,500</t>
  </si>
  <si>
    <t>2026-05-26</t>
    <phoneticPr fontId="46" type="noConversion"/>
  </si>
  <si>
    <t>이천대림휴먼빌</t>
    <phoneticPr fontId="46" type="noConversion"/>
  </si>
  <si>
    <t>거제아이파크1차</t>
    <phoneticPr fontId="46" type="noConversion"/>
  </si>
  <si>
    <t>갤러리휴리움</t>
    <phoneticPr fontId="46" type="noConversion"/>
  </si>
  <si>
    <t>경동택배대구북구검단1128</t>
  </si>
  <si>
    <t>불당지웰시티1단지부대시설</t>
  </si>
  <si>
    <t>잠실리센츠C구역</t>
  </si>
  <si>
    <t>잠실리센츠K구역</t>
  </si>
  <si>
    <t>경동택배대전동구인동25</t>
  </si>
  <si>
    <t>경동택배포항북구죽도644</t>
  </si>
  <si>
    <t>㈜효덕산업</t>
    <phoneticPr fontId="46" type="noConversion"/>
  </si>
  <si>
    <t>송도베르디움더퍼스트아파트</t>
    <phoneticPr fontId="46" type="noConversion"/>
  </si>
  <si>
    <t>2026-05-27</t>
  </si>
  <si>
    <t>20260527-10260527-47686616</t>
  </si>
  <si>
    <t>20260527-10260527-47647337</t>
  </si>
  <si>
    <t>4,741,700</t>
  </si>
  <si>
    <t>20260527-10260527-47589227</t>
  </si>
  <si>
    <t>287,000</t>
  </si>
  <si>
    <t>20260527-10260527-47453475</t>
  </si>
  <si>
    <t>54,489,500</t>
  </si>
  <si>
    <t>20260527-10260527-47450695</t>
  </si>
  <si>
    <t>537,000</t>
  </si>
  <si>
    <t>20260527-10260527-47449476</t>
  </si>
  <si>
    <t>2,840,000</t>
  </si>
  <si>
    <t>20260527-10260527-47232283</t>
  </si>
  <si>
    <t>5,544,000</t>
  </si>
  <si>
    <t>20260527-10260527-47232124</t>
  </si>
  <si>
    <t>771-88-01924</t>
  </si>
  <si>
    <t>(주)도원씨엔씨</t>
  </si>
  <si>
    <t>김계천</t>
  </si>
  <si>
    <t>충청남도 천안시 동남구 천안천10길47,1층101호(신부동)</t>
  </si>
  <si>
    <t>dowon5644@naver.com</t>
  </si>
  <si>
    <t>23,356,800</t>
  </si>
  <si>
    <t>20260527-10260527-47232011</t>
  </si>
  <si>
    <t>11,145,300</t>
  </si>
  <si>
    <t>20260527-10260527-47230847</t>
  </si>
  <si>
    <t>20260527-10260527-47230711</t>
  </si>
  <si>
    <t>1,668,000</t>
  </si>
  <si>
    <t>20260527-10260527-47230609</t>
  </si>
  <si>
    <t>234,000</t>
  </si>
  <si>
    <t>20260527-10260527-47230492</t>
  </si>
  <si>
    <t>21,223,000</t>
  </si>
  <si>
    <t>2026-05-27</t>
    <phoneticPr fontId="46" type="noConversion"/>
  </si>
  <si>
    <t>수지한신아파트</t>
    <phoneticPr fontId="46" type="noConversion"/>
  </si>
  <si>
    <t>이노시티애시앙1단지</t>
    <phoneticPr fontId="46" type="noConversion"/>
  </si>
  <si>
    <t>경동택배창원의창팔용13</t>
  </si>
  <si>
    <t>2026-05-22/05-27</t>
    <phoneticPr fontId="46" type="noConversion"/>
  </si>
  <si>
    <t>효천마을신안인스빌</t>
    <phoneticPr fontId="46" type="noConversion"/>
  </si>
  <si>
    <t>천안백석2차아이파크아파트</t>
    <phoneticPr fontId="46" type="noConversion"/>
  </si>
  <si>
    <t>유승한내들아파트</t>
    <phoneticPr fontId="46" type="noConversion"/>
  </si>
  <si>
    <t>삼산주공미래타운3단지</t>
    <phoneticPr fontId="46" type="noConversion"/>
  </si>
  <si>
    <t>더샵오산센트럴아파트</t>
    <phoneticPr fontId="46" type="noConversion"/>
  </si>
  <si>
    <t>㈜도경</t>
    <phoneticPr fontId="46" type="noConversion"/>
  </si>
  <si>
    <t>㈜대한진단건설</t>
    <phoneticPr fontId="46" type="noConversion"/>
  </si>
  <si>
    <t>(예)2026-07-31</t>
    <phoneticPr fontId="46" type="noConversion"/>
  </si>
  <si>
    <t>(예)2026-06-10</t>
    <phoneticPr fontId="46" type="noConversion"/>
  </si>
  <si>
    <t>(예)2026-06-24</t>
    <phoneticPr fontId="46" type="noConversion"/>
  </si>
  <si>
    <t>(예)2026-06-19</t>
    <phoneticPr fontId="46" type="noConversion"/>
  </si>
  <si>
    <t>㈜더원산업개발</t>
    <phoneticPr fontId="46" type="noConversion"/>
  </si>
  <si>
    <t>진달래마을신동아아파트</t>
    <phoneticPr fontId="46" type="noConversion"/>
  </si>
  <si>
    <t>2026-05-29</t>
  </si>
  <si>
    <t>20260529-10260529-49241749</t>
  </si>
  <si>
    <t>20260529-10260529-49241575</t>
  </si>
  <si>
    <t>1,152,000</t>
  </si>
  <si>
    <t>2026-05-28</t>
  </si>
  <si>
    <t>20260528-10260528-48989509</t>
  </si>
  <si>
    <t>자재대금_선수금</t>
  </si>
  <si>
    <t>20260528-10260528-48595166</t>
  </si>
  <si>
    <t>9,779,500</t>
  </si>
  <si>
    <t>20260528-10260528-48572117</t>
  </si>
  <si>
    <t>1,195,800</t>
  </si>
  <si>
    <t>20260528-10260528-48570454</t>
  </si>
  <si>
    <t>1,357,500</t>
  </si>
  <si>
    <t>20260528-10260528-48570250</t>
  </si>
  <si>
    <t>1,360,200</t>
  </si>
  <si>
    <t>20260528-10260528-48569866</t>
  </si>
  <si>
    <t>11,138,000</t>
  </si>
  <si>
    <t>20260528-10260528-48569582</t>
  </si>
  <si>
    <t>13,656,000</t>
  </si>
  <si>
    <t>20260528-10260528-48569282</t>
  </si>
  <si>
    <t>18,908,500</t>
  </si>
  <si>
    <t>20260528-10260528-48567864</t>
  </si>
  <si>
    <t>20260528-10260528-48567553</t>
  </si>
  <si>
    <t>2,484,400</t>
  </si>
  <si>
    <t>20260528-10260528-48567189</t>
  </si>
  <si>
    <t>34,678,800</t>
  </si>
  <si>
    <t>20260528-10260528-48566783</t>
  </si>
  <si>
    <t>10,611,500</t>
  </si>
  <si>
    <t>2026-05-28</t>
    <phoneticPr fontId="46" type="noConversion"/>
  </si>
  <si>
    <t>중계중앙하이츠</t>
    <phoneticPr fontId="46" type="noConversion"/>
  </si>
  <si>
    <t>거제신아그린</t>
    <phoneticPr fontId="46" type="noConversion"/>
  </si>
  <si>
    <t>해운대비스타동원</t>
    <phoneticPr fontId="46" type="noConversion"/>
  </si>
  <si>
    <t>성저마을1단지동익</t>
    <phoneticPr fontId="46" type="noConversion"/>
  </si>
  <si>
    <t>용두주공아파트</t>
    <phoneticPr fontId="46" type="noConversion"/>
  </si>
  <si>
    <t>초월역동광뷰엘</t>
    <phoneticPr fontId="46" type="noConversion"/>
  </si>
  <si>
    <t>보성송림맨션</t>
    <phoneticPr fontId="46" type="noConversion"/>
  </si>
  <si>
    <t>2026-05-29</t>
    <phoneticPr fontId="46" type="noConversion"/>
  </si>
  <si>
    <t>예진마을2차</t>
    <phoneticPr fontId="46" type="noConversion"/>
  </si>
  <si>
    <t>시흥3차벽산</t>
    <phoneticPr fontId="46" type="noConversion"/>
  </si>
  <si>
    <t>성수동아그린</t>
    <phoneticPr fontId="46" type="noConversion"/>
  </si>
  <si>
    <t xml:space="preserve">민락엘레트아파트 </t>
    <phoneticPr fontId="46" type="noConversion"/>
  </si>
  <si>
    <t>조종억</t>
    <phoneticPr fontId="46" type="noConversion"/>
  </si>
  <si>
    <t>김원규</t>
    <phoneticPr fontId="46" type="noConversion"/>
  </si>
  <si>
    <t>와이티파트너스㈜</t>
    <phoneticPr fontId="46" type="noConversion"/>
  </si>
  <si>
    <t>하남성원상떼빌아파트</t>
    <phoneticPr fontId="46" type="noConversion"/>
  </si>
  <si>
    <t>2026-06-01</t>
  </si>
  <si>
    <t>20260528-10260529-49288328</t>
  </si>
  <si>
    <t>당초 승인번호 (20260528-10260528-48570785)</t>
  </si>
  <si>
    <t>18,287,800</t>
  </si>
  <si>
    <t>20260529-10260529-50065659</t>
  </si>
  <si>
    <t>2,955,100</t>
  </si>
  <si>
    <t>20260529-10260529-49932808</t>
  </si>
  <si>
    <t>206-81-97475</t>
  </si>
  <si>
    <t>(주)두루빌엔지니어링</t>
  </si>
  <si>
    <t>이호준</t>
  </si>
  <si>
    <t>서울특별시 금천구 한내로 56,4층 (독산동,케이티광명빌딩)</t>
  </si>
  <si>
    <t>dooroo9792@naver.com</t>
  </si>
  <si>
    <t>1,096,700</t>
  </si>
  <si>
    <t>20260529-10260529-49920205</t>
  </si>
  <si>
    <t>20260529-10260529-49916439</t>
  </si>
  <si>
    <t>202,900</t>
  </si>
  <si>
    <t>20260529-10260529-49913774</t>
  </si>
  <si>
    <t>2,888,600</t>
  </si>
  <si>
    <t>20260529-10260529-49913323</t>
  </si>
  <si>
    <t>20260529-10260529-49911931</t>
  </si>
  <si>
    <t>437,400</t>
  </si>
  <si>
    <t>20260529-10260529-49288771</t>
  </si>
  <si>
    <t>2,463,000</t>
  </si>
  <si>
    <t>20260601-10260601-51947407</t>
  </si>
  <si>
    <t>2,610,000</t>
  </si>
  <si>
    <t>20260601-10260601-51940360</t>
  </si>
  <si>
    <t>19,530,000</t>
  </si>
  <si>
    <t>20260601-10260601-51938409</t>
  </si>
  <si>
    <t>9,494,400</t>
  </si>
  <si>
    <t>20260601-10260601-51938092</t>
  </si>
  <si>
    <t>21,270,600</t>
  </si>
  <si>
    <t>20260601-10260601-51936325</t>
  </si>
  <si>
    <t>1,517,500</t>
  </si>
  <si>
    <t>20260601-10260601-51934580</t>
  </si>
  <si>
    <t>20,221,300</t>
  </si>
  <si>
    <t>2026-06-01</t>
    <phoneticPr fontId="46" type="noConversion"/>
  </si>
  <si>
    <t>까치마을롯데선경</t>
    <phoneticPr fontId="46" type="noConversion"/>
  </si>
  <si>
    <t>부산안락Sk뷰</t>
    <phoneticPr fontId="46" type="noConversion"/>
  </si>
  <si>
    <t>무등산리버파크</t>
    <phoneticPr fontId="46" type="noConversion"/>
  </si>
  <si>
    <t>경동택배 대전서구정림416</t>
    <phoneticPr fontId="46" type="noConversion"/>
  </si>
  <si>
    <t>청주대주피오레2차 추가주문분</t>
    <phoneticPr fontId="46" type="noConversion"/>
  </si>
  <si>
    <t>선수금</t>
    <phoneticPr fontId="46" type="noConversion"/>
  </si>
  <si>
    <t>인완산힐스테이트아파트</t>
    <phoneticPr fontId="46" type="noConversion"/>
  </si>
  <si>
    <t>동부산아이존빌</t>
    <phoneticPr fontId="46" type="noConversion"/>
  </si>
  <si>
    <t>경동택배대전서구정림416</t>
    <phoneticPr fontId="46" type="noConversion"/>
  </si>
  <si>
    <r>
      <t>*26</t>
    </r>
    <r>
      <rPr>
        <sz val="11"/>
        <color theme="1"/>
        <rFont val="맑은 고딕"/>
        <family val="3"/>
        <charset val="129"/>
      </rPr>
      <t>년 5월 28일 더원산업개발로 계산서 재발행</t>
    </r>
    <r>
      <rPr>
        <sz val="11"/>
        <color theme="1"/>
        <rFont val="맑은 고딕"/>
        <family val="2"/>
        <charset val="129"/>
      </rPr>
      <t xml:space="preserve"> / 5/29 입금완료</t>
    </r>
    <phoneticPr fontId="4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</si>
</sst>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41" formatCode="_-* #,##0_-;\-* #,##0_-;_-* &quot;-&quot;_-;_-@_-"/>
    <numFmt numFmtId="43" formatCode="_-* #,##0.00_-;\-* #,##0.00_-;_-* &quot;-&quot;??_-;_-@_-"/>
    <numFmt numFmtId="176" formatCode="_(* #,##0_);_(* \(#,##0\);_(* \-_);_(@_)"/>
    <numFmt numFmtId="177" formatCode="0.0%"/>
    <numFmt numFmtId="178" formatCode="_-* #,##0_-;\-* #,##0_-;_-* \-_-;_-@_-"/>
    <numFmt numFmtId="179" formatCode="m/d/yyyy"/>
    <numFmt numFmtId="180" formatCode="yyyy\-mm\-dd"/>
    <numFmt numFmtId="181" formatCode="yy\/m\/d;@"/>
    <numFmt numFmtId="182" formatCode="0&quot;일&quot;"/>
    <numFmt numFmtId="183" formatCode="#,##0_ ;[Red]\-#,##0\ "/>
    <numFmt numFmtId="184" formatCode="_-* #,##0.0_-;\-* #,##0.0_-;_-* &quot;-&quot;?_-;_-@_-"/>
    <numFmt numFmtId="185" formatCode="yyyy/mm/dd;@"/>
  </numFmts>
  <fonts count="79">
    <font>
      <sz val="11"/>
      <color theme="1"/>
      <name val="맑은 고딕"/>
      <family val="2"/>
      <charset val="129"/>
    </font>
    <font>
      <sz val="10"/>
      <name val="Arial"/>
      <family val="2"/>
    </font>
    <font>
      <sz val="10"/>
      <color theme="1"/>
      <name val="맑은 고딕"/>
      <family val="3"/>
      <charset val="129"/>
    </font>
    <font>
      <sz val="10"/>
      <name val="맑은 고딕"/>
      <family val="3"/>
      <charset val="129"/>
    </font>
    <font>
      <b/>
      <sz val="10"/>
      <color theme="0"/>
      <name val="맑은 고딕"/>
      <family val="3"/>
      <charset val="129"/>
    </font>
    <font>
      <b/>
      <sz val="14"/>
      <color theme="0"/>
      <name val="맑은 고딕"/>
      <family val="3"/>
      <charset val="129"/>
    </font>
    <font>
      <b/>
      <sz val="14"/>
      <color theme="0"/>
      <name val="Noto Sans CJK SC"/>
      <family val="2"/>
    </font>
    <font>
      <b/>
      <sz val="14"/>
      <color rgb="FF2C3E50"/>
      <name val="맑은 고딕"/>
      <family val="3"/>
      <charset val="129"/>
    </font>
    <font>
      <b/>
      <sz val="9"/>
      <color rgb="FFFFFFFF"/>
      <name val="Noto Sans CJK SC"/>
      <family val="2"/>
      <charset val="1"/>
    </font>
    <font>
      <b/>
      <sz val="11"/>
      <color rgb="FF2C3E50"/>
      <name val="맑은 고딕"/>
      <family val="3"/>
      <charset val="129"/>
    </font>
    <font>
      <b/>
      <sz val="11"/>
      <color rgb="FF2C3E50"/>
      <name val="Noto Sans CJK SC"/>
      <family val="2"/>
    </font>
    <font>
      <b/>
      <sz val="9"/>
      <color rgb="FFFFFFFF"/>
      <name val="맑은 고딕"/>
      <family val="3"/>
      <charset val="129"/>
    </font>
    <font>
      <b/>
      <sz val="9"/>
      <color rgb="FFFFFFFF"/>
      <name val="Noto Sans CJK SC"/>
      <family val="2"/>
    </font>
    <font>
      <sz val="10"/>
      <name val="Noto Sans CJK SC"/>
      <family val="2"/>
      <charset val="1"/>
    </font>
    <font>
      <sz val="10"/>
      <name val="Arial"/>
      <family val="2"/>
      <charset val="1"/>
    </font>
    <font>
      <sz val="10"/>
      <color rgb="FF7F8C8D"/>
      <name val="Noto Sans CJK SC"/>
      <family val="2"/>
      <charset val="1"/>
    </font>
    <font>
      <b/>
      <sz val="10"/>
      <name val="Noto Sans CJK SC"/>
      <family val="2"/>
      <charset val="1"/>
    </font>
    <font>
      <b/>
      <sz val="10"/>
      <name val="맑은 고딕"/>
      <family val="3"/>
      <charset val="129"/>
    </font>
    <font>
      <sz val="10"/>
      <color theme="0" tint="-0.499984740745262"/>
      <name val="Noto Sans CJK SC"/>
      <family val="2"/>
      <charset val="1"/>
    </font>
    <font>
      <sz val="11"/>
      <color theme="1"/>
      <name val="맑은 고딕"/>
      <family val="3"/>
      <charset val="129"/>
    </font>
    <font>
      <b/>
      <sz val="10"/>
      <color theme="0"/>
      <name val="Noto Sans CJK SC"/>
      <family val="2"/>
      <charset val="1"/>
    </font>
    <font>
      <b/>
      <sz val="10"/>
      <color theme="0"/>
      <name val="Noto Sans CJK SC"/>
      <family val="3"/>
      <charset val="129"/>
    </font>
    <font>
      <b/>
      <sz val="10"/>
      <color theme="0"/>
      <name val="Noto Sans CJK SC"/>
      <family val="2"/>
      <charset val="129"/>
    </font>
    <font>
      <b/>
      <sz val="10"/>
      <color theme="1"/>
      <name val="맑은 고딕"/>
      <family val="3"/>
      <charset val="129"/>
    </font>
    <font>
      <sz val="10"/>
      <color theme="1"/>
      <name val="Noto Sans CJK SC"/>
      <family val="2"/>
      <charset val="1"/>
    </font>
    <font>
      <sz val="10"/>
      <color theme="1"/>
      <name val="Noto Sans CJK SC"/>
      <family val="3"/>
      <charset val="129"/>
    </font>
    <font>
      <sz val="11"/>
      <color rgb="FFAAAAAA"/>
      <name val="맑은 고딕"/>
      <family val="3"/>
      <charset val="129"/>
    </font>
    <font>
      <sz val="10"/>
      <color theme="0" tint="-0.14999847407452621"/>
      <name val="맑은 고딕"/>
      <family val="3"/>
      <charset val="129"/>
    </font>
    <font>
      <sz val="11"/>
      <color theme="1"/>
      <name val="Noto Sans CJK SC"/>
      <family val="2"/>
    </font>
    <font>
      <sz val="10"/>
      <color theme="1"/>
      <name val="Noto Sans CJK SC"/>
      <family val="2"/>
    </font>
    <font>
      <sz val="16"/>
      <color theme="1"/>
      <name val="맑은 고딕"/>
      <family val="3"/>
      <charset val="129"/>
    </font>
    <font>
      <sz val="25"/>
      <color theme="1"/>
      <name val="맑은 고딕"/>
      <family val="3"/>
      <charset val="129"/>
    </font>
    <font>
      <sz val="14"/>
      <color theme="1"/>
      <name val="맑은 고딕"/>
      <family val="3"/>
      <charset val="129"/>
    </font>
    <font>
      <sz val="14"/>
      <color theme="1"/>
      <name val="Noto Sans CJK SC"/>
      <family val="2"/>
    </font>
    <font>
      <sz val="14"/>
      <color theme="1"/>
      <name val="Noto Sans CJK SC"/>
      <family val="2"/>
      <charset val="1"/>
    </font>
    <font>
      <sz val="14"/>
      <name val="맑은 고딕"/>
      <family val="3"/>
      <charset val="129"/>
    </font>
    <font>
      <sz val="14"/>
      <color rgb="FFFF0000"/>
      <name val="맑은 고딕"/>
      <family val="3"/>
      <charset val="129"/>
    </font>
    <font>
      <b/>
      <sz val="14"/>
      <color theme="1"/>
      <name val="맑은 고딕"/>
      <family val="3"/>
      <charset val="129"/>
    </font>
    <font>
      <b/>
      <sz val="14"/>
      <color theme="1"/>
      <name val="Noto Sans CJK SC"/>
      <family val="2"/>
    </font>
    <font>
      <b/>
      <sz val="16"/>
      <color theme="1"/>
      <name val="맑은 고딕"/>
      <family val="3"/>
      <charset val="129"/>
    </font>
    <font>
      <b/>
      <sz val="16"/>
      <color theme="1"/>
      <name val="Noto Sans CJK SC"/>
      <family val="2"/>
    </font>
    <font>
      <sz val="11"/>
      <color theme="1"/>
      <name val="Noto Sans CJK SC"/>
      <family val="2"/>
      <charset val="1"/>
    </font>
    <font>
      <sz val="11"/>
      <name val="Noto Sans CJK SC"/>
      <family val="2"/>
      <charset val="1"/>
    </font>
    <font>
      <sz val="11"/>
      <name val="맑은 고딕"/>
      <family val="3"/>
      <charset val="129"/>
    </font>
    <font>
      <sz val="10"/>
      <name val="Noto Sans CJK SC"/>
      <family val="2"/>
    </font>
    <font>
      <sz val="11"/>
      <color theme="1"/>
      <name val="맑은 고딕"/>
      <family val="2"/>
      <charset val="129"/>
    </font>
    <font>
      <sz val="8"/>
      <name val="맑은 고딕"/>
      <family val="2"/>
      <charset val="129"/>
    </font>
    <font>
      <sz val="10"/>
      <color theme="1"/>
      <name val="Noto Sans CJK SC"/>
      <family val="3"/>
      <charset val="1"/>
    </font>
    <font>
      <sz val="11"/>
      <color theme="1"/>
      <name val="Noto Sans CJK SC"/>
      <family val="3"/>
      <charset val="129"/>
    </font>
    <font>
      <sz val="14"/>
      <color theme="1"/>
      <name val="Noto Sans CJK SC"/>
      <family val="3"/>
      <charset val="129"/>
    </font>
    <font>
      <sz val="11"/>
      <color theme="1"/>
      <name val="Arial"/>
      <family val="2"/>
    </font>
    <font>
      <sz val="14"/>
      <color theme="1"/>
      <name val="맑은 고딕"/>
      <family val="2"/>
      <charset val="129"/>
    </font>
    <font>
      <sz val="8"/>
      <name val="맑은 고딕"/>
      <family val="2"/>
      <charset val="129"/>
      <scheme val="minor"/>
    </font>
    <font>
      <sz val="11"/>
      <color theme="1"/>
      <name val="돋움"/>
      <family val="2"/>
      <charset val="129"/>
    </font>
    <font>
      <sz val="10"/>
      <color theme="1"/>
      <name val="Arial"/>
      <family val="2"/>
    </font>
    <font>
      <sz val="11"/>
      <color theme="1"/>
      <name val="Noto Sans CJK SC"/>
      <family val="3"/>
    </font>
    <font>
      <sz val="14"/>
      <color theme="1"/>
      <name val="Arial"/>
      <family val="2"/>
    </font>
    <font>
      <b/>
      <sz val="9"/>
      <color rgb="FFFFFFFF"/>
      <name val="Noto Sans CJK SC"/>
      <family val="3"/>
      <charset val="129"/>
    </font>
    <font>
      <sz val="10"/>
      <name val="Noto Sans CJK SC"/>
      <family val="3"/>
      <charset val="129"/>
    </font>
    <font>
      <sz val="11"/>
      <color theme="1"/>
      <name val="Calibri"/>
      <family val="2"/>
      <charset val="1"/>
    </font>
    <font>
      <sz val="8"/>
      <name val="돋움"/>
      <family val="3"/>
      <charset val="129"/>
    </font>
    <font>
      <sz val="10"/>
      <color theme="0"/>
      <name val="맑은 고딕"/>
      <family val="3"/>
      <charset val="129"/>
    </font>
    <font>
      <b/>
      <sz val="10"/>
      <color theme="1"/>
      <name val="Noto Sans CJK SC"/>
      <family val="3"/>
      <charset val="1"/>
    </font>
    <font>
      <b/>
      <sz val="10"/>
      <color theme="1"/>
      <name val="Noto Sans CJK SC"/>
      <family val="3"/>
    </font>
    <font>
      <b/>
      <sz val="10"/>
      <color theme="1"/>
      <name val="Noto Sans CJK SC"/>
      <family val="3"/>
      <charset val="129"/>
    </font>
    <font>
      <b/>
      <sz val="10"/>
      <color theme="1"/>
      <name val="Noto Sans CJK SC"/>
      <family val="2"/>
      <charset val="1"/>
    </font>
    <font>
      <b/>
      <sz val="10"/>
      <color theme="1"/>
      <name val="돋움"/>
      <family val="3"/>
      <charset val="129"/>
    </font>
    <font>
      <sz val="10"/>
      <color rgb="FFAAAAAA"/>
      <name val="맑은 고딕"/>
      <family val="3"/>
      <charset val="129"/>
    </font>
    <font>
      <sz val="10"/>
      <color theme="0" tint="-0.34998626667073579"/>
      <name val="맑은 고딕"/>
      <family val="3"/>
      <charset val="129"/>
    </font>
    <font>
      <b/>
      <sz val="10"/>
      <color theme="1"/>
      <name val="Arial"/>
      <family val="2"/>
    </font>
    <font>
      <b/>
      <sz val="9"/>
      <color indexed="81"/>
      <name val="Tahoma"/>
      <family val="2"/>
    </font>
    <font>
      <b/>
      <sz val="9"/>
      <color indexed="81"/>
      <name val="돋움"/>
      <family val="3"/>
      <charset val="129"/>
    </font>
    <font>
      <sz val="10"/>
      <color theme="1"/>
      <name val="맑은 고딕"/>
      <family val="3"/>
      <charset val="129"/>
      <scheme val="minor"/>
    </font>
    <font>
      <b/>
      <sz val="10"/>
      <color theme="1"/>
      <name val="맑은 고딕"/>
      <family val="3"/>
      <charset val="129"/>
      <scheme val="minor"/>
    </font>
    <font>
      <sz val="10"/>
      <color theme="1"/>
      <name val="맑은 고딕"/>
      <family val="2"/>
      <scheme val="minor"/>
    </font>
    <font>
      <sz val="8"/>
      <name val="맑은 고딕"/>
      <family val="3"/>
      <charset val="129"/>
      <scheme val="minor"/>
    </font>
    <font>
      <sz val="9"/>
      <color indexed="81"/>
      <name val="Tahoma"/>
      <family val="2"/>
    </font>
    <font>
      <sz val="9"/>
      <color indexed="81"/>
      <name val="돋움"/>
      <family val="3"/>
      <charset val="129"/>
    </font>
    <font>
      <sz val="10"/>
      <color rgb="FFAAAAAA"/>
      <name val="Noto Sans CJK SC"/>
      <family val="2"/>
      <charset val="1"/>
    </font>
  </fonts>
  <fills count="24">
    <fill>
      <patternFill patternType="none"/>
    </fill>
    <fill>
      <patternFill patternType="gray125"/>
    </fill>
    <fill>
      <patternFill patternType="solid">
        <fgColor theme="1" tint="0.49967955565050204"/>
        <bgColor rgb="FF808080"/>
      </patternFill>
    </fill>
    <fill>
      <patternFill patternType="solid">
        <fgColor rgb="FF27AE60"/>
        <bgColor rgb="FF008080"/>
      </patternFill>
    </fill>
    <fill>
      <patternFill patternType="solid">
        <fgColor rgb="FF3498DB"/>
        <bgColor rgb="FF33CCCC"/>
      </patternFill>
    </fill>
    <fill>
      <patternFill patternType="solid">
        <fgColor rgb="FFE74C3C"/>
        <bgColor rgb="FFFF8080"/>
      </patternFill>
    </fill>
    <fill>
      <patternFill patternType="solid">
        <fgColor rgb="FFD5F5E3"/>
        <bgColor rgb="FFD6EAF8"/>
      </patternFill>
    </fill>
    <fill>
      <patternFill patternType="solid">
        <fgColor rgb="FFD6EAF8"/>
        <bgColor rgb="FFD5F5E3"/>
      </patternFill>
    </fill>
    <fill>
      <patternFill patternType="solid">
        <fgColor rgb="FF2C3E50"/>
        <bgColor rgb="FF333399"/>
      </patternFill>
    </fill>
    <fill>
      <patternFill patternType="solid">
        <fgColor rgb="FFF5F5F5"/>
        <bgColor rgb="FFF2F2F2"/>
      </patternFill>
    </fill>
    <fill>
      <patternFill patternType="solid">
        <fgColor rgb="FFFFFFFF"/>
        <bgColor rgb="FFF5F5F5"/>
      </patternFill>
    </fill>
    <fill>
      <patternFill patternType="solid">
        <fgColor theme="0" tint="-4.9989318521683403E-2"/>
        <bgColor rgb="FFF5F5F5"/>
      </patternFill>
    </fill>
    <fill>
      <patternFill patternType="solid">
        <fgColor rgb="FFD6DBDF"/>
        <bgColor rgb="FFD9D9D9"/>
      </patternFill>
    </fill>
    <fill>
      <patternFill patternType="solid">
        <fgColor theme="3" tint="0.24909207434308908"/>
        <bgColor rgb="FF008080"/>
      </patternFill>
    </fill>
    <fill>
      <patternFill patternType="solid">
        <fgColor theme="5" tint="0.79979857783745845"/>
        <bgColor rgb="FFF2F2F2"/>
      </patternFill>
    </fill>
    <fill>
      <patternFill patternType="solid">
        <fgColor theme="0" tint="-0.249977111117893"/>
        <bgColor rgb="FFBDC3C7"/>
      </patternFill>
    </fill>
    <fill>
      <patternFill patternType="solid">
        <fgColor theme="6" tint="0.79979857783745845"/>
        <bgColor rgb="FFD5F5E3"/>
      </patternFill>
    </fill>
    <fill>
      <patternFill patternType="solid">
        <fgColor theme="0" tint="-0.14999847407452621"/>
        <bgColor rgb="FFD6DBDF"/>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0" tint="-0.14999847407452621"/>
        <bgColor rgb="FF008080"/>
      </patternFill>
    </fill>
    <fill>
      <patternFill patternType="solid">
        <fgColor theme="0" tint="-0.14999847407452621"/>
        <bgColor indexed="64"/>
      </patternFill>
    </fill>
    <fill>
      <patternFill patternType="solid">
        <fgColor rgb="FFFFFF00"/>
        <bgColor rgb="FFF5F5F5"/>
      </patternFill>
    </fill>
  </fills>
  <borders count="106">
    <border>
      <left/>
      <right/>
      <top/>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style="medium">
        <color theme="0" tint="-0.14999847407452621"/>
      </left>
      <right/>
      <top style="medium">
        <color theme="0" tint="-0.14999847407452621"/>
      </top>
      <bottom/>
      <diagonal/>
    </border>
    <border>
      <left/>
      <right/>
      <top style="medium">
        <color theme="0" tint="-0.14999847407452621"/>
      </top>
      <bottom/>
      <diagonal/>
    </border>
    <border>
      <left/>
      <right style="medium">
        <color theme="0" tint="-0.14999847407452621"/>
      </right>
      <top style="medium">
        <color theme="0" tint="-0.14999847407452621"/>
      </top>
      <bottom/>
      <diagonal/>
    </border>
    <border>
      <left style="medium">
        <color theme="0" tint="-0.14999847407452621"/>
      </left>
      <right/>
      <top/>
      <bottom/>
      <diagonal/>
    </border>
    <border>
      <left/>
      <right style="medium">
        <color theme="0" tint="-0.14999847407452621"/>
      </right>
      <top/>
      <bottom/>
      <diagonal/>
    </border>
    <border>
      <left style="thin">
        <color rgb="FFBDC3C7"/>
      </left>
      <right style="thin">
        <color rgb="FFBDC3C7"/>
      </right>
      <top style="thin">
        <color rgb="FFBDC3C7"/>
      </top>
      <bottom style="thin">
        <color rgb="FFBDC3C7"/>
      </bottom>
      <diagonal/>
    </border>
    <border>
      <left style="medium">
        <color theme="0" tint="-0.14999847407452621"/>
      </left>
      <right/>
      <top/>
      <bottom style="medium">
        <color theme="0" tint="-0.1498764000366222"/>
      </bottom>
      <diagonal/>
    </border>
    <border>
      <left/>
      <right/>
      <top/>
      <bottom style="medium">
        <color theme="0" tint="-0.1498764000366222"/>
      </bottom>
      <diagonal/>
    </border>
    <border>
      <left/>
      <right style="medium">
        <color theme="0" tint="-0.14999847407452621"/>
      </right>
      <top/>
      <bottom style="medium">
        <color theme="0" tint="-0.1498764000366222"/>
      </bottom>
      <diagonal/>
    </border>
    <border>
      <left style="thin">
        <color rgb="FFBDC3C7"/>
      </left>
      <right style="thin">
        <color rgb="FFBDC3C7"/>
      </right>
      <top style="thin">
        <color rgb="FFBDC3C7"/>
      </top>
      <bottom style="medium">
        <color rgb="FF2C3E50"/>
      </bottom>
      <diagonal/>
    </border>
    <border>
      <left style="thin">
        <color rgb="FFBDC3C7"/>
      </left>
      <right style="thin">
        <color rgb="FFBDC3C7"/>
      </right>
      <top style="thin">
        <color rgb="FFBDC3C7"/>
      </top>
      <bottom style="medium">
        <color auto="1"/>
      </bottom>
      <diagonal/>
    </border>
    <border>
      <left style="thin">
        <color rgb="FFBDC3C7"/>
      </left>
      <right style="thin">
        <color rgb="FFBDC3C7"/>
      </right>
      <top/>
      <bottom style="thin">
        <color rgb="FFBDC3C7"/>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theme="0" tint="-0.14999847407452621"/>
      </right>
      <top/>
      <bottom style="thin">
        <color theme="0" tint="-0.14999847407452621"/>
      </bottom>
      <diagonal/>
    </border>
    <border>
      <left style="thin">
        <color theme="0" tint="-0.14999847407452621"/>
      </left>
      <right style="thin">
        <color theme="0" tint="-0.14999847407452621"/>
      </right>
      <top/>
      <bottom style="thin">
        <color theme="0" tint="-0.14999847407452621"/>
      </bottom>
      <diagonal/>
    </border>
    <border>
      <left style="thin">
        <color theme="0" tint="-0.14999847407452621"/>
      </left>
      <right style="thin">
        <color auto="1"/>
      </right>
      <top/>
      <bottom style="thin">
        <color theme="0" tint="-0.14999847407452621"/>
      </bottom>
      <diagonal/>
    </border>
    <border>
      <left style="thin">
        <color auto="1"/>
      </left>
      <right/>
      <top/>
      <bottom style="thin">
        <color theme="0" tint="-0.14999847407452621"/>
      </bottom>
      <diagonal/>
    </border>
    <border>
      <left style="thin">
        <color theme="0" tint="-0.14999847407452621"/>
      </left>
      <right/>
      <top/>
      <bottom style="thin">
        <color theme="0" tint="-0.14999847407452621"/>
      </bottom>
      <diagonal/>
    </border>
    <border>
      <left style="thin">
        <color theme="0" tint="-0.14999847407452621"/>
      </left>
      <right style="thin">
        <color theme="0" tint="-0.14999847407452621"/>
      </right>
      <top/>
      <bottom style="thin">
        <color auto="1"/>
      </bottom>
      <diagonal/>
    </border>
    <border>
      <left style="thin">
        <color auto="1"/>
      </left>
      <right style="thin">
        <color auto="1"/>
      </right>
      <top style="thin">
        <color auto="1"/>
      </top>
      <bottom/>
      <diagonal/>
    </border>
    <border>
      <left/>
      <right style="thin">
        <color theme="0" tint="-0.14999847407452621"/>
      </right>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medium">
        <color auto="1"/>
      </top>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right/>
      <top style="medium">
        <color auto="1"/>
      </top>
      <bottom style="thin">
        <color auto="1"/>
      </bottom>
      <diagonal/>
    </border>
    <border>
      <left style="thin">
        <color auto="1"/>
      </left>
      <right style="medium">
        <color auto="1"/>
      </right>
      <top style="medium">
        <color auto="1"/>
      </top>
      <bottom style="double">
        <color auto="1"/>
      </bottom>
      <diagonal/>
    </border>
    <border>
      <left/>
      <right style="thin">
        <color auto="1"/>
      </right>
      <top style="medium">
        <color auto="1"/>
      </top>
      <bottom style="double">
        <color auto="1"/>
      </bottom>
      <diagonal/>
    </border>
    <border>
      <left style="thin">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medium">
        <color auto="1"/>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right style="thin">
        <color auto="1"/>
      </right>
      <top style="thin">
        <color auto="1"/>
      </top>
      <bottom style="double">
        <color auto="1"/>
      </bottom>
      <diagonal/>
    </border>
    <border>
      <left style="medium">
        <color auto="1"/>
      </left>
      <right style="thin">
        <color auto="1"/>
      </right>
      <top style="medium">
        <color auto="1"/>
      </top>
      <bottom style="double">
        <color auto="1"/>
      </bottom>
      <diagonal/>
    </border>
    <border>
      <left style="thin">
        <color auto="1"/>
      </left>
      <right style="medium">
        <color auto="1"/>
      </right>
      <top style="thin">
        <color auto="1"/>
      </top>
      <bottom style="double">
        <color auto="1"/>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hair">
        <color auto="1"/>
      </right>
      <top style="hair">
        <color auto="1"/>
      </top>
      <bottom/>
      <diagonal/>
    </border>
    <border>
      <left style="medium">
        <color auto="1"/>
      </left>
      <right style="hair">
        <color auto="1"/>
      </right>
      <top style="hair">
        <color auto="1"/>
      </top>
      <bottom style="hair">
        <color auto="1"/>
      </bottom>
      <diagonal/>
    </border>
    <border>
      <left style="thin">
        <color auto="1"/>
      </left>
      <right style="medium">
        <color auto="1"/>
      </right>
      <top style="hair">
        <color auto="1"/>
      </top>
      <bottom style="hair">
        <color auto="1"/>
      </bottom>
      <diagonal/>
    </border>
    <border>
      <left style="hair">
        <color auto="1"/>
      </left>
      <right style="hair">
        <color auto="1"/>
      </right>
      <top/>
      <bottom style="hair">
        <color auto="1"/>
      </bottom>
      <diagonal/>
    </border>
    <border>
      <left style="hair">
        <color auto="1"/>
      </left>
      <right style="medium">
        <color auto="1"/>
      </right>
      <top/>
      <bottom style="hair">
        <color auto="1"/>
      </bottom>
      <diagonal/>
    </border>
    <border>
      <left style="hair">
        <color auto="1"/>
      </left>
      <right/>
      <top style="hair">
        <color auto="1"/>
      </top>
      <bottom/>
      <diagonal/>
    </border>
    <border>
      <left style="thin">
        <color auto="1"/>
      </left>
      <right style="hair">
        <color auto="1"/>
      </right>
      <top style="hair">
        <color auto="1"/>
      </top>
      <bottom/>
      <diagonal/>
    </border>
    <border>
      <left style="hair">
        <color auto="1"/>
      </left>
      <right style="thin">
        <color auto="1"/>
      </right>
      <top style="hair">
        <color auto="1"/>
      </top>
      <bottom/>
      <diagonal/>
    </border>
    <border>
      <left/>
      <right style="hair">
        <color auto="1"/>
      </right>
      <top style="hair">
        <color auto="1"/>
      </top>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thin">
        <color auto="1"/>
      </right>
      <top style="hair">
        <color auto="1"/>
      </top>
      <bottom style="medium">
        <color auto="1"/>
      </bottom>
      <diagonal/>
    </border>
    <border>
      <left style="thin">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hair">
        <color auto="1"/>
      </left>
      <right style="thin">
        <color auto="1"/>
      </right>
      <top style="medium">
        <color auto="1"/>
      </top>
      <bottom style="hair">
        <color auto="1"/>
      </bottom>
      <diagonal/>
    </border>
    <border>
      <left style="thin">
        <color auto="1"/>
      </left>
      <right style="hair">
        <color auto="1"/>
      </right>
      <top style="medium">
        <color auto="1"/>
      </top>
      <bottom style="hair">
        <color auto="1"/>
      </bottom>
      <diagonal/>
    </border>
    <border>
      <left style="hair">
        <color auto="1"/>
      </left>
      <right style="medium">
        <color auto="1"/>
      </right>
      <top style="medium">
        <color auto="1"/>
      </top>
      <bottom style="hair">
        <color auto="1"/>
      </bottom>
      <diagonal/>
    </border>
    <border>
      <left style="hair">
        <color auto="1"/>
      </left>
      <right style="hair">
        <color auto="1"/>
      </right>
      <top/>
      <bottom style="medium">
        <color auto="1"/>
      </bottom>
      <diagonal/>
    </border>
    <border>
      <left style="hair">
        <color auto="1"/>
      </left>
      <right style="medium">
        <color auto="1"/>
      </right>
      <top/>
      <bottom style="medium">
        <color auto="1"/>
      </bottom>
      <diagonal/>
    </border>
    <border>
      <left style="thin">
        <color auto="1"/>
      </left>
      <right/>
      <top style="thin">
        <color auto="1"/>
      </top>
      <bottom style="double">
        <color auto="1"/>
      </bottom>
      <diagonal/>
    </border>
    <border>
      <left style="medium">
        <color auto="1"/>
      </left>
      <right style="hair">
        <color auto="1"/>
      </right>
      <top/>
      <bottom style="hair">
        <color auto="1"/>
      </bottom>
      <diagonal/>
    </border>
    <border>
      <left style="hair">
        <color auto="1"/>
      </left>
      <right/>
      <top/>
      <bottom style="hair">
        <color auto="1"/>
      </bottom>
      <diagonal/>
    </border>
    <border>
      <left style="thin">
        <color auto="1"/>
      </left>
      <right style="hair">
        <color auto="1"/>
      </right>
      <top/>
      <bottom style="hair">
        <color auto="1"/>
      </bottom>
      <diagonal/>
    </border>
    <border>
      <left style="thin">
        <color auto="1"/>
      </left>
      <right style="thin">
        <color auto="1"/>
      </right>
      <top style="hair">
        <color auto="1"/>
      </top>
      <bottom style="hair">
        <color auto="1"/>
      </bottom>
      <diagonal/>
    </border>
    <border>
      <left style="thin">
        <color auto="1"/>
      </left>
      <right style="medium">
        <color auto="1"/>
      </right>
      <top style="double">
        <color auto="1"/>
      </top>
      <bottom style="hair">
        <color auto="1"/>
      </bottom>
      <diagonal/>
    </border>
    <border>
      <left style="thin">
        <color auto="1"/>
      </left>
      <right style="hair">
        <color auto="1"/>
      </right>
      <top/>
      <bottom/>
      <diagonal/>
    </border>
    <border>
      <left style="thin">
        <color auto="1"/>
      </left>
      <right style="thin">
        <color auto="1"/>
      </right>
      <top style="hair">
        <color auto="1"/>
      </top>
      <bottom/>
      <diagonal/>
    </border>
    <border>
      <left style="hair">
        <color auto="1"/>
      </left>
      <right/>
      <top style="hair">
        <color auto="1"/>
      </top>
      <bottom style="medium">
        <color auto="1"/>
      </bottom>
      <diagonal/>
    </border>
    <border>
      <left/>
      <right style="hair">
        <color auto="1"/>
      </right>
      <top style="hair">
        <color auto="1"/>
      </top>
      <bottom style="medium">
        <color auto="1"/>
      </bottom>
      <diagonal/>
    </border>
    <border>
      <left style="thin">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medium">
        <color auto="1"/>
      </left>
      <right style="medium">
        <color auto="1"/>
      </right>
      <top style="medium">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hair">
        <color auto="1"/>
      </right>
      <top style="double">
        <color auto="1"/>
      </top>
      <bottom style="medium">
        <color auto="1"/>
      </bottom>
      <diagonal/>
    </border>
    <border>
      <left style="hair">
        <color auto="1"/>
      </left>
      <right style="hair">
        <color auto="1"/>
      </right>
      <top style="double">
        <color auto="1"/>
      </top>
      <bottom style="medium">
        <color auto="1"/>
      </bottom>
      <diagonal/>
    </border>
    <border>
      <left style="hair">
        <color auto="1"/>
      </left>
      <right style="thin">
        <color auto="1"/>
      </right>
      <top style="double">
        <color auto="1"/>
      </top>
      <bottom style="medium">
        <color auto="1"/>
      </bottom>
      <diagonal/>
    </border>
    <border>
      <left/>
      <right style="hair">
        <color auto="1"/>
      </right>
      <top style="double">
        <color auto="1"/>
      </top>
      <bottom style="medium">
        <color auto="1"/>
      </bottom>
      <diagonal/>
    </border>
    <border>
      <left style="hair">
        <color auto="1"/>
      </left>
      <right style="thin">
        <color auto="1"/>
      </right>
      <top style="double">
        <color auto="1"/>
      </top>
      <bottom style="hair">
        <color auto="1"/>
      </bottom>
      <diagonal/>
    </border>
    <border>
      <left style="thin">
        <color auto="1"/>
      </left>
      <right style="hair">
        <color auto="1"/>
      </right>
      <top style="double">
        <color auto="1"/>
      </top>
      <bottom style="hair">
        <color auto="1"/>
      </bottom>
      <diagonal/>
    </border>
    <border>
      <left style="hair">
        <color auto="1"/>
      </left>
      <right style="hair">
        <color auto="1"/>
      </right>
      <top style="double">
        <color auto="1"/>
      </top>
      <bottom style="hair">
        <color auto="1"/>
      </bottom>
      <diagonal/>
    </border>
    <border>
      <left style="thin">
        <color auto="1"/>
      </left>
      <right style="hair">
        <color auto="1"/>
      </right>
      <top style="double">
        <color auto="1"/>
      </top>
      <bottom style="medium">
        <color auto="1"/>
      </bottom>
      <diagonal/>
    </border>
    <border>
      <left style="hair">
        <color auto="1"/>
      </left>
      <right style="medium">
        <color auto="1"/>
      </right>
      <top style="hair">
        <color auto="1"/>
      </top>
      <bottom style="hair">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
      <left/>
      <right style="thin">
        <color auto="1"/>
      </right>
      <top/>
      <bottom style="double">
        <color auto="1"/>
      </bottom>
      <diagonal/>
    </border>
    <border>
      <left/>
      <right style="medium">
        <color indexed="64"/>
      </right>
      <top style="medium">
        <color indexed="64"/>
      </top>
      <bottom/>
      <diagonal/>
    </border>
    <border>
      <left style="thin">
        <color auto="1"/>
      </left>
      <right style="medium">
        <color indexed="64"/>
      </right>
      <top style="hair">
        <color auto="1"/>
      </top>
      <bottom/>
      <diagonal/>
    </border>
    <border>
      <left style="medium">
        <color indexed="64"/>
      </left>
      <right/>
      <top/>
      <bottom/>
      <diagonal/>
    </border>
    <border>
      <left/>
      <right style="medium">
        <color indexed="64"/>
      </right>
      <top/>
      <bottom/>
      <diagonal/>
    </border>
    <border>
      <left style="medium">
        <color auto="1"/>
      </left>
      <right style="medium">
        <color indexed="64"/>
      </right>
      <top style="medium">
        <color indexed="64"/>
      </top>
      <bottom style="thin">
        <color auto="1"/>
      </bottom>
      <diagonal/>
    </border>
    <border>
      <left style="thin">
        <color theme="0" tint="-0.14999847407452621"/>
      </left>
      <right style="thin">
        <color theme="0" tint="-0.14999847407452621"/>
      </right>
      <top/>
      <bottom/>
      <diagonal/>
    </border>
  </borders>
  <cellStyleXfs count="12">
    <xf numFmtId="0" fontId="0" fillId="0" borderId="0">
      <alignment vertical="center"/>
    </xf>
    <xf numFmtId="9" fontId="45" fillId="0" borderId="0">
      <alignment vertical="center"/>
    </xf>
    <xf numFmtId="176" fontId="45" fillId="0" borderId="0">
      <alignment vertical="center"/>
    </xf>
    <xf numFmtId="176" fontId="45" fillId="0" borderId="0">
      <alignment vertical="center"/>
    </xf>
    <xf numFmtId="0" fontId="45" fillId="0" borderId="0">
      <alignment vertical="center"/>
    </xf>
    <xf numFmtId="0" fontId="45" fillId="0" borderId="0">
      <alignment vertical="center"/>
    </xf>
    <xf numFmtId="0" fontId="45" fillId="0" borderId="0">
      <alignment vertical="center"/>
    </xf>
    <xf numFmtId="176" fontId="14" fillId="0" borderId="0"/>
    <xf numFmtId="41" fontId="45" fillId="0" borderId="0" applyFont="0" applyFill="0" applyBorder="0" applyAlignment="0" applyProtection="0">
      <alignment vertical="center"/>
    </xf>
    <xf numFmtId="9" fontId="45" fillId="0" borderId="0" applyFont="0" applyFill="0" applyBorder="0" applyAlignment="0" applyProtection="0">
      <alignment vertical="center"/>
    </xf>
    <xf numFmtId="0" fontId="59" fillId="0" borderId="0"/>
    <xf numFmtId="41" fontId="1" fillId="0" borderId="0" applyBorder="0" applyAlignment="0" applyProtection="0"/>
  </cellStyleXfs>
  <cellXfs count="561">
    <xf numFmtId="0" fontId="0" fillId="0" borderId="0" xfId="0">
      <alignment vertical="center"/>
    </xf>
    <xf numFmtId="0" fontId="8" fillId="4" borderId="9" xfId="0" applyFont="1" applyFill="1" applyBorder="1" applyAlignment="1">
      <alignment horizontal="center" vertical="center"/>
    </xf>
    <xf numFmtId="0" fontId="8" fillId="3" borderId="9" xfId="0" applyFont="1" applyFill="1" applyBorder="1" applyAlignment="1">
      <alignment horizontal="center" vertical="center"/>
    </xf>
    <xf numFmtId="0" fontId="2" fillId="0" borderId="0" xfId="0" applyFont="1" applyAlignment="1"/>
    <xf numFmtId="0" fontId="0" fillId="0" borderId="0" xfId="0" applyAlignment="1"/>
    <xf numFmtId="0" fontId="2" fillId="0" borderId="0" xfId="0" applyFont="1">
      <alignment vertical="center"/>
    </xf>
    <xf numFmtId="0" fontId="3" fillId="0" borderId="0" xfId="0" applyFont="1" applyAlignment="1"/>
    <xf numFmtId="0" fontId="4" fillId="2" borderId="1" xfId="0" applyFont="1" applyFill="1" applyBorder="1" applyAlignment="1">
      <alignment horizontal="center"/>
    </xf>
    <xf numFmtId="0" fontId="7" fillId="0" borderId="0" xfId="0" applyFont="1" applyAlignment="1">
      <alignment horizontal="center" vertical="center"/>
    </xf>
    <xf numFmtId="0" fontId="3" fillId="0" borderId="4" xfId="0" applyFont="1" applyBorder="1" applyAlignment="1"/>
    <xf numFmtId="0" fontId="2" fillId="0" borderId="5" xfId="0" applyFont="1" applyBorder="1" applyAlignment="1"/>
    <xf numFmtId="0" fontId="0" fillId="0" borderId="5" xfId="0" applyBorder="1" applyAlignment="1"/>
    <xf numFmtId="0" fontId="3" fillId="0" borderId="5" xfId="0" applyFont="1" applyBorder="1" applyAlignment="1"/>
    <xf numFmtId="0" fontId="3" fillId="0" borderId="6" xfId="0" applyFont="1" applyBorder="1" applyAlignment="1"/>
    <xf numFmtId="0" fontId="3" fillId="0" borderId="7" xfId="0" applyFont="1" applyBorder="1" applyAlignment="1"/>
    <xf numFmtId="0" fontId="3" fillId="0" borderId="8" xfId="0" applyFont="1" applyBorder="1" applyAlignment="1"/>
    <xf numFmtId="3" fontId="3" fillId="0" borderId="0" xfId="0" applyNumberFormat="1" applyFont="1" applyAlignment="1">
      <alignment horizontal="center" vertical="center"/>
    </xf>
    <xf numFmtId="0" fontId="3" fillId="0" borderId="0" xfId="0" applyFont="1" applyAlignment="1">
      <alignment horizontal="center" vertical="center"/>
    </xf>
    <xf numFmtId="0" fontId="3" fillId="0" borderId="8" xfId="0" applyFont="1" applyBorder="1" applyAlignment="1">
      <alignment horizontal="center" vertical="center"/>
    </xf>
    <xf numFmtId="177" fontId="9" fillId="6" borderId="9" xfId="0" applyNumberFormat="1" applyFont="1" applyFill="1" applyBorder="1" applyAlignment="1">
      <alignment horizontal="center" vertical="center"/>
    </xf>
    <xf numFmtId="177" fontId="9" fillId="7" borderId="9" xfId="0" applyNumberFormat="1" applyFont="1" applyFill="1" applyBorder="1" applyAlignment="1">
      <alignment horizontal="center" vertical="center"/>
    </xf>
    <xf numFmtId="177" fontId="3" fillId="0" borderId="8" xfId="0" applyNumberFormat="1" applyFont="1" applyBorder="1" applyAlignment="1">
      <alignment horizontal="center" vertical="center"/>
    </xf>
    <xf numFmtId="177" fontId="3" fillId="0" borderId="0" xfId="0" applyNumberFormat="1" applyFont="1" applyAlignment="1">
      <alignment horizontal="center" vertical="center"/>
    </xf>
    <xf numFmtId="0" fontId="3" fillId="0" borderId="10" xfId="0" applyFont="1" applyBorder="1" applyAlignment="1"/>
    <xf numFmtId="0" fontId="3" fillId="0" borderId="11" xfId="0" applyFont="1" applyBorder="1" applyAlignment="1"/>
    <xf numFmtId="0" fontId="3" fillId="0" borderId="12" xfId="0" applyFont="1" applyBorder="1" applyAlignment="1"/>
    <xf numFmtId="0" fontId="9" fillId="0" borderId="0" xfId="0" applyFont="1" applyAlignment="1"/>
    <xf numFmtId="0" fontId="8" fillId="8" borderId="9" xfId="0" applyFont="1" applyFill="1" applyBorder="1" applyAlignment="1">
      <alignment horizontal="center" vertical="center"/>
    </xf>
    <xf numFmtId="0" fontId="11" fillId="8" borderId="9" xfId="0" applyFont="1" applyFill="1" applyBorder="1" applyAlignment="1">
      <alignment horizontal="center" vertical="center"/>
    </xf>
    <xf numFmtId="3" fontId="13" fillId="9" borderId="13" xfId="0" applyNumberFormat="1" applyFont="1" applyFill="1" applyBorder="1" applyAlignment="1">
      <alignment horizontal="center" vertical="center"/>
    </xf>
    <xf numFmtId="3" fontId="3" fillId="9" borderId="13" xfId="0" applyNumberFormat="1" applyFont="1" applyFill="1" applyBorder="1" applyAlignment="1">
      <alignment horizontal="right" vertical="center"/>
    </xf>
    <xf numFmtId="0" fontId="13" fillId="10" borderId="9" xfId="0" applyFont="1" applyFill="1" applyBorder="1" applyAlignment="1">
      <alignment horizontal="left" vertical="center"/>
    </xf>
    <xf numFmtId="178" fontId="14" fillId="0" borderId="9" xfId="7" applyNumberFormat="1" applyBorder="1" applyAlignment="1">
      <alignment horizontal="right" vertical="center"/>
    </xf>
    <xf numFmtId="177" fontId="3" fillId="0" borderId="0" xfId="0" applyNumberFormat="1" applyFont="1" applyAlignment="1">
      <alignment horizontal="right" vertical="center"/>
    </xf>
    <xf numFmtId="0" fontId="13" fillId="10" borderId="14" xfId="0" applyFont="1" applyFill="1" applyBorder="1" applyAlignment="1">
      <alignment horizontal="left" vertical="center"/>
    </xf>
    <xf numFmtId="178" fontId="14" fillId="0" borderId="14" xfId="7" applyNumberFormat="1" applyBorder="1" applyAlignment="1">
      <alignment horizontal="right" vertical="center"/>
    </xf>
    <xf numFmtId="0" fontId="15" fillId="11" borderId="15" xfId="0" applyFont="1" applyFill="1" applyBorder="1" applyAlignment="1">
      <alignment horizontal="left" vertical="center"/>
    </xf>
    <xf numFmtId="178" fontId="14" fillId="11" borderId="15" xfId="7" applyNumberFormat="1" applyFill="1" applyBorder="1" applyAlignment="1">
      <alignment horizontal="right" vertical="center"/>
    </xf>
    <xf numFmtId="0" fontId="3" fillId="0" borderId="0" xfId="0" applyFont="1" applyAlignment="1">
      <alignment horizontal="right" vertical="center"/>
    </xf>
    <xf numFmtId="0" fontId="15" fillId="11" borderId="9" xfId="0" applyFont="1" applyFill="1" applyBorder="1" applyAlignment="1">
      <alignment horizontal="left" vertical="center"/>
    </xf>
    <xf numFmtId="178" fontId="14" fillId="11" borderId="9" xfId="7" applyNumberFormat="1" applyFill="1" applyBorder="1" applyAlignment="1">
      <alignment horizontal="right" vertical="center"/>
    </xf>
    <xf numFmtId="0" fontId="16" fillId="12" borderId="13" xfId="0" applyFont="1" applyFill="1" applyBorder="1" applyAlignment="1">
      <alignment horizontal="left" vertical="center"/>
    </xf>
    <xf numFmtId="3" fontId="17" fillId="12" borderId="13" xfId="0" applyNumberFormat="1" applyFont="1" applyFill="1" applyBorder="1" applyAlignment="1">
      <alignment horizontal="right" vertical="center"/>
    </xf>
    <xf numFmtId="3" fontId="3" fillId="0" borderId="0" xfId="0" applyNumberFormat="1" applyFont="1" applyAlignment="1">
      <alignment horizontal="right" vertical="center"/>
    </xf>
    <xf numFmtId="3" fontId="11" fillId="8" borderId="9" xfId="0" applyNumberFormat="1" applyFont="1" applyFill="1" applyBorder="1" applyAlignment="1">
      <alignment horizontal="center" vertical="center"/>
    </xf>
    <xf numFmtId="177" fontId="11" fillId="8" borderId="9" xfId="0" applyNumberFormat="1" applyFont="1" applyFill="1" applyBorder="1" applyAlignment="1">
      <alignment horizontal="center" vertical="center"/>
    </xf>
    <xf numFmtId="178" fontId="14" fillId="0" borderId="13" xfId="7" applyNumberFormat="1" applyBorder="1" applyAlignment="1">
      <alignment horizontal="right" vertical="center"/>
    </xf>
    <xf numFmtId="0" fontId="18" fillId="11" borderId="15" xfId="0" applyFont="1" applyFill="1" applyBorder="1" applyAlignment="1">
      <alignment horizontal="left" vertical="center"/>
    </xf>
    <xf numFmtId="0" fontId="18" fillId="11" borderId="9" xfId="0" applyFont="1" applyFill="1" applyBorder="1" applyAlignment="1">
      <alignment horizontal="left" vertical="center"/>
    </xf>
    <xf numFmtId="3" fontId="3" fillId="0" borderId="0" xfId="0" applyNumberFormat="1" applyFont="1" applyAlignment="1"/>
    <xf numFmtId="3" fontId="3" fillId="0" borderId="11" xfId="0" applyNumberFormat="1" applyFont="1" applyBorder="1" applyAlignment="1"/>
    <xf numFmtId="0" fontId="19" fillId="0" borderId="0" xfId="0" applyFont="1" applyAlignment="1"/>
    <xf numFmtId="178" fontId="3" fillId="0" borderId="0" xfId="0" applyNumberFormat="1" applyFont="1" applyAlignment="1"/>
    <xf numFmtId="178" fontId="3" fillId="0" borderId="0" xfId="0" applyNumberFormat="1" applyFont="1">
      <alignment vertical="center"/>
    </xf>
    <xf numFmtId="178" fontId="17" fillId="0" borderId="0" xfId="0" applyNumberFormat="1" applyFont="1" applyAlignment="1"/>
    <xf numFmtId="179" fontId="19" fillId="0" borderId="0" xfId="0" applyNumberFormat="1" applyFont="1" applyAlignment="1"/>
    <xf numFmtId="0" fontId="19" fillId="0" borderId="0" xfId="0" applyFont="1" applyAlignment="1">
      <alignment horizontal="center"/>
    </xf>
    <xf numFmtId="0" fontId="19" fillId="0" borderId="0" xfId="0" applyFont="1">
      <alignment vertical="center"/>
    </xf>
    <xf numFmtId="0" fontId="19" fillId="10" borderId="0" xfId="0" applyFont="1" applyFill="1">
      <alignment vertical="center"/>
    </xf>
    <xf numFmtId="0" fontId="20" fillId="13" borderId="16" xfId="0" applyFont="1" applyFill="1" applyBorder="1" applyAlignment="1">
      <alignment horizontal="center" vertical="center" wrapText="1"/>
    </xf>
    <xf numFmtId="0" fontId="20" fillId="13" borderId="17" xfId="0" applyFont="1" applyFill="1" applyBorder="1" applyAlignment="1">
      <alignment horizontal="center" vertical="center" wrapText="1"/>
    </xf>
    <xf numFmtId="178" fontId="21" fillId="13" borderId="17" xfId="0" applyNumberFormat="1" applyFont="1" applyFill="1" applyBorder="1" applyAlignment="1">
      <alignment horizontal="center" vertical="center" wrapText="1"/>
    </xf>
    <xf numFmtId="178" fontId="20" fillId="13" borderId="17" xfId="0" applyNumberFormat="1" applyFont="1" applyFill="1" applyBorder="1" applyAlignment="1">
      <alignment horizontal="center" vertical="center" wrapText="1"/>
    </xf>
    <xf numFmtId="179" fontId="20" fillId="13" borderId="17" xfId="0" applyNumberFormat="1" applyFont="1" applyFill="1" applyBorder="1" applyAlignment="1">
      <alignment horizontal="center" vertical="center" wrapText="1"/>
    </xf>
    <xf numFmtId="0" fontId="22" fillId="13" borderId="17" xfId="0" applyFont="1" applyFill="1" applyBorder="1" applyAlignment="1">
      <alignment horizontal="center" vertical="center" wrapText="1"/>
    </xf>
    <xf numFmtId="0" fontId="20" fillId="13" borderId="18" xfId="0" applyFont="1" applyFill="1" applyBorder="1" applyAlignment="1">
      <alignment horizontal="center" vertical="center"/>
    </xf>
    <xf numFmtId="0" fontId="23" fillId="10" borderId="0" xfId="0" applyFont="1" applyFill="1" applyAlignment="1">
      <alignment horizontal="center" vertical="center"/>
    </xf>
    <xf numFmtId="0" fontId="16" fillId="14" borderId="16" xfId="0" applyFont="1" applyFill="1" applyBorder="1" applyAlignment="1">
      <alignment horizontal="center" vertical="center" wrapText="1"/>
    </xf>
    <xf numFmtId="0" fontId="16" fillId="14" borderId="17" xfId="0" applyFont="1" applyFill="1" applyBorder="1" applyAlignment="1">
      <alignment horizontal="center" vertical="center" wrapText="1"/>
    </xf>
    <xf numFmtId="0" fontId="16" fillId="14" borderId="18" xfId="0" applyFont="1" applyFill="1" applyBorder="1" applyAlignment="1">
      <alignment horizontal="center" vertical="center" wrapText="1"/>
    </xf>
    <xf numFmtId="0" fontId="16" fillId="15" borderId="16" xfId="0" applyFont="1" applyFill="1" applyBorder="1" applyAlignment="1">
      <alignment horizontal="center" vertical="center" wrapText="1"/>
    </xf>
    <xf numFmtId="0" fontId="16" fillId="15" borderId="17" xfId="0" applyFont="1" applyFill="1" applyBorder="1" applyAlignment="1">
      <alignment horizontal="center" vertical="center" wrapText="1"/>
    </xf>
    <xf numFmtId="0" fontId="16" fillId="15" borderId="18" xfId="0" applyFont="1" applyFill="1" applyBorder="1" applyAlignment="1">
      <alignment horizontal="center" vertical="center" wrapText="1"/>
    </xf>
    <xf numFmtId="0" fontId="3" fillId="0" borderId="0" xfId="0" applyFont="1">
      <alignment vertical="center"/>
    </xf>
    <xf numFmtId="0" fontId="3" fillId="10" borderId="19" xfId="0" applyFont="1" applyFill="1" applyBorder="1">
      <alignment vertical="center"/>
    </xf>
    <xf numFmtId="0" fontId="24" fillId="10" borderId="20" xfId="0" applyFont="1" applyFill="1" applyBorder="1">
      <alignment vertical="center"/>
    </xf>
    <xf numFmtId="0" fontId="25" fillId="10" borderId="20" xfId="0" applyFont="1" applyFill="1" applyBorder="1">
      <alignment vertical="center"/>
    </xf>
    <xf numFmtId="178" fontId="17" fillId="0" borderId="20" xfId="0" applyNumberFormat="1" applyFont="1" applyBorder="1">
      <alignment vertical="center"/>
    </xf>
    <xf numFmtId="178" fontId="13" fillId="10" borderId="20" xfId="0" applyNumberFormat="1" applyFont="1" applyFill="1" applyBorder="1">
      <alignment vertical="center"/>
    </xf>
    <xf numFmtId="180" fontId="3" fillId="10" borderId="20" xfId="0" applyNumberFormat="1" applyFont="1" applyFill="1" applyBorder="1" applyAlignment="1">
      <alignment horizontal="center" vertical="center"/>
    </xf>
    <xf numFmtId="178" fontId="3" fillId="10" borderId="20" xfId="0" applyNumberFormat="1" applyFont="1" applyFill="1" applyBorder="1">
      <alignment vertical="center"/>
    </xf>
    <xf numFmtId="178" fontId="3" fillId="0" borderId="21" xfId="0" applyNumberFormat="1" applyFont="1" applyBorder="1" applyAlignment="1">
      <alignment horizontal="center" vertical="center"/>
    </xf>
    <xf numFmtId="178" fontId="13" fillId="0" borderId="22" xfId="0" applyNumberFormat="1" applyFont="1" applyBorder="1">
      <alignment vertical="center"/>
    </xf>
    <xf numFmtId="178" fontId="3" fillId="0" borderId="23" xfId="0" applyNumberFormat="1" applyFont="1" applyBorder="1">
      <alignment vertical="center"/>
    </xf>
    <xf numFmtId="178" fontId="3" fillId="0" borderId="21" xfId="0" applyNumberFormat="1" applyFont="1" applyBorder="1">
      <alignment vertical="center"/>
    </xf>
    <xf numFmtId="9" fontId="3" fillId="0" borderId="23" xfId="0" applyNumberFormat="1" applyFont="1" applyBorder="1">
      <alignment vertical="center"/>
    </xf>
    <xf numFmtId="0" fontId="3" fillId="10" borderId="0" xfId="0" applyFont="1" applyFill="1">
      <alignment vertical="center"/>
    </xf>
    <xf numFmtId="0" fontId="2" fillId="10" borderId="19" xfId="0" applyFont="1" applyFill="1" applyBorder="1">
      <alignment vertical="center"/>
    </xf>
    <xf numFmtId="178" fontId="26" fillId="0" borderId="20" xfId="0" applyNumberFormat="1" applyFont="1" applyBorder="1">
      <alignment vertical="center"/>
    </xf>
    <xf numFmtId="178" fontId="24" fillId="10" borderId="20" xfId="0" applyNumberFormat="1" applyFont="1" applyFill="1" applyBorder="1">
      <alignment vertical="center"/>
    </xf>
    <xf numFmtId="179" fontId="2" fillId="10" borderId="20" xfId="0" applyNumberFormat="1" applyFont="1" applyFill="1" applyBorder="1">
      <alignment vertical="center"/>
    </xf>
    <xf numFmtId="180" fontId="2" fillId="10" borderId="20" xfId="0" applyNumberFormat="1" applyFont="1" applyFill="1" applyBorder="1" applyAlignment="1">
      <alignment horizontal="center" vertical="center"/>
    </xf>
    <xf numFmtId="178" fontId="2" fillId="10" borderId="20" xfId="0" applyNumberFormat="1" applyFont="1" applyFill="1" applyBorder="1">
      <alignment vertical="center"/>
    </xf>
    <xf numFmtId="178" fontId="2" fillId="0" borderId="21" xfId="0" applyNumberFormat="1" applyFont="1" applyBorder="1" applyAlignment="1">
      <alignment horizontal="center" vertical="center"/>
    </xf>
    <xf numFmtId="178" fontId="26" fillId="0" borderId="22" xfId="0" applyNumberFormat="1" applyFont="1" applyBorder="1">
      <alignment vertical="center"/>
    </xf>
    <xf numFmtId="178" fontId="2" fillId="0" borderId="23" xfId="0" applyNumberFormat="1" applyFont="1" applyBorder="1">
      <alignment vertical="center"/>
    </xf>
    <xf numFmtId="178" fontId="2" fillId="0" borderId="21" xfId="0" applyNumberFormat="1" applyFont="1" applyBorder="1">
      <alignment vertical="center"/>
    </xf>
    <xf numFmtId="178" fontId="2" fillId="0" borderId="22" xfId="0" applyNumberFormat="1" applyFont="1" applyBorder="1">
      <alignment vertical="center"/>
    </xf>
    <xf numFmtId="0" fontId="2" fillId="10" borderId="0" xfId="0" applyFont="1" applyFill="1">
      <alignment vertical="center"/>
    </xf>
    <xf numFmtId="0" fontId="24" fillId="10" borderId="24" xfId="0" applyFont="1" applyFill="1" applyBorder="1">
      <alignment vertical="center"/>
    </xf>
    <xf numFmtId="180" fontId="2" fillId="10" borderId="20" xfId="0" applyNumberFormat="1" applyFont="1" applyFill="1" applyBorder="1">
      <alignment vertical="center"/>
    </xf>
    <xf numFmtId="0" fontId="2" fillId="10" borderId="20" xfId="0" applyFont="1" applyFill="1" applyBorder="1">
      <alignment vertical="center"/>
    </xf>
    <xf numFmtId="178" fontId="26" fillId="0" borderId="24" xfId="0" applyNumberFormat="1" applyFont="1" applyBorder="1">
      <alignment vertical="center"/>
    </xf>
    <xf numFmtId="178" fontId="17" fillId="0" borderId="24" xfId="0" applyNumberFormat="1" applyFont="1" applyBorder="1">
      <alignment vertical="center"/>
    </xf>
    <xf numFmtId="178" fontId="24" fillId="10" borderId="24" xfId="0" applyNumberFormat="1" applyFont="1" applyFill="1" applyBorder="1">
      <alignment vertical="center"/>
    </xf>
    <xf numFmtId="0" fontId="23" fillId="0" borderId="0" xfId="0" applyFont="1">
      <alignment vertical="center"/>
    </xf>
    <xf numFmtId="179" fontId="2" fillId="0" borderId="0" xfId="0" applyNumberFormat="1" applyFont="1">
      <alignment vertical="center"/>
    </xf>
    <xf numFmtId="3" fontId="21" fillId="13" borderId="25" xfId="0" applyNumberFormat="1" applyFont="1" applyFill="1" applyBorder="1" applyAlignment="1">
      <alignment horizontal="center" vertical="center" wrapText="1"/>
    </xf>
    <xf numFmtId="178" fontId="20" fillId="13" borderId="25" xfId="0" applyNumberFormat="1" applyFont="1" applyFill="1" applyBorder="1" applyAlignment="1">
      <alignment horizontal="center" vertical="center"/>
    </xf>
    <xf numFmtId="0" fontId="2" fillId="10" borderId="26" xfId="0" applyFont="1" applyFill="1" applyBorder="1">
      <alignment vertical="center"/>
    </xf>
    <xf numFmtId="178" fontId="2" fillId="0" borderId="23" xfId="0" applyNumberFormat="1" applyFont="1" applyBorder="1" applyAlignment="1">
      <alignment horizontal="center" vertical="center"/>
    </xf>
    <xf numFmtId="0" fontId="2" fillId="10" borderId="3" xfId="0" applyFont="1" applyFill="1" applyBorder="1">
      <alignment vertical="center"/>
    </xf>
    <xf numFmtId="0" fontId="2" fillId="0" borderId="0" xfId="0" applyFont="1" applyAlignment="1">
      <alignment horizontal="center" vertical="center"/>
    </xf>
    <xf numFmtId="179" fontId="2" fillId="10" borderId="0" xfId="0" applyNumberFormat="1" applyFont="1" applyFill="1">
      <alignment vertical="center"/>
    </xf>
    <xf numFmtId="178" fontId="2" fillId="0" borderId="0" xfId="0" applyNumberFormat="1" applyFont="1">
      <alignment vertical="center"/>
    </xf>
    <xf numFmtId="3" fontId="2" fillId="0" borderId="0" xfId="0" applyNumberFormat="1" applyFont="1">
      <alignment vertical="center"/>
    </xf>
    <xf numFmtId="3" fontId="20" fillId="13" borderId="28" xfId="0" applyNumberFormat="1" applyFont="1" applyFill="1" applyBorder="1" applyAlignment="1">
      <alignment horizontal="center" vertical="center" wrapText="1"/>
    </xf>
    <xf numFmtId="179" fontId="20" fillId="13" borderId="28" xfId="0" applyNumberFormat="1" applyFont="1" applyFill="1" applyBorder="1" applyAlignment="1">
      <alignment horizontal="center" vertical="center"/>
    </xf>
    <xf numFmtId="179" fontId="20" fillId="13" borderId="29" xfId="0" applyNumberFormat="1" applyFont="1" applyFill="1" applyBorder="1" applyAlignment="1">
      <alignment horizontal="center" vertical="center"/>
    </xf>
    <xf numFmtId="178" fontId="20" fillId="13" borderId="29" xfId="0" applyNumberFormat="1" applyFont="1" applyFill="1" applyBorder="1" applyAlignment="1">
      <alignment horizontal="center" vertical="center"/>
    </xf>
    <xf numFmtId="0" fontId="24" fillId="0" borderId="20" xfId="0" applyFont="1" applyBorder="1">
      <alignment vertical="center"/>
    </xf>
    <xf numFmtId="178" fontId="2" fillId="0" borderId="20" xfId="0" applyNumberFormat="1" applyFont="1" applyBorder="1">
      <alignment vertical="center"/>
    </xf>
    <xf numFmtId="9" fontId="2" fillId="0" borderId="20" xfId="0" applyNumberFormat="1" applyFont="1" applyBorder="1" applyAlignment="1">
      <alignment horizontal="center" vertical="center"/>
    </xf>
    <xf numFmtId="3" fontId="2" fillId="0" borderId="20" xfId="0" applyNumberFormat="1" applyFont="1" applyBorder="1">
      <alignment vertical="center"/>
    </xf>
    <xf numFmtId="178" fontId="23" fillId="0" borderId="20" xfId="0" applyNumberFormat="1" applyFont="1" applyBorder="1">
      <alignment vertical="center"/>
    </xf>
    <xf numFmtId="180" fontId="2" fillId="0" borderId="20" xfId="0" applyNumberFormat="1" applyFont="1" applyBorder="1" applyAlignment="1">
      <alignment horizontal="center" vertical="center"/>
    </xf>
    <xf numFmtId="0" fontId="24" fillId="0" borderId="27" xfId="0" applyFont="1" applyBorder="1">
      <alignment vertical="center"/>
    </xf>
    <xf numFmtId="178" fontId="2" fillId="0" borderId="27" xfId="0" applyNumberFormat="1" applyFont="1" applyBorder="1">
      <alignment vertical="center"/>
    </xf>
    <xf numFmtId="9" fontId="2" fillId="0" borderId="27" xfId="0" applyNumberFormat="1" applyFont="1" applyBorder="1" applyAlignment="1">
      <alignment horizontal="center" vertical="center"/>
    </xf>
    <xf numFmtId="3" fontId="2" fillId="0" borderId="27" xfId="0" applyNumberFormat="1" applyFont="1" applyBorder="1">
      <alignment vertical="center"/>
    </xf>
    <xf numFmtId="180" fontId="2" fillId="0" borderId="27" xfId="0" applyNumberFormat="1" applyFont="1" applyBorder="1" applyAlignment="1">
      <alignment horizontal="center" vertical="center"/>
    </xf>
    <xf numFmtId="0" fontId="0" fillId="16" borderId="0" xfId="0" applyFill="1">
      <alignment vertical="center"/>
    </xf>
    <xf numFmtId="178" fontId="0" fillId="0" borderId="0" xfId="0" applyNumberFormat="1" applyAlignment="1"/>
    <xf numFmtId="0" fontId="0" fillId="10" borderId="0" xfId="0" applyFill="1" applyAlignment="1"/>
    <xf numFmtId="180" fontId="2" fillId="10" borderId="3" xfId="0" applyNumberFormat="1" applyFont="1" applyFill="1" applyBorder="1">
      <alignment vertical="center"/>
    </xf>
    <xf numFmtId="0" fontId="2" fillId="10" borderId="3" xfId="0" applyFont="1" applyFill="1" applyBorder="1" applyAlignment="1">
      <alignment horizontal="center" vertical="center"/>
    </xf>
    <xf numFmtId="3" fontId="30" fillId="0" borderId="0" xfId="0" applyNumberFormat="1" applyFont="1">
      <alignment vertical="center"/>
    </xf>
    <xf numFmtId="178" fontId="31" fillId="0" borderId="0" xfId="0" applyNumberFormat="1" applyFont="1">
      <alignment vertical="center"/>
    </xf>
    <xf numFmtId="3" fontId="30" fillId="0" borderId="0" xfId="0" applyNumberFormat="1" applyFont="1" applyAlignment="1">
      <alignment vertical="center" wrapText="1"/>
    </xf>
    <xf numFmtId="3" fontId="30" fillId="0" borderId="30" xfId="0" applyNumberFormat="1" applyFont="1" applyBorder="1">
      <alignment vertical="center"/>
    </xf>
    <xf numFmtId="178" fontId="30" fillId="0" borderId="30" xfId="0" applyNumberFormat="1" applyFont="1" applyBorder="1">
      <alignment vertical="center"/>
    </xf>
    <xf numFmtId="181" fontId="30" fillId="0" borderId="30" xfId="0" applyNumberFormat="1" applyFont="1" applyBorder="1">
      <alignment vertical="center"/>
    </xf>
    <xf numFmtId="178" fontId="30" fillId="0" borderId="0" xfId="0" applyNumberFormat="1" applyFont="1">
      <alignment vertical="center"/>
    </xf>
    <xf numFmtId="181" fontId="30" fillId="0" borderId="0" xfId="0" applyNumberFormat="1" applyFont="1">
      <alignment vertical="center"/>
    </xf>
    <xf numFmtId="182" fontId="30" fillId="0" borderId="0" xfId="0" applyNumberFormat="1" applyFont="1">
      <alignment vertical="center"/>
    </xf>
    <xf numFmtId="179" fontId="30" fillId="0" borderId="0" xfId="0" applyNumberFormat="1" applyFont="1">
      <alignment vertical="center"/>
    </xf>
    <xf numFmtId="3" fontId="32" fillId="0" borderId="0" xfId="0" applyNumberFormat="1" applyFont="1">
      <alignment vertical="center"/>
    </xf>
    <xf numFmtId="0" fontId="32" fillId="0" borderId="0" xfId="0" applyFont="1">
      <alignment vertical="center"/>
    </xf>
    <xf numFmtId="179" fontId="34" fillId="17" borderId="37" xfId="0" applyNumberFormat="1" applyFont="1" applyFill="1" applyBorder="1" applyAlignment="1">
      <alignment horizontal="center" vertical="center"/>
    </xf>
    <xf numFmtId="0" fontId="34" fillId="17" borderId="37" xfId="0" applyFont="1" applyFill="1" applyBorder="1" applyAlignment="1">
      <alignment horizontal="center" vertical="center"/>
    </xf>
    <xf numFmtId="0" fontId="34" fillId="17" borderId="37" xfId="0" applyFont="1" applyFill="1" applyBorder="1" applyAlignment="1">
      <alignment horizontal="center" vertical="center" wrapText="1"/>
    </xf>
    <xf numFmtId="0" fontId="34" fillId="17" borderId="38" xfId="0" applyFont="1" applyFill="1" applyBorder="1" applyAlignment="1">
      <alignment horizontal="center" vertical="center" wrapText="1"/>
    </xf>
    <xf numFmtId="178" fontId="34" fillId="17" borderId="39" xfId="0" applyNumberFormat="1" applyFont="1" applyFill="1" applyBorder="1" applyAlignment="1">
      <alignment horizontal="center" vertical="center"/>
    </xf>
    <xf numFmtId="181" fontId="34" fillId="17" borderId="40" xfId="0" applyNumberFormat="1" applyFont="1" applyFill="1" applyBorder="1" applyAlignment="1">
      <alignment horizontal="center" vertical="center"/>
    </xf>
    <xf numFmtId="181" fontId="34" fillId="17" borderId="40" xfId="0" applyNumberFormat="1" applyFont="1" applyFill="1" applyBorder="1" applyAlignment="1">
      <alignment horizontal="center" vertical="center" wrapText="1"/>
    </xf>
    <xf numFmtId="178" fontId="34" fillId="17" borderId="40" xfId="0" applyNumberFormat="1" applyFont="1" applyFill="1" applyBorder="1" applyAlignment="1">
      <alignment horizontal="center" vertical="center"/>
    </xf>
    <xf numFmtId="178" fontId="34" fillId="17" borderId="41" xfId="0" applyNumberFormat="1" applyFont="1" applyFill="1" applyBorder="1" applyAlignment="1">
      <alignment horizontal="center" vertical="center"/>
    </xf>
    <xf numFmtId="181" fontId="34" fillId="17" borderId="42" xfId="0" applyNumberFormat="1" applyFont="1" applyFill="1" applyBorder="1" applyAlignment="1">
      <alignment horizontal="center" vertical="center"/>
    </xf>
    <xf numFmtId="178" fontId="34" fillId="17" borderId="42" xfId="0" applyNumberFormat="1" applyFont="1" applyFill="1" applyBorder="1" applyAlignment="1">
      <alignment horizontal="center" vertical="center"/>
    </xf>
    <xf numFmtId="178" fontId="34" fillId="17" borderId="43" xfId="0" applyNumberFormat="1" applyFont="1" applyFill="1" applyBorder="1" applyAlignment="1">
      <alignment horizontal="center" vertical="center"/>
    </xf>
    <xf numFmtId="178" fontId="34" fillId="17" borderId="44" xfId="0" applyNumberFormat="1" applyFont="1" applyFill="1" applyBorder="1" applyAlignment="1">
      <alignment horizontal="center" vertical="center"/>
    </xf>
    <xf numFmtId="182" fontId="34" fillId="17" borderId="40" xfId="0" applyNumberFormat="1" applyFont="1" applyFill="1" applyBorder="1" applyAlignment="1">
      <alignment horizontal="center" vertical="center" wrapText="1"/>
    </xf>
    <xf numFmtId="178" fontId="34" fillId="17" borderId="45" xfId="0" applyNumberFormat="1" applyFont="1" applyFill="1" applyBorder="1" applyAlignment="1">
      <alignment horizontal="center" vertical="center" wrapText="1"/>
    </xf>
    <xf numFmtId="178" fontId="34" fillId="17" borderId="37" xfId="0" applyNumberFormat="1" applyFont="1" applyFill="1" applyBorder="1" applyAlignment="1">
      <alignment horizontal="center" vertical="center" wrapText="1"/>
    </xf>
    <xf numFmtId="3" fontId="34" fillId="17" borderId="39" xfId="0" applyNumberFormat="1" applyFont="1" applyFill="1" applyBorder="1" applyAlignment="1">
      <alignment horizontal="center" vertical="center"/>
    </xf>
    <xf numFmtId="183" fontId="34" fillId="17" borderId="40" xfId="0" applyNumberFormat="1" applyFont="1" applyFill="1" applyBorder="1" applyAlignment="1">
      <alignment horizontal="center" vertical="center"/>
    </xf>
    <xf numFmtId="9" fontId="34" fillId="17" borderId="46" xfId="0" applyNumberFormat="1" applyFont="1" applyFill="1" applyBorder="1" applyAlignment="1">
      <alignment horizontal="center" vertical="center"/>
    </xf>
    <xf numFmtId="3" fontId="34" fillId="0" borderId="42" xfId="0" applyNumberFormat="1" applyFont="1" applyBorder="1" applyAlignment="1">
      <alignment horizontal="center" vertical="center"/>
    </xf>
    <xf numFmtId="3" fontId="32" fillId="0" borderId="48" xfId="0" applyNumberFormat="1" applyFont="1" applyBorder="1" applyAlignment="1">
      <alignment horizontal="center" vertical="center"/>
    </xf>
    <xf numFmtId="181" fontId="32" fillId="0" borderId="42" xfId="0" applyNumberFormat="1" applyFont="1" applyBorder="1" applyAlignment="1">
      <alignment horizontal="center" vertical="center"/>
    </xf>
    <xf numFmtId="181" fontId="35" fillId="0" borderId="42" xfId="0" applyNumberFormat="1" applyFont="1" applyBorder="1" applyAlignment="1">
      <alignment horizontal="center" vertical="center"/>
    </xf>
    <xf numFmtId="178" fontId="32" fillId="0" borderId="43" xfId="0" applyNumberFormat="1" applyFont="1" applyBorder="1" applyAlignment="1">
      <alignment horizontal="center" vertical="center"/>
    </xf>
    <xf numFmtId="178" fontId="32" fillId="0" borderId="47" xfId="0" applyNumberFormat="1" applyFont="1" applyBorder="1" applyAlignment="1">
      <alignment horizontal="center" vertical="center"/>
    </xf>
    <xf numFmtId="178" fontId="32" fillId="0" borderId="48" xfId="0" applyNumberFormat="1" applyFont="1" applyBorder="1" applyAlignment="1">
      <alignment horizontal="center" vertical="center"/>
    </xf>
    <xf numFmtId="178" fontId="32" fillId="0" borderId="42" xfId="0" applyNumberFormat="1" applyFont="1" applyBorder="1" applyAlignment="1">
      <alignment horizontal="center" vertical="center"/>
    </xf>
    <xf numFmtId="181" fontId="36" fillId="0" borderId="42" xfId="0" applyNumberFormat="1" applyFont="1" applyBorder="1" applyAlignment="1">
      <alignment horizontal="center" vertical="center"/>
    </xf>
    <xf numFmtId="3" fontId="32" fillId="0" borderId="0" xfId="0" applyNumberFormat="1" applyFont="1" applyAlignment="1">
      <alignment horizontal="center" vertical="center"/>
    </xf>
    <xf numFmtId="3" fontId="34" fillId="0" borderId="50" xfId="0" applyNumberFormat="1" applyFont="1" applyBorder="1" applyAlignment="1">
      <alignment horizontal="center" vertical="center"/>
    </xf>
    <xf numFmtId="3" fontId="32" fillId="0" borderId="41" xfId="0" applyNumberFormat="1" applyFont="1" applyBorder="1" applyAlignment="1">
      <alignment horizontal="center" vertical="center"/>
    </xf>
    <xf numFmtId="3" fontId="34" fillId="0" borderId="49" xfId="0" applyNumberFormat="1" applyFont="1" applyBorder="1" applyAlignment="1">
      <alignment horizontal="center" vertical="center"/>
    </xf>
    <xf numFmtId="3" fontId="32" fillId="0" borderId="54" xfId="0" applyNumberFormat="1" applyFont="1" applyBorder="1" applyAlignment="1">
      <alignment horizontal="center" vertical="center"/>
    </xf>
    <xf numFmtId="178" fontId="32" fillId="0" borderId="55" xfId="0" applyNumberFormat="1" applyFont="1" applyBorder="1" applyAlignment="1">
      <alignment horizontal="center" vertical="center"/>
    </xf>
    <xf numFmtId="181" fontId="32" fillId="0" borderId="49" xfId="0" applyNumberFormat="1" applyFont="1" applyBorder="1" applyAlignment="1">
      <alignment horizontal="center" vertical="center"/>
    </xf>
    <xf numFmtId="181" fontId="35" fillId="0" borderId="49" xfId="0" applyNumberFormat="1" applyFont="1" applyBorder="1" applyAlignment="1">
      <alignment horizontal="center" vertical="center"/>
    </xf>
    <xf numFmtId="178" fontId="32" fillId="0" borderId="56" xfId="0" applyNumberFormat="1" applyFont="1" applyBorder="1" applyAlignment="1">
      <alignment horizontal="center" vertical="center"/>
    </xf>
    <xf numFmtId="178" fontId="32" fillId="0" borderId="57" xfId="0" applyNumberFormat="1" applyFont="1" applyBorder="1" applyAlignment="1">
      <alignment horizontal="center" vertical="center"/>
    </xf>
    <xf numFmtId="178" fontId="32" fillId="0" borderId="54" xfId="0" applyNumberFormat="1" applyFont="1" applyBorder="1" applyAlignment="1">
      <alignment horizontal="center" vertical="center"/>
    </xf>
    <xf numFmtId="181" fontId="36" fillId="0" borderId="49" xfId="0" applyNumberFormat="1" applyFont="1" applyBorder="1" applyAlignment="1">
      <alignment horizontal="center" vertical="center"/>
    </xf>
    <xf numFmtId="3" fontId="32" fillId="0" borderId="61" xfId="0" applyNumberFormat="1" applyFont="1" applyBorder="1" applyAlignment="1">
      <alignment horizontal="center" vertical="center"/>
    </xf>
    <xf numFmtId="0" fontId="34" fillId="17" borderId="35" xfId="0" applyFont="1" applyFill="1" applyBorder="1" applyAlignment="1">
      <alignment horizontal="center" vertical="center"/>
    </xf>
    <xf numFmtId="3" fontId="34" fillId="17" borderId="45" xfId="0" applyNumberFormat="1" applyFont="1" applyFill="1" applyBorder="1" applyAlignment="1">
      <alignment horizontal="center" vertical="center" wrapText="1"/>
    </xf>
    <xf numFmtId="179" fontId="34" fillId="17" borderId="37" xfId="0" applyNumberFormat="1" applyFont="1" applyFill="1" applyBorder="1" applyAlignment="1">
      <alignment horizontal="center" vertical="center" wrapText="1"/>
    </xf>
    <xf numFmtId="0" fontId="34" fillId="17" borderId="40" xfId="0" applyFont="1" applyFill="1" applyBorder="1" applyAlignment="1">
      <alignment horizontal="center" vertical="center"/>
    </xf>
    <xf numFmtId="0" fontId="34" fillId="17" borderId="70" xfId="0" applyFont="1" applyFill="1" applyBorder="1" applyAlignment="1">
      <alignment horizontal="center" vertical="center"/>
    </xf>
    <xf numFmtId="3" fontId="32" fillId="0" borderId="71" xfId="0" applyNumberFormat="1" applyFont="1" applyBorder="1" applyAlignment="1">
      <alignment horizontal="center" vertical="center"/>
    </xf>
    <xf numFmtId="3" fontId="34" fillId="0" borderId="52" xfId="0" applyNumberFormat="1" applyFont="1" applyBorder="1" applyAlignment="1">
      <alignment horizontal="center" vertical="center"/>
    </xf>
    <xf numFmtId="3" fontId="32" fillId="0" borderId="72" xfId="0" applyNumberFormat="1" applyFont="1" applyBorder="1" applyAlignment="1">
      <alignment horizontal="center" vertical="center"/>
    </xf>
    <xf numFmtId="3" fontId="32" fillId="0" borderId="73" xfId="0" applyNumberFormat="1" applyFont="1" applyBorder="1" applyAlignment="1">
      <alignment horizontal="center" vertical="center"/>
    </xf>
    <xf numFmtId="178" fontId="32" fillId="0" borderId="74" xfId="0" applyNumberFormat="1" applyFont="1" applyBorder="1" applyAlignment="1">
      <alignment horizontal="center" vertical="center"/>
    </xf>
    <xf numFmtId="3" fontId="32" fillId="0" borderId="56" xfId="0" applyNumberFormat="1" applyFont="1" applyBorder="1" applyAlignment="1">
      <alignment horizontal="center" vertical="center"/>
    </xf>
    <xf numFmtId="3" fontId="32" fillId="0" borderId="55" xfId="0" applyNumberFormat="1" applyFont="1" applyBorder="1" applyAlignment="1">
      <alignment horizontal="center" vertical="center"/>
    </xf>
    <xf numFmtId="3" fontId="32" fillId="0" borderId="76" xfId="0" applyNumberFormat="1" applyFont="1" applyBorder="1" applyAlignment="1">
      <alignment horizontal="center" vertical="center"/>
    </xf>
    <xf numFmtId="178" fontId="32" fillId="0" borderId="77" xfId="0" applyNumberFormat="1" applyFont="1" applyBorder="1" applyAlignment="1">
      <alignment horizontal="center" vertical="center"/>
    </xf>
    <xf numFmtId="3" fontId="32" fillId="0" borderId="49" xfId="0" applyNumberFormat="1" applyFont="1" applyBorder="1" applyAlignment="1">
      <alignment horizontal="center" vertical="center"/>
    </xf>
    <xf numFmtId="3" fontId="32" fillId="0" borderId="58" xfId="0" applyNumberFormat="1" applyFont="1" applyBorder="1" applyAlignment="1">
      <alignment horizontal="center" vertical="center"/>
    </xf>
    <xf numFmtId="3" fontId="34" fillId="0" borderId="59" xfId="0" applyNumberFormat="1" applyFont="1" applyBorder="1" applyAlignment="1">
      <alignment horizontal="center" vertical="center"/>
    </xf>
    <xf numFmtId="3" fontId="32" fillId="0" borderId="78" xfId="0" applyNumberFormat="1" applyFont="1" applyBorder="1" applyAlignment="1">
      <alignment horizontal="center" vertical="center"/>
    </xf>
    <xf numFmtId="181" fontId="32" fillId="0" borderId="59" xfId="0" applyNumberFormat="1" applyFont="1" applyBorder="1" applyAlignment="1">
      <alignment horizontal="center" vertical="center"/>
    </xf>
    <xf numFmtId="178" fontId="32" fillId="0" borderId="60" xfId="0" applyNumberFormat="1" applyFont="1" applyBorder="1" applyAlignment="1">
      <alignment horizontal="center" vertical="center"/>
    </xf>
    <xf numFmtId="178" fontId="32" fillId="0" borderId="79" xfId="0" applyNumberFormat="1" applyFont="1" applyBorder="1" applyAlignment="1">
      <alignment horizontal="center" vertical="center"/>
    </xf>
    <xf numFmtId="178" fontId="32" fillId="0" borderId="78" xfId="0" applyNumberFormat="1" applyFont="1" applyBorder="1" applyAlignment="1">
      <alignment horizontal="center" vertical="center"/>
    </xf>
    <xf numFmtId="178" fontId="32" fillId="0" borderId="80" xfId="0" applyNumberFormat="1" applyFont="1" applyBorder="1" applyAlignment="1">
      <alignment horizontal="center" vertical="center"/>
    </xf>
    <xf numFmtId="3" fontId="32" fillId="17" borderId="0" xfId="0" applyNumberFormat="1" applyFont="1" applyFill="1">
      <alignment vertical="center"/>
    </xf>
    <xf numFmtId="181" fontId="34" fillId="17" borderId="37" xfId="0" applyNumberFormat="1" applyFont="1" applyFill="1" applyBorder="1" applyAlignment="1">
      <alignment horizontal="center" vertical="center" wrapText="1"/>
    </xf>
    <xf numFmtId="181" fontId="34" fillId="17" borderId="37" xfId="0" applyNumberFormat="1" applyFont="1" applyFill="1" applyBorder="1" applyAlignment="1">
      <alignment horizontal="center" vertical="center"/>
    </xf>
    <xf numFmtId="0" fontId="34" fillId="17" borderId="36" xfId="0" applyFont="1" applyFill="1" applyBorder="1" applyAlignment="1">
      <alignment horizontal="center" vertical="center" wrapText="1"/>
    </xf>
    <xf numFmtId="0" fontId="34" fillId="17" borderId="35" xfId="0" applyFont="1" applyFill="1" applyBorder="1" applyAlignment="1">
      <alignment horizontal="center" vertical="center" wrapText="1"/>
    </xf>
    <xf numFmtId="3" fontId="32" fillId="0" borderId="90" xfId="0" applyNumberFormat="1" applyFont="1" applyBorder="1" applyAlignment="1">
      <alignment horizontal="center" vertical="center"/>
    </xf>
    <xf numFmtId="178" fontId="32" fillId="0" borderId="52" xfId="0" applyNumberFormat="1" applyFont="1" applyBorder="1" applyAlignment="1">
      <alignment horizontal="center" vertical="center"/>
    </xf>
    <xf numFmtId="181" fontId="32" fillId="0" borderId="52" xfId="0" applyNumberFormat="1" applyFont="1" applyBorder="1" applyAlignment="1">
      <alignment horizontal="center" vertical="center"/>
    </xf>
    <xf numFmtId="178" fontId="32" fillId="0" borderId="53" xfId="0" applyNumberFormat="1" applyFont="1" applyBorder="1" applyAlignment="1">
      <alignment horizontal="center" vertical="center"/>
    </xf>
    <xf numFmtId="178" fontId="32" fillId="0" borderId="59" xfId="0" applyNumberFormat="1" applyFont="1" applyBorder="1" applyAlignment="1">
      <alignment horizontal="center" vertical="center"/>
    </xf>
    <xf numFmtId="178" fontId="32" fillId="0" borderId="94" xfId="0" applyNumberFormat="1" applyFont="1" applyBorder="1" applyAlignment="1">
      <alignment horizontal="center" vertical="center"/>
    </xf>
    <xf numFmtId="178" fontId="32" fillId="0" borderId="62" xfId="0" applyNumberFormat="1" applyFont="1" applyBorder="1" applyAlignment="1">
      <alignment horizontal="center" vertical="center"/>
    </xf>
    <xf numFmtId="179" fontId="32" fillId="0" borderId="0" xfId="0" applyNumberFormat="1" applyFont="1" applyAlignment="1">
      <alignment horizontal="center" vertical="center"/>
    </xf>
    <xf numFmtId="9" fontId="32" fillId="0" borderId="0" xfId="0" applyNumberFormat="1" applyFont="1" applyAlignment="1">
      <alignment horizontal="center" vertical="center"/>
    </xf>
    <xf numFmtId="178" fontId="32" fillId="0" borderId="0" xfId="0" applyNumberFormat="1" applyFont="1" applyAlignment="1">
      <alignment horizontal="center" vertical="center"/>
    </xf>
    <xf numFmtId="181" fontId="32" fillId="0" borderId="0" xfId="0" applyNumberFormat="1" applyFont="1" applyAlignment="1">
      <alignment horizontal="center" vertical="center"/>
    </xf>
    <xf numFmtId="0" fontId="39" fillId="0" borderId="0" xfId="0" applyFont="1">
      <alignment vertical="center"/>
    </xf>
    <xf numFmtId="179" fontId="41" fillId="17" borderId="95" xfId="0" applyNumberFormat="1" applyFont="1" applyFill="1" applyBorder="1" applyAlignment="1">
      <alignment horizontal="center" vertical="center"/>
    </xf>
    <xf numFmtId="0" fontId="41" fillId="17" borderId="96" xfId="0" applyFont="1" applyFill="1" applyBorder="1" applyAlignment="1">
      <alignment horizontal="center" vertical="center"/>
    </xf>
    <xf numFmtId="179" fontId="41" fillId="17" borderId="96" xfId="0" applyNumberFormat="1" applyFont="1" applyFill="1" applyBorder="1" applyAlignment="1">
      <alignment horizontal="center" vertical="center"/>
    </xf>
    <xf numFmtId="0" fontId="42" fillId="17" borderId="97" xfId="0" applyFont="1" applyFill="1" applyBorder="1" applyAlignment="1">
      <alignment horizontal="center" vertical="center"/>
    </xf>
    <xf numFmtId="179" fontId="41" fillId="17" borderId="29" xfId="0" applyNumberFormat="1" applyFont="1" applyFill="1" applyBorder="1" applyAlignment="1">
      <alignment horizontal="center" vertical="center"/>
    </xf>
    <xf numFmtId="0" fontId="41" fillId="17" borderId="29" xfId="0" applyFont="1" applyFill="1" applyBorder="1" applyAlignment="1">
      <alignment horizontal="center" vertical="center"/>
    </xf>
    <xf numFmtId="0" fontId="41" fillId="0" borderId="29" xfId="0" applyFont="1" applyBorder="1">
      <alignment vertical="center"/>
    </xf>
    <xf numFmtId="0" fontId="41" fillId="0" borderId="29" xfId="0" applyFont="1" applyBorder="1" applyAlignment="1">
      <alignment vertical="center" shrinkToFit="1"/>
    </xf>
    <xf numFmtId="178" fontId="0" fillId="0" borderId="29" xfId="0" applyNumberFormat="1" applyBorder="1">
      <alignment vertical="center"/>
    </xf>
    <xf numFmtId="179" fontId="0" fillId="0" borderId="29" xfId="0" applyNumberFormat="1" applyBorder="1" applyAlignment="1">
      <alignment horizontal="center" vertical="center"/>
    </xf>
    <xf numFmtId="178" fontId="43" fillId="0" borderId="98" xfId="0" applyNumberFormat="1" applyFont="1" applyBorder="1">
      <alignment vertical="center"/>
    </xf>
    <xf numFmtId="0" fontId="41" fillId="0" borderId="29" xfId="0" applyFont="1" applyBorder="1" applyAlignment="1">
      <alignment vertical="center" wrapText="1"/>
    </xf>
    <xf numFmtId="179" fontId="0" fillId="14" borderId="29" xfId="0" applyNumberFormat="1" applyFill="1" applyBorder="1" applyAlignment="1">
      <alignment horizontal="center" vertical="center"/>
    </xf>
    <xf numFmtId="178" fontId="0" fillId="14" borderId="29" xfId="0" applyNumberFormat="1" applyFill="1" applyBorder="1">
      <alignment vertical="center"/>
    </xf>
    <xf numFmtId="0" fontId="0" fillId="0" borderId="29" xfId="0" applyBorder="1">
      <alignment vertical="center"/>
    </xf>
    <xf numFmtId="0" fontId="41" fillId="0" borderId="25" xfId="0" applyFont="1" applyBorder="1">
      <alignment vertical="center"/>
    </xf>
    <xf numFmtId="0" fontId="41" fillId="0" borderId="25" xfId="0" applyFont="1" applyBorder="1" applyAlignment="1">
      <alignment vertical="center" shrinkToFit="1"/>
    </xf>
    <xf numFmtId="178" fontId="0" fillId="0" borderId="25" xfId="0" applyNumberFormat="1" applyBorder="1">
      <alignment vertical="center"/>
    </xf>
    <xf numFmtId="179" fontId="0" fillId="0" borderId="25" xfId="0" applyNumberFormat="1" applyBorder="1" applyAlignment="1">
      <alignment horizontal="center" vertical="center"/>
    </xf>
    <xf numFmtId="178" fontId="43" fillId="0" borderId="16" xfId="0" applyNumberFormat="1" applyFont="1" applyBorder="1">
      <alignment vertical="center"/>
    </xf>
    <xf numFmtId="14" fontId="20" fillId="13" borderId="17" xfId="0" applyNumberFormat="1" applyFont="1" applyFill="1" applyBorder="1" applyAlignment="1">
      <alignment horizontal="center" vertical="center" wrapText="1"/>
    </xf>
    <xf numFmtId="14" fontId="3" fillId="10" borderId="20" xfId="0" applyNumberFormat="1" applyFont="1" applyFill="1" applyBorder="1">
      <alignment vertical="center"/>
    </xf>
    <xf numFmtId="14" fontId="27" fillId="10" borderId="20" xfId="0" applyNumberFormat="1" applyFont="1" applyFill="1" applyBorder="1">
      <alignment vertical="center"/>
    </xf>
    <xf numFmtId="14" fontId="2" fillId="10" borderId="20" xfId="0" applyNumberFormat="1" applyFont="1" applyFill="1" applyBorder="1">
      <alignment vertical="center"/>
    </xf>
    <xf numFmtId="14" fontId="19" fillId="0" borderId="0" xfId="0" applyNumberFormat="1" applyFont="1" applyAlignment="1"/>
    <xf numFmtId="0" fontId="34" fillId="17" borderId="34" xfId="0" applyFont="1" applyFill="1" applyBorder="1" applyAlignment="1">
      <alignment horizontal="center" vertical="center"/>
    </xf>
    <xf numFmtId="0" fontId="34" fillId="17" borderId="0" xfId="0" applyFont="1" applyFill="1" applyAlignment="1">
      <alignment horizontal="center" vertical="center" wrapText="1"/>
    </xf>
    <xf numFmtId="182" fontId="32" fillId="17" borderId="99" xfId="0" applyNumberFormat="1" applyFont="1" applyFill="1" applyBorder="1" applyAlignment="1">
      <alignment horizontal="center" vertical="center" wrapText="1"/>
    </xf>
    <xf numFmtId="0" fontId="32" fillId="17" borderId="65" xfId="0" applyFont="1" applyFill="1" applyBorder="1" applyAlignment="1">
      <alignment horizontal="center" vertical="center"/>
    </xf>
    <xf numFmtId="178" fontId="32" fillId="17" borderId="30" xfId="0" applyNumberFormat="1" applyFont="1" applyFill="1" applyBorder="1">
      <alignment vertical="center"/>
    </xf>
    <xf numFmtId="178" fontId="32" fillId="17" borderId="100" xfId="0" applyNumberFormat="1" applyFont="1" applyFill="1" applyBorder="1">
      <alignment vertical="center"/>
    </xf>
    <xf numFmtId="178" fontId="34" fillId="17" borderId="35" xfId="0" applyNumberFormat="1" applyFont="1" applyFill="1" applyBorder="1" applyAlignment="1">
      <alignment horizontal="center" vertical="center" wrapText="1"/>
    </xf>
    <xf numFmtId="0" fontId="47" fillId="0" borderId="27" xfId="0" applyFont="1" applyBorder="1">
      <alignment vertical="center"/>
    </xf>
    <xf numFmtId="0" fontId="19" fillId="0" borderId="29" xfId="0" applyFont="1" applyBorder="1" applyAlignment="1">
      <alignment vertical="center" shrinkToFit="1"/>
    </xf>
    <xf numFmtId="0" fontId="48" fillId="0" borderId="29" xfId="0" applyFont="1" applyBorder="1" applyAlignment="1">
      <alignment vertical="center" shrinkToFit="1"/>
    </xf>
    <xf numFmtId="14" fontId="2" fillId="10" borderId="3" xfId="0" applyNumberFormat="1" applyFont="1" applyFill="1" applyBorder="1">
      <alignment vertical="center"/>
    </xf>
    <xf numFmtId="14" fontId="0" fillId="0" borderId="0" xfId="0" applyNumberFormat="1" applyAlignment="1"/>
    <xf numFmtId="41" fontId="2" fillId="0" borderId="27" xfId="0" applyNumberFormat="1" applyFont="1" applyBorder="1">
      <alignment vertical="center"/>
    </xf>
    <xf numFmtId="41" fontId="20" fillId="13" borderId="17" xfId="8" applyFont="1" applyFill="1" applyBorder="1" applyAlignment="1">
      <alignment horizontal="center" vertical="center" wrapText="1"/>
    </xf>
    <xf numFmtId="41" fontId="0" fillId="0" borderId="0" xfId="8" applyFont="1" applyAlignment="1"/>
    <xf numFmtId="3" fontId="49" fillId="0" borderId="42" xfId="0" applyNumberFormat="1" applyFont="1" applyBorder="1" applyAlignment="1">
      <alignment horizontal="center" vertical="center"/>
    </xf>
    <xf numFmtId="0" fontId="48" fillId="0" borderId="25" xfId="0" applyFont="1" applyBorder="1" applyAlignment="1">
      <alignment vertical="center" shrinkToFit="1"/>
    </xf>
    <xf numFmtId="14" fontId="20" fillId="13" borderId="29" xfId="0" applyNumberFormat="1" applyFont="1" applyFill="1" applyBorder="1" applyAlignment="1">
      <alignment horizontal="center" vertical="center"/>
    </xf>
    <xf numFmtId="14" fontId="2" fillId="0" borderId="27" xfId="0" applyNumberFormat="1" applyFont="1" applyBorder="1">
      <alignment vertical="center"/>
    </xf>
    <xf numFmtId="14" fontId="2" fillId="0" borderId="0" xfId="0" applyNumberFormat="1" applyFont="1">
      <alignment vertical="center"/>
    </xf>
    <xf numFmtId="0" fontId="5" fillId="2" borderId="2" xfId="0" applyFont="1" applyFill="1" applyBorder="1">
      <alignment vertical="center"/>
    </xf>
    <xf numFmtId="0" fontId="4" fillId="2" borderId="2" xfId="0" applyFont="1" applyFill="1" applyBorder="1">
      <alignment vertical="center"/>
    </xf>
    <xf numFmtId="14" fontId="4" fillId="2" borderId="2" xfId="0" applyNumberFormat="1" applyFont="1" applyFill="1" applyBorder="1">
      <alignment vertical="center"/>
    </xf>
    <xf numFmtId="177" fontId="14" fillId="0" borderId="9" xfId="9" applyNumberFormat="1" applyFont="1" applyBorder="1" applyAlignment="1">
      <alignment horizontal="right" vertical="center"/>
    </xf>
    <xf numFmtId="177" fontId="14" fillId="0" borderId="14" xfId="9" applyNumberFormat="1" applyFont="1" applyBorder="1" applyAlignment="1">
      <alignment horizontal="right" vertical="center"/>
    </xf>
    <xf numFmtId="177" fontId="14" fillId="11" borderId="15" xfId="9" applyNumberFormat="1" applyFont="1" applyFill="1" applyBorder="1" applyAlignment="1">
      <alignment horizontal="right" vertical="center"/>
    </xf>
    <xf numFmtId="177" fontId="14" fillId="11" borderId="9" xfId="9" applyNumberFormat="1" applyFont="1" applyFill="1" applyBorder="1" applyAlignment="1">
      <alignment horizontal="right" vertical="center"/>
    </xf>
    <xf numFmtId="177" fontId="17" fillId="12" borderId="13" xfId="9" applyNumberFormat="1" applyFont="1" applyFill="1" applyBorder="1" applyAlignment="1">
      <alignment horizontal="right" vertical="center"/>
    </xf>
    <xf numFmtId="0" fontId="17" fillId="15" borderId="16" xfId="0" applyFont="1" applyFill="1" applyBorder="1" applyAlignment="1">
      <alignment horizontal="center" vertical="center" wrapText="1"/>
    </xf>
    <xf numFmtId="0" fontId="45" fillId="0" borderId="0" xfId="6" applyAlignment="1"/>
    <xf numFmtId="0" fontId="45" fillId="0" borderId="0" xfId="6">
      <alignment vertical="center"/>
    </xf>
    <xf numFmtId="3" fontId="49" fillId="0" borderId="49" xfId="0" applyNumberFormat="1" applyFont="1" applyBorder="1" applyAlignment="1">
      <alignment horizontal="center" vertical="center"/>
    </xf>
    <xf numFmtId="3" fontId="32" fillId="0" borderId="42" xfId="0" applyNumberFormat="1" applyFont="1" applyBorder="1" applyAlignment="1">
      <alignment horizontal="center" vertical="center"/>
    </xf>
    <xf numFmtId="0" fontId="48" fillId="0" borderId="29" xfId="0" applyFont="1" applyBorder="1">
      <alignment vertical="center"/>
    </xf>
    <xf numFmtId="178" fontId="3" fillId="0" borderId="0" xfId="0" applyNumberFormat="1" applyFont="1" applyAlignment="1">
      <alignment horizontal="right" vertical="center"/>
    </xf>
    <xf numFmtId="178" fontId="58" fillId="0" borderId="22" xfId="0" applyNumberFormat="1" applyFont="1" applyBorder="1">
      <alignment vertical="center"/>
    </xf>
    <xf numFmtId="3" fontId="32" fillId="0" borderId="50" xfId="0" applyNumberFormat="1" applyFont="1" applyBorder="1" applyAlignment="1">
      <alignment horizontal="center" vertical="center"/>
    </xf>
    <xf numFmtId="3" fontId="32" fillId="0" borderId="42" xfId="0" applyNumberFormat="1" applyFont="1" applyBorder="1" applyAlignment="1">
      <alignment horizontal="center" vertical="center" wrapText="1"/>
    </xf>
    <xf numFmtId="178" fontId="32" fillId="0" borderId="41" xfId="0" applyNumberFormat="1" applyFont="1" applyBorder="1" applyAlignment="1">
      <alignment horizontal="center" vertical="center"/>
    </xf>
    <xf numFmtId="178" fontId="32" fillId="0" borderId="49" xfId="0" applyNumberFormat="1" applyFont="1" applyBorder="1" applyAlignment="1">
      <alignment horizontal="center" vertical="center"/>
    </xf>
    <xf numFmtId="182" fontId="32" fillId="0" borderId="42" xfId="0" applyNumberFormat="1" applyFont="1" applyBorder="1" applyAlignment="1">
      <alignment horizontal="center" vertical="center"/>
    </xf>
    <xf numFmtId="41" fontId="32" fillId="0" borderId="42" xfId="8" applyFont="1" applyFill="1" applyBorder="1" applyAlignment="1">
      <alignment horizontal="center" vertical="center"/>
    </xf>
    <xf numFmtId="178" fontId="32" fillId="0" borderId="51" xfId="0" applyNumberFormat="1" applyFont="1" applyBorder="1" applyAlignment="1">
      <alignment horizontal="center" vertical="center"/>
    </xf>
    <xf numFmtId="178" fontId="32" fillId="0" borderId="50" xfId="0" applyNumberFormat="1" applyFont="1" applyBorder="1" applyAlignment="1">
      <alignment horizontal="center" vertical="center"/>
    </xf>
    <xf numFmtId="183" fontId="32" fillId="0" borderId="52" xfId="0" applyNumberFormat="1" applyFont="1" applyBorder="1" applyAlignment="1">
      <alignment horizontal="center" vertical="center"/>
    </xf>
    <xf numFmtId="9" fontId="32" fillId="0" borderId="53" xfId="0" applyNumberFormat="1" applyFont="1" applyBorder="1" applyAlignment="1">
      <alignment horizontal="center" vertical="center"/>
    </xf>
    <xf numFmtId="3" fontId="34" fillId="0" borderId="42" xfId="0" applyNumberFormat="1" applyFont="1" applyBorder="1" applyAlignment="1">
      <alignment horizontal="center" vertical="center" wrapText="1"/>
    </xf>
    <xf numFmtId="3" fontId="32" fillId="0" borderId="49" xfId="0" applyNumberFormat="1" applyFont="1" applyBorder="1" applyAlignment="1">
      <alignment horizontal="center" vertical="center" wrapText="1"/>
    </xf>
    <xf numFmtId="182" fontId="32" fillId="0" borderId="49" xfId="0" applyNumberFormat="1" applyFont="1" applyBorder="1" applyAlignment="1">
      <alignment horizontal="center" vertical="center"/>
    </xf>
    <xf numFmtId="41" fontId="32" fillId="0" borderId="49" xfId="8" applyFont="1" applyFill="1" applyBorder="1" applyAlignment="1">
      <alignment horizontal="center" vertical="center"/>
    </xf>
    <xf numFmtId="3" fontId="34" fillId="0" borderId="50" xfId="0" applyNumberFormat="1" applyFont="1" applyBorder="1" applyAlignment="1">
      <alignment horizontal="center" vertical="center" wrapText="1"/>
    </xf>
    <xf numFmtId="178" fontId="32" fillId="0" borderId="58" xfId="0" applyNumberFormat="1" applyFont="1" applyBorder="1" applyAlignment="1">
      <alignment horizontal="center" vertical="center"/>
    </xf>
    <xf numFmtId="183" fontId="32" fillId="0" borderId="59" xfId="0" applyNumberFormat="1" applyFont="1" applyBorder="1" applyAlignment="1">
      <alignment horizontal="center" vertical="center"/>
    </xf>
    <xf numFmtId="9" fontId="32" fillId="0" borderId="62" xfId="0" applyNumberFormat="1" applyFont="1" applyBorder="1" applyAlignment="1">
      <alignment horizontal="center" vertical="center"/>
    </xf>
    <xf numFmtId="0" fontId="32" fillId="0" borderId="102" xfId="0" applyFont="1" applyBorder="1">
      <alignment vertical="center"/>
    </xf>
    <xf numFmtId="41" fontId="32" fillId="0" borderId="0" xfId="8" applyFont="1" applyFill="1" applyBorder="1">
      <alignment vertical="center"/>
    </xf>
    <xf numFmtId="0" fontId="32" fillId="0" borderId="103" xfId="0" applyFont="1" applyBorder="1">
      <alignment vertical="center"/>
    </xf>
    <xf numFmtId="3" fontId="49" fillId="0" borderId="42" xfId="0" applyNumberFormat="1" applyFont="1" applyBorder="1" applyAlignment="1">
      <alignment horizontal="center" vertical="center" wrapText="1"/>
    </xf>
    <xf numFmtId="3" fontId="49" fillId="0" borderId="49" xfId="0" applyNumberFormat="1" applyFont="1" applyBorder="1" applyAlignment="1">
      <alignment horizontal="center" vertical="center" wrapText="1"/>
    </xf>
    <xf numFmtId="178" fontId="3" fillId="0" borderId="22" xfId="0" applyNumberFormat="1" applyFont="1" applyBorder="1">
      <alignment vertical="center"/>
    </xf>
    <xf numFmtId="3" fontId="32" fillId="18" borderId="50" xfId="0" applyNumberFormat="1" applyFont="1" applyFill="1" applyBorder="1" applyAlignment="1">
      <alignment horizontal="center" vertical="center"/>
    </xf>
    <xf numFmtId="3" fontId="34" fillId="18" borderId="42" xfId="0" applyNumberFormat="1" applyFont="1" applyFill="1" applyBorder="1" applyAlignment="1">
      <alignment horizontal="center" vertical="center"/>
    </xf>
    <xf numFmtId="3" fontId="32" fillId="18" borderId="42" xfId="0" applyNumberFormat="1" applyFont="1" applyFill="1" applyBorder="1" applyAlignment="1">
      <alignment horizontal="center" vertical="center" wrapText="1"/>
    </xf>
    <xf numFmtId="3" fontId="32" fillId="18" borderId="48" xfId="0" applyNumberFormat="1" applyFont="1" applyFill="1" applyBorder="1" applyAlignment="1">
      <alignment horizontal="center" vertical="center"/>
    </xf>
    <xf numFmtId="178" fontId="32" fillId="18" borderId="41" xfId="0" applyNumberFormat="1" applyFont="1" applyFill="1" applyBorder="1" applyAlignment="1">
      <alignment horizontal="center" vertical="center"/>
    </xf>
    <xf numFmtId="181" fontId="32" fillId="18" borderId="42" xfId="0" applyNumberFormat="1" applyFont="1" applyFill="1" applyBorder="1" applyAlignment="1">
      <alignment horizontal="center" vertical="center"/>
    </xf>
    <xf numFmtId="181" fontId="35" fillId="18" borderId="42" xfId="0" applyNumberFormat="1" applyFont="1" applyFill="1" applyBorder="1" applyAlignment="1">
      <alignment horizontal="center" vertical="center"/>
    </xf>
    <xf numFmtId="178" fontId="32" fillId="18" borderId="43" xfId="0" applyNumberFormat="1" applyFont="1" applyFill="1" applyBorder="1" applyAlignment="1">
      <alignment horizontal="center" vertical="center"/>
    </xf>
    <xf numFmtId="178" fontId="32" fillId="18" borderId="47" xfId="0" applyNumberFormat="1" applyFont="1" applyFill="1" applyBorder="1" applyAlignment="1">
      <alignment horizontal="center" vertical="center"/>
    </xf>
    <xf numFmtId="178" fontId="32" fillId="18" borderId="48" xfId="0" applyNumberFormat="1" applyFont="1" applyFill="1" applyBorder="1" applyAlignment="1">
      <alignment horizontal="center" vertical="center"/>
    </xf>
    <xf numFmtId="178" fontId="32" fillId="18" borderId="42" xfId="0" applyNumberFormat="1" applyFont="1" applyFill="1" applyBorder="1" applyAlignment="1">
      <alignment horizontal="center" vertical="center"/>
    </xf>
    <xf numFmtId="178" fontId="32" fillId="18" borderId="49" xfId="0" applyNumberFormat="1" applyFont="1" applyFill="1" applyBorder="1" applyAlignment="1">
      <alignment horizontal="center" vertical="center"/>
    </xf>
    <xf numFmtId="182" fontId="32" fillId="18" borderId="42" xfId="0" applyNumberFormat="1" applyFont="1" applyFill="1" applyBorder="1" applyAlignment="1">
      <alignment horizontal="center" vertical="center"/>
    </xf>
    <xf numFmtId="41" fontId="32" fillId="18" borderId="42" xfId="8" applyFont="1" applyFill="1" applyBorder="1" applyAlignment="1">
      <alignment horizontal="center" vertical="center"/>
    </xf>
    <xf numFmtId="178" fontId="32" fillId="18" borderId="51" xfId="0" applyNumberFormat="1" applyFont="1" applyFill="1" applyBorder="1" applyAlignment="1">
      <alignment horizontal="center" vertical="center"/>
    </xf>
    <xf numFmtId="3" fontId="32" fillId="18" borderId="0" xfId="0" applyNumberFormat="1" applyFont="1" applyFill="1" applyAlignment="1">
      <alignment horizontal="center" vertical="center"/>
    </xf>
    <xf numFmtId="3" fontId="34" fillId="18" borderId="50" xfId="0" applyNumberFormat="1" applyFont="1" applyFill="1" applyBorder="1" applyAlignment="1">
      <alignment horizontal="center" vertical="center"/>
    </xf>
    <xf numFmtId="0" fontId="32" fillId="18" borderId="0" xfId="0" applyFont="1" applyFill="1">
      <alignment vertical="center"/>
    </xf>
    <xf numFmtId="178" fontId="32" fillId="18" borderId="50" xfId="0" applyNumberFormat="1" applyFont="1" applyFill="1" applyBorder="1" applyAlignment="1">
      <alignment horizontal="center" vertical="center"/>
    </xf>
    <xf numFmtId="183" fontId="32" fillId="18" borderId="52" xfId="0" applyNumberFormat="1" applyFont="1" applyFill="1" applyBorder="1" applyAlignment="1">
      <alignment horizontal="center" vertical="center"/>
    </xf>
    <xf numFmtId="9" fontId="32" fillId="18" borderId="53" xfId="0" applyNumberFormat="1" applyFont="1" applyFill="1" applyBorder="1" applyAlignment="1">
      <alignment horizontal="center" vertical="center"/>
    </xf>
    <xf numFmtId="3" fontId="34" fillId="18" borderId="49" xfId="0" applyNumberFormat="1" applyFont="1" applyFill="1" applyBorder="1" applyAlignment="1">
      <alignment horizontal="center" vertical="center"/>
    </xf>
    <xf numFmtId="3" fontId="32" fillId="18" borderId="49" xfId="0" applyNumberFormat="1" applyFont="1" applyFill="1" applyBorder="1" applyAlignment="1">
      <alignment horizontal="center" vertical="center" wrapText="1"/>
    </xf>
    <xf numFmtId="3" fontId="32" fillId="18" borderId="54" xfId="0" applyNumberFormat="1" applyFont="1" applyFill="1" applyBorder="1" applyAlignment="1">
      <alignment horizontal="center" vertical="center"/>
    </xf>
    <xf numFmtId="178" fontId="32" fillId="18" borderId="55" xfId="0" applyNumberFormat="1" applyFont="1" applyFill="1" applyBorder="1" applyAlignment="1">
      <alignment horizontal="center" vertical="center"/>
    </xf>
    <xf numFmtId="181" fontId="32" fillId="18" borderId="49" xfId="0" applyNumberFormat="1" applyFont="1" applyFill="1" applyBorder="1" applyAlignment="1">
      <alignment horizontal="center" vertical="center"/>
    </xf>
    <xf numFmtId="181" fontId="35" fillId="18" borderId="49" xfId="0" applyNumberFormat="1" applyFont="1" applyFill="1" applyBorder="1" applyAlignment="1">
      <alignment horizontal="center" vertical="center"/>
    </xf>
    <xf numFmtId="178" fontId="32" fillId="18" borderId="56" xfId="0" applyNumberFormat="1" applyFont="1" applyFill="1" applyBorder="1" applyAlignment="1">
      <alignment horizontal="center" vertical="center"/>
    </xf>
    <xf numFmtId="178" fontId="32" fillId="18" borderId="57" xfId="0" applyNumberFormat="1" applyFont="1" applyFill="1" applyBorder="1" applyAlignment="1">
      <alignment horizontal="center" vertical="center"/>
    </xf>
    <xf numFmtId="178" fontId="32" fillId="18" borderId="54" xfId="0" applyNumberFormat="1" applyFont="1" applyFill="1" applyBorder="1" applyAlignment="1">
      <alignment horizontal="center" vertical="center"/>
    </xf>
    <xf numFmtId="182" fontId="32" fillId="18" borderId="49" xfId="0" applyNumberFormat="1" applyFont="1" applyFill="1" applyBorder="1" applyAlignment="1">
      <alignment horizontal="center" vertical="center"/>
    </xf>
    <xf numFmtId="41" fontId="32" fillId="18" borderId="49" xfId="8" applyFont="1" applyFill="1" applyBorder="1" applyAlignment="1">
      <alignment horizontal="center" vertical="center"/>
    </xf>
    <xf numFmtId="178" fontId="32" fillId="18" borderId="101" xfId="0" applyNumberFormat="1" applyFont="1" applyFill="1" applyBorder="1" applyAlignment="1">
      <alignment horizontal="center" vertical="center"/>
    </xf>
    <xf numFmtId="3" fontId="32" fillId="18" borderId="0" xfId="0" applyNumberFormat="1" applyFont="1" applyFill="1">
      <alignment vertical="center"/>
    </xf>
    <xf numFmtId="178" fontId="34" fillId="18" borderId="42" xfId="0" applyNumberFormat="1" applyFont="1" applyFill="1" applyBorder="1" applyAlignment="1">
      <alignment horizontal="center" vertical="center"/>
    </xf>
    <xf numFmtId="0" fontId="32" fillId="18" borderId="42" xfId="0" applyFont="1" applyFill="1" applyBorder="1" applyAlignment="1">
      <alignment horizontal="center" vertical="center"/>
    </xf>
    <xf numFmtId="3" fontId="32" fillId="18" borderId="42" xfId="0" applyNumberFormat="1" applyFont="1" applyFill="1" applyBorder="1" applyAlignment="1">
      <alignment horizontal="center" vertical="center"/>
    </xf>
    <xf numFmtId="3" fontId="34" fillId="18" borderId="42" xfId="0" applyNumberFormat="1" applyFont="1" applyFill="1" applyBorder="1" applyAlignment="1">
      <alignment horizontal="center" vertical="center" wrapText="1"/>
    </xf>
    <xf numFmtId="41" fontId="3" fillId="0" borderId="0" xfId="8" applyFont="1" applyAlignment="1"/>
    <xf numFmtId="41" fontId="3" fillId="10" borderId="20" xfId="8" applyFont="1" applyFill="1" applyBorder="1">
      <alignment vertical="center"/>
    </xf>
    <xf numFmtId="178" fontId="17" fillId="19" borderId="20" xfId="0" applyNumberFormat="1" applyFont="1" applyFill="1" applyBorder="1">
      <alignment vertical="center"/>
    </xf>
    <xf numFmtId="14" fontId="32" fillId="18" borderId="42" xfId="0" applyNumberFormat="1" applyFont="1" applyFill="1" applyBorder="1" applyAlignment="1">
      <alignment horizontal="center" vertical="center"/>
    </xf>
    <xf numFmtId="14" fontId="32" fillId="0" borderId="42" xfId="0" applyNumberFormat="1" applyFont="1" applyBorder="1" applyAlignment="1">
      <alignment horizontal="center" vertical="center"/>
    </xf>
    <xf numFmtId="14" fontId="32" fillId="18" borderId="49" xfId="0" applyNumberFormat="1" applyFont="1" applyFill="1" applyBorder="1" applyAlignment="1">
      <alignment horizontal="center" vertical="center"/>
    </xf>
    <xf numFmtId="14" fontId="32" fillId="0" borderId="49" xfId="0" applyNumberFormat="1" applyFont="1" applyBorder="1" applyAlignment="1">
      <alignment horizontal="center" vertical="center"/>
    </xf>
    <xf numFmtId="14" fontId="32" fillId="0" borderId="59" xfId="0" applyNumberFormat="1" applyFont="1" applyBorder="1" applyAlignment="1">
      <alignment horizontal="center" vertical="center"/>
    </xf>
    <xf numFmtId="14" fontId="32" fillId="0" borderId="52" xfId="0" applyNumberFormat="1" applyFont="1" applyBorder="1" applyAlignment="1">
      <alignment horizontal="center" vertical="center"/>
    </xf>
    <xf numFmtId="14" fontId="0" fillId="0" borderId="28" xfId="0" applyNumberFormat="1" applyBorder="1" applyAlignment="1">
      <alignment horizontal="center" vertical="center"/>
    </xf>
    <xf numFmtId="14" fontId="0" fillId="0" borderId="18" xfId="0" applyNumberFormat="1" applyBorder="1" applyAlignment="1">
      <alignment horizontal="center" vertical="center"/>
    </xf>
    <xf numFmtId="14" fontId="0" fillId="0" borderId="29" xfId="0" applyNumberFormat="1" applyBorder="1" applyAlignment="1">
      <alignment horizontal="center" vertical="center"/>
    </xf>
    <xf numFmtId="181" fontId="36" fillId="18" borderId="42" xfId="0" applyNumberFormat="1" applyFont="1" applyFill="1" applyBorder="1" applyAlignment="1">
      <alignment horizontal="center" vertical="center"/>
    </xf>
    <xf numFmtId="3" fontId="49" fillId="0" borderId="50" xfId="0" applyNumberFormat="1" applyFont="1" applyBorder="1" applyAlignment="1">
      <alignment horizontal="center" vertical="center" wrapText="1"/>
    </xf>
    <xf numFmtId="3" fontId="49" fillId="17" borderId="45" xfId="0" applyNumberFormat="1" applyFont="1" applyFill="1" applyBorder="1" applyAlignment="1">
      <alignment horizontal="center" vertical="center" wrapText="1"/>
    </xf>
    <xf numFmtId="178" fontId="32" fillId="18" borderId="63" xfId="0" applyNumberFormat="1" applyFont="1" applyFill="1" applyBorder="1" applyAlignment="1">
      <alignment horizontal="center" vertical="center"/>
    </xf>
    <xf numFmtId="183" fontId="32" fillId="18" borderId="64" xfId="0" applyNumberFormat="1" applyFont="1" applyFill="1" applyBorder="1" applyAlignment="1">
      <alignment horizontal="center" vertical="center"/>
    </xf>
    <xf numFmtId="9" fontId="32" fillId="18" borderId="67" xfId="0" applyNumberFormat="1" applyFont="1" applyFill="1" applyBorder="1" applyAlignment="1">
      <alignment horizontal="center" vertical="center"/>
    </xf>
    <xf numFmtId="41" fontId="21" fillId="13" borderId="17" xfId="8" applyFont="1" applyFill="1" applyBorder="1" applyAlignment="1">
      <alignment horizontal="center" vertical="center" wrapText="1"/>
    </xf>
    <xf numFmtId="41" fontId="2" fillId="10" borderId="20" xfId="8" applyFont="1" applyFill="1" applyBorder="1">
      <alignment vertical="center"/>
    </xf>
    <xf numFmtId="41" fontId="19" fillId="0" borderId="0" xfId="8" applyFont="1" applyAlignment="1"/>
    <xf numFmtId="178" fontId="0" fillId="19" borderId="29" xfId="0" applyNumberFormat="1" applyFill="1" applyBorder="1">
      <alignment vertical="center"/>
    </xf>
    <xf numFmtId="14" fontId="32" fillId="0" borderId="0" xfId="0" applyNumberFormat="1" applyFont="1">
      <alignment vertical="center"/>
    </xf>
    <xf numFmtId="178" fontId="32" fillId="0" borderId="0" xfId="0" applyNumberFormat="1" applyFont="1">
      <alignment vertical="center"/>
    </xf>
    <xf numFmtId="0" fontId="3" fillId="10" borderId="9" xfId="0" applyFont="1" applyFill="1" applyBorder="1" applyAlignment="1">
      <alignment horizontal="left" vertical="center"/>
    </xf>
    <xf numFmtId="41" fontId="2" fillId="0" borderId="0" xfId="8" applyFont="1">
      <alignment vertical="center"/>
    </xf>
    <xf numFmtId="178" fontId="26" fillId="0" borderId="105" xfId="0" applyNumberFormat="1" applyFont="1" applyBorder="1">
      <alignment vertical="center"/>
    </xf>
    <xf numFmtId="178" fontId="24" fillId="10" borderId="105" xfId="0" applyNumberFormat="1" applyFont="1" applyFill="1" applyBorder="1">
      <alignment vertical="center"/>
    </xf>
    <xf numFmtId="178" fontId="25" fillId="10" borderId="20" xfId="0" applyNumberFormat="1" applyFont="1" applyFill="1" applyBorder="1">
      <alignment vertical="center"/>
    </xf>
    <xf numFmtId="0" fontId="25" fillId="0" borderId="27" xfId="0" applyFont="1" applyBorder="1">
      <alignment vertical="center"/>
    </xf>
    <xf numFmtId="0" fontId="2" fillId="0" borderId="27" xfId="0" applyFont="1" applyBorder="1">
      <alignment vertical="center"/>
    </xf>
    <xf numFmtId="177" fontId="2" fillId="0" borderId="27" xfId="0" applyNumberFormat="1" applyFont="1" applyBorder="1" applyAlignment="1">
      <alignment horizontal="center" vertical="center"/>
    </xf>
    <xf numFmtId="14" fontId="0" fillId="20" borderId="28" xfId="0" applyNumberFormat="1" applyFill="1" applyBorder="1" applyAlignment="1">
      <alignment horizontal="center" vertical="center"/>
    </xf>
    <xf numFmtId="0" fontId="41" fillId="20" borderId="25" xfId="0" applyFont="1" applyFill="1" applyBorder="1">
      <alignment vertical="center"/>
    </xf>
    <xf numFmtId="0" fontId="41" fillId="20" borderId="25" xfId="0" applyFont="1" applyFill="1" applyBorder="1" applyAlignment="1">
      <alignment vertical="center" shrinkToFit="1"/>
    </xf>
    <xf numFmtId="178" fontId="0" fillId="20" borderId="25" xfId="0" applyNumberFormat="1" applyFill="1" applyBorder="1">
      <alignment vertical="center"/>
    </xf>
    <xf numFmtId="179" fontId="0" fillId="20" borderId="25" xfId="0" applyNumberFormat="1" applyFill="1" applyBorder="1" applyAlignment="1">
      <alignment horizontal="center" vertical="center"/>
    </xf>
    <xf numFmtId="178" fontId="43" fillId="20" borderId="16" xfId="0" applyNumberFormat="1" applyFont="1" applyFill="1" applyBorder="1">
      <alignment vertical="center"/>
    </xf>
    <xf numFmtId="14" fontId="0" fillId="20" borderId="29" xfId="0" applyNumberFormat="1" applyFill="1" applyBorder="1" applyAlignment="1">
      <alignment horizontal="center" vertical="center"/>
    </xf>
    <xf numFmtId="0" fontId="0" fillId="20" borderId="29" xfId="0" applyFill="1" applyBorder="1">
      <alignment vertical="center"/>
    </xf>
    <xf numFmtId="0" fontId="41" fillId="20" borderId="29" xfId="0" applyFont="1" applyFill="1" applyBorder="1">
      <alignment vertical="center"/>
    </xf>
    <xf numFmtId="0" fontId="41" fillId="20" borderId="29" xfId="0" applyFont="1" applyFill="1" applyBorder="1" applyAlignment="1">
      <alignment vertical="center" shrinkToFit="1"/>
    </xf>
    <xf numFmtId="178" fontId="0" fillId="20" borderId="29" xfId="0" applyNumberFormat="1" applyFill="1" applyBorder="1">
      <alignment vertical="center"/>
    </xf>
    <xf numFmtId="179" fontId="0" fillId="20" borderId="29" xfId="0" applyNumberFormat="1" applyFill="1" applyBorder="1" applyAlignment="1">
      <alignment horizontal="center" vertical="center"/>
    </xf>
    <xf numFmtId="178" fontId="43" fillId="20" borderId="98" xfId="0" applyNumberFormat="1" applyFont="1" applyFill="1" applyBorder="1">
      <alignment vertical="center"/>
    </xf>
    <xf numFmtId="3" fontId="34" fillId="20" borderId="50" xfId="0" applyNumberFormat="1" applyFont="1" applyFill="1" applyBorder="1" applyAlignment="1">
      <alignment horizontal="center" vertical="center"/>
    </xf>
    <xf numFmtId="14" fontId="32" fillId="20" borderId="42" xfId="0" applyNumberFormat="1" applyFont="1" applyFill="1" applyBorder="1" applyAlignment="1">
      <alignment horizontal="center" vertical="center"/>
    </xf>
    <xf numFmtId="3" fontId="34" fillId="20" borderId="42" xfId="0" applyNumberFormat="1" applyFont="1" applyFill="1" applyBorder="1" applyAlignment="1">
      <alignment horizontal="center" vertical="center"/>
    </xf>
    <xf numFmtId="3" fontId="32" fillId="20" borderId="48" xfId="0" applyNumberFormat="1" applyFont="1" applyFill="1" applyBorder="1" applyAlignment="1">
      <alignment horizontal="center" vertical="center"/>
    </xf>
    <xf numFmtId="3" fontId="32" fillId="20" borderId="55" xfId="0" applyNumberFormat="1" applyFont="1" applyFill="1" applyBorder="1" applyAlignment="1">
      <alignment horizontal="center" vertical="center"/>
    </xf>
    <xf numFmtId="181" fontId="32" fillId="20" borderId="42" xfId="0" applyNumberFormat="1" applyFont="1" applyFill="1" applyBorder="1" applyAlignment="1">
      <alignment horizontal="center" vertical="center"/>
    </xf>
    <xf numFmtId="181" fontId="36" fillId="20" borderId="42" xfId="0" applyNumberFormat="1" applyFont="1" applyFill="1" applyBorder="1" applyAlignment="1">
      <alignment horizontal="center" vertical="center"/>
    </xf>
    <xf numFmtId="178" fontId="2" fillId="0" borderId="23" xfId="0" applyNumberFormat="1" applyFont="1" applyBorder="1" applyAlignment="1">
      <alignment horizontal="right" vertical="center"/>
    </xf>
    <xf numFmtId="185" fontId="2" fillId="0" borderId="0" xfId="0" applyNumberFormat="1" applyFont="1" applyAlignment="1">
      <alignment horizontal="center" vertical="center"/>
    </xf>
    <xf numFmtId="14" fontId="45" fillId="0" borderId="28" xfId="6" applyNumberFormat="1" applyBorder="1" applyAlignment="1">
      <alignment horizontal="center" vertical="center"/>
    </xf>
    <xf numFmtId="0" fontId="41" fillId="0" borderId="25" xfId="6" applyFont="1" applyBorder="1">
      <alignment vertical="center"/>
    </xf>
    <xf numFmtId="0" fontId="53" fillId="0" borderId="25" xfId="6" applyFont="1" applyBorder="1" applyAlignment="1">
      <alignment vertical="center" shrinkToFit="1"/>
    </xf>
    <xf numFmtId="178" fontId="45" fillId="0" borderId="25" xfId="6" applyNumberFormat="1" applyBorder="1">
      <alignment vertical="center"/>
    </xf>
    <xf numFmtId="179" fontId="45" fillId="0" borderId="25" xfId="6" applyNumberFormat="1" applyBorder="1" applyAlignment="1">
      <alignment horizontal="center" vertical="center"/>
    </xf>
    <xf numFmtId="178" fontId="43" fillId="0" borderId="98" xfId="6" applyNumberFormat="1" applyFont="1" applyBorder="1">
      <alignment vertical="center"/>
    </xf>
    <xf numFmtId="14" fontId="45" fillId="0" borderId="29" xfId="6" applyNumberFormat="1" applyBorder="1" applyAlignment="1">
      <alignment horizontal="center" vertical="center"/>
    </xf>
    <xf numFmtId="0" fontId="45" fillId="0" borderId="29" xfId="6" applyBorder="1">
      <alignment vertical="center"/>
    </xf>
    <xf numFmtId="0" fontId="19" fillId="0" borderId="29" xfId="0" applyFont="1" applyBorder="1">
      <alignment vertical="center"/>
    </xf>
    <xf numFmtId="178" fontId="43" fillId="0" borderId="29" xfId="0" applyNumberFormat="1" applyFont="1" applyBorder="1">
      <alignment vertical="center"/>
    </xf>
    <xf numFmtId="185" fontId="2" fillId="0" borderId="20" xfId="0" applyNumberFormat="1" applyFont="1" applyBorder="1" applyAlignment="1">
      <alignment horizontal="center" vertical="center"/>
    </xf>
    <xf numFmtId="0" fontId="2" fillId="0" borderId="1" xfId="0" applyFont="1" applyBorder="1" applyAlignment="1">
      <alignment horizontal="center" vertical="center"/>
    </xf>
    <xf numFmtId="185" fontId="3" fillId="0" borderId="27" xfId="0" applyNumberFormat="1" applyFont="1" applyBorder="1">
      <alignment vertical="center"/>
    </xf>
    <xf numFmtId="0" fontId="19" fillId="20" borderId="29" xfId="0" applyFont="1" applyFill="1" applyBorder="1" applyAlignment="1">
      <alignment vertical="center" shrinkToFit="1"/>
    </xf>
    <xf numFmtId="14" fontId="3" fillId="0" borderId="20" xfId="0" applyNumberFormat="1" applyFont="1" applyBorder="1">
      <alignment vertical="center"/>
    </xf>
    <xf numFmtId="3" fontId="32" fillId="18" borderId="58" xfId="0" applyNumberFormat="1" applyFont="1" applyFill="1" applyBorder="1" applyAlignment="1">
      <alignment horizontal="center" vertical="center"/>
    </xf>
    <xf numFmtId="14" fontId="32" fillId="18" borderId="59" xfId="0" applyNumberFormat="1" applyFont="1" applyFill="1" applyBorder="1" applyAlignment="1">
      <alignment horizontal="center" vertical="center"/>
    </xf>
    <xf numFmtId="3" fontId="32" fillId="18" borderId="59" xfId="0" applyNumberFormat="1" applyFont="1" applyFill="1" applyBorder="1" applyAlignment="1">
      <alignment horizontal="center" vertical="center"/>
    </xf>
    <xf numFmtId="3" fontId="32" fillId="18" borderId="59" xfId="0" applyNumberFormat="1" applyFont="1" applyFill="1" applyBorder="1" applyAlignment="1">
      <alignment horizontal="center" vertical="center" wrapText="1"/>
    </xf>
    <xf numFmtId="3" fontId="34" fillId="18" borderId="59" xfId="0" applyNumberFormat="1" applyFont="1" applyFill="1" applyBorder="1" applyAlignment="1">
      <alignment horizontal="center" vertical="center"/>
    </xf>
    <xf numFmtId="3" fontId="32" fillId="18" borderId="78" xfId="0" applyNumberFormat="1" applyFont="1" applyFill="1" applyBorder="1" applyAlignment="1">
      <alignment horizontal="center" vertical="center"/>
    </xf>
    <xf numFmtId="178" fontId="32" fillId="18" borderId="61" xfId="0" applyNumberFormat="1" applyFont="1" applyFill="1" applyBorder="1" applyAlignment="1">
      <alignment horizontal="center" vertical="center"/>
    </xf>
    <xf numFmtId="181" fontId="32" fillId="18" borderId="59" xfId="0" applyNumberFormat="1" applyFont="1" applyFill="1" applyBorder="1" applyAlignment="1">
      <alignment horizontal="center" vertical="center"/>
    </xf>
    <xf numFmtId="178" fontId="32" fillId="18" borderId="60" xfId="0" applyNumberFormat="1" applyFont="1" applyFill="1" applyBorder="1" applyAlignment="1">
      <alignment horizontal="center" vertical="center"/>
    </xf>
    <xf numFmtId="178" fontId="32" fillId="18" borderId="79" xfId="0" applyNumberFormat="1" applyFont="1" applyFill="1" applyBorder="1" applyAlignment="1">
      <alignment horizontal="center" vertical="center"/>
    </xf>
    <xf numFmtId="178" fontId="32" fillId="18" borderId="78" xfId="0" applyNumberFormat="1" applyFont="1" applyFill="1" applyBorder="1" applyAlignment="1">
      <alignment horizontal="center" vertical="center"/>
    </xf>
    <xf numFmtId="178" fontId="32" fillId="18" borderId="59" xfId="0" applyNumberFormat="1" applyFont="1" applyFill="1" applyBorder="1" applyAlignment="1">
      <alignment horizontal="center" vertical="center"/>
    </xf>
    <xf numFmtId="182" fontId="32" fillId="18" borderId="59" xfId="0" applyNumberFormat="1" applyFont="1" applyFill="1" applyBorder="1" applyAlignment="1">
      <alignment horizontal="center" vertical="center"/>
    </xf>
    <xf numFmtId="41" fontId="32" fillId="18" borderId="59" xfId="8" applyFont="1" applyFill="1" applyBorder="1" applyAlignment="1">
      <alignment horizontal="center" vertical="center"/>
    </xf>
    <xf numFmtId="178" fontId="32" fillId="18" borderId="81" xfId="0" applyNumberFormat="1" applyFont="1" applyFill="1" applyBorder="1" applyAlignment="1">
      <alignment horizontal="center" vertical="center"/>
    </xf>
    <xf numFmtId="178" fontId="32" fillId="18" borderId="58" xfId="0" applyNumberFormat="1" applyFont="1" applyFill="1" applyBorder="1" applyAlignment="1">
      <alignment horizontal="center" vertical="center"/>
    </xf>
    <xf numFmtId="183" fontId="32" fillId="18" borderId="68" xfId="0" applyNumberFormat="1" applyFont="1" applyFill="1" applyBorder="1" applyAlignment="1">
      <alignment horizontal="center" vertical="center"/>
    </xf>
    <xf numFmtId="9" fontId="32" fillId="18" borderId="69" xfId="0" applyNumberFormat="1" applyFont="1" applyFill="1" applyBorder="1" applyAlignment="1">
      <alignment horizontal="center" vertical="center"/>
    </xf>
    <xf numFmtId="41" fontId="2" fillId="0" borderId="3" xfId="8" applyFont="1" applyFill="1" applyBorder="1">
      <alignment vertical="center"/>
    </xf>
    <xf numFmtId="0" fontId="2" fillId="0" borderId="3" xfId="0" applyFont="1" applyBorder="1" applyAlignment="1">
      <alignment horizontal="center" vertical="center"/>
    </xf>
    <xf numFmtId="3" fontId="2" fillId="0" borderId="0" xfId="0" applyNumberFormat="1" applyFont="1" applyAlignment="1"/>
    <xf numFmtId="41" fontId="61" fillId="0" borderId="0" xfId="8" applyFont="1" applyAlignment="1">
      <alignment horizontal="right" vertical="center"/>
    </xf>
    <xf numFmtId="178" fontId="23" fillId="10" borderId="0" xfId="0" applyNumberFormat="1" applyFont="1" applyFill="1" applyAlignment="1">
      <alignment horizontal="center" vertical="center"/>
    </xf>
    <xf numFmtId="14" fontId="27" fillId="0" borderId="20" xfId="0" applyNumberFormat="1" applyFont="1" applyBorder="1">
      <alignment vertical="center"/>
    </xf>
    <xf numFmtId="185" fontId="3" fillId="0" borderId="20" xfId="0" applyNumberFormat="1" applyFont="1" applyBorder="1">
      <alignment vertical="center"/>
    </xf>
    <xf numFmtId="14" fontId="2" fillId="0" borderId="20" xfId="0" applyNumberFormat="1" applyFont="1" applyBorder="1">
      <alignment vertical="center"/>
    </xf>
    <xf numFmtId="0" fontId="17" fillId="0" borderId="0" xfId="0" applyFont="1">
      <alignment vertical="center"/>
    </xf>
    <xf numFmtId="0" fontId="17" fillId="10" borderId="19" xfId="0" applyFont="1" applyFill="1" applyBorder="1">
      <alignment vertical="center"/>
    </xf>
    <xf numFmtId="0" fontId="23" fillId="10" borderId="20" xfId="0" applyFont="1" applyFill="1" applyBorder="1">
      <alignment vertical="center"/>
    </xf>
    <xf numFmtId="0" fontId="62" fillId="10" borderId="20" xfId="0" applyFont="1" applyFill="1" applyBorder="1">
      <alignment vertical="center"/>
    </xf>
    <xf numFmtId="0" fontId="64" fillId="10" borderId="20" xfId="0" applyFont="1" applyFill="1" applyBorder="1">
      <alignment vertical="center"/>
    </xf>
    <xf numFmtId="0" fontId="17" fillId="10" borderId="0" xfId="0" applyFont="1" applyFill="1">
      <alignment vertical="center"/>
    </xf>
    <xf numFmtId="0" fontId="65" fillId="10" borderId="20" xfId="0" applyFont="1" applyFill="1" applyBorder="1">
      <alignment vertical="center"/>
    </xf>
    <xf numFmtId="0" fontId="4" fillId="13" borderId="16" xfId="0" applyFont="1" applyFill="1" applyBorder="1" applyAlignment="1">
      <alignment horizontal="center" vertical="center" wrapText="1"/>
    </xf>
    <xf numFmtId="0" fontId="4" fillId="13" borderId="17" xfId="0" applyFont="1" applyFill="1" applyBorder="1" applyAlignment="1">
      <alignment horizontal="center" vertical="center" wrapText="1"/>
    </xf>
    <xf numFmtId="0" fontId="61" fillId="13" borderId="17" xfId="0" applyFont="1" applyFill="1" applyBorder="1" applyAlignment="1">
      <alignment horizontal="center" vertical="center" wrapText="1"/>
    </xf>
    <xf numFmtId="179" fontId="4" fillId="13" borderId="17" xfId="0" applyNumberFormat="1" applyFont="1" applyFill="1" applyBorder="1" applyAlignment="1">
      <alignment horizontal="center" vertical="center" wrapText="1"/>
    </xf>
    <xf numFmtId="0" fontId="67" fillId="10" borderId="20" xfId="0" applyFont="1" applyFill="1" applyBorder="1">
      <alignment vertical="center"/>
    </xf>
    <xf numFmtId="0" fontId="68" fillId="10" borderId="20" xfId="0" applyFont="1" applyFill="1" applyBorder="1">
      <alignment vertical="center"/>
    </xf>
    <xf numFmtId="14" fontId="61" fillId="13" borderId="17" xfId="0" applyNumberFormat="1" applyFont="1" applyFill="1" applyBorder="1" applyAlignment="1">
      <alignment horizontal="center" vertical="center" wrapText="1"/>
    </xf>
    <xf numFmtId="0" fontId="66" fillId="10" borderId="20" xfId="0" applyFont="1" applyFill="1" applyBorder="1">
      <alignment vertical="center"/>
    </xf>
    <xf numFmtId="14" fontId="27" fillId="10" borderId="20" xfId="0" applyNumberFormat="1" applyFont="1" applyFill="1" applyBorder="1" applyAlignment="1">
      <alignment horizontal="right" vertical="center"/>
    </xf>
    <xf numFmtId="180" fontId="2" fillId="10" borderId="20" xfId="0" applyNumberFormat="1" applyFont="1" applyFill="1" applyBorder="1" applyAlignment="1">
      <alignment horizontal="right" vertical="center"/>
    </xf>
    <xf numFmtId="179" fontId="2" fillId="10" borderId="20" xfId="0" applyNumberFormat="1" applyFont="1" applyFill="1" applyBorder="1" applyAlignment="1">
      <alignment horizontal="right" vertical="center"/>
    </xf>
    <xf numFmtId="14" fontId="2" fillId="10" borderId="20" xfId="0" applyNumberFormat="1" applyFont="1" applyFill="1" applyBorder="1" applyAlignment="1">
      <alignment horizontal="right" vertical="center"/>
    </xf>
    <xf numFmtId="41" fontId="17" fillId="21" borderId="17" xfId="8" applyFont="1" applyFill="1" applyBorder="1" applyAlignment="1">
      <alignment horizontal="center" vertical="center" wrapText="1"/>
    </xf>
    <xf numFmtId="41" fontId="23" fillId="0" borderId="0" xfId="8" applyFont="1" applyAlignment="1">
      <alignment horizontal="center" vertical="center"/>
    </xf>
    <xf numFmtId="41" fontId="2" fillId="0" borderId="0" xfId="8" applyFont="1" applyAlignment="1">
      <alignment horizontal="center" vertical="center"/>
    </xf>
    <xf numFmtId="41" fontId="3" fillId="0" borderId="0" xfId="8" applyFont="1" applyAlignment="1">
      <alignment horizontal="center" vertical="center"/>
    </xf>
    <xf numFmtId="178" fontId="67" fillId="0" borderId="20" xfId="0" applyNumberFormat="1" applyFont="1" applyBorder="1">
      <alignment vertical="center"/>
    </xf>
    <xf numFmtId="41" fontId="17" fillId="0" borderId="0" xfId="8" applyFont="1" applyAlignment="1">
      <alignment horizontal="center" vertical="center"/>
    </xf>
    <xf numFmtId="41" fontId="23" fillId="0" borderId="0" xfId="8" applyFont="1">
      <alignment vertical="center"/>
    </xf>
    <xf numFmtId="3" fontId="0" fillId="0" borderId="0" xfId="0" applyNumberFormat="1" applyAlignment="1"/>
    <xf numFmtId="14" fontId="3" fillId="10" borderId="20" xfId="0" applyNumberFormat="1" applyFont="1" applyFill="1" applyBorder="1" applyAlignment="1">
      <alignment horizontal="right" vertical="center"/>
    </xf>
    <xf numFmtId="14" fontId="3" fillId="0" borderId="20" xfId="0" applyNumberFormat="1" applyFont="1" applyBorder="1" applyAlignment="1">
      <alignment horizontal="right" vertical="center"/>
    </xf>
    <xf numFmtId="179" fontId="19" fillId="0" borderId="0" xfId="0" applyNumberFormat="1" applyFont="1" applyAlignment="1">
      <alignment horizontal="right"/>
    </xf>
    <xf numFmtId="14" fontId="27" fillId="0" borderId="20" xfId="0" applyNumberFormat="1" applyFont="1" applyBorder="1" applyAlignment="1">
      <alignment horizontal="right" vertical="center"/>
    </xf>
    <xf numFmtId="0" fontId="2" fillId="0" borderId="0" xfId="0" applyFont="1" applyAlignment="1">
      <alignment horizontal="right" vertical="center"/>
    </xf>
    <xf numFmtId="41" fontId="2" fillId="0" borderId="3" xfId="8" applyFont="1" applyBorder="1">
      <alignment vertical="center"/>
    </xf>
    <xf numFmtId="41" fontId="74" fillId="0" borderId="29" xfId="0" applyNumberFormat="1" applyFont="1" applyBorder="1">
      <alignment vertical="center"/>
    </xf>
    <xf numFmtId="14" fontId="72" fillId="0" borderId="29" xfId="0" applyNumberFormat="1" applyFont="1" applyBorder="1" applyAlignment="1">
      <alignment horizontal="center" vertical="center"/>
    </xf>
    <xf numFmtId="0" fontId="72" fillId="0" borderId="29" xfId="0" applyFont="1" applyBorder="1" applyAlignment="1">
      <alignment horizontal="center" vertical="center"/>
    </xf>
    <xf numFmtId="0" fontId="72" fillId="0" borderId="29" xfId="0" applyFont="1" applyBorder="1">
      <alignment vertical="center"/>
    </xf>
    <xf numFmtId="41" fontId="72" fillId="0" borderId="29" xfId="0" applyNumberFormat="1" applyFont="1" applyBorder="1">
      <alignment vertical="center"/>
    </xf>
    <xf numFmtId="0" fontId="73" fillId="0" borderId="29" xfId="0" applyFont="1" applyBorder="1">
      <alignment vertical="center"/>
    </xf>
    <xf numFmtId="14" fontId="72" fillId="0" borderId="29" xfId="0" applyNumberFormat="1" applyFont="1" applyBorder="1">
      <alignment vertical="center"/>
    </xf>
    <xf numFmtId="0" fontId="37" fillId="0" borderId="0" xfId="0" applyFont="1" applyAlignment="1"/>
    <xf numFmtId="14" fontId="73" fillId="22" borderId="29" xfId="0" applyNumberFormat="1" applyFont="1" applyFill="1" applyBorder="1" applyAlignment="1">
      <alignment horizontal="center" vertical="center" wrapText="1"/>
    </xf>
    <xf numFmtId="0" fontId="73" fillId="22" borderId="29" xfId="0" applyFont="1" applyFill="1" applyBorder="1" applyAlignment="1">
      <alignment horizontal="center" vertical="center" wrapText="1"/>
    </xf>
    <xf numFmtId="41" fontId="74" fillId="22" borderId="29" xfId="0" applyNumberFormat="1" applyFont="1" applyFill="1" applyBorder="1">
      <alignment vertical="center"/>
    </xf>
    <xf numFmtId="0" fontId="63" fillId="10" borderId="20" xfId="0" applyFont="1" applyFill="1" applyBorder="1">
      <alignment vertical="center"/>
    </xf>
    <xf numFmtId="180" fontId="2" fillId="0" borderId="3" xfId="0" applyNumberFormat="1" applyFont="1" applyBorder="1">
      <alignment vertical="center"/>
    </xf>
    <xf numFmtId="0" fontId="2" fillId="0" borderId="3" xfId="0" applyFont="1" applyBorder="1">
      <alignment vertical="center"/>
    </xf>
    <xf numFmtId="0" fontId="24" fillId="0" borderId="3" xfId="0" applyFont="1" applyBorder="1">
      <alignment vertical="center"/>
    </xf>
    <xf numFmtId="14" fontId="2" fillId="0" borderId="3" xfId="0" applyNumberFormat="1" applyFont="1" applyBorder="1">
      <alignment vertical="center"/>
    </xf>
    <xf numFmtId="0" fontId="25" fillId="0" borderId="3" xfId="0" applyFont="1" applyBorder="1">
      <alignment vertical="center"/>
    </xf>
    <xf numFmtId="178" fontId="0" fillId="0" borderId="0" xfId="0" applyNumberFormat="1">
      <alignment vertical="center"/>
    </xf>
    <xf numFmtId="184" fontId="0" fillId="0" borderId="0" xfId="0" applyNumberFormat="1">
      <alignment vertical="center"/>
    </xf>
    <xf numFmtId="41" fontId="0" fillId="0" borderId="0" xfId="8" applyFont="1" applyFill="1">
      <alignment vertical="center"/>
    </xf>
    <xf numFmtId="41" fontId="0" fillId="0" borderId="0" xfId="0" applyNumberFormat="1">
      <alignment vertical="center"/>
    </xf>
    <xf numFmtId="178" fontId="19" fillId="0" borderId="22" xfId="0" applyNumberFormat="1" applyFont="1" applyBorder="1">
      <alignment vertical="center"/>
    </xf>
    <xf numFmtId="43" fontId="0" fillId="0" borderId="0" xfId="0" applyNumberFormat="1" applyAlignment="1"/>
    <xf numFmtId="0" fontId="24" fillId="23" borderId="24" xfId="0" applyFont="1" applyFill="1" applyBorder="1">
      <alignment vertical="center"/>
    </xf>
    <xf numFmtId="0" fontId="64" fillId="0" borderId="20" xfId="0" applyFont="1" applyBorder="1">
      <alignment vertical="center"/>
    </xf>
    <xf numFmtId="0" fontId="24" fillId="0" borderId="24" xfId="0" applyFont="1" applyBorder="1">
      <alignment vertical="center"/>
    </xf>
    <xf numFmtId="0" fontId="25" fillId="0" borderId="20" xfId="0" applyFont="1" applyBorder="1">
      <alignment vertical="center"/>
    </xf>
    <xf numFmtId="0" fontId="23" fillId="0" borderId="20" xfId="0" applyFont="1" applyBorder="1">
      <alignment vertical="center"/>
    </xf>
    <xf numFmtId="0" fontId="23" fillId="0" borderId="20" xfId="0" applyFont="1" applyBorder="1" applyAlignment="1">
      <alignment vertical="center" wrapText="1"/>
    </xf>
    <xf numFmtId="0" fontId="24" fillId="0" borderId="20" xfId="0" applyFont="1" applyBorder="1" applyAlignment="1">
      <alignment vertical="center" wrapText="1"/>
    </xf>
    <xf numFmtId="0" fontId="66" fillId="0" borderId="20" xfId="0" applyFont="1" applyBorder="1">
      <alignment vertical="center"/>
    </xf>
    <xf numFmtId="0" fontId="2" fillId="0" borderId="20" xfId="0" applyFont="1" applyBorder="1">
      <alignment vertical="center"/>
    </xf>
    <xf numFmtId="178" fontId="3" fillId="0" borderId="20" xfId="0" applyNumberFormat="1" applyFont="1" applyBorder="1">
      <alignment vertical="center"/>
    </xf>
    <xf numFmtId="0" fontId="78" fillId="10" borderId="20" xfId="0" applyFont="1" applyFill="1" applyBorder="1">
      <alignment vertical="center"/>
    </xf>
    <xf numFmtId="0" fontId="78" fillId="10" borderId="24" xfId="0" applyFont="1" applyFill="1" applyBorder="1">
      <alignment vertical="center"/>
    </xf>
    <xf numFmtId="0" fontId="78" fillId="10" borderId="105" xfId="0" applyFont="1" applyFill="1" applyBorder="1">
      <alignment vertical="center"/>
    </xf>
    <xf numFmtId="3" fontId="9" fillId="6" borderId="9" xfId="0" applyNumberFormat="1" applyFont="1" applyFill="1" applyBorder="1" applyAlignment="1">
      <alignment horizontal="center" vertical="center"/>
    </xf>
    <xf numFmtId="3" fontId="9" fillId="7" borderId="9" xfId="0" applyNumberFormat="1" applyFont="1" applyFill="1" applyBorder="1" applyAlignment="1">
      <alignment horizontal="center" vertical="center"/>
    </xf>
    <xf numFmtId="0" fontId="8" fillId="3" borderId="9" xfId="0" applyFont="1" applyFill="1" applyBorder="1" applyAlignment="1">
      <alignment horizontal="center" vertical="center"/>
    </xf>
    <xf numFmtId="0" fontId="57" fillId="4" borderId="9" xfId="0" applyFont="1" applyFill="1" applyBorder="1" applyAlignment="1">
      <alignment horizontal="center" vertical="center"/>
    </xf>
    <xf numFmtId="0" fontId="8" fillId="4" borderId="9" xfId="0" applyFont="1" applyFill="1" applyBorder="1" applyAlignment="1">
      <alignment horizontal="center" vertical="center"/>
    </xf>
    <xf numFmtId="0" fontId="11" fillId="5" borderId="9" xfId="0" applyFont="1" applyFill="1" applyBorder="1" applyAlignment="1">
      <alignment horizontal="center" vertical="center"/>
    </xf>
    <xf numFmtId="0" fontId="8" fillId="5" borderId="9" xfId="0" applyFont="1" applyFill="1" applyBorder="1" applyAlignment="1">
      <alignment horizontal="center" vertical="center"/>
    </xf>
    <xf numFmtId="181" fontId="32" fillId="0" borderId="59" xfId="0" applyNumberFormat="1" applyFont="1" applyBorder="1" applyAlignment="1">
      <alignment horizontal="center" vertical="center"/>
    </xf>
    <xf numFmtId="178" fontId="32" fillId="0" borderId="87" xfId="0" applyNumberFormat="1" applyFont="1" applyBorder="1" applyAlignment="1">
      <alignment horizontal="center" vertical="center"/>
    </xf>
    <xf numFmtId="178" fontId="32" fillId="0" borderId="88" xfId="0" applyNumberFormat="1" applyFont="1" applyBorder="1" applyAlignment="1">
      <alignment horizontal="center" vertical="center"/>
    </xf>
    <xf numFmtId="3" fontId="32" fillId="0" borderId="93" xfId="0" applyNumberFormat="1" applyFont="1" applyBorder="1" applyAlignment="1">
      <alignment horizontal="center" vertical="center"/>
    </xf>
    <xf numFmtId="3" fontId="32" fillId="0" borderId="60" xfId="0" applyNumberFormat="1" applyFont="1" applyBorder="1" applyAlignment="1">
      <alignment horizontal="center" vertical="center"/>
    </xf>
    <xf numFmtId="9" fontId="32" fillId="0" borderId="61" xfId="0" applyNumberFormat="1" applyFont="1" applyBorder="1" applyAlignment="1">
      <alignment horizontal="center" vertical="center"/>
    </xf>
    <xf numFmtId="178" fontId="32" fillId="0" borderId="59" xfId="0" applyNumberFormat="1" applyFont="1" applyBorder="1" applyAlignment="1">
      <alignment horizontal="center" vertical="center"/>
    </xf>
    <xf numFmtId="9" fontId="32" fillId="0" borderId="91" xfId="0" applyNumberFormat="1" applyFont="1" applyBorder="1" applyAlignment="1">
      <alignment horizontal="center" vertical="center"/>
    </xf>
    <xf numFmtId="178" fontId="32" fillId="0" borderId="92" xfId="0" applyNumberFormat="1" applyFont="1" applyBorder="1" applyAlignment="1">
      <alignment horizontal="center" vertical="center"/>
    </xf>
    <xf numFmtId="3" fontId="32" fillId="0" borderId="88" xfId="0" applyNumberFormat="1" applyFont="1" applyBorder="1" applyAlignment="1">
      <alignment horizontal="center" vertical="center"/>
    </xf>
    <xf numFmtId="178" fontId="32" fillId="0" borderId="93" xfId="0" applyNumberFormat="1" applyFont="1" applyBorder="1" applyAlignment="1">
      <alignment horizontal="center" vertical="center"/>
    </xf>
    <xf numFmtId="3" fontId="32" fillId="0" borderId="86" xfId="0" applyNumberFormat="1" applyFont="1" applyBorder="1" applyAlignment="1">
      <alignment horizontal="center" vertical="center"/>
    </xf>
    <xf numFmtId="179" fontId="34" fillId="0" borderId="87" xfId="0" applyNumberFormat="1" applyFont="1" applyBorder="1" applyAlignment="1">
      <alignment horizontal="center" vertical="center"/>
    </xf>
    <xf numFmtId="3" fontId="49" fillId="0" borderId="87" xfId="0" applyNumberFormat="1" applyFont="1" applyBorder="1" applyAlignment="1">
      <alignment horizontal="center" vertical="center"/>
    </xf>
    <xf numFmtId="3" fontId="34" fillId="0" borderId="88" xfId="0" applyNumberFormat="1" applyFont="1" applyBorder="1" applyAlignment="1">
      <alignment horizontal="center" vertical="center"/>
    </xf>
    <xf numFmtId="3" fontId="32" fillId="0" borderId="89" xfId="0" applyNumberFormat="1" applyFont="1" applyBorder="1" applyAlignment="1">
      <alignment horizontal="center" vertical="center"/>
    </xf>
    <xf numFmtId="0" fontId="34" fillId="17" borderId="85" xfId="0" applyFont="1" applyFill="1" applyBorder="1" applyAlignment="1">
      <alignment horizontal="center" vertical="center"/>
    </xf>
    <xf numFmtId="0" fontId="34" fillId="17" borderId="45" xfId="0" applyFont="1" applyFill="1" applyBorder="1" applyAlignment="1">
      <alignment horizontal="center" vertical="center"/>
    </xf>
    <xf numFmtId="181" fontId="34" fillId="17" borderId="37" xfId="0" applyNumberFormat="1" applyFont="1" applyFill="1" applyBorder="1" applyAlignment="1">
      <alignment horizontal="center" vertical="center" wrapText="1"/>
    </xf>
    <xf numFmtId="0" fontId="34" fillId="17" borderId="37" xfId="0" applyFont="1" applyFill="1" applyBorder="1" applyAlignment="1">
      <alignment horizontal="center" vertical="center"/>
    </xf>
    <xf numFmtId="3" fontId="34" fillId="0" borderId="51" xfId="0" applyNumberFormat="1" applyFont="1" applyBorder="1" applyAlignment="1">
      <alignment horizontal="center" vertical="center"/>
    </xf>
    <xf numFmtId="3" fontId="32" fillId="0" borderId="51" xfId="0" applyNumberFormat="1" applyFont="1" applyBorder="1" applyAlignment="1">
      <alignment horizontal="center" vertical="center"/>
    </xf>
    <xf numFmtId="3" fontId="32" fillId="0" borderId="81" xfId="0" applyNumberFormat="1" applyFont="1" applyBorder="1" applyAlignment="1">
      <alignment horizontal="center" vertical="center"/>
    </xf>
    <xf numFmtId="3" fontId="37" fillId="17" borderId="82" xfId="0" applyNumberFormat="1" applyFont="1" applyFill="1" applyBorder="1" applyAlignment="1">
      <alignment horizontal="center" vertical="center"/>
    </xf>
    <xf numFmtId="0" fontId="34" fillId="17" borderId="83" xfId="0" applyFont="1" applyFill="1" applyBorder="1" applyAlignment="1">
      <alignment horizontal="center" vertical="center"/>
    </xf>
    <xf numFmtId="0" fontId="34" fillId="17" borderId="84" xfId="0" applyFont="1" applyFill="1" applyBorder="1" applyAlignment="1">
      <alignment horizontal="center" vertical="center"/>
    </xf>
    <xf numFmtId="3" fontId="32" fillId="0" borderId="75" xfId="0" applyNumberFormat="1" applyFont="1" applyBorder="1" applyAlignment="1">
      <alignment horizontal="center" vertical="center"/>
    </xf>
    <xf numFmtId="3" fontId="34" fillId="17" borderId="32" xfId="0" applyNumberFormat="1" applyFont="1" applyFill="1" applyBorder="1" applyAlignment="1">
      <alignment horizontal="center" vertical="center"/>
    </xf>
    <xf numFmtId="178" fontId="34" fillId="17" borderId="33" xfId="0" applyNumberFormat="1" applyFont="1" applyFill="1" applyBorder="1" applyAlignment="1">
      <alignment horizontal="center" vertical="center"/>
    </xf>
    <xf numFmtId="178" fontId="34" fillId="17" borderId="35" xfId="0" applyNumberFormat="1" applyFont="1" applyFill="1" applyBorder="1" applyAlignment="1">
      <alignment horizontal="center" vertical="center"/>
    </xf>
    <xf numFmtId="3" fontId="34" fillId="17" borderId="104" xfId="0" applyNumberFormat="1" applyFont="1" applyFill="1" applyBorder="1" applyAlignment="1">
      <alignment horizontal="center" vertical="center"/>
    </xf>
    <xf numFmtId="3" fontId="32" fillId="17" borderId="31" xfId="0" applyNumberFormat="1" applyFont="1" applyFill="1" applyBorder="1" applyAlignment="1">
      <alignment horizontal="center" vertical="center"/>
    </xf>
    <xf numFmtId="0" fontId="34" fillId="17" borderId="34" xfId="0" applyFont="1" applyFill="1" applyBorder="1" applyAlignment="1">
      <alignment horizontal="center" vertical="center"/>
    </xf>
    <xf numFmtId="0" fontId="34" fillId="17" borderId="33" xfId="0" applyFont="1" applyFill="1" applyBorder="1" applyAlignment="1">
      <alignment horizontal="center" vertical="center"/>
    </xf>
    <xf numFmtId="0" fontId="34" fillId="17" borderId="35" xfId="0" applyFont="1" applyFill="1" applyBorder="1" applyAlignment="1">
      <alignment horizontal="center" vertical="center"/>
    </xf>
    <xf numFmtId="0" fontId="34" fillId="17" borderId="32" xfId="0" applyFont="1" applyFill="1" applyBorder="1" applyAlignment="1">
      <alignment horizontal="center" vertical="center"/>
    </xf>
    <xf numFmtId="0" fontId="32" fillId="17" borderId="33" xfId="0" applyFont="1" applyFill="1" applyBorder="1" applyAlignment="1">
      <alignment horizontal="center" vertical="center"/>
    </xf>
    <xf numFmtId="0" fontId="32" fillId="17" borderId="66" xfId="0" applyFont="1" applyFill="1" applyBorder="1" applyAlignment="1">
      <alignment horizontal="center" vertical="center"/>
    </xf>
  </cellXfs>
  <cellStyles count="12">
    <cellStyle name="Excel Built-in Comma [0]" xfId="7"/>
    <cellStyle name="백분율" xfId="9" builtinId="5"/>
    <cellStyle name="백분율 2" xfId="1"/>
    <cellStyle name="쉼표 [0]" xfId="8" builtinId="6"/>
    <cellStyle name="쉼표 [0] 118 2 7 16" xfId="2"/>
    <cellStyle name="쉼표 [0] 2" xfId="3"/>
    <cellStyle name="쉼표 [0] 3" xfId="11"/>
    <cellStyle name="표준" xfId="0" builtinId="0"/>
    <cellStyle name="표준 118 2 7 16" xfId="4"/>
    <cellStyle name="표준 125" xfId="5"/>
    <cellStyle name="표준 2" xfId="6"/>
    <cellStyle name="표준 3" xfId="10"/>
  </cellStyles>
  <dxfs count="2730">
    <dxf>
      <numFmt numFmtId="19" formatCode="yyyy/mm/dd"/>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9" formatCode="yyyy/mm/dd"/>
      <alignment horizontal="general" vertical="bottom" textRotation="0" wrapText="0" indent="0" justifyLastLine="0" shrinkToFit="0" readingOrder="0"/>
    </dxf>
    <dxf>
      <numFmt numFmtId="19" formatCode="yyyy/mm/dd"/>
    </dxf>
    <dxf>
      <fill>
        <patternFill patternType="none">
          <fgColor indexed="64"/>
          <bgColor auto="1"/>
        </patternFill>
      </fill>
    </dxf>
    <dxf>
      <fill>
        <patternFill patternType="none">
          <fgColor indexed="64"/>
          <bgColor auto="1"/>
        </patternFill>
      </fill>
    </dxf>
    <dxf>
      <numFmt numFmtId="178" formatCode="_-* #,##0_-;\-* #,##0_-;_-* \-_-;_-@_-"/>
      <fill>
        <patternFill patternType="none">
          <fgColor indexed="64"/>
          <bgColor auto="1"/>
        </patternFill>
      </fill>
    </dxf>
    <dxf>
      <font>
        <b val="0"/>
        <i val="0"/>
        <strike val="0"/>
        <condense val="0"/>
        <extend val="0"/>
        <outline val="0"/>
        <shadow val="0"/>
        <u val="none"/>
        <vertAlign val="baseline"/>
        <sz val="14"/>
        <color theme="1"/>
        <name val="맑은 고딕"/>
        <scheme val="none"/>
      </font>
      <fill>
        <patternFill patternType="none">
          <fgColor indexed="64"/>
          <bgColor auto="1"/>
        </patternFill>
      </fill>
      <alignment horizontal="center" vertical="center" textRotation="0" wrapText="0" indent="0" justifyLastLine="0" shrinkToFit="0" readingOrder="0"/>
      <border diagonalUp="0" diagonalDown="0" outline="0">
        <left style="hair">
          <color auto="1"/>
        </left>
        <right style="hair">
          <color auto="1"/>
        </right>
        <top style="hair">
          <color auto="1"/>
        </top>
        <bottom style="hair">
          <color auto="1"/>
        </bottom>
      </border>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19" formatCode="yyyy/mm/dd"/>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theme="5" tint="0.79979857783745845"/>
        </patternFill>
      </fill>
    </dxf>
    <dxf>
      <fill>
        <patternFill>
          <bgColor rgb="FF000000"/>
        </patternFill>
      </fill>
    </dxf>
    <dxf>
      <fill>
        <patternFill>
          <bgColor theme="8" tint="0.79979857783745845"/>
        </patternFill>
      </fill>
    </dxf>
    <dxf>
      <fill>
        <patternFill>
          <bgColor theme="8" tint="0.79979857783745845"/>
        </patternFill>
      </fill>
    </dxf>
    <dxf>
      <fill>
        <patternFill>
          <bgColor theme="8" tint="0.79979857783745845"/>
        </patternFill>
      </fill>
    </dxf>
    <dxf>
      <fill>
        <patternFill>
          <bgColor theme="5" tint="0.79979857783745845"/>
        </patternFill>
      </fill>
    </dxf>
    <dxf>
      <fill>
        <patternFill>
          <bgColor rgb="FF000000"/>
        </patternFill>
      </fill>
    </dxf>
    <dxf>
      <fill>
        <patternFill>
          <bgColor rgb="FF000000"/>
        </patternFill>
      </fill>
    </dxf>
    <dxf>
      <fill>
        <patternFill>
          <bgColor theme="8" tint="0.79979857783745845"/>
        </patternFill>
      </fill>
    </dxf>
    <dxf>
      <fill>
        <patternFill>
          <bgColor rgb="FF000000"/>
        </patternFill>
      </fill>
    </dxf>
    <dxf>
      <fill>
        <patternFill>
          <bgColor theme="5" tint="0.79979857783745845"/>
        </patternFill>
      </fill>
    </dxf>
    <dxf>
      <fill>
        <patternFill>
          <bgColor theme="5" tint="0.79979857783745845"/>
        </patternFill>
      </fill>
    </dxf>
    <dxf>
      <fill>
        <patternFill>
          <bgColor theme="5" tint="0.79979857783745845"/>
        </patternFill>
      </fill>
    </dxf>
    <dxf>
      <fill>
        <patternFill>
          <bgColor theme="8" tint="0.79979857783745845"/>
        </patternFill>
      </fill>
    </dxf>
    <dxf>
      <fill>
        <patternFill>
          <bgColor theme="8" tint="0.79979857783745845"/>
        </patternFill>
      </fill>
    </dxf>
    <dxf>
      <fill>
        <patternFill>
          <bgColor theme="8" tint="0.79979857783745845"/>
        </patternFill>
      </fill>
    </dxf>
    <dxf>
      <fill>
        <patternFill>
          <bgColor theme="8" tint="0.79979857783745845"/>
        </patternFill>
      </fill>
    </dxf>
    <dxf>
      <fill>
        <patternFill>
          <bgColor theme="8" tint="0.79979857783745845"/>
        </patternFill>
      </fill>
    </dxf>
    <dxf>
      <fill>
        <patternFill>
          <bgColor theme="8" tint="0.79979857783745845"/>
        </patternFill>
      </fill>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ont>
        <color rgb="FFA6A6A6"/>
      </font>
    </dxf>
    <dxf>
      <fill>
        <patternFill>
          <bgColor rgb="FFE6F3FF"/>
        </patternFill>
      </fill>
      <border diagonalUp="0" diagonalDown="0">
        <left/>
        <right/>
        <top/>
        <bottom style="thin">
          <color auto="1"/>
        </bottom>
      </border>
    </dxf>
    <dxf>
      <fill>
        <patternFill>
          <bgColor rgb="FFE6F3FF"/>
        </patternFill>
      </fill>
      <border>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ont>
        <color rgb="FFA6A6A6"/>
      </font>
    </dxf>
    <dxf>
      <fill>
        <patternFill>
          <bgColor rgb="FFE6F3FF"/>
        </patternFill>
      </fill>
      <border diagonalUp="0" diagonalDown="0">
        <left/>
        <right/>
        <top/>
        <bottom style="thin">
          <color auto="1"/>
        </bottom>
      </border>
    </dxf>
    <dxf>
      <fill>
        <patternFill>
          <bgColor rgb="FFE6F3FF"/>
        </patternFill>
      </fill>
      <border>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left/>
        <right/>
        <top/>
        <bottom style="thin">
          <color auto="1"/>
        </bottom>
      </border>
    </dxf>
    <dxf>
      <fill>
        <patternFill>
          <bgColor rgb="FFE6F3FF"/>
        </patternFill>
      </fill>
      <border diagonalUp="0" diagonalDown="0">
        <left/>
        <right/>
        <top/>
        <bottom style="thin">
          <color auto="1"/>
        </bottom>
      </border>
    </dxf>
    <dxf>
      <font>
        <color rgb="FFA6A6A6"/>
      </font>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left/>
        <right/>
        <top/>
        <bottom style="thin">
          <color auto="1"/>
        </bottom>
      </border>
    </dxf>
    <dxf>
      <fill>
        <patternFill>
          <bgColor rgb="FFE6F3FF"/>
        </patternFill>
      </fill>
      <border diagonalUp="0" diagonalDown="0">
        <left/>
        <right/>
        <top/>
        <bottom style="thin">
          <color auto="1"/>
        </bottom>
      </border>
    </dxf>
    <dxf>
      <font>
        <color rgb="FFA6A6A6"/>
      </font>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ont>
        <color rgb="FFA6A6A6"/>
      </font>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ont>
        <color rgb="FFA6A6A6"/>
      </font>
    </dxf>
    <dxf>
      <font>
        <color rgb="FFA6A6A6"/>
      </font>
    </dxf>
    <dxf>
      <font>
        <color rgb="FFA6A6A6"/>
      </font>
    </dxf>
    <dxf>
      <font>
        <color rgb="FFA6A6A6"/>
      </font>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
      <fill>
        <patternFill>
          <bgColor rgb="FFE6F3FF"/>
        </patternFill>
      </fill>
      <border diagonalUp="0" diagonalDown="0">
        <left/>
        <right/>
        <top/>
        <bottom style="thin">
          <color auto="1"/>
        </bottom>
      </border>
    </dxf>
  </dxfs>
  <tableStyles count="0" defaultTableStyle="TableStyleMedium2" defaultPivotStyle="PivotStyleLight16"/>
  <colors>
    <indexedColors>
      <rgbColor rgb="FF000000"/>
      <rgbColor rgb="FFFFFFFF"/>
      <rgbColor rgb="FFFF0000"/>
      <rgbColor rgb="FF00FF00"/>
      <rgbColor rgb="FF0000FF"/>
      <rgbColor rgb="FFC2F1C8"/>
      <rgbColor rgb="FFFF00FF"/>
      <rgbColor rgb="FF00FFFF"/>
      <rgbColor rgb="FF800000"/>
      <rgbColor rgb="FF008000"/>
      <rgbColor rgb="FF000080"/>
      <rgbColor rgb="FF808000"/>
      <rgbColor rgb="FF800080"/>
      <rgbColor rgb="FF008080"/>
      <rgbColor rgb="FFBFBFBF"/>
      <rgbColor rgb="FF808080"/>
      <rgbColor rgb="FFA6A6A6"/>
      <rgbColor rgb="FF993366"/>
      <rgbColor rgb="FFF5F5F5"/>
      <rgbColor rgb="FFE6F3FF"/>
      <rgbColor rgb="FF660066"/>
      <rgbColor rgb="FFFF8080"/>
      <rgbColor rgb="FF215E99"/>
      <rgbColor rgb="FFD6DBDF"/>
      <rgbColor rgb="FF000080"/>
      <rgbColor rgb="FFFF00FF"/>
      <rgbColor rgb="FFFFFF00"/>
      <rgbColor rgb="FF00FFFF"/>
      <rgbColor rgb="FF800080"/>
      <rgbColor rgb="FF800000"/>
      <rgbColor rgb="FF008080"/>
      <rgbColor rgb="FF0000FF"/>
      <rgbColor rgb="FF00CCFF"/>
      <rgbColor rgb="FFD6EAF8"/>
      <rgbColor rgb="FFD5F5E3"/>
      <rgbColor rgb="FFF2F2F2"/>
      <rgbColor rgb="FFBDC3C7"/>
      <rgbColor rgb="FFF2CFEE"/>
      <rgbColor rgb="FFAAAAAA"/>
      <rgbColor rgb="FFFBE3D6"/>
      <rgbColor rgb="FF3498DB"/>
      <rgbColor rgb="FF33CCCC"/>
      <rgbColor rgb="FF99CC00"/>
      <rgbColor rgb="FFD9D9D9"/>
      <rgbColor rgb="FFFF9900"/>
      <rgbColor rgb="FFE74C3C"/>
      <rgbColor rgb="FF7F7F7F"/>
      <rgbColor rgb="FF7F8C8D"/>
      <rgbColor rgb="FF003366"/>
      <rgbColor rgb="FF27AE60"/>
      <rgbColor rgb="FF003300"/>
      <rgbColor rgb="FF333300"/>
      <rgbColor rgb="FF993300"/>
      <rgbColor rgb="FF993366"/>
      <rgbColor rgb="FF333399"/>
      <rgbColor rgb="FF2C3E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id="1" name="표1_3" displayName="표1_3" ref="A4:AH21" totalsRowShown="0" dataDxfId="45">
  <autoFilter ref="A4:AH21"/>
  <tableColumns count="34">
    <tableColumn id="1" name="순 번" dataDxfId="44"/>
    <tableColumn id="2" name="착공일" dataDxfId="43"/>
    <tableColumn id="3" name="업체명" dataDxfId="42"/>
    <tableColumn id="4" name="현장명" dataDxfId="41"/>
    <tableColumn id="5" name="총실행가" dataDxfId="40"/>
    <tableColumn id="6" name="컨설팅_x000a_금액" dataDxfId="39"/>
    <tableColumn id="7" name="금액" dataDxfId="38"/>
    <tableColumn id="8" name="발행" dataDxfId="37"/>
    <tableColumn id="9" name="예정" dataDxfId="36"/>
    <tableColumn id="10" name="입금" dataDxfId="35"/>
    <tableColumn id="11" name="미수금액" dataDxfId="34"/>
    <tableColumn id="12" name="금액2" dataDxfId="33"/>
    <tableColumn id="13" name="발행3" dataDxfId="32"/>
    <tableColumn id="14" name="예정4" dataDxfId="31"/>
    <tableColumn id="15" name="입금5" dataDxfId="30"/>
    <tableColumn id="16" name="미수금액6" dataDxfId="29"/>
    <tableColumn id="17" name="금액7" dataDxfId="28"/>
    <tableColumn id="18" name="발행8" dataDxfId="27"/>
    <tableColumn id="19" name="예정9" dataDxfId="26"/>
    <tableColumn id="20" name="입금10" dataDxfId="25"/>
    <tableColumn id="21" name="미수금액11" dataDxfId="24"/>
    <tableColumn id="22" name="중간 수금액" dataDxfId="23"/>
    <tableColumn id="23" name="금액12" dataDxfId="22"/>
    <tableColumn id="24" name="차감액" dataDxfId="21"/>
    <tableColumn id="25" name="최종잔금" dataDxfId="20"/>
    <tableColumn id="26" name="준공일_x000a_(A)" dataDxfId="19"/>
    <tableColumn id="27" name="발행13" dataDxfId="18"/>
    <tableColumn id="28" name="예정14" dataDxfId="17"/>
    <tableColumn id="29" name="입금_x000a_(B)" dataDxfId="16"/>
    <tableColumn id="30" name="정산_x000a_지연일_x000a_(A-B)" dataDxfId="15"/>
    <tableColumn id="34" name="미수금액2" dataDxfId="14" dataCellStyle="쉼표 [0]">
      <calculatedColumnFormula>IF(COUNT(AC5),0,Y5)</calculatedColumnFormula>
    </tableColumn>
    <tableColumn id="31" name="최종수금액" dataDxfId="13">
      <calculatedColumnFormula>표1_3[[#This Row],[금액]]+표1_3[[#This Row],[금액2]]+표1_3[[#This Row],[최종잔금]]</calculatedColumnFormula>
    </tableColumn>
    <tableColumn id="32" name="미수금액_x000a_(계산서발행o)" dataDxfId="12">
      <calculatedColumnFormula>(K5+P5+표1_3[[#This Row],[미수금액2]])-AH5</calculatedColumnFormula>
    </tableColumn>
    <tableColumn id="33" name="계산서_x000a_미발행액" dataDxfId="11"/>
  </tableColumns>
  <tableStyleInfo showFirstColumn="0" showLastColumn="0" showRowStripes="1" showColumnStripes="0"/>
</table>
</file>

<file path=xl/tables/table2.xml><?xml version="1.0" encoding="utf-8"?>
<table xmlns="http://schemas.openxmlformats.org/spreadsheetml/2006/main" id="2" name="표5_3" displayName="표5_3" ref="A74:I164" totalsRowCount="1">
  <autoFilter ref="A74:I163">
    <filterColumn colId="8">
      <filters>
        <filter val="-10,719,390"/>
        <filter val="19,767,130"/>
        <filter val="2,564,540"/>
        <filter val="2,629,000"/>
        <filter val="2,668,600"/>
        <filter val="3,372,600"/>
        <filter val="3,438,600"/>
        <filter val="3,578,740"/>
        <filter val="3,826,900"/>
        <filter val="361,900"/>
        <filter val="41,613,220"/>
        <filter val="475,200"/>
        <filter val="5,353,700"/>
        <filter val="5,588,000"/>
        <filter val="5,967,278"/>
        <filter val="521,400"/>
        <filter val="534,600"/>
        <filter val="6,930,000"/>
        <filter val="60,352,820"/>
        <filter val="668,250"/>
        <filter val="723,800"/>
        <filter val="8,906,590"/>
        <filter val="800"/>
        <filter val="853,050"/>
      </filters>
    </filterColumn>
  </autoFilter>
  <tableColumns count="9">
    <tableColumn id="1" name="발행일" dataDxfId="10" totalsRowDxfId="9"/>
    <tableColumn id="2" name="업체명" totalsRowDxfId="8"/>
    <tableColumn id="3" name="현장명" totalsRowDxfId="7"/>
    <tableColumn id="4" name="공급가" totalsRowDxfId="6"/>
    <tableColumn id="5" name="세액" totalsRowDxfId="5"/>
    <tableColumn id="6" name="합 계" totalsRowDxfId="4"/>
    <tableColumn id="7" name="입금일" totalsRowDxfId="3"/>
    <tableColumn id="8" name="수금액" totalsRowDxfId="2"/>
    <tableColumn id="9" name="미수금액" totalsRowDxfId="1"/>
  </tableColumns>
  <tableStyleInfo showFirstColumn="0" showLastColumn="0" showRowStripes="1" showColumnStripes="0"/>
</table>
</file>

<file path=xl/tables/table3.xml><?xml version="1.0" encoding="utf-8"?>
<table xmlns="http://schemas.openxmlformats.org/spreadsheetml/2006/main" id="3" name="표6" displayName="표6" ref="B25:Q62" totalsRowShown="0">
  <autoFilter ref="B25:Q62">
    <filterColumn colId="14">
      <filters>
        <filter val="-"/>
      </filters>
    </filterColumn>
    <filterColumn colId="15">
      <filters>
        <filter val="1,632,000"/>
        <filter val="2,738,900"/>
        <filter val="3,537,700"/>
        <filter val="5,380,000"/>
        <filter val="765,000"/>
      </filters>
    </filterColumn>
  </autoFilter>
  <tableColumns count="16">
    <tableColumn id="1" name="특허 자문료 _x000a_공문 발송 일자" dataDxfId="0"/>
    <tableColumn id="2" name="업체명"/>
    <tableColumn id="3" name="현장명"/>
    <tableColumn id="4" name="낙찰 금액"/>
    <tableColumn id="5" name="금액"/>
    <tableColumn id="6" name="발행"/>
    <tableColumn id="7" name="예정"/>
    <tableColumn id="8" name="입금"/>
    <tableColumn id="9" name="미수금액"/>
    <tableColumn id="10" name="금액2"/>
    <tableColumn id="11" name="발행3"/>
    <tableColumn id="12" name="예정4"/>
    <tableColumn id="13" name="입금5"/>
    <tableColumn id="14" name="미수금액6"/>
    <tableColumn id="15" name="수금액"/>
    <tableColumn id="16" name="미수금액2"/>
  </tableColumns>
  <tableStyleInfo showFirstColumn="0" showLastColumn="0" showRowStripes="1" showColumnStripes="0"/>
</table>
</file>

<file path=xl/theme/theme1.xml><?xml version="1.0" encoding="utf-8"?>
<a:theme xmlns:a="http://schemas.openxmlformats.org/drawingml/2006/main" name="Office 테마">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6" Type="http://schemas.openxmlformats.org/officeDocument/2006/relationships/comments" Target="../comments2.xml"/><Relationship Id="rId5" Type="http://schemas.openxmlformats.org/officeDocument/2006/relationships/table" Target="../tables/table3.xm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58"/>
  <sheetViews>
    <sheetView showGridLines="0" zoomScaleNormal="100" workbookViewId="0">
      <selection activeCell="D31" sqref="D31"/>
    </sheetView>
  </sheetViews>
  <sheetFormatPr defaultColWidth="9" defaultRowHeight="16.5"/>
  <cols>
    <col min="1" max="2" width="2" style="3" customWidth="1"/>
    <col min="3" max="3" width="14" style="3" customWidth="1"/>
    <col min="4" max="4" width="13.125" style="3" customWidth="1"/>
    <col min="5" max="17" width="13.125" style="4" customWidth="1"/>
    <col min="18" max="20" width="10" style="4" customWidth="1"/>
    <col min="21" max="22" width="10" style="3" customWidth="1"/>
    <col min="23" max="16384" width="9" style="5"/>
  </cols>
  <sheetData>
    <row r="1" spans="1:24" ht="13.5" customHeight="1">
      <c r="A1" s="6"/>
      <c r="B1" s="6"/>
      <c r="C1" s="6"/>
      <c r="E1" s="6"/>
      <c r="F1" s="6"/>
      <c r="G1" s="6"/>
      <c r="H1" s="6"/>
      <c r="I1" s="6"/>
      <c r="J1" s="6"/>
      <c r="K1" s="6"/>
      <c r="L1" s="6"/>
      <c r="M1" s="6"/>
      <c r="N1" s="6"/>
      <c r="O1" s="6"/>
      <c r="P1" s="6"/>
      <c r="Q1" s="6"/>
      <c r="R1" s="6"/>
      <c r="S1" s="6"/>
      <c r="T1" s="6"/>
      <c r="U1" s="6"/>
      <c r="V1" s="6"/>
      <c r="W1" s="6"/>
      <c r="X1" s="6"/>
    </row>
    <row r="2" spans="1:24" ht="30" customHeight="1">
      <c r="A2" s="6"/>
      <c r="B2" s="7"/>
      <c r="C2" s="274" t="s">
        <v>0</v>
      </c>
      <c r="D2" s="274"/>
      <c r="E2" s="274"/>
      <c r="F2" s="274"/>
      <c r="G2" s="274"/>
      <c r="H2" s="274"/>
      <c r="I2" s="274"/>
      <c r="J2" s="274"/>
      <c r="K2" s="274"/>
      <c r="L2" s="274"/>
      <c r="M2" s="274"/>
      <c r="N2" s="274"/>
      <c r="O2" s="274"/>
      <c r="P2" s="274"/>
      <c r="Q2" s="274"/>
      <c r="R2" s="274"/>
      <c r="S2" s="275" t="s">
        <v>448</v>
      </c>
      <c r="T2" s="276">
        <f ca="1">TODAY()-1</f>
        <v>46173</v>
      </c>
      <c r="U2" s="274"/>
      <c r="V2" s="6"/>
      <c r="W2" s="6"/>
      <c r="X2" s="6"/>
    </row>
    <row r="3" spans="1:24" ht="7.5" customHeight="1">
      <c r="A3" s="6"/>
      <c r="B3" s="6"/>
      <c r="C3" s="8"/>
      <c r="Q3" s="6"/>
      <c r="R3" s="6"/>
      <c r="S3" s="6"/>
      <c r="T3" s="6"/>
      <c r="U3" s="6"/>
      <c r="V3" s="6"/>
      <c r="W3" s="6"/>
      <c r="X3" s="6"/>
    </row>
    <row r="4" spans="1:24" ht="7.5" customHeight="1">
      <c r="A4" s="6"/>
      <c r="B4" s="9"/>
      <c r="C4" s="10"/>
      <c r="D4" s="10"/>
      <c r="E4" s="10"/>
      <c r="F4" s="11"/>
      <c r="G4" s="11"/>
      <c r="H4" s="11"/>
      <c r="I4" s="11"/>
      <c r="J4" s="11"/>
      <c r="K4" s="11"/>
      <c r="L4" s="11"/>
      <c r="M4" s="11"/>
      <c r="N4" s="11"/>
      <c r="O4" s="11"/>
      <c r="P4" s="11"/>
      <c r="Q4" s="12"/>
      <c r="R4" s="12"/>
      <c r="S4" s="12"/>
      <c r="T4" s="12"/>
      <c r="U4" s="13"/>
      <c r="V4" s="6"/>
      <c r="W4" s="6"/>
      <c r="X4" s="6"/>
    </row>
    <row r="5" spans="1:24" ht="7.5" customHeight="1">
      <c r="A5" s="6"/>
      <c r="B5" s="14"/>
      <c r="C5" s="6"/>
      <c r="E5" s="6"/>
      <c r="F5" s="6"/>
      <c r="G5" s="6"/>
      <c r="H5" s="6"/>
      <c r="I5" s="6"/>
      <c r="J5" s="6"/>
      <c r="K5" s="6"/>
      <c r="L5" s="6"/>
      <c r="M5" s="6"/>
      <c r="N5" s="6"/>
      <c r="O5" s="6"/>
      <c r="P5" s="6"/>
      <c r="Q5" s="6"/>
      <c r="R5" s="6"/>
      <c r="S5" s="6"/>
      <c r="T5" s="6"/>
      <c r="U5" s="15"/>
      <c r="V5" s="6"/>
      <c r="W5" s="6"/>
      <c r="X5" s="6"/>
    </row>
    <row r="6" spans="1:24" ht="21.75" customHeight="1">
      <c r="A6" s="6"/>
      <c r="B6" s="14"/>
      <c r="C6" s="518" t="s">
        <v>1</v>
      </c>
      <c r="D6" s="518"/>
      <c r="E6" s="518" t="s">
        <v>2</v>
      </c>
      <c r="F6" s="518"/>
      <c r="G6" s="518" t="s">
        <v>3</v>
      </c>
      <c r="H6" s="518"/>
      <c r="I6" s="2" t="s">
        <v>4</v>
      </c>
      <c r="J6" s="6"/>
      <c r="K6" s="519" t="s">
        <v>526</v>
      </c>
      <c r="L6" s="520"/>
      <c r="M6" s="521" t="s">
        <v>527</v>
      </c>
      <c r="N6" s="522"/>
      <c r="O6" s="1" t="s">
        <v>5</v>
      </c>
      <c r="P6" s="16"/>
      <c r="Q6" s="17"/>
      <c r="R6" s="17"/>
      <c r="S6" s="6"/>
      <c r="T6" s="17"/>
      <c r="U6" s="18"/>
      <c r="V6" s="17"/>
      <c r="W6" s="6"/>
      <c r="X6" s="6"/>
    </row>
    <row r="7" spans="1:24" ht="25.5" customHeight="1">
      <c r="A7" s="6"/>
      <c r="B7" s="14"/>
      <c r="C7" s="516">
        <v>23000000000</v>
      </c>
      <c r="D7" s="516"/>
      <c r="E7" s="516">
        <f>Q13</f>
        <v>11832764184.83091</v>
      </c>
      <c r="F7" s="516"/>
      <c r="G7" s="516">
        <f>Q17</f>
        <v>7595574153.8309088</v>
      </c>
      <c r="H7" s="516"/>
      <c r="I7" s="19">
        <f>IF(C7&gt;0, G7/C7, 0)</f>
        <v>0.33024235451438733</v>
      </c>
      <c r="J7" s="6"/>
      <c r="K7" s="517">
        <f>G32</f>
        <v>3574579090</v>
      </c>
      <c r="L7" s="517"/>
      <c r="M7" s="517">
        <f ca="1">H32</f>
        <v>1152221050</v>
      </c>
      <c r="N7" s="517"/>
      <c r="O7" s="20">
        <f>I32</f>
        <v>0.51040343753819606</v>
      </c>
      <c r="P7" s="16"/>
      <c r="Q7" s="16"/>
      <c r="R7" s="16"/>
      <c r="S7" s="6"/>
      <c r="T7" s="16"/>
      <c r="U7" s="21"/>
      <c r="V7" s="22"/>
      <c r="W7" s="6"/>
      <c r="X7" s="6"/>
    </row>
    <row r="8" spans="1:24" ht="7.5" customHeight="1">
      <c r="A8" s="6"/>
      <c r="B8" s="14"/>
      <c r="C8" s="6"/>
      <c r="E8" s="6"/>
      <c r="F8" s="6"/>
      <c r="G8" s="6"/>
      <c r="H8" s="6"/>
      <c r="I8" s="6"/>
      <c r="J8" s="6"/>
      <c r="K8" s="6"/>
      <c r="L8" s="6"/>
      <c r="M8" s="6"/>
      <c r="N8" s="6"/>
      <c r="O8" s="6"/>
      <c r="P8" s="6"/>
      <c r="Q8" s="6"/>
      <c r="R8" s="6"/>
      <c r="S8" s="6"/>
      <c r="T8" s="6"/>
      <c r="U8" s="15"/>
      <c r="V8" s="6"/>
      <c r="W8" s="6"/>
      <c r="X8" s="6"/>
    </row>
    <row r="9" spans="1:24" ht="7.5" customHeight="1">
      <c r="A9" s="6"/>
      <c r="B9" s="23"/>
      <c r="C9" s="24"/>
      <c r="D9" s="24"/>
      <c r="E9" s="24"/>
      <c r="F9" s="24"/>
      <c r="G9" s="24"/>
      <c r="H9" s="24"/>
      <c r="I9" s="24"/>
      <c r="J9" s="24"/>
      <c r="K9" s="24"/>
      <c r="L9" s="24"/>
      <c r="M9" s="24"/>
      <c r="N9" s="24"/>
      <c r="O9" s="24"/>
      <c r="P9" s="24"/>
      <c r="Q9" s="24"/>
      <c r="R9" s="24"/>
      <c r="S9" s="24"/>
      <c r="T9" s="24"/>
      <c r="U9" s="25"/>
      <c r="V9" s="6"/>
      <c r="W9" s="6"/>
      <c r="X9" s="6"/>
    </row>
    <row r="10" spans="1:24" ht="7.5" customHeight="1">
      <c r="A10" s="6"/>
      <c r="B10" s="14"/>
      <c r="C10" s="6"/>
      <c r="E10" s="6"/>
      <c r="F10" s="6"/>
      <c r="G10" s="6"/>
      <c r="H10" s="6"/>
      <c r="I10" s="6"/>
      <c r="J10" s="6"/>
      <c r="K10" s="6"/>
      <c r="L10" s="6"/>
      <c r="M10" s="6"/>
      <c r="N10" s="6"/>
      <c r="O10" s="6"/>
      <c r="P10" s="6"/>
      <c r="Q10" s="6"/>
      <c r="R10" s="6"/>
      <c r="S10" s="6"/>
      <c r="T10" s="6"/>
      <c r="U10" s="15"/>
      <c r="V10" s="6"/>
      <c r="W10" s="6"/>
      <c r="X10" s="6"/>
    </row>
    <row r="11" spans="1:24" ht="19.5" customHeight="1">
      <c r="A11" s="6"/>
      <c r="B11" s="14"/>
      <c r="C11" s="26" t="s">
        <v>6</v>
      </c>
      <c r="E11" s="6"/>
      <c r="F11" s="6"/>
      <c r="G11" s="6"/>
      <c r="H11" s="6"/>
      <c r="I11" s="6"/>
      <c r="J11" s="6"/>
      <c r="K11" s="352"/>
      <c r="L11" s="6"/>
      <c r="M11" s="6"/>
      <c r="N11" s="6"/>
      <c r="O11" s="6"/>
      <c r="P11" s="6"/>
      <c r="Q11" s="6"/>
      <c r="R11" s="6"/>
      <c r="S11" s="6"/>
      <c r="T11" s="6"/>
      <c r="U11" s="15"/>
      <c r="V11" s="6"/>
      <c r="W11" s="6"/>
      <c r="X11" s="6"/>
    </row>
    <row r="12" spans="1:24" ht="18" customHeight="1">
      <c r="A12" s="6"/>
      <c r="B12" s="14"/>
      <c r="C12" s="27" t="s">
        <v>7</v>
      </c>
      <c r="D12" s="28" t="s">
        <v>8</v>
      </c>
      <c r="E12" s="28" t="s">
        <v>9</v>
      </c>
      <c r="F12" s="28" t="s">
        <v>10</v>
      </c>
      <c r="G12" s="28" t="s">
        <v>11</v>
      </c>
      <c r="H12" s="28" t="s">
        <v>12</v>
      </c>
      <c r="I12" s="28" t="s">
        <v>13</v>
      </c>
      <c r="J12" s="28" t="s">
        <v>14</v>
      </c>
      <c r="K12" s="28" t="s">
        <v>15</v>
      </c>
      <c r="L12" s="28" t="s">
        <v>16</v>
      </c>
      <c r="M12" s="28" t="s">
        <v>17</v>
      </c>
      <c r="N12" s="28" t="s">
        <v>18</v>
      </c>
      <c r="O12" s="28" t="s">
        <v>19</v>
      </c>
      <c r="P12" s="28" t="s">
        <v>20</v>
      </c>
      <c r="Q12" s="27" t="s">
        <v>21</v>
      </c>
      <c r="R12" s="6"/>
      <c r="S12" s="6"/>
      <c r="T12" s="6"/>
      <c r="U12" s="15"/>
      <c r="V12" s="6"/>
      <c r="W12" s="6"/>
      <c r="X12" s="6"/>
    </row>
    <row r="13" spans="1:24" ht="15.75" customHeight="1" thickBot="1">
      <c r="A13" s="6"/>
      <c r="B13" s="14"/>
      <c r="C13" s="29" t="s">
        <v>22</v>
      </c>
      <c r="D13" s="30">
        <f>SUMIFS(컨설팅!H:H,컨설팅!J:J,"&gt;="&amp;DATE(2025,12,1),컨설팅!J:J,"&lt;="&amp;EOMONTH(DATE(2025,12,1),0))+SUMIFS(기술자문료!G:G,기술자문료!I:I,"&gt;="&amp;DATE(2025,12,1),기술자문료!I:I,"&lt;="&amp;EOMONTH(DATE(2025,12,1),0))+SUMIFS(특허료!I:I,특허료!J:J,"&gt;="&amp;DATE(2025,12,1),특허료!J:J,"&lt;="&amp;EOMONTH(DATE(2025,12,1),0))+SUMIFS(자재판매!P:P,자재판매!A:A,"2025-12*")</f>
        <v>1441571640</v>
      </c>
      <c r="E13" s="30">
        <f>SUMIFS(컨설팅!H:H,컨설팅!J:J,"&gt;="&amp;DATE(2026,1,1),컨설팅!J:J,"&lt;="&amp;EOMONTH(DATE(2026,1,1),0))+SUMIFS(기술자문료!G:G,기술자문료!I:I,"&gt;="&amp;DATE(2026,1,1),기술자문료!I:I,"&lt;="&amp;EOMONTH(DATE(2026,1,1),0))+SUMIFS(특허료!I:I,특허료!J:J,"&gt;="&amp;DATE(2026,1,1),특허료!J:J,"&lt;="&amp;EOMONTH(DATE(2026,1,1),0))+SUMIFS(자재판매!P:P,자재판매!A:A,"2026-01*")+D40+D41+D42</f>
        <v>299683191</v>
      </c>
      <c r="F13" s="30">
        <f>SUMIFS(컨설팅!H:H,컨설팅!J:J,"&gt;="&amp;DATE(2026,2,1),컨설팅!J:J,"&lt;="&amp;EOMONTH(DATE(2026,2,1),0))+SUMIFS(기술자문료!G:G,기술자문료!I:I,"&gt;="&amp;DATE(2026,2,1),기술자문료!I:I,"&lt;="&amp;EOMONTH(DATE(2026,2,1),0))+SUMIFS(특허료!I:I,특허료!J:J,"&gt;="&amp;DATE(2026,2,1),특허료!J:J,"&lt;="&amp;EOMONTH(DATE(2026,2,1),0))+SUMIFS(자재판매!P:P,자재판매!A:A,"2026-02*")+E40+E41+E42</f>
        <v>415277984</v>
      </c>
      <c r="G13" s="30">
        <f>SUMIFS(컨설팅!H:H,컨설팅!J:J,"&gt;="&amp;DATE(2026,3,1),컨설팅!J:J,"&lt;="&amp;EOMONTH(DATE(2026,3,1),0))+SUMIFS(기술자문료!G:G,기술자문료!I:I,"&gt;="&amp;DATE(2026,3,1),기술자문료!I:I,"&lt;="&amp;EOMONTH(DATE(2026,3,1),0))+SUMIFS(특허료!I:I,특허료!J:J,"&gt;="&amp;DATE(2026,3,1),특허료!J:J,"&lt;="&amp;EOMONTH(DATE(2026,3,1),0))+SUMIFS(자재판매!P:P,자재판매!A:A,"2026-03*")+F40+F41+F42</f>
        <v>2515390438</v>
      </c>
      <c r="H13" s="30">
        <f>SUMIFS(컨설팅!H:H,컨설팅!J:J,"&gt;="&amp;DATE(2026,4,1),컨설팅!J:J,"&lt;="&amp;EOMONTH(DATE(2026,4,1),0))+SUMIFS(기술자문료!G:G,기술자문료!I:I,"&gt;="&amp;DATE(2026,4,1),기술자문료!I:I,"&lt;="&amp;EOMONTH(DATE(2026,4,1),0))+SUMIFS(특허료!I:I,특허료!J:J,"&gt;="&amp;DATE(2026,4,1),특허료!J:J,"&lt;="&amp;EOMONTH(DATE(2026,4,1),0))+SUMIFS(자재판매!P:P,자재판매!A:A,"2026-04*")+G40+G41+G42</f>
        <v>4405065720</v>
      </c>
      <c r="I13" s="30">
        <f>SUMIFS(컨설팅!H:H,컨설팅!J:J,"&gt;="&amp;DATE(2026,5,1),컨설팅!J:J,"&lt;="&amp;EOMONTH(DATE(2026,5,1),0))+SUMIFS(기술자문료!G:G,기술자문료!I:I,"&gt;="&amp;DATE(2026,5,1),기술자문료!I:I,"&lt;="&amp;EOMONTH(DATE(2026,5,1),0))+SUMIFS(특허료!I:I,특허료!J:J,"&gt;="&amp;DATE(2026,5,1),특허료!J:J,"&lt;="&amp;EOMONTH(DATE(2026,5,1),0))+SUMIFS(자재판매!P:P,자재판매!A:A,"2026-05*")+H40+H41+H42</f>
        <v>2681131411.8309088</v>
      </c>
      <c r="J13" s="30">
        <f>SUMIFS(컨설팅!H:H,컨설팅!J:J,"&gt;="&amp;DATE(2026,6,1),컨설팅!J:J,"&lt;="&amp;EOMONTH(DATE(2026,6,1),0))+SUMIFS(기술자문료!G:G,기술자문료!I:I,"&gt;="&amp;DATE(2026,6,1),기술자문료!I:I,"&lt;="&amp;EOMONTH(DATE(2026,6,1),0))+SUMIFS(특허료!I:I,특허료!J:J,"&gt;="&amp;DATE(2026,6,1),특허료!J:J,"&lt;="&amp;EOMONTH(DATE(2026,6,1),0))+SUMIFS(자재판매!P:P,자재판매!A:A,"2026-06*")+I40+I41+I42</f>
        <v>74643800</v>
      </c>
      <c r="K13" s="30">
        <f>SUMIFS(컨설팅!H:H,컨설팅!J:J,"&gt;="&amp;DATE(2026,7,1),컨설팅!J:J,"&lt;="&amp;EOMONTH(DATE(2026,7,1),0))+SUMIFS(기술자문료!G:G,기술자문료!I:I,"&gt;="&amp;DATE(2026,7,1),기술자문료!I:I,"&lt;="&amp;EOMONTH(DATE(2026,7,1),0))+SUMIFS(특허료!I:I,특허료!J:J,"&gt;="&amp;DATE(2026,7,1),특허료!J:J,"&lt;="&amp;EOMONTH(DATE(2026,7,1),0))+SUMIFS(자재판매!P:P,자재판매!A:A,"2026-07*")+J40+J41+J42</f>
        <v>0</v>
      </c>
      <c r="L13" s="30">
        <f>SUMIFS(컨설팅!H:H,컨설팅!J:J,"&gt;="&amp;DATE(2026,8,1),컨설팅!J:J,"&lt;="&amp;EOMONTH(DATE(2026,8,1),0))+SUMIFS(기술자문료!G:G,기술자문료!I:I,"&gt;="&amp;DATE(2026,8,1),기술자문료!I:I,"&lt;="&amp;EOMONTH(DATE(2026,8,1),0))+SUMIFS(특허료!I:I,특허료!J:J,"&gt;="&amp;DATE(2026,8,1),특허료!J:J,"&lt;="&amp;EOMONTH(DATE(2026,8,1),0))+SUMIFS(자재판매!P:P,자재판매!A:A,"2026-08*")+K40+K41+K42</f>
        <v>0</v>
      </c>
      <c r="M13" s="30">
        <f>SUMIFS(컨설팅!H:H,컨설팅!J:J,"&gt;="&amp;DATE(2026,9,1),컨설팅!J:J,"&lt;="&amp;EOMONTH(DATE(2026,9,1),0))+SUMIFS(기술자문료!G:G,기술자문료!I:I,"&gt;="&amp;DATE(2026,9,1),기술자문료!I:I,"&lt;="&amp;EOMONTH(DATE(2026,9,1),0))+SUMIFS(특허료!I:I,특허료!J:J,"&gt;="&amp;DATE(2026,9,1),특허료!J:J,"&lt;="&amp;EOMONTH(DATE(2026,9,1),0))+SUMIFS(자재판매!P:P,자재판매!A:A,"2026-09*")+L40+L41+L42</f>
        <v>0</v>
      </c>
      <c r="N13" s="30">
        <f>SUMIFS(컨설팅!H:H,컨설팅!J:J,"&gt;="&amp;DATE(2026,10,1),컨설팅!J:J,"&lt;="&amp;EOMONTH(DATE(2026,10,1),0))+SUMIFS(기술자문료!G:G,기술자문료!I:I,"&gt;="&amp;DATE(2026,10,1),기술자문료!I:I,"&lt;="&amp;EOMONTH(DATE(2026,10,1),0))+SUMIFS(특허료!I:I,특허료!J:J,"&gt;="&amp;DATE(2026,10,1),특허료!J:J,"&lt;="&amp;EOMONTH(DATE(2026,10,1),0))+SUMIFS(자재판매!P:P,자재판매!A:A,"2026-10*")+M40+M41+M42</f>
        <v>0</v>
      </c>
      <c r="O13" s="30">
        <f>SUMIFS(컨설팅!H:H,컨설팅!J:J,"&gt;="&amp;DATE(2026,11,1),컨설팅!J:J,"&lt;="&amp;EOMONTH(DATE(2026,11,1),0))+SUMIFS(기술자문료!G:G,기술자문료!I:I,"&gt;="&amp;DATE(2026,11,1),기술자문료!I:I,"&lt;="&amp;EOMONTH(DATE(2026,11,1),0))+SUMIFS(특허료!I:I,특허료!J:J,"&gt;="&amp;DATE(2026,11,1),특허료!J:J,"&lt;="&amp;EOMONTH(DATE(2026,11,1),0))+SUMIFS(자재판매!P:P,자재판매!A:A,"2026-11*")+N40+N41+N42</f>
        <v>0</v>
      </c>
      <c r="P13" s="30">
        <f>SUMIFS(컨설팅!H:H,컨설팅!J:J,"&gt;="&amp;DATE(2026,12,1),컨설팅!J:J,"&lt;="&amp;EOMONTH(DATE(2026,12,1),0))+SUMIFS(기술자문료!G:G,기술자문료!I:I,"&gt;="&amp;DATE(2026,12,1),기술자문료!I:I,"&lt;="&amp;EOMONTH(DATE(2026,12,1),0))+SUMIFS(특허료!I:I,특허료!J:J,"&gt;="&amp;DATE(2026,12,1),특허료!J:J,"&lt;="&amp;EOMONTH(DATE(2026,12,1),0))+SUMIFS(자재판매!P:P,자재판매!A:A,"2026-12*")+O40+O41+O42</f>
        <v>0</v>
      </c>
      <c r="Q13" s="30">
        <f>SUM(D13:P13)</f>
        <v>11832764184.83091</v>
      </c>
      <c r="R13" s="6"/>
      <c r="S13" s="6"/>
      <c r="T13" s="6"/>
      <c r="U13" s="15"/>
      <c r="V13" s="6"/>
      <c r="W13" s="6"/>
      <c r="X13" s="6"/>
    </row>
    <row r="14" spans="1:24" ht="7.5" customHeight="1">
      <c r="A14" s="6"/>
      <c r="B14" s="14"/>
      <c r="C14" s="6"/>
      <c r="D14" s="6"/>
      <c r="E14" s="6"/>
      <c r="F14" s="6"/>
      <c r="G14" s="6"/>
      <c r="H14" s="6"/>
      <c r="I14" s="6"/>
      <c r="J14" s="6"/>
      <c r="K14" s="6"/>
      <c r="L14" s="6"/>
      <c r="M14" s="6"/>
      <c r="N14" s="6"/>
      <c r="O14" s="6"/>
      <c r="P14" s="6"/>
      <c r="Q14" s="6"/>
      <c r="R14" s="6"/>
      <c r="S14" s="6"/>
      <c r="T14" s="6"/>
      <c r="U14" s="15"/>
      <c r="V14" s="6"/>
      <c r="W14" s="6"/>
      <c r="X14" s="6"/>
    </row>
    <row r="15" spans="1:24" ht="19.5" customHeight="1">
      <c r="A15" s="6"/>
      <c r="B15" s="14"/>
      <c r="C15" s="26" t="s">
        <v>23</v>
      </c>
      <c r="D15" s="6"/>
      <c r="E15" s="6"/>
      <c r="F15" s="6"/>
      <c r="G15" s="6"/>
      <c r="H15" s="6"/>
      <c r="I15" s="6"/>
      <c r="J15" s="6"/>
      <c r="K15" s="6"/>
      <c r="L15" s="6"/>
      <c r="M15" s="6"/>
      <c r="N15" s="6"/>
      <c r="O15" s="6"/>
      <c r="P15" s="6"/>
      <c r="Q15" s="6"/>
      <c r="R15" s="6"/>
      <c r="S15" s="6"/>
      <c r="T15" s="6"/>
      <c r="U15" s="15"/>
      <c r="V15" s="6"/>
      <c r="W15" s="6"/>
      <c r="X15" s="6"/>
    </row>
    <row r="16" spans="1:24" ht="18" customHeight="1">
      <c r="A16" s="6"/>
      <c r="B16" s="14"/>
      <c r="C16" s="27" t="s">
        <v>24</v>
      </c>
      <c r="D16" s="28" t="s">
        <v>8</v>
      </c>
      <c r="E16" s="28" t="s">
        <v>9</v>
      </c>
      <c r="F16" s="28" t="s">
        <v>10</v>
      </c>
      <c r="G16" s="28" t="s">
        <v>11</v>
      </c>
      <c r="H16" s="28" t="s">
        <v>12</v>
      </c>
      <c r="I16" s="28" t="s">
        <v>13</v>
      </c>
      <c r="J16" s="28" t="s">
        <v>14</v>
      </c>
      <c r="K16" s="28" t="s">
        <v>15</v>
      </c>
      <c r="L16" s="28" t="s">
        <v>16</v>
      </c>
      <c r="M16" s="28" t="s">
        <v>17</v>
      </c>
      <c r="N16" s="28" t="s">
        <v>18</v>
      </c>
      <c r="O16" s="28" t="s">
        <v>19</v>
      </c>
      <c r="P16" s="28" t="s">
        <v>20</v>
      </c>
      <c r="Q16" s="27" t="s">
        <v>21</v>
      </c>
      <c r="R16" s="6"/>
      <c r="S16" s="6"/>
      <c r="T16" s="6"/>
      <c r="U16" s="15"/>
      <c r="V16" s="6"/>
      <c r="W16" s="6"/>
      <c r="X16" s="6"/>
    </row>
    <row r="17" spans="1:24" ht="15.75" customHeight="1" thickBot="1">
      <c r="A17" s="6"/>
      <c r="B17" s="14"/>
      <c r="C17" s="29" t="s">
        <v>22</v>
      </c>
      <c r="D17" s="30">
        <f>SUMIFS(컨설팅!H:H,컨설팅!L:L,"&gt;="&amp;DATE(2025,12,1),컨설팅!L:L,"&lt;="&amp;EOMONTH(DATE(2025,12,1),0))+SUMIFS(기술자문료!G:G,기술자문료!K:K,"&gt;="&amp;DATE(2025,12,1),기술자문료!K:K,"&lt;="&amp;EOMONTH(DATE(2025,12,1),0))+SUMIFS(특허료!I:I,특허료!K:K,"&gt;="&amp;DATE(2025,12,1),특허료!K:K,"&lt;="&amp;EOMONTH(DATE(2025,12,1),0))+SUMIFS(자재판매!P:P,자재판매!A:A,"2025-12*")</f>
        <v>53520000</v>
      </c>
      <c r="E17" s="30">
        <f>SUMIFS(컨설팅!H:H,컨설팅!L:L,"&gt;="&amp;DATE(2026,1,1),컨설팅!L:L,"&lt;="&amp;EOMONTH(DATE(2026,1,1),0))+SUMIFS(기술자문료!G:G,기술자문료!K:K,"&gt;="&amp;DATE(2026,1,1),기술자문료!K:K,"&lt;="&amp;EOMONTH(DATE(2026,1,1),0))+SUMIFS(특허료!I:I,특허료!K:K,"&gt;="&amp;DATE(2026,1,1),특허료!K:K,"&lt;="&amp;EOMONTH(DATE(2026,1,1),0))+SUMIFS(자재판매!P:P,자재판매!A:A,"2026-01*")+D40+D41+D42</f>
        <v>309083291</v>
      </c>
      <c r="F17" s="30">
        <f>SUMIFS(컨설팅!H:H,컨설팅!L:L,"&gt;="&amp;DATE(2026,2,1),컨설팅!L:L,"&lt;="&amp;EOMONTH(DATE(2026,2,1),0))+SUMIFS(기술자문료!G:G,기술자문료!K:K,"&gt;="&amp;DATE(2026,2,1),기술자문료!K:K,"&lt;="&amp;EOMONTH(DATE(2026,2,1),0))+SUMIFS(특허료!I:I,특허료!K:K,"&gt;="&amp;DATE(2026,2,1),특허료!K:K,"&lt;="&amp;EOMONTH(DATE(2026,2,1),0))+SUMIFS(자재판매!P:P,자재판매!A:A,"2026-02*")+E40+E41+E42</f>
        <v>249691684</v>
      </c>
      <c r="G17" s="30">
        <f>SUMIFS(컨설팅!H:H,컨설팅!L:L,"&gt;="&amp;DATE(2026,3,1),컨설팅!L:L,"&lt;="&amp;EOMONTH(DATE(2026,3,1),0))+SUMIFS(기술자문료!G:G,기술자문료!K:K,"&gt;="&amp;DATE(2026,3,1),기술자문료!K:K,"&lt;="&amp;EOMONTH(DATE(2026,3,1),0))+SUMIFS(특허료!I:I,특허료!K:K,"&gt;="&amp;DATE(2026,3,1),특허료!K:K,"&lt;="&amp;EOMONTH(DATE(2026,3,1),0))+SUMIFS(자재판매!P:P,자재판매!A:A,"2026-03*")+F40+F41+F42</f>
        <v>1672984738</v>
      </c>
      <c r="H17" s="30">
        <f>SUMIFS(컨설팅!H:H,컨설팅!L:L,"&gt;="&amp;DATE(2026,4,1),컨설팅!L:L,"&lt;="&amp;EOMONTH(DATE(2026,4,1),0))+SUMIFS(기술자문료!G:G,기술자문료!K:K,"&gt;="&amp;DATE(2026,4,1),기술자문료!K:K,"&lt;="&amp;EOMONTH(DATE(2026,4,1),0))+SUMIFS(특허료!I:I,특허료!K:K,"&gt;="&amp;DATE(2026,4,1),특허료!K:K,"&lt;="&amp;EOMONTH(DATE(2026,4,1),0))+SUMIFS(자재판매!P:P,자재판매!A:A,"2026-04*")+G40+G41+G42</f>
        <v>2603006539</v>
      </c>
      <c r="I17" s="30">
        <f>SUMIFS(컨설팅!H:H,컨설팅!L:L,"&gt;="&amp;DATE(2026,5,1),컨설팅!L:L,"&lt;="&amp;EOMONTH(DATE(2026,5,1),0))+SUMIFS(기술자문료!G:G,기술자문료!K:K,"&gt;="&amp;DATE(2026,5,1),기술자문료!K:K,"&lt;="&amp;EOMONTH(DATE(2026,5,1),0))+SUMIFS(특허료!I:I,특허료!K:K,"&gt;="&amp;DATE(2026,5,1),특허료!K:K,"&lt;="&amp;EOMONTH(DATE(2026,5,1),0))+SUMIFS(자재판매!P:P,자재판매!A:A,"2026-05*")+H40+H41+H42</f>
        <v>2549309151.8309088</v>
      </c>
      <c r="J17" s="30">
        <f>SUMIFS(컨설팅!H:H,컨설팅!L:L,"&gt;="&amp;DATE(2026,6,1),컨설팅!L:L,"&lt;="&amp;EOMONTH(DATE(2026,6,1),0))+SUMIFS(기술자문료!G:G,기술자문료!K:K,"&gt;="&amp;DATE(2026,6,1),기술자문료!K:K,"&lt;="&amp;EOMONTH(DATE(2026,6,1),0))+SUMIFS(특허료!I:I,특허료!K:K,"&gt;="&amp;DATE(2026,6,1),특허료!K:K,"&lt;="&amp;EOMONTH(DATE(2026,6,1),0))+SUMIFS(자재판매!P:P,자재판매!A:A,"2026-06*")+I40+I41+I42</f>
        <v>211498750</v>
      </c>
      <c r="K17" s="30">
        <f>SUMIFS(컨설팅!H:H,컨설팅!L:L,"&gt;="&amp;DATE(2026,7,1),컨설팅!L:L,"&lt;="&amp;EOMONTH(DATE(2026,7,1),0))+SUMIFS(기술자문료!G:G,기술자문료!K:K,"&gt;="&amp;DATE(2026,7,1),기술자문료!K:K,"&lt;="&amp;EOMONTH(DATE(2026,7,1),0))+SUMIFS(특허료!I:I,특허료!K:K,"&gt;="&amp;DATE(2026,7,1),특허료!K:K,"&lt;="&amp;EOMONTH(DATE(2026,7,1),0))+SUMIFS(자재판매!P:P,자재판매!A:A,"2026-07*")+J40+J41+J42</f>
        <v>0</v>
      </c>
      <c r="L17" s="30">
        <f>SUMIFS(컨설팅!H:H,컨설팅!L:L,"&gt;="&amp;DATE(2026,8,1),컨설팅!L:L,"&lt;="&amp;EOMONTH(DATE(2026,8,1),0))+SUMIFS(기술자문료!G:G,기술자문료!K:K,"&gt;="&amp;DATE(2026,8,1),기술자문료!K:K,"&lt;="&amp;EOMONTH(DATE(2026,8,1),0))+SUMIFS(특허료!I:I,특허료!K:K,"&gt;="&amp;DATE(2026,8,1),특허료!K:K,"&lt;="&amp;EOMONTH(DATE(2026,8,1),0))+SUMIFS(자재판매!P:P,자재판매!A:A,"2026-08*")+K40+K41+K42</f>
        <v>0</v>
      </c>
      <c r="M17" s="30">
        <f>SUMIFS(컨설팅!H:H,컨설팅!L:L,"&gt;="&amp;DATE(2026,9,1),컨설팅!L:L,"&lt;="&amp;EOMONTH(DATE(2026,9,1),0))+SUMIFS(기술자문료!G:G,기술자문료!K:K,"&gt;="&amp;DATE(2026,9,1),기술자문료!K:K,"&lt;="&amp;EOMONTH(DATE(2026,9,1),0))+SUMIFS(특허료!I:I,특허료!K:K,"&gt;="&amp;DATE(2026,9,1),특허료!K:K,"&lt;="&amp;EOMONTH(DATE(2026,9,1),0))+SUMIFS(자재판매!P:P,자재판매!A:A,"2026-09*")+L40+L41+L42</f>
        <v>0</v>
      </c>
      <c r="N17" s="30">
        <f>SUMIFS(컨설팅!H:H,컨설팅!L:L,"&gt;="&amp;DATE(2026,10,1),컨설팅!L:L,"&lt;="&amp;EOMONTH(DATE(2026,10,1),0))+SUMIFS(기술자문료!G:G,기술자문료!K:K,"&gt;="&amp;DATE(2026,10,1),기술자문료!K:K,"&lt;="&amp;EOMONTH(DATE(2026,10,1),0))+SUMIFS(특허료!I:I,특허료!K:K,"&gt;="&amp;DATE(2026,10,1),특허료!K:K,"&lt;="&amp;EOMONTH(DATE(2026,10,1),0))+SUMIFS(자재판매!P:P,자재판매!A:A,"2026-10*")+M40+M41+M42</f>
        <v>0</v>
      </c>
      <c r="O17" s="30">
        <f>SUMIFS(컨설팅!H:H,컨설팅!L:L,"&gt;="&amp;DATE(2026,11,1),컨설팅!L:L,"&lt;="&amp;EOMONTH(DATE(2026,11,1),0))+SUMIFS(기술자문료!G:G,기술자문료!K:K,"&gt;="&amp;DATE(2026,11,1),기술자문료!K:K,"&lt;="&amp;EOMONTH(DATE(2026,11,1),0))+SUMIFS(특허료!I:I,특허료!K:K,"&gt;="&amp;DATE(2026,11,1),특허료!K:K,"&lt;="&amp;EOMONTH(DATE(2026,11,1),0))+SUMIFS(자재판매!P:P,자재판매!A:A,"2026-11*")+N40+N41+N42</f>
        <v>0</v>
      </c>
      <c r="P17" s="30">
        <f>SUMIFS(컨설팅!H:H,컨설팅!L:L,"&gt;="&amp;DATE(2026,12,1),컨설팅!L:L,"&lt;="&amp;EOMONTH(DATE(2026,12,1),0))+SUMIFS(기술자문료!G:G,기술자문료!K:K,"&gt;="&amp;DATE(2026,12,1),기술자문료!K:K,"&lt;="&amp;EOMONTH(DATE(2026,12,1),0))+SUMIFS(특허료!I:I,특허료!K:K,"&gt;="&amp;DATE(2026,12,1),특허료!K:K,"&lt;="&amp;EOMONTH(DATE(2026,12,1),0))+SUMIFS(자재판매!P:P,자재판매!A:A,"2026-12*")+O40+O41+O42</f>
        <v>0</v>
      </c>
      <c r="Q17" s="30">
        <f>SUM(E17:P17)</f>
        <v>7595574153.8309088</v>
      </c>
      <c r="R17" s="6"/>
      <c r="S17" s="6"/>
      <c r="T17" s="6"/>
      <c r="U17" s="15"/>
      <c r="V17" s="6"/>
      <c r="W17" s="6"/>
      <c r="X17" s="6"/>
    </row>
    <row r="18" spans="1:24" ht="7.5" customHeight="1">
      <c r="A18" s="6"/>
      <c r="B18" s="14"/>
      <c r="C18" s="6"/>
      <c r="E18" s="6"/>
      <c r="F18" s="6"/>
      <c r="G18" s="6"/>
      <c r="H18" s="6"/>
      <c r="I18" s="6"/>
      <c r="J18" s="6"/>
      <c r="K18" s="6"/>
      <c r="L18" s="6"/>
      <c r="M18" s="6"/>
      <c r="N18" s="6"/>
      <c r="O18" s="6"/>
      <c r="P18" s="6"/>
      <c r="Q18" s="6"/>
      <c r="R18" s="6"/>
      <c r="S18" s="6"/>
      <c r="T18" s="6"/>
      <c r="U18" s="15"/>
      <c r="V18" s="6"/>
      <c r="W18" s="6"/>
      <c r="X18" s="6"/>
    </row>
    <row r="19" spans="1:24" ht="7.5" customHeight="1" thickBot="1">
      <c r="A19" s="6"/>
      <c r="B19" s="14"/>
      <c r="C19" s="6"/>
      <c r="D19" s="6"/>
      <c r="E19" s="6"/>
      <c r="F19" s="6"/>
      <c r="G19" s="6"/>
      <c r="H19" s="6"/>
      <c r="I19" s="6"/>
      <c r="J19" s="6"/>
      <c r="K19" s="6"/>
      <c r="L19" s="6"/>
      <c r="M19" s="6"/>
      <c r="N19" s="6"/>
      <c r="O19" s="6"/>
      <c r="P19" s="6"/>
      <c r="Q19" s="6"/>
      <c r="R19" s="6"/>
      <c r="S19" s="6"/>
      <c r="T19" s="6"/>
      <c r="U19" s="15"/>
      <c r="V19" s="6"/>
      <c r="W19" s="6"/>
      <c r="X19" s="6"/>
    </row>
    <row r="20" spans="1:24" ht="7.5" customHeight="1">
      <c r="A20" s="6"/>
      <c r="B20" s="9"/>
      <c r="C20" s="12"/>
      <c r="D20" s="12"/>
      <c r="E20" s="12"/>
      <c r="F20" s="12"/>
      <c r="G20" s="12"/>
      <c r="H20" s="12"/>
      <c r="I20" s="12"/>
      <c r="J20" s="12"/>
      <c r="K20" s="12"/>
      <c r="L20" s="12"/>
      <c r="M20" s="12"/>
      <c r="N20" s="12"/>
      <c r="O20" s="12"/>
      <c r="P20" s="12"/>
      <c r="Q20" s="12"/>
      <c r="R20" s="12"/>
      <c r="S20" s="12"/>
      <c r="T20" s="12"/>
      <c r="U20" s="13"/>
      <c r="V20" s="6"/>
      <c r="W20" s="6"/>
      <c r="X20" s="6"/>
    </row>
    <row r="21" spans="1:24" ht="13.5">
      <c r="A21" s="6"/>
      <c r="B21" s="14"/>
      <c r="C21" s="6"/>
      <c r="E21" s="6"/>
      <c r="F21" s="6"/>
      <c r="G21" s="6"/>
      <c r="H21" s="49"/>
      <c r="I21" s="49"/>
      <c r="J21" s="6"/>
      <c r="K21" s="6"/>
      <c r="L21" s="6"/>
      <c r="M21" s="6"/>
      <c r="N21" s="6"/>
      <c r="O21" s="6"/>
      <c r="P21" s="6"/>
      <c r="Q21" s="6"/>
      <c r="R21" s="6"/>
      <c r="S21" s="6"/>
      <c r="T21" s="6"/>
      <c r="U21" s="15"/>
      <c r="V21" s="6"/>
      <c r="W21" s="6"/>
      <c r="X21" s="6"/>
    </row>
    <row r="22" spans="1:24" ht="7.5" customHeight="1">
      <c r="A22" s="6"/>
      <c r="B22" s="14"/>
      <c r="C22" s="6"/>
      <c r="D22" s="441"/>
      <c r="E22" s="441"/>
      <c r="F22" s="441"/>
      <c r="G22" s="441"/>
      <c r="H22" s="441"/>
      <c r="I22" s="441"/>
      <c r="J22" s="6"/>
      <c r="K22" s="6"/>
      <c r="L22" s="6"/>
      <c r="M22" s="6"/>
      <c r="N22" s="6"/>
      <c r="O22" s="6"/>
      <c r="P22" s="6"/>
      <c r="Q22" s="6"/>
      <c r="R22" s="6"/>
      <c r="S22" s="6"/>
      <c r="T22" s="6"/>
      <c r="U22" s="15"/>
      <c r="V22" s="6"/>
      <c r="W22" s="6"/>
      <c r="X22" s="6"/>
    </row>
    <row r="23" spans="1:24" ht="19.5" customHeight="1">
      <c r="A23" s="6"/>
      <c r="B23" s="14"/>
      <c r="C23" s="26" t="s">
        <v>25</v>
      </c>
      <c r="E23" s="6"/>
      <c r="F23" s="6"/>
      <c r="G23" s="6"/>
      <c r="H23" s="6"/>
      <c r="I23" s="6"/>
      <c r="J23" s="6"/>
      <c r="K23" s="6"/>
      <c r="L23" s="49"/>
      <c r="M23" s="49"/>
      <c r="N23" s="6"/>
      <c r="O23" s="6"/>
      <c r="P23" s="6"/>
      <c r="Q23" s="6"/>
      <c r="R23" s="6"/>
      <c r="S23" s="6"/>
      <c r="T23" s="6"/>
      <c r="U23" s="15"/>
      <c r="V23" s="6"/>
      <c r="W23" s="6"/>
      <c r="X23" s="6"/>
    </row>
    <row r="24" spans="1:24" ht="18" customHeight="1">
      <c r="A24" s="6"/>
      <c r="B24" s="14"/>
      <c r="C24" s="27" t="s">
        <v>26</v>
      </c>
      <c r="D24" s="27" t="s">
        <v>27</v>
      </c>
      <c r="E24" s="28" t="s">
        <v>1799</v>
      </c>
      <c r="F24" s="28" t="s">
        <v>1800</v>
      </c>
      <c r="G24" s="28" t="s">
        <v>1801</v>
      </c>
      <c r="H24" s="28" t="s">
        <v>1913</v>
      </c>
      <c r="I24" s="27" t="s">
        <v>5</v>
      </c>
      <c r="J24" s="6"/>
      <c r="K24" s="17"/>
      <c r="L24" s="49"/>
      <c r="M24" s="49"/>
      <c r="N24" s="6"/>
      <c r="O24" s="6"/>
      <c r="P24" s="6"/>
      <c r="Q24" s="6"/>
      <c r="R24" s="6"/>
      <c r="S24" s="6"/>
      <c r="T24" s="6"/>
      <c r="U24" s="15"/>
      <c r="V24" s="6"/>
      <c r="W24" s="6"/>
      <c r="X24" s="6"/>
    </row>
    <row r="25" spans="1:24" ht="15.75" customHeight="1">
      <c r="A25" s="6"/>
      <c r="B25" s="14"/>
      <c r="C25" s="31" t="s">
        <v>28</v>
      </c>
      <c r="D25" s="32">
        <f>MAX(컨설팅!B:B)</f>
        <v>64</v>
      </c>
      <c r="E25" s="32">
        <f>SUMIFS(컨설팅!H:H,컨설팅!J:J,"&gt;="&amp;DATE(2025,12,1),컨설팅!J:J,"&lt;="&amp;DATE(2026,12,31))</f>
        <v>4740931740</v>
      </c>
      <c r="F25" s="32">
        <f>SUMIFS(컨설팅!H:H,컨설팅!L:L,"&gt;="&amp;DATE(2026,1,1),컨설팅!L:L,"&lt;="&amp;DATE(2026,12,31))</f>
        <v>2897704640</v>
      </c>
      <c r="G25" s="32">
        <f>SUMIFS(컨설팅!P:P,컨설팅!L:L,"&gt;="&amp;DATE(2026,1,1),컨설팅!L:L,"&lt;="&amp;DATE(2026,12,31))/1.1</f>
        <v>1142699590</v>
      </c>
      <c r="H25" s="32">
        <f ca="1">SUM(SUMIFS(컨설팅!P:P,컨설팅!S:S,{"관리","장기미수"},컨설팅!L:L,"&gt;="&amp;DATE(2026,1,1),컨설팅!L:L,"&lt;="&amp;DATE(2026,12,31)))/1.1</f>
        <v>290251800.00000006</v>
      </c>
      <c r="I25" s="277">
        <f>IF(F25&gt;0, SUMIFS(컨설팅!O:O,컨설팅!L:L,"&gt;="&amp;DATE(2025,12,1),컨설팅!L:L,"&lt;="&amp;DATE(2026,12,31))/1.1/F25, 0)</f>
        <v>0.6056535320314772</v>
      </c>
      <c r="J25" s="6"/>
      <c r="K25" s="33"/>
      <c r="L25" s="6"/>
      <c r="M25" s="6"/>
      <c r="N25" s="6"/>
      <c r="O25" s="6"/>
      <c r="P25" s="6"/>
      <c r="Q25" s="6"/>
      <c r="R25" s="6"/>
      <c r="S25" s="6"/>
      <c r="T25" s="6"/>
      <c r="U25" s="15"/>
      <c r="V25" s="6"/>
      <c r="W25" s="6"/>
      <c r="X25" s="6"/>
    </row>
    <row r="26" spans="1:24" ht="15.75" customHeight="1">
      <c r="A26" s="6"/>
      <c r="B26" s="14"/>
      <c r="C26" s="31" t="s">
        <v>822</v>
      </c>
      <c r="D26" s="32">
        <f>MAX(기술자문료!B:B)</f>
        <v>32</v>
      </c>
      <c r="E26" s="32">
        <f>SUMIFS(기술자문료!G:G,기술자문료!I:I,"&gt;="&amp;DATE(2025,12,1),기술자문료!I:I,"&lt;="&amp;DATE(2026,12,31))</f>
        <v>2620658431</v>
      </c>
      <c r="F26" s="32">
        <f>SUMIFS(기술자문료!G:G,기술자문료!K:K,"&gt;="&amp;DATE(2026,1,1),기술자문료!K:K,"&lt;="&amp;DATE(2026,12,31))</f>
        <v>226695500</v>
      </c>
      <c r="G26" s="32">
        <f>SUMIFS(기술자문료!O:O,기술자문료!K:K,"&gt;="&amp;DATE(2026,1,1),기술자문료!K:K,"&lt;="&amp;DATE(2026,12,31))/1.1</f>
        <v>169133500</v>
      </c>
      <c r="H26" s="32">
        <f ca="1">SUM(SUMIFS(기술자문료!O:O,기술자문료!Q:Q,{"관리","장기미수"},기술자문료!K:K,"&gt;="&amp;DATE(2026,1,1),기술자문료!K:K,"&lt;="&amp;DATE(2026,12,31)))/1.1</f>
        <v>7939999.9999999991</v>
      </c>
      <c r="I26" s="277">
        <f>IF(F26&gt;0, SUMIFS(기술자문료!N:N,기술자문료!K:K,"&gt;="&amp;DATE(2025,12,1),기술자문료!K:K,"&lt;="&amp;DATE(2026,12,31))/1.1/F26, 0)</f>
        <v>0.49000531550030763</v>
      </c>
      <c r="J26" s="6"/>
      <c r="K26" s="33"/>
      <c r="L26" s="6"/>
      <c r="M26" s="6"/>
      <c r="N26" s="6"/>
      <c r="O26" s="6"/>
      <c r="P26" s="6"/>
      <c r="Q26" s="6"/>
      <c r="R26" s="6"/>
      <c r="S26" s="6"/>
      <c r="T26" s="6"/>
      <c r="U26" s="15"/>
      <c r="V26" s="6"/>
      <c r="W26" s="6"/>
      <c r="X26" s="6"/>
    </row>
    <row r="27" spans="1:24" ht="15.75" customHeight="1">
      <c r="A27" s="6"/>
      <c r="B27" s="14"/>
      <c r="C27" s="376" t="s">
        <v>823</v>
      </c>
      <c r="D27" s="32">
        <f>MAX(특허료!B:B)</f>
        <v>21</v>
      </c>
      <c r="E27" s="32">
        <f>SUMIFS(특허료!I:I,특허료!J:J,"&gt;="&amp;DATE(2025,12,1),특허료!J:J,"&lt;="&amp;DATE(2026,12,31))</f>
        <v>55052906.830909088</v>
      </c>
      <c r="F27" s="32">
        <f>SUMIFS(특허료!I:I,특허료!K:K,"&gt;="&amp;DATE(2026,1,1),특허료!K:K,"&lt;="&amp;DATE(2026,12,31))</f>
        <v>55052906.830909088</v>
      </c>
      <c r="G27" s="32">
        <f>SUM(특허료!O:O)/1.1</f>
        <v>14581549.999999998</v>
      </c>
      <c r="H27" s="32">
        <f ca="1">SUM(SUMIF(특허료!P:P,{"관리","장기미수"},특허료!O:O))/1.1</f>
        <v>0</v>
      </c>
      <c r="I27" s="277">
        <f>IF(F27&gt;0, SUM(특허료!N:N)/1.1/F27, 0)</f>
        <v>0.73513569329252415</v>
      </c>
      <c r="J27" s="6"/>
      <c r="K27" s="33"/>
      <c r="L27" s="6"/>
      <c r="M27" s="6"/>
      <c r="N27" s="6"/>
      <c r="O27" s="6"/>
      <c r="P27" s="6"/>
      <c r="Q27" s="6"/>
      <c r="R27" s="6"/>
      <c r="S27" s="6"/>
      <c r="T27" s="6"/>
      <c r="U27" s="15"/>
      <c r="V27" s="6"/>
      <c r="W27" s="6"/>
      <c r="X27" s="6"/>
    </row>
    <row r="28" spans="1:24" ht="15.75" customHeight="1" thickBot="1">
      <c r="A28" s="6"/>
      <c r="B28" s="14"/>
      <c r="C28" s="34" t="s">
        <v>30</v>
      </c>
      <c r="D28" s="35">
        <f>ROUND(SUMPRODUCT((자재판매!AG2:AG9891&lt;&gt;"")/COUNTIF(자재판매!AG2:AG9891,자재판매!AG2:AG9891&amp;"")),0)</f>
        <v>321</v>
      </c>
      <c r="E28" s="35">
        <f>SUMIFS(자재판매!P:P,자재판매!A:A,"2026-*")</f>
        <v>4121617598</v>
      </c>
      <c r="F28" s="35">
        <f>SUMIFS(자재판매!P:P,자재판매!A:A,"2026-*")</f>
        <v>4121617598</v>
      </c>
      <c r="G28" s="35">
        <f>SUM(자재판매!AK:AK)/1.1</f>
        <v>2248164450</v>
      </c>
      <c r="H28" s="35">
        <f ca="1">SUM(SUMIF(자재판매!AL:AL,{"관리","장기미수"},자재판매!AK:AK))/1.1</f>
        <v>854029249.99999988</v>
      </c>
      <c r="I28" s="278">
        <f>IF(F28&gt;0, SUM(자재판매!AJ:AJ)/1.1/F28, 0)</f>
        <v>0.45454317461535992</v>
      </c>
      <c r="J28" s="442"/>
      <c r="K28" s="33"/>
      <c r="L28" s="6"/>
      <c r="M28" s="6"/>
      <c r="N28" s="6"/>
      <c r="O28" s="6"/>
      <c r="P28" s="6"/>
      <c r="Q28" s="6"/>
      <c r="R28" s="6"/>
      <c r="S28" s="6"/>
      <c r="T28" s="6"/>
      <c r="U28" s="15"/>
      <c r="V28" s="6"/>
      <c r="W28" s="6"/>
      <c r="X28" s="6"/>
    </row>
    <row r="29" spans="1:24" ht="15.75" customHeight="1">
      <c r="A29" s="6"/>
      <c r="B29" s="14"/>
      <c r="C29" s="39" t="s">
        <v>33</v>
      </c>
      <c r="D29" s="40" t="s">
        <v>32</v>
      </c>
      <c r="E29" s="40">
        <f>F29</f>
        <v>187893551</v>
      </c>
      <c r="F29" s="40">
        <f>P40</f>
        <v>187893551</v>
      </c>
      <c r="G29" s="40" t="s">
        <v>32</v>
      </c>
      <c r="H29" s="40" t="s">
        <v>32</v>
      </c>
      <c r="I29" s="280" t="s">
        <v>32</v>
      </c>
      <c r="J29" s="6"/>
      <c r="K29" s="33"/>
      <c r="L29" s="6"/>
      <c r="M29" s="6"/>
      <c r="N29" s="6"/>
      <c r="O29" s="6"/>
      <c r="P29" s="6"/>
      <c r="Q29" s="6"/>
      <c r="R29" s="6"/>
      <c r="S29" s="6"/>
      <c r="T29" s="6"/>
      <c r="U29" s="15"/>
      <c r="V29" s="6"/>
      <c r="W29" s="6"/>
      <c r="X29" s="6"/>
    </row>
    <row r="30" spans="1:24" ht="15.75" customHeight="1">
      <c r="A30" s="6"/>
      <c r="B30" s="14"/>
      <c r="C30" s="36" t="s">
        <v>31</v>
      </c>
      <c r="D30" s="37" t="s">
        <v>32</v>
      </c>
      <c r="E30" s="37">
        <f>F30</f>
        <v>106771577</v>
      </c>
      <c r="F30" s="37">
        <f>P41</f>
        <v>106771577</v>
      </c>
      <c r="G30" s="37" t="s">
        <v>32</v>
      </c>
      <c r="H30" s="37" t="s">
        <v>32</v>
      </c>
      <c r="I30" s="279" t="s">
        <v>32</v>
      </c>
      <c r="J30" s="6"/>
      <c r="K30" s="288"/>
      <c r="L30" s="52"/>
      <c r="M30" s="52"/>
      <c r="N30" s="6"/>
      <c r="O30" s="6"/>
      <c r="P30" s="6"/>
      <c r="Q30" s="6"/>
      <c r="R30" s="6"/>
      <c r="S30" s="6"/>
      <c r="T30" s="6"/>
      <c r="U30" s="15"/>
      <c r="V30" s="6"/>
      <c r="W30" s="6"/>
      <c r="X30" s="6"/>
    </row>
    <row r="31" spans="1:24" ht="15.75" customHeight="1">
      <c r="A31" s="6"/>
      <c r="B31" s="14"/>
      <c r="C31" s="39" t="s">
        <v>34</v>
      </c>
      <c r="D31" s="40" t="s">
        <v>32</v>
      </c>
      <c r="E31" s="40">
        <f>F31</f>
        <v>-161619</v>
      </c>
      <c r="F31" s="40">
        <f>P42</f>
        <v>-161619</v>
      </c>
      <c r="G31" s="40" t="s">
        <v>32</v>
      </c>
      <c r="H31" s="40" t="s">
        <v>32</v>
      </c>
      <c r="I31" s="280" t="s">
        <v>32</v>
      </c>
      <c r="J31" s="6"/>
      <c r="K31" s="33"/>
      <c r="L31" s="6"/>
      <c r="M31" s="6"/>
      <c r="N31" s="6"/>
      <c r="O31" s="6"/>
      <c r="P31" s="6"/>
      <c r="Q31" s="6"/>
      <c r="R31" s="6"/>
      <c r="S31" s="6"/>
      <c r="T31" s="6"/>
      <c r="U31" s="15"/>
      <c r="V31" s="6"/>
      <c r="W31" s="6"/>
      <c r="X31" s="6"/>
    </row>
    <row r="32" spans="1:24" ht="15.75" customHeight="1" thickBot="1">
      <c r="A32" s="6"/>
      <c r="B32" s="14"/>
      <c r="C32" s="41" t="s">
        <v>21</v>
      </c>
      <c r="D32" s="42">
        <f>SUM(D25:D28)</f>
        <v>438</v>
      </c>
      <c r="E32" s="42">
        <f>SUM(E25:E31)</f>
        <v>11832764184.83091</v>
      </c>
      <c r="F32" s="42">
        <f>SUM(F25:F31)</f>
        <v>7595574153.8309097</v>
      </c>
      <c r="G32" s="42">
        <f>SUM(G25:G31)</f>
        <v>3574579090</v>
      </c>
      <c r="H32" s="42">
        <f ca="1">SUM(H25:H31)</f>
        <v>1152221050</v>
      </c>
      <c r="I32" s="281">
        <f>IF(SUM(F25:F28)&gt;0, (SUM(F25:F28)-SUM(G25:G28))/SUM(F25:F28), 0)</f>
        <v>0.51040343753819606</v>
      </c>
      <c r="J32" s="6"/>
      <c r="K32" s="33"/>
      <c r="L32" s="6"/>
      <c r="M32" s="6"/>
      <c r="N32" s="6"/>
      <c r="O32" s="6"/>
      <c r="P32" s="6"/>
      <c r="Q32" s="6"/>
      <c r="R32" s="6"/>
      <c r="S32" s="6"/>
      <c r="T32" s="6"/>
      <c r="U32" s="15"/>
      <c r="V32" s="6"/>
      <c r="W32" s="6"/>
      <c r="X32" s="6"/>
    </row>
    <row r="33" spans="1:24" ht="7.5" customHeight="1">
      <c r="A33" s="6"/>
      <c r="B33" s="14"/>
      <c r="C33" s="17"/>
      <c r="E33" s="43"/>
      <c r="F33" s="43"/>
      <c r="G33" s="43"/>
      <c r="H33" s="43"/>
      <c r="I33" s="43"/>
      <c r="J33" s="43"/>
      <c r="K33" s="33"/>
      <c r="L33" s="6"/>
      <c r="M33" s="6"/>
      <c r="N33" s="6"/>
      <c r="O33" s="6"/>
      <c r="P33" s="6"/>
      <c r="Q33" s="6"/>
      <c r="R33" s="6"/>
      <c r="S33" s="6"/>
      <c r="T33" s="6"/>
      <c r="U33" s="15"/>
      <c r="V33" s="6"/>
      <c r="W33" s="6"/>
      <c r="X33" s="6"/>
    </row>
    <row r="34" spans="1:24" ht="19.5" customHeight="1">
      <c r="A34" s="6"/>
      <c r="B34" s="14"/>
      <c r="C34" s="26" t="s">
        <v>35</v>
      </c>
      <c r="E34" s="43"/>
      <c r="F34" s="43"/>
      <c r="G34" s="43"/>
      <c r="H34" s="43"/>
      <c r="I34" s="43"/>
      <c r="J34" s="38"/>
      <c r="K34" s="33"/>
      <c r="L34" s="6"/>
      <c r="M34" s="6"/>
      <c r="N34" s="6"/>
      <c r="O34" s="6"/>
      <c r="P34" s="6"/>
      <c r="Q34" s="6"/>
      <c r="R34" s="6"/>
      <c r="S34" s="6"/>
      <c r="T34" s="6"/>
      <c r="U34" s="15"/>
      <c r="V34" s="6"/>
      <c r="W34" s="6"/>
      <c r="X34" s="6"/>
    </row>
    <row r="35" spans="1:24" ht="18" customHeight="1">
      <c r="A35" s="6"/>
      <c r="B35" s="14"/>
      <c r="C35" s="27" t="s">
        <v>26</v>
      </c>
      <c r="D35" s="44" t="s">
        <v>9</v>
      </c>
      <c r="E35" s="44" t="s">
        <v>10</v>
      </c>
      <c r="F35" s="44" t="s">
        <v>11</v>
      </c>
      <c r="G35" s="44" t="s">
        <v>12</v>
      </c>
      <c r="H35" s="44" t="s">
        <v>13</v>
      </c>
      <c r="I35" s="44" t="s">
        <v>14</v>
      </c>
      <c r="J35" s="28" t="s">
        <v>15</v>
      </c>
      <c r="K35" s="45" t="s">
        <v>16</v>
      </c>
      <c r="L35" s="28" t="s">
        <v>17</v>
      </c>
      <c r="M35" s="28" t="s">
        <v>18</v>
      </c>
      <c r="N35" s="28" t="s">
        <v>19</v>
      </c>
      <c r="O35" s="28" t="s">
        <v>20</v>
      </c>
      <c r="P35" s="27" t="s">
        <v>21</v>
      </c>
      <c r="Q35" s="6"/>
      <c r="R35" s="6"/>
      <c r="S35" s="6"/>
      <c r="T35" s="6"/>
      <c r="U35" s="15"/>
      <c r="V35" s="6"/>
      <c r="W35" s="6"/>
      <c r="X35" s="6"/>
    </row>
    <row r="36" spans="1:24" ht="15.75" customHeight="1">
      <c r="A36" s="6"/>
      <c r="B36" s="14"/>
      <c r="C36" s="31" t="s">
        <v>28</v>
      </c>
      <c r="D36" s="32">
        <f>SUMIFS(컨설팅!H:H,컨설팅!L:L,"&gt;="&amp;DATE(2026,1,1),컨설팅!L:L,"&lt;="&amp;EOMONTH(DATE(2026,1,1),0))</f>
        <v>59635000</v>
      </c>
      <c r="E36" s="32">
        <f>SUMIFS(컨설팅!H:H,컨설팅!L:L,"&gt;="&amp;DATE(2026,2,1),컨설팅!L:L,"&lt;="&amp;EOMONTH(DATE(2026,2,1),0))</f>
        <v>9036000</v>
      </c>
      <c r="F36" s="32">
        <f>SUMIFS(컨설팅!H:H,컨설팅!L:L,"&gt;="&amp;DATE(2026,3,1),컨설팅!L:L,"&lt;="&amp;EOMONTH(DATE(2026,3,1),0))</f>
        <v>590715300</v>
      </c>
      <c r="G36" s="32">
        <f>SUMIFS(컨설팅!H:H,컨설팅!L:L,"&gt;="&amp;DATE(2026,4,1),컨설팅!L:L,"&lt;="&amp;EOMONTH(DATE(2026,4,1),0))</f>
        <v>1123702650</v>
      </c>
      <c r="H36" s="32">
        <f>SUMIFS(컨설팅!H:H,컨설팅!L:L,"&gt;="&amp;DATE(2026,5,1),컨설팅!L:L,"&lt;="&amp;EOMONTH(DATE(2026,5,1),0))</f>
        <v>978119940</v>
      </c>
      <c r="I36" s="32">
        <f>SUMIFS(컨설팅!H:H,컨설팅!L:L,"&gt;="&amp;DATE(2026,6,1),컨설팅!L:L,"&lt;="&amp;EOMONTH(DATE(2026,6,1),0))</f>
        <v>136495750</v>
      </c>
      <c r="J36" s="32">
        <f>SUMIFS(컨설팅!H:H,컨설팅!L:L,"&gt;="&amp;DATE(2026,7,1),컨설팅!L:L,"&lt;="&amp;EOMONTH(DATE(2026,7,1),0))</f>
        <v>0</v>
      </c>
      <c r="K36" s="32">
        <f>SUMIFS(컨설팅!H:H,컨설팅!L:L,"&gt;="&amp;DATE(2026,8,1),컨설팅!L:L,"&lt;="&amp;EOMONTH(DATE(2026,8,1),0))</f>
        <v>0</v>
      </c>
      <c r="L36" s="32">
        <f>SUMIFS(컨설팅!H:H,컨설팅!L:L,"&gt;="&amp;DATE(2026,9,1),컨설팅!L:L,"&lt;="&amp;EOMONTH(DATE(2026,9,1),0))</f>
        <v>0</v>
      </c>
      <c r="M36" s="32">
        <f>SUMIFS(컨설팅!H:H,컨설팅!L:L,"&gt;="&amp;DATE(2026,10,1),컨설팅!L:L,"&lt;="&amp;EOMONTH(DATE(2026,10,1),0))</f>
        <v>0</v>
      </c>
      <c r="N36" s="32">
        <f>SUMIFS(컨설팅!H:H,컨설팅!L:L,"&gt;="&amp;DATE(2026,11,1),컨설팅!L:L,"&lt;="&amp;EOMONTH(DATE(2026,11,1),0))</f>
        <v>0</v>
      </c>
      <c r="O36" s="32">
        <f>SUMIFS(컨설팅!H:H,컨설팅!L:L,"&gt;="&amp;DATE(2026,12,1),컨설팅!L:L,"&lt;="&amp;EOMONTH(DATE(2026,12,1),0))</f>
        <v>0</v>
      </c>
      <c r="P36" s="32">
        <f t="shared" ref="P36:P42" si="0">SUM(D36:O36)</f>
        <v>2897704640</v>
      </c>
      <c r="Q36" s="6"/>
      <c r="R36" s="6"/>
      <c r="S36" s="6"/>
      <c r="T36" s="6"/>
      <c r="U36" s="15"/>
      <c r="V36" s="6"/>
      <c r="W36" s="6"/>
      <c r="X36" s="6"/>
    </row>
    <row r="37" spans="1:24" ht="15.75" customHeight="1">
      <c r="A37" s="6"/>
      <c r="B37" s="14"/>
      <c r="C37" s="31" t="s">
        <v>822</v>
      </c>
      <c r="D37" s="32">
        <f>SUMIFS(기술자문료!G:G,기술자문료!K:K,"&gt;="&amp;DATE(2026,1,1),기술자문료!K:K,"&lt;="&amp;EOMONTH(DATE(2026,1,1),0))</f>
        <v>16130000</v>
      </c>
      <c r="E37" s="32">
        <f>SUMIFS(기술자문료!G:G,기술자문료!K:K,"&gt;="&amp;DATE(2026,2,1),기술자문료!K:K,"&lt;="&amp;EOMONTH(DATE(2026,2,1),0))</f>
        <v>18500000</v>
      </c>
      <c r="F37" s="32">
        <f>SUMIFS(기술자문료!G:G,기술자문료!K:K,"&gt;="&amp;DATE(2026,3,1),기술자문료!K:K,"&lt;="&amp;EOMONTH(DATE(2026,3,1),0))</f>
        <v>0</v>
      </c>
      <c r="G37" s="32">
        <f>SUMIFS(기술자문료!G:G,기술자문료!K:K,"&gt;="&amp;DATE(2026,4,1),기술자문료!K:K,"&lt;="&amp;EOMONTH(DATE(2026,4,1),0))</f>
        <v>23372000</v>
      </c>
      <c r="H37" s="32">
        <f>SUMIFS(기술자문료!G:G,기술자문료!K:K,"&gt;="&amp;DATE(2026,5,1),기술자문료!K:K,"&lt;="&amp;EOMONTH(DATE(2026,5,1),0))</f>
        <v>168693500</v>
      </c>
      <c r="I37" s="32">
        <f>SUMIFS(기술자문료!G:G,기술자문료!K:K,"&gt;="&amp;DATE(2026,6,1),기술자문료!K:K,"&lt;="&amp;EOMONTH(DATE(2026,7,1),0))</f>
        <v>0</v>
      </c>
      <c r="J37" s="32">
        <f>SUMIFS(기술자문료!G:G,기술자문료!K:K,"&gt;="&amp;DATE(2026,7,1),기술자문료!K:K,"&lt;="&amp;EOMONTH(DATE(2026,7,1),0))</f>
        <v>0</v>
      </c>
      <c r="K37" s="32">
        <f>SUMIFS(기술자문료!G:G,기술자문료!K:K,"&gt;="&amp;DATE(2026,8,1),기술자문료!K:K,"&lt;="&amp;EOMONTH(DATE(2026,8,1),0))</f>
        <v>0</v>
      </c>
      <c r="L37" s="32">
        <f>SUMIFS(기술자문료!G:G,기술자문료!K:K,"&gt;="&amp;DATE(2026,9,1),기술자문료!K:K,"&lt;="&amp;EOMONTH(DATE(2026,9,1),0))</f>
        <v>0</v>
      </c>
      <c r="M37" s="32">
        <f>SUMIFS(기술자문료!G:G,기술자문료!K:K,"&gt;="&amp;DATE(2026,10,1),기술자문료!K:K,"&lt;="&amp;EOMONTH(DATE(2026,10,1),0))</f>
        <v>0</v>
      </c>
      <c r="N37" s="32">
        <f>SUMIFS(기술자문료!G:G,기술자문료!K:K,"&gt;="&amp;DATE(2026,11,1),기술자문료!K:K,"&lt;="&amp;EOMONTH(DATE(2026,11,1),0))</f>
        <v>0</v>
      </c>
      <c r="O37" s="32">
        <f>SUMIFS(기술자문료!G:G,기술자문료!K:K,"&gt;="&amp;DATE(2026,12,1),기술자문료!K:K,"&lt;="&amp;EOMONTH(DATE(2026,12,1),0))</f>
        <v>0</v>
      </c>
      <c r="P37" s="32">
        <f t="shared" si="0"/>
        <v>226695500</v>
      </c>
      <c r="Q37" s="6"/>
      <c r="R37" s="6"/>
      <c r="S37" s="6"/>
      <c r="T37" s="6"/>
      <c r="U37" s="15"/>
      <c r="V37" s="6"/>
      <c r="W37" s="6"/>
      <c r="X37" s="6"/>
    </row>
    <row r="38" spans="1:24" ht="15.75" customHeight="1">
      <c r="A38" s="6"/>
      <c r="B38" s="14"/>
      <c r="C38" s="376" t="s">
        <v>823</v>
      </c>
      <c r="D38" s="32">
        <f>SUMIFS(특허료!I:I,특허료!K:K,"&gt;="&amp;DATE(2026,1,1),특허료!K:K,"&lt;="&amp;EOMONTH(DATE(2026,1,1),0))</f>
        <v>10389700</v>
      </c>
      <c r="E38" s="32">
        <f>SUMIFS(특허료!I:I,특허료!K:K,"&gt;="&amp;DATE(2026,2,1),특허료!K:K,"&lt;="&amp;EOMONTH(DATE(2026,2,1),0))</f>
        <v>1206700</v>
      </c>
      <c r="F38" s="32">
        <f>SUMIFS(특허료!I:I,특허료!K:K,"&gt;="&amp;DATE(2026,3,1),특허료!K:K,"&lt;="&amp;EOMONTH(DATE(2026,3,1),0))</f>
        <v>5791250</v>
      </c>
      <c r="G38" s="32">
        <f>SUMIFS(특허료!I:I,특허료!K:K,"&gt;="&amp;DATE(2026,4,1),특허료!K:K,"&lt;="&amp;EOMONTH(DATE(2026,4,1),0))</f>
        <v>4160100</v>
      </c>
      <c r="H38" s="32">
        <f>SUMIFS(특허료!I:I,특허료!K:K,"&gt;="&amp;DATE(2026,5,1),특허료!K:K,"&lt;="&amp;EOMONTH(DATE(2026,5,1),0))</f>
        <v>33145956.830909092</v>
      </c>
      <c r="I38" s="32">
        <f>SUMIFS(특허료!I:I,특허료!K:K,"&gt;="&amp;DATE(2026,6,1),특허료!K:K,"&lt;="&amp;EOMONTH(DATE(2026,6,1),0))</f>
        <v>359200</v>
      </c>
      <c r="J38" s="32">
        <f>SUMIFS(특허료!I:I,특허료!K:K,"&gt;="&amp;DATE(2026,7,1),특허료!K:K,"&lt;="&amp;EOMONTH(DATE(2026,7,1),0))</f>
        <v>0</v>
      </c>
      <c r="K38" s="32">
        <f>SUMIFS(특허료!I:I,특허료!K:K,"&gt;="&amp;DATE(2026,8,1),특허료!K:K,"&lt;="&amp;EOMONTH(DATE(2026,8,1),0))</f>
        <v>0</v>
      </c>
      <c r="L38" s="32">
        <f>SUMIFS(특허료!I:I,특허료!K:K,"&gt;="&amp;DATE(2026,9,1),특허료!K:K,"&lt;="&amp;EOMONTH(DATE(2026,9,1),0))</f>
        <v>0</v>
      </c>
      <c r="M38" s="32">
        <f>SUMIFS(특허료!I:I,특허료!K:K,"&gt;="&amp;DATE(2026,10,1),특허료!K:K,"&lt;="&amp;EOMONTH(DATE(2026,10,1),0))</f>
        <v>0</v>
      </c>
      <c r="N38" s="32">
        <f>SUMIFS(특허료!I:I,특허료!K:K,"&gt;="&amp;DATE(2026,11,1),특허료!K:K,"&lt;="&amp;EOMONTH(DATE(2026,11,1),0))</f>
        <v>0</v>
      </c>
      <c r="O38" s="32">
        <f>SUMIFS(특허료!I:I,특허료!K:K,"&gt;="&amp;DATE(2026,12,1),특허료!K:K,"&lt;="&amp;EOMONTH(DATE(2026,12,1),0))</f>
        <v>0</v>
      </c>
      <c r="P38" s="32">
        <f t="shared" si="0"/>
        <v>55052906.830909088</v>
      </c>
      <c r="Q38" s="6"/>
      <c r="R38" s="6"/>
      <c r="S38" s="6"/>
      <c r="T38" s="6"/>
      <c r="U38" s="15"/>
      <c r="V38" s="6"/>
      <c r="W38" s="6"/>
      <c r="X38" s="6"/>
    </row>
    <row r="39" spans="1:24" ht="15.75" customHeight="1" thickBot="1">
      <c r="A39" s="6"/>
      <c r="B39" s="14"/>
      <c r="C39" s="34" t="s">
        <v>30</v>
      </c>
      <c r="D39" s="46">
        <f>SUMIFS(자재판매!P:P,자재판매!A:A,"2026-01*")</f>
        <v>179887520</v>
      </c>
      <c r="E39" s="46">
        <f>SUMIFS(자재판매!P:P,자재판매!A:A,"2026-02*")</f>
        <v>163409173</v>
      </c>
      <c r="F39" s="46">
        <f>SUMIFS(자재판매!P:P,자재판매!A:A,"2026-03*")</f>
        <v>984722100</v>
      </c>
      <c r="G39" s="46">
        <f>SUMIFS(자재판매!P:P,자재판매!A:A,"2026-04*")</f>
        <v>1349605250</v>
      </c>
      <c r="H39" s="46">
        <f>SUMIFS(자재판매!P:P,자재판매!A:A,"2026-05*")</f>
        <v>1369349755</v>
      </c>
      <c r="I39" s="46">
        <f>SUMIFS(자재판매!P:P,자재판매!A:A,"2026-06*")</f>
        <v>74643800</v>
      </c>
      <c r="J39" s="46">
        <f>SUMIFS(자재판매!P:P,자재판매!A:A,"2026-07*")</f>
        <v>0</v>
      </c>
      <c r="K39" s="46">
        <f>SUMIFS(자재판매!P:P,자재판매!A:A,"2026-08*")</f>
        <v>0</v>
      </c>
      <c r="L39" s="46">
        <f>SUMIFS(자재판매!P:P,자재판매!A:A,"2026-09*")</f>
        <v>0</v>
      </c>
      <c r="M39" s="46">
        <f>SUMIFS(자재판매!P:P,자재판매!A:A,"2026-10*")</f>
        <v>0</v>
      </c>
      <c r="N39" s="46">
        <f>SUMIFS(자재판매!P:P,자재판매!A:A,"2026-11*")</f>
        <v>0</v>
      </c>
      <c r="O39" s="46">
        <f>SUMIFS(자재판매!P:P,자재판매!A:A,"2026-12*")</f>
        <v>0</v>
      </c>
      <c r="P39" s="46">
        <f t="shared" si="0"/>
        <v>4121617598</v>
      </c>
      <c r="Q39" s="6"/>
      <c r="R39" s="6"/>
      <c r="S39" s="6"/>
      <c r="T39" s="6"/>
      <c r="U39" s="15"/>
      <c r="V39" s="6"/>
      <c r="W39" s="6"/>
      <c r="X39" s="6"/>
    </row>
    <row r="40" spans="1:24" ht="15.75" customHeight="1">
      <c r="A40" s="6"/>
      <c r="B40" s="14"/>
      <c r="C40" s="48" t="s">
        <v>33</v>
      </c>
      <c r="D40" s="40">
        <v>39599779</v>
      </c>
      <c r="E40" s="40">
        <v>44422582</v>
      </c>
      <c r="F40" s="40">
        <v>48634554</v>
      </c>
      <c r="G40" s="40">
        <v>55236636</v>
      </c>
      <c r="H40" s="40"/>
      <c r="I40" s="40"/>
      <c r="J40" s="40"/>
      <c r="K40" s="40"/>
      <c r="L40" s="40"/>
      <c r="M40" s="40"/>
      <c r="N40" s="40"/>
      <c r="O40" s="40"/>
      <c r="P40" s="40">
        <f>SUM(D40:O40)</f>
        <v>187893551</v>
      </c>
      <c r="Q40" s="6"/>
      <c r="R40" s="6"/>
      <c r="S40" s="6"/>
      <c r="T40" s="6"/>
      <c r="U40" s="15"/>
      <c r="V40" s="6"/>
      <c r="W40" s="6"/>
      <c r="X40" s="6"/>
    </row>
    <row r="41" spans="1:24" ht="15.75" customHeight="1">
      <c r="A41" s="6"/>
      <c r="B41" s="14"/>
      <c r="C41" s="47" t="s">
        <v>31</v>
      </c>
      <c r="D41" s="40">
        <v>3233074</v>
      </c>
      <c r="E41" s="40">
        <v>13117229</v>
      </c>
      <c r="F41" s="40">
        <v>43580016</v>
      </c>
      <c r="G41" s="40">
        <v>46841258</v>
      </c>
      <c r="H41" s="40"/>
      <c r="I41" s="40"/>
      <c r="J41" s="40"/>
      <c r="K41" s="40"/>
      <c r="L41" s="40"/>
      <c r="M41" s="40"/>
      <c r="N41" s="40"/>
      <c r="O41" s="40"/>
      <c r="P41" s="40">
        <f t="shared" si="0"/>
        <v>106771577</v>
      </c>
      <c r="Q41" s="6"/>
      <c r="R41" s="6"/>
      <c r="S41" s="6"/>
      <c r="T41" s="6"/>
      <c r="U41" s="15"/>
      <c r="V41" s="6"/>
      <c r="W41" s="6"/>
      <c r="X41" s="6"/>
    </row>
    <row r="42" spans="1:24" ht="15.75" customHeight="1">
      <c r="A42" s="6"/>
      <c r="B42" s="14"/>
      <c r="C42" s="48" t="s">
        <v>34</v>
      </c>
      <c r="D42" s="40">
        <v>208218</v>
      </c>
      <c r="E42" s="40">
        <v>0</v>
      </c>
      <c r="F42" s="40">
        <v>-458482</v>
      </c>
      <c r="G42" s="40">
        <v>88645</v>
      </c>
      <c r="H42" s="40"/>
      <c r="I42" s="40"/>
      <c r="J42" s="40"/>
      <c r="K42" s="40"/>
      <c r="L42" s="40"/>
      <c r="M42" s="40"/>
      <c r="N42" s="40"/>
      <c r="O42" s="40"/>
      <c r="P42" s="40">
        <f t="shared" si="0"/>
        <v>-161619</v>
      </c>
      <c r="Q42" s="6"/>
      <c r="R42" s="6"/>
      <c r="S42" s="6"/>
      <c r="T42" s="6"/>
      <c r="U42" s="15"/>
      <c r="V42" s="6"/>
      <c r="W42" s="6"/>
      <c r="X42" s="6"/>
    </row>
    <row r="43" spans="1:24" ht="15.75" customHeight="1" thickBot="1">
      <c r="A43" s="6"/>
      <c r="B43" s="14"/>
      <c r="C43" s="41" t="s">
        <v>36</v>
      </c>
      <c r="D43" s="42">
        <f t="shared" ref="D43:P43" si="1">SUM(D36:D42)</f>
        <v>309083291</v>
      </c>
      <c r="E43" s="42">
        <f t="shared" si="1"/>
        <v>249691684</v>
      </c>
      <c r="F43" s="42">
        <f t="shared" si="1"/>
        <v>1672984738</v>
      </c>
      <c r="G43" s="42">
        <f t="shared" si="1"/>
        <v>2603006539</v>
      </c>
      <c r="H43" s="42">
        <f t="shared" si="1"/>
        <v>2549309151.8309088</v>
      </c>
      <c r="I43" s="42">
        <f t="shared" si="1"/>
        <v>211498750</v>
      </c>
      <c r="J43" s="42">
        <f t="shared" si="1"/>
        <v>0</v>
      </c>
      <c r="K43" s="42">
        <f t="shared" si="1"/>
        <v>0</v>
      </c>
      <c r="L43" s="42">
        <f t="shared" si="1"/>
        <v>0</v>
      </c>
      <c r="M43" s="42">
        <f t="shared" si="1"/>
        <v>0</v>
      </c>
      <c r="N43" s="42">
        <f t="shared" si="1"/>
        <v>0</v>
      </c>
      <c r="O43" s="42">
        <f t="shared" si="1"/>
        <v>0</v>
      </c>
      <c r="P43" s="42">
        <f t="shared" si="1"/>
        <v>7595574153.8309097</v>
      </c>
      <c r="Q43" s="6"/>
      <c r="R43" s="6"/>
      <c r="S43" s="6"/>
      <c r="T43" s="6"/>
      <c r="U43" s="15"/>
      <c r="V43" s="6"/>
      <c r="W43" s="6"/>
      <c r="X43" s="6"/>
    </row>
    <row r="44" spans="1:24" ht="13.5" customHeight="1">
      <c r="A44" s="6"/>
      <c r="B44" s="14"/>
      <c r="C44" s="6"/>
      <c r="E44" s="43"/>
      <c r="F44" s="43"/>
      <c r="G44" s="43"/>
      <c r="H44" s="43"/>
      <c r="I44" s="43"/>
      <c r="J44" s="43"/>
      <c r="K44" s="43"/>
      <c r="L44" s="43"/>
      <c r="M44" s="43"/>
      <c r="N44" s="43"/>
      <c r="O44" s="43"/>
      <c r="P44" s="43"/>
      <c r="Q44" s="6"/>
      <c r="R44" s="6"/>
      <c r="S44" s="6"/>
      <c r="T44" s="6"/>
      <c r="U44" s="15"/>
      <c r="V44" s="6"/>
      <c r="W44" s="6"/>
      <c r="X44" s="6"/>
    </row>
    <row r="45" spans="1:24" ht="13.5" customHeight="1">
      <c r="A45" s="6"/>
      <c r="B45" s="14"/>
      <c r="C45" s="6"/>
      <c r="E45" s="43"/>
      <c r="F45" s="43"/>
      <c r="G45" s="43"/>
      <c r="H45" s="43"/>
      <c r="I45" s="43"/>
      <c r="J45" s="43"/>
      <c r="K45" s="43"/>
      <c r="L45" s="43"/>
      <c r="M45" s="43"/>
      <c r="N45" s="43"/>
      <c r="O45" s="43"/>
      <c r="P45" s="43"/>
      <c r="Q45" s="49"/>
      <c r="R45" s="6"/>
      <c r="S45" s="6"/>
      <c r="T45" s="6"/>
      <c r="U45" s="15"/>
      <c r="V45" s="6"/>
      <c r="W45" s="6"/>
      <c r="X45" s="6"/>
    </row>
    <row r="46" spans="1:24" ht="13.5" customHeight="1">
      <c r="A46" s="6"/>
      <c r="B46" s="14"/>
      <c r="C46" s="6"/>
      <c r="E46" s="43"/>
      <c r="F46" s="43"/>
      <c r="G46" s="43"/>
      <c r="H46" s="43"/>
      <c r="I46" s="43"/>
      <c r="J46" s="43"/>
      <c r="K46" s="43"/>
      <c r="L46" s="43"/>
      <c r="M46" s="43"/>
      <c r="N46" s="43"/>
      <c r="O46" s="43"/>
      <c r="P46" s="43"/>
      <c r="Q46" s="49"/>
      <c r="R46" s="6"/>
      <c r="S46" s="6"/>
      <c r="T46" s="6"/>
      <c r="U46" s="15"/>
      <c r="V46" s="6"/>
      <c r="W46" s="6"/>
      <c r="X46" s="6"/>
    </row>
    <row r="47" spans="1:24" ht="13.5" customHeight="1">
      <c r="A47" s="6"/>
      <c r="B47" s="14"/>
      <c r="C47" s="6"/>
      <c r="E47" s="43"/>
      <c r="F47" s="43"/>
      <c r="G47" s="43"/>
      <c r="H47" s="43"/>
      <c r="I47" s="43"/>
      <c r="J47" s="43"/>
      <c r="K47" s="43"/>
      <c r="L47" s="43"/>
      <c r="M47" s="43"/>
      <c r="N47" s="43"/>
      <c r="O47" s="43"/>
      <c r="P47" s="43"/>
      <c r="Q47" s="49"/>
      <c r="R47" s="6"/>
      <c r="S47" s="6"/>
      <c r="T47" s="6"/>
      <c r="U47" s="15"/>
      <c r="V47" s="6"/>
      <c r="W47" s="6"/>
      <c r="X47" s="6"/>
    </row>
    <row r="48" spans="1:24" ht="14.25" customHeight="1" thickBot="1">
      <c r="A48" s="6"/>
      <c r="B48" s="23"/>
      <c r="C48" s="24"/>
      <c r="D48" s="50"/>
      <c r="E48" s="50"/>
      <c r="F48" s="50"/>
      <c r="G48" s="50"/>
      <c r="H48" s="50"/>
      <c r="I48" s="50"/>
      <c r="J48" s="50"/>
      <c r="K48" s="50"/>
      <c r="L48" s="50"/>
      <c r="M48" s="50"/>
      <c r="N48" s="50"/>
      <c r="O48" s="50"/>
      <c r="P48" s="50"/>
      <c r="Q48" s="50"/>
      <c r="R48" s="24"/>
      <c r="S48" s="24"/>
      <c r="T48" s="24"/>
      <c r="U48" s="25"/>
      <c r="V48" s="6"/>
      <c r="W48" s="6"/>
      <c r="X48" s="6"/>
    </row>
    <row r="49" spans="1:24" ht="13.5" customHeight="1">
      <c r="A49" s="6"/>
      <c r="B49" s="6"/>
      <c r="C49" s="6"/>
      <c r="E49" s="6"/>
      <c r="F49" s="6"/>
      <c r="G49" s="6"/>
      <c r="H49" s="6"/>
      <c r="I49" s="6"/>
      <c r="J49" s="6"/>
      <c r="K49" s="6"/>
      <c r="L49" s="6"/>
      <c r="M49" s="6"/>
      <c r="N49" s="6"/>
      <c r="O49" s="6"/>
      <c r="P49" s="6"/>
      <c r="Q49" s="6"/>
      <c r="R49" s="6"/>
      <c r="S49" s="6"/>
      <c r="T49" s="6"/>
      <c r="U49" s="6"/>
      <c r="V49" s="6"/>
      <c r="W49" s="6"/>
      <c r="X49" s="6"/>
    </row>
    <row r="50" spans="1:24" ht="13.5" customHeight="1">
      <c r="A50" s="6"/>
      <c r="B50" s="6"/>
      <c r="C50" s="6"/>
      <c r="E50" s="6"/>
      <c r="F50" s="6"/>
      <c r="G50" s="6"/>
      <c r="H50" s="6"/>
      <c r="I50" s="6"/>
      <c r="J50" s="6"/>
      <c r="K50" s="6"/>
      <c r="L50" s="6"/>
      <c r="M50" s="6"/>
      <c r="N50" s="6"/>
      <c r="O50" s="6"/>
      <c r="P50" s="6"/>
      <c r="Q50" s="6"/>
      <c r="R50" s="6"/>
      <c r="S50" s="6"/>
      <c r="T50" s="6"/>
      <c r="U50" s="6"/>
      <c r="V50" s="6"/>
      <c r="W50" s="6"/>
      <c r="X50" s="6"/>
    </row>
    <row r="51" spans="1:24" ht="13.5" customHeight="1">
      <c r="A51" s="6"/>
      <c r="B51" s="6"/>
      <c r="C51" s="6"/>
      <c r="E51" s="6"/>
      <c r="F51" s="6"/>
      <c r="G51" s="6"/>
      <c r="H51" s="6"/>
      <c r="I51" s="6"/>
      <c r="J51" s="6"/>
      <c r="K51" s="6"/>
      <c r="L51" s="6"/>
      <c r="M51" s="6"/>
      <c r="N51" s="6"/>
      <c r="O51" s="6"/>
      <c r="P51" s="6"/>
      <c r="Q51" s="6"/>
      <c r="R51" s="6"/>
      <c r="S51" s="6"/>
      <c r="T51" s="6"/>
      <c r="U51" s="6"/>
      <c r="V51" s="6"/>
      <c r="W51" s="6"/>
      <c r="X51" s="6"/>
    </row>
    <row r="52" spans="1:24" ht="13.5" customHeight="1">
      <c r="A52" s="6"/>
      <c r="B52" s="6"/>
      <c r="C52" s="6"/>
      <c r="E52" s="6"/>
      <c r="F52" s="6"/>
      <c r="G52" s="6"/>
      <c r="H52" s="6"/>
      <c r="I52" s="6"/>
      <c r="J52" s="6"/>
      <c r="K52" s="6"/>
      <c r="L52" s="6"/>
      <c r="M52" s="6"/>
      <c r="N52" s="6"/>
      <c r="O52" s="6"/>
      <c r="P52" s="6"/>
      <c r="Q52" s="6"/>
      <c r="R52" s="6"/>
      <c r="S52" s="6"/>
      <c r="T52" s="6"/>
      <c r="U52" s="6"/>
      <c r="V52" s="6"/>
      <c r="W52" s="6"/>
      <c r="X52" s="6"/>
    </row>
    <row r="53" spans="1:24" ht="13.5" customHeight="1">
      <c r="A53" s="6"/>
      <c r="B53" s="6"/>
      <c r="C53" s="6"/>
      <c r="E53" s="6"/>
      <c r="F53" s="6"/>
      <c r="G53" s="6"/>
      <c r="H53" s="6"/>
      <c r="I53" s="6"/>
      <c r="J53" s="6"/>
      <c r="K53" s="6"/>
      <c r="L53" s="6"/>
      <c r="M53" s="6"/>
      <c r="N53" s="6"/>
      <c r="O53" s="6"/>
      <c r="P53" s="6"/>
      <c r="Q53" s="6"/>
      <c r="R53" s="6"/>
      <c r="S53" s="6"/>
      <c r="T53" s="6"/>
      <c r="U53" s="6"/>
      <c r="V53" s="6"/>
      <c r="W53" s="6"/>
      <c r="X53" s="6"/>
    </row>
    <row r="54" spans="1:24" ht="13.5" customHeight="1">
      <c r="A54" s="6"/>
      <c r="B54" s="6"/>
      <c r="C54" s="6"/>
      <c r="E54" s="6"/>
      <c r="F54" s="6"/>
      <c r="G54" s="6"/>
      <c r="H54" s="6"/>
      <c r="I54" s="6"/>
      <c r="J54" s="6"/>
      <c r="K54" s="6"/>
      <c r="L54" s="6"/>
      <c r="M54" s="6"/>
      <c r="N54" s="6"/>
      <c r="O54" s="6"/>
      <c r="P54" s="6"/>
      <c r="Q54" s="6"/>
      <c r="R54" s="6"/>
      <c r="S54" s="6"/>
      <c r="T54" s="6"/>
      <c r="U54" s="6"/>
      <c r="V54" s="6"/>
      <c r="W54" s="6"/>
      <c r="X54" s="6"/>
    </row>
    <row r="55" spans="1:24" ht="13.5" customHeight="1">
      <c r="A55" s="6"/>
      <c r="B55" s="6"/>
      <c r="C55" s="6"/>
      <c r="E55" s="6"/>
      <c r="F55" s="6"/>
      <c r="G55" s="6"/>
      <c r="H55" s="6"/>
      <c r="I55" s="6"/>
      <c r="J55" s="6"/>
      <c r="K55" s="6"/>
      <c r="L55" s="6"/>
      <c r="M55" s="6"/>
      <c r="N55" s="6"/>
      <c r="O55" s="6"/>
      <c r="P55" s="6"/>
      <c r="Q55" s="6"/>
      <c r="R55" s="6"/>
      <c r="S55" s="6"/>
      <c r="T55" s="6"/>
      <c r="U55" s="6"/>
      <c r="V55" s="6"/>
      <c r="W55" s="6"/>
      <c r="X55" s="6"/>
    </row>
    <row r="56" spans="1:24" ht="13.5" customHeight="1">
      <c r="A56" s="6"/>
      <c r="B56" s="6"/>
      <c r="C56" s="6"/>
      <c r="E56" s="6"/>
      <c r="F56" s="6"/>
      <c r="G56" s="6"/>
      <c r="H56" s="6"/>
      <c r="I56" s="6"/>
      <c r="J56" s="6"/>
      <c r="K56" s="6"/>
      <c r="L56" s="6"/>
      <c r="M56" s="6"/>
      <c r="N56" s="6"/>
      <c r="O56" s="6"/>
      <c r="P56" s="6"/>
      <c r="Q56" s="6"/>
      <c r="R56" s="6"/>
      <c r="S56" s="6"/>
      <c r="T56" s="6"/>
      <c r="U56" s="6"/>
      <c r="V56" s="6"/>
      <c r="W56" s="6"/>
      <c r="X56" s="6"/>
    </row>
    <row r="57" spans="1:24" ht="13.5" customHeight="1">
      <c r="A57" s="6"/>
      <c r="B57" s="6"/>
      <c r="C57" s="6"/>
      <c r="E57" s="6"/>
      <c r="F57" s="6"/>
      <c r="G57" s="6"/>
      <c r="H57" s="6"/>
      <c r="I57" s="6"/>
      <c r="J57" s="6"/>
      <c r="K57" s="6"/>
      <c r="L57" s="6"/>
      <c r="M57" s="6"/>
      <c r="N57" s="6"/>
      <c r="O57" s="6"/>
      <c r="P57" s="6"/>
      <c r="Q57" s="6"/>
      <c r="R57" s="6"/>
      <c r="S57" s="6"/>
      <c r="T57" s="6"/>
      <c r="U57" s="6"/>
      <c r="V57" s="6"/>
      <c r="W57" s="6"/>
      <c r="X57" s="6"/>
    </row>
    <row r="58" spans="1:24" ht="13.5" customHeight="1">
      <c r="A58" s="6"/>
      <c r="B58" s="6"/>
      <c r="C58" s="6"/>
      <c r="E58" s="6"/>
      <c r="F58" s="6"/>
      <c r="G58" s="6"/>
      <c r="H58" s="6"/>
      <c r="I58" s="6"/>
      <c r="J58" s="6"/>
      <c r="K58" s="6"/>
      <c r="L58" s="6"/>
      <c r="M58" s="6"/>
      <c r="N58" s="6"/>
      <c r="O58" s="6"/>
      <c r="P58" s="6"/>
      <c r="Q58" s="6"/>
      <c r="R58" s="6"/>
      <c r="S58" s="6"/>
      <c r="T58" s="6"/>
      <c r="U58" s="6"/>
      <c r="V58" s="6"/>
      <c r="W58" s="6"/>
      <c r="X58" s="6"/>
    </row>
  </sheetData>
  <mergeCells count="10">
    <mergeCell ref="C6:D6"/>
    <mergeCell ref="E6:F6"/>
    <mergeCell ref="G6:H6"/>
    <mergeCell ref="K6:L6"/>
    <mergeCell ref="M6:N6"/>
    <mergeCell ref="C7:D7"/>
    <mergeCell ref="E7:F7"/>
    <mergeCell ref="G7:H7"/>
    <mergeCell ref="K7:L7"/>
    <mergeCell ref="M7:N7"/>
  </mergeCells>
  <phoneticPr fontId="46" type="noConversion"/>
  <pageMargins left="0.75" right="0.75" top="1" bottom="1"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95"/>
  <sheetViews>
    <sheetView showGridLines="0" zoomScaleNormal="100" workbookViewId="0">
      <pane xSplit="3" ySplit="1" topLeftCell="D41" activePane="bottomRight" state="frozen"/>
      <selection pane="topRight" activeCell="D1" sqref="D1"/>
      <selection pane="bottomLeft" activeCell="A2" sqref="A2"/>
      <selection pane="bottomRight" activeCell="K27" sqref="K26:K27"/>
    </sheetView>
  </sheetViews>
  <sheetFormatPr defaultColWidth="8.5" defaultRowHeight="16.5"/>
  <cols>
    <col min="1" max="1" width="2.375" style="51" customWidth="1"/>
    <col min="2" max="2" width="5.125" style="51" customWidth="1"/>
    <col min="3" max="3" width="13.375" style="3" bestFit="1" customWidth="1"/>
    <col min="4" max="4" width="18.125" style="51" customWidth="1"/>
    <col min="5" max="5" width="31.75" style="51" customWidth="1"/>
    <col min="6" max="6" width="12.125" style="52" customWidth="1"/>
    <col min="7" max="7" width="12.125" style="53" customWidth="1"/>
    <col min="8" max="8" width="13.875" style="54" customWidth="1"/>
    <col min="9" max="9" width="10.625" style="51" customWidth="1"/>
    <col min="10" max="10" width="10.625" style="253" customWidth="1"/>
    <col min="11" max="11" width="12.875" style="476" customWidth="1"/>
    <col min="12" max="12" width="11.375" style="253" customWidth="1"/>
    <col min="13" max="13" width="11.375" style="51" customWidth="1"/>
    <col min="14" max="14" width="11.375" style="55" customWidth="1"/>
    <col min="15" max="15" width="13.375" style="372" customWidth="1"/>
    <col min="16" max="16" width="13.125" style="51" customWidth="1"/>
    <col min="17" max="17" width="16" style="55" customWidth="1"/>
    <col min="18" max="18" width="11.625" style="56" customWidth="1"/>
    <col min="19" max="19" width="9.625" style="56" customWidth="1"/>
    <col min="20" max="22" width="13.375" style="51" customWidth="1"/>
    <col min="23" max="23" width="9.75" style="56" customWidth="1"/>
    <col min="24" max="24" width="15.5" style="51" bestFit="1" customWidth="1"/>
    <col min="25" max="25" width="13.5" style="51" customWidth="1"/>
    <col min="26" max="26" width="13.25" style="51" customWidth="1"/>
    <col min="27" max="27" width="7" style="5" customWidth="1"/>
    <col min="28" max="33" width="11.875" style="51" customWidth="1"/>
    <col min="34" max="34" width="6.875" style="51" customWidth="1"/>
    <col min="35" max="35" width="8.5" style="57"/>
    <col min="36" max="16384" width="8.5" style="58"/>
  </cols>
  <sheetData>
    <row r="1" spans="1:35" s="66" customFormat="1" ht="31.5" customHeight="1">
      <c r="A1" s="5"/>
      <c r="B1" s="59" t="s">
        <v>37</v>
      </c>
      <c r="C1" s="60" t="s">
        <v>26</v>
      </c>
      <c r="D1" s="60" t="s">
        <v>38</v>
      </c>
      <c r="E1" s="60" t="s">
        <v>39</v>
      </c>
      <c r="F1" s="60" t="s">
        <v>40</v>
      </c>
      <c r="G1" s="61" t="s">
        <v>41</v>
      </c>
      <c r="H1" s="62" t="s">
        <v>42</v>
      </c>
      <c r="I1" s="60" t="s">
        <v>43</v>
      </c>
      <c r="J1" s="249" t="s">
        <v>44</v>
      </c>
      <c r="K1" s="60" t="s">
        <v>45</v>
      </c>
      <c r="L1" s="249" t="s">
        <v>46</v>
      </c>
      <c r="M1" s="60" t="s">
        <v>47</v>
      </c>
      <c r="N1" s="63" t="s">
        <v>48</v>
      </c>
      <c r="O1" s="370" t="s">
        <v>49</v>
      </c>
      <c r="P1" s="64" t="s">
        <v>50</v>
      </c>
      <c r="Q1" s="63" t="s">
        <v>51</v>
      </c>
      <c r="R1" s="65" t="s">
        <v>52</v>
      </c>
      <c r="S1" s="65" t="s">
        <v>53</v>
      </c>
      <c r="T1" s="282" t="s">
        <v>460</v>
      </c>
      <c r="U1" s="71" t="s">
        <v>63</v>
      </c>
      <c r="V1" s="71" t="s">
        <v>64</v>
      </c>
      <c r="X1" s="67" t="s">
        <v>54</v>
      </c>
      <c r="Y1" s="68" t="s">
        <v>55</v>
      </c>
      <c r="Z1" s="69" t="s">
        <v>56</v>
      </c>
      <c r="AB1" s="70" t="s">
        <v>57</v>
      </c>
      <c r="AC1" s="71" t="s">
        <v>58</v>
      </c>
      <c r="AD1" s="71" t="s">
        <v>59</v>
      </c>
      <c r="AE1" s="71" t="s">
        <v>60</v>
      </c>
      <c r="AF1" s="71" t="s">
        <v>61</v>
      </c>
      <c r="AG1" s="72" t="s">
        <v>62</v>
      </c>
    </row>
    <row r="2" spans="1:35" s="86" customFormat="1" ht="13.5" customHeight="1">
      <c r="A2" s="73"/>
      <c r="B2" s="74">
        <v>1</v>
      </c>
      <c r="C2" s="453" t="s">
        <v>66</v>
      </c>
      <c r="D2" s="450" t="s">
        <v>2129</v>
      </c>
      <c r="E2" s="504" t="s">
        <v>560</v>
      </c>
      <c r="F2" s="77">
        <v>425790000</v>
      </c>
      <c r="G2" s="77">
        <v>311676000</v>
      </c>
      <c r="H2" s="77">
        <v>91762800</v>
      </c>
      <c r="I2" s="78" t="s">
        <v>535</v>
      </c>
      <c r="J2" s="250"/>
      <c r="K2" s="474">
        <v>45950</v>
      </c>
      <c r="L2" s="250">
        <v>45947</v>
      </c>
      <c r="M2" s="79"/>
      <c r="N2" s="250">
        <v>46092</v>
      </c>
      <c r="O2" s="353">
        <f>H2*1.1</f>
        <v>100939080.00000001</v>
      </c>
      <c r="P2" s="80">
        <f t="shared" ref="P2:P13" si="0">IF(L2="", 0, (H2*1.1)-O2)</f>
        <v>0</v>
      </c>
      <c r="Q2" s="462">
        <f>Q4</f>
        <v>46094</v>
      </c>
      <c r="R2" s="81"/>
      <c r="S2" s="81" t="str">
        <f t="shared" ref="S2:S7" ca="1" si="1">IF(OR(L2="",P2=0),"",IF(I2="선금",IF(TODAY()-L2&gt;=91,"장기미수",IF(TODAY()-L2&gt;=21,"관리","")),IF(TODAY()-L2&gt;=91,"장기미수",IF(TODAY()-L2&gt;=31,"관리",""))))</f>
        <v/>
      </c>
      <c r="T2" s="82"/>
      <c r="U2" s="83">
        <f>G2-T2-AG2</f>
        <v>258800140</v>
      </c>
      <c r="V2" s="85">
        <f>U2/F2</f>
        <v>0.60781169120928158</v>
      </c>
      <c r="W2" s="66"/>
      <c r="X2" s="82" t="s">
        <v>546</v>
      </c>
      <c r="Y2" s="83">
        <v>13000</v>
      </c>
      <c r="Z2" s="84">
        <v>59605000</v>
      </c>
      <c r="AA2" s="66"/>
      <c r="AB2" s="82">
        <v>27050000</v>
      </c>
      <c r="AC2" s="83"/>
      <c r="AD2" s="83">
        <v>2600000</v>
      </c>
      <c r="AE2" s="83">
        <v>3600000</v>
      </c>
      <c r="AF2" s="83">
        <v>19625860</v>
      </c>
      <c r="AG2" s="84">
        <f>SUM(AB2:AF2)</f>
        <v>52875860</v>
      </c>
      <c r="AH2" s="66"/>
      <c r="AI2" s="66"/>
    </row>
    <row r="3" spans="1:35" s="98" customFormat="1" ht="13.5" customHeight="1">
      <c r="A3" s="5"/>
      <c r="B3" s="87">
        <v>1</v>
      </c>
      <c r="C3" s="513" t="str">
        <f t="shared" ref="C3:E4" si="2">C2</f>
        <v>컨설팅현장</v>
      </c>
      <c r="D3" s="75" t="str">
        <f t="shared" si="2"/>
        <v>(주)부영씨엔씨</v>
      </c>
      <c r="E3" s="120" t="str">
        <f t="shared" si="2"/>
        <v>탑마을타워빌</v>
      </c>
      <c r="F3" s="88"/>
      <c r="G3" s="88"/>
      <c r="H3" s="77">
        <v>91762800</v>
      </c>
      <c r="I3" s="89" t="s">
        <v>536</v>
      </c>
      <c r="J3" s="251"/>
      <c r="K3" s="462">
        <f>K2</f>
        <v>45950</v>
      </c>
      <c r="L3" s="252">
        <v>45976</v>
      </c>
      <c r="M3" s="91"/>
      <c r="N3" s="250" t="s">
        <v>2218</v>
      </c>
      <c r="O3" s="371">
        <f>H3*1.1</f>
        <v>100939080.00000001</v>
      </c>
      <c r="P3" s="80">
        <f t="shared" si="0"/>
        <v>0</v>
      </c>
      <c r="Q3" s="462">
        <f>Q4</f>
        <v>46094</v>
      </c>
      <c r="R3" s="81"/>
      <c r="S3" s="81" t="str">
        <f t="shared" ca="1" si="1"/>
        <v/>
      </c>
      <c r="T3" s="97"/>
      <c r="U3" s="95"/>
      <c r="V3" s="95"/>
      <c r="W3" s="66"/>
      <c r="X3" s="94" t="s">
        <v>547</v>
      </c>
      <c r="Y3" s="95">
        <v>13000</v>
      </c>
      <c r="Z3" s="96">
        <v>54509000</v>
      </c>
      <c r="AA3" s="66"/>
      <c r="AB3" s="97"/>
      <c r="AC3" s="95"/>
      <c r="AD3" s="95"/>
      <c r="AE3" s="95"/>
      <c r="AF3" s="95"/>
      <c r="AG3" s="96"/>
      <c r="AH3" s="66"/>
      <c r="AI3" s="66"/>
    </row>
    <row r="4" spans="1:35" s="98" customFormat="1" ht="13.5" customHeight="1">
      <c r="A4" s="5"/>
      <c r="B4" s="87">
        <v>1</v>
      </c>
      <c r="C4" s="513" t="str">
        <f t="shared" si="2"/>
        <v>컨설팅현장</v>
      </c>
      <c r="D4" s="75" t="str">
        <f t="shared" si="2"/>
        <v>(주)부영씨엔씨</v>
      </c>
      <c r="E4" s="505" t="str">
        <f t="shared" si="2"/>
        <v>탑마을타워빌</v>
      </c>
      <c r="F4" s="88"/>
      <c r="G4" s="88">
        <f>-AG2</f>
        <v>-52875860</v>
      </c>
      <c r="H4" s="77">
        <f>(G2-H2-H3)-AG2</f>
        <v>75274540</v>
      </c>
      <c r="I4" s="89" t="s">
        <v>537</v>
      </c>
      <c r="J4" s="251">
        <v>45992</v>
      </c>
      <c r="K4" s="462">
        <f>K3</f>
        <v>45950</v>
      </c>
      <c r="L4" s="252">
        <v>46171</v>
      </c>
      <c r="M4" s="91"/>
      <c r="N4" s="250"/>
      <c r="O4" s="371"/>
      <c r="P4" s="80">
        <f t="shared" si="0"/>
        <v>82801994</v>
      </c>
      <c r="Q4" s="463">
        <v>46094</v>
      </c>
      <c r="R4" s="81"/>
      <c r="S4" s="81" t="str">
        <f t="shared" ca="1" si="1"/>
        <v/>
      </c>
      <c r="T4" s="97"/>
      <c r="U4" s="95"/>
      <c r="V4" s="95"/>
      <c r="W4" s="66"/>
      <c r="X4" s="94"/>
      <c r="Y4" s="95"/>
      <c r="Z4" s="96"/>
      <c r="AA4" s="66"/>
      <c r="AB4" s="97"/>
      <c r="AC4" s="95"/>
      <c r="AD4" s="95"/>
      <c r="AE4" s="95"/>
      <c r="AF4" s="95"/>
      <c r="AG4" s="96"/>
      <c r="AH4" s="66"/>
      <c r="AI4" s="66"/>
    </row>
    <row r="5" spans="1:35" s="86" customFormat="1" ht="13.5" customHeight="1">
      <c r="A5" s="73"/>
      <c r="B5" s="74">
        <f>IF(I4="잔금", B4+1, B4)</f>
        <v>2</v>
      </c>
      <c r="C5" s="453" t="s">
        <v>66</v>
      </c>
      <c r="D5" s="450" t="s">
        <v>2114</v>
      </c>
      <c r="E5" s="504" t="s">
        <v>557</v>
      </c>
      <c r="F5" s="77">
        <v>430000000</v>
      </c>
      <c r="G5" s="77">
        <v>292310000</v>
      </c>
      <c r="H5" s="77">
        <v>52342000</v>
      </c>
      <c r="I5" s="78" t="s">
        <v>535</v>
      </c>
      <c r="J5" s="250"/>
      <c r="K5" s="474">
        <v>45912</v>
      </c>
      <c r="L5" s="250">
        <v>45932</v>
      </c>
      <c r="M5" s="79"/>
      <c r="N5" s="250">
        <v>45945</v>
      </c>
      <c r="O5" s="353"/>
      <c r="P5" s="80"/>
      <c r="Q5" s="462">
        <f>Q7</f>
        <v>46010</v>
      </c>
      <c r="R5" s="353"/>
      <c r="S5" s="81" t="str">
        <f t="shared" ca="1" si="1"/>
        <v/>
      </c>
      <c r="T5" s="82"/>
      <c r="U5" s="83">
        <f>G5-180715300-AG5</f>
        <v>35945700</v>
      </c>
      <c r="V5" s="85">
        <f>U5/F5</f>
        <v>8.3594651162790704E-2</v>
      </c>
      <c r="W5" s="66"/>
      <c r="X5" s="82" t="s">
        <v>558</v>
      </c>
      <c r="Y5" s="83">
        <v>12000</v>
      </c>
      <c r="Z5" s="84">
        <v>141660000</v>
      </c>
      <c r="AA5" s="66"/>
      <c r="AB5" s="82">
        <v>11260000</v>
      </c>
      <c r="AC5" s="83"/>
      <c r="AD5" s="83"/>
      <c r="AE5" s="83">
        <v>350000</v>
      </c>
      <c r="AF5" s="83">
        <v>64039000</v>
      </c>
      <c r="AG5" s="84">
        <f>SUM(AB5:AF5)</f>
        <v>75649000</v>
      </c>
      <c r="AH5" s="66"/>
      <c r="AI5" s="66"/>
    </row>
    <row r="6" spans="1:35" s="98" customFormat="1" ht="13.5" customHeight="1">
      <c r="A6" s="5"/>
      <c r="B6" s="74">
        <f t="shared" ref="B6:B46" si="3">IF(I5="잔금", B5+1, B5)</f>
        <v>2</v>
      </c>
      <c r="C6" s="513" t="str">
        <f t="shared" ref="C6" si="4">C5</f>
        <v>컨설팅현장</v>
      </c>
      <c r="D6" s="75" t="str">
        <f t="shared" ref="D6" si="5">D5</f>
        <v>(주)석민이앤씨</v>
      </c>
      <c r="E6" s="506" t="str">
        <f t="shared" ref="E6" si="6">E5</f>
        <v>아시아선수촌</v>
      </c>
      <c r="F6" s="88"/>
      <c r="G6" s="88"/>
      <c r="H6" s="77">
        <v>104684000</v>
      </c>
      <c r="I6" s="89" t="s">
        <v>536</v>
      </c>
      <c r="J6" s="251"/>
      <c r="K6" s="462">
        <f>K5</f>
        <v>45912</v>
      </c>
      <c r="L6" s="252">
        <v>45975</v>
      </c>
      <c r="M6" s="91"/>
      <c r="N6" s="250">
        <v>46006</v>
      </c>
      <c r="O6" s="371"/>
      <c r="P6" s="80"/>
      <c r="Q6" s="462">
        <f>Q7</f>
        <v>46010</v>
      </c>
      <c r="R6" s="81"/>
      <c r="S6" s="81" t="str">
        <f t="shared" ca="1" si="1"/>
        <v/>
      </c>
      <c r="T6" s="97"/>
      <c r="U6" s="95"/>
      <c r="V6" s="95"/>
      <c r="W6" s="66"/>
      <c r="X6" s="94" t="s">
        <v>559</v>
      </c>
      <c r="Y6" s="95"/>
      <c r="Z6" s="96">
        <v>26630000</v>
      </c>
      <c r="AA6" s="66"/>
      <c r="AB6" s="97"/>
      <c r="AC6" s="95"/>
      <c r="AD6" s="95"/>
      <c r="AE6" s="95"/>
      <c r="AF6" s="95"/>
      <c r="AG6" s="96"/>
      <c r="AH6" s="66"/>
      <c r="AI6" s="66"/>
    </row>
    <row r="7" spans="1:35" s="98" customFormat="1" ht="13.5" customHeight="1">
      <c r="A7" s="5"/>
      <c r="B7" s="74">
        <f t="shared" si="3"/>
        <v>2</v>
      </c>
      <c r="C7" s="513" t="str">
        <f t="shared" ref="C7" si="7">C6</f>
        <v>컨설팅현장</v>
      </c>
      <c r="D7" s="75" t="str">
        <f t="shared" ref="D7" si="8">D6</f>
        <v>(주)석민이앤씨</v>
      </c>
      <c r="E7" s="506" t="str">
        <f t="shared" ref="E7" si="9">E6</f>
        <v>아시아선수촌</v>
      </c>
      <c r="F7" s="88"/>
      <c r="G7" s="88">
        <f>-AG5</f>
        <v>-75649000</v>
      </c>
      <c r="H7" s="354">
        <f>G5-H5-H6+G7</f>
        <v>59635000</v>
      </c>
      <c r="I7" s="89" t="s">
        <v>537</v>
      </c>
      <c r="J7" s="251">
        <v>45992</v>
      </c>
      <c r="K7" s="462">
        <f>K6</f>
        <v>45912</v>
      </c>
      <c r="L7" s="252">
        <v>46038</v>
      </c>
      <c r="M7" s="91">
        <f>IF(L7&lt;&gt;"", L7+30, "")</f>
        <v>46068</v>
      </c>
      <c r="N7" s="250">
        <v>46066</v>
      </c>
      <c r="O7" s="371">
        <f>H7*1.1</f>
        <v>65598500.000000007</v>
      </c>
      <c r="P7" s="80">
        <f t="shared" si="0"/>
        <v>0</v>
      </c>
      <c r="Q7" s="463">
        <v>46010</v>
      </c>
      <c r="R7" s="81">
        <f>N7-Q7</f>
        <v>56</v>
      </c>
      <c r="S7" s="81" t="str">
        <f t="shared" ca="1" si="1"/>
        <v/>
      </c>
      <c r="T7" s="97"/>
      <c r="U7" s="95"/>
      <c r="V7" s="95"/>
      <c r="W7" s="66"/>
      <c r="X7" s="94"/>
      <c r="Y7" s="95"/>
      <c r="Z7" s="96"/>
      <c r="AA7" s="66"/>
      <c r="AB7" s="97"/>
      <c r="AC7" s="95"/>
      <c r="AD7" s="95"/>
      <c r="AE7" s="95"/>
      <c r="AF7" s="95"/>
      <c r="AG7" s="96"/>
      <c r="AH7" s="66"/>
      <c r="AI7" s="66"/>
    </row>
    <row r="8" spans="1:35" s="86" customFormat="1" ht="13.5" customHeight="1">
      <c r="A8" s="73"/>
      <c r="B8" s="74">
        <f t="shared" si="3"/>
        <v>3</v>
      </c>
      <c r="C8" s="453" t="s">
        <v>66</v>
      </c>
      <c r="D8" s="450" t="s">
        <v>2130</v>
      </c>
      <c r="E8" s="504" t="s">
        <v>561</v>
      </c>
      <c r="F8" s="77">
        <v>450000000</v>
      </c>
      <c r="G8" s="77">
        <f>F8-Z8</f>
        <v>272578000</v>
      </c>
      <c r="H8" s="77">
        <v>54515600</v>
      </c>
      <c r="I8" s="78" t="s">
        <v>535</v>
      </c>
      <c r="J8" s="250"/>
      <c r="K8" s="474">
        <v>45961</v>
      </c>
      <c r="L8" s="250">
        <v>45964</v>
      </c>
      <c r="M8" s="79"/>
      <c r="N8" s="250">
        <v>45970</v>
      </c>
      <c r="O8" s="353">
        <f>54515600*1.1</f>
        <v>59967160.000000007</v>
      </c>
      <c r="P8" s="80">
        <f t="shared" si="0"/>
        <v>0</v>
      </c>
      <c r="Q8" s="462">
        <f>Q10</f>
        <v>46133</v>
      </c>
      <c r="R8" s="81"/>
      <c r="S8" s="81" t="str">
        <f t="shared" ref="S8:S71" ca="1" si="10">IF(OR(L8="",P8=0),"",IF(I8="선금",IF(TODAY()-L8&gt;=91,"장기미수",IF(TODAY()-L8&gt;=21,"관리","")),IF(TODAY()-L8&gt;=91,"장기미수",IF(TODAY()-L8&gt;=31,"관리",""))))</f>
        <v/>
      </c>
      <c r="T8" s="97">
        <v>158539700</v>
      </c>
      <c r="U8" s="83">
        <f>G8-T8-AG8</f>
        <v>92712300</v>
      </c>
      <c r="V8" s="85">
        <f>U8/F8</f>
        <v>0.20602733333333334</v>
      </c>
      <c r="W8" s="66"/>
      <c r="X8" s="82" t="s">
        <v>548</v>
      </c>
      <c r="Y8" s="83">
        <v>19000</v>
      </c>
      <c r="Z8" s="84">
        <v>177422000</v>
      </c>
      <c r="AA8" s="66"/>
      <c r="AB8" s="82">
        <v>18676000</v>
      </c>
      <c r="AC8" s="83"/>
      <c r="AD8" s="83"/>
      <c r="AE8" s="83">
        <v>2650000</v>
      </c>
      <c r="AF8" s="83"/>
      <c r="AG8" s="84">
        <f>SUM(AB8:AF8)</f>
        <v>21326000</v>
      </c>
      <c r="AH8" s="66"/>
      <c r="AI8" s="66"/>
    </row>
    <row r="9" spans="1:35" s="98" customFormat="1" ht="13.5" customHeight="1">
      <c r="A9" s="5"/>
      <c r="B9" s="74">
        <f t="shared" si="3"/>
        <v>3</v>
      </c>
      <c r="C9" s="513" t="str">
        <f t="shared" ref="C9:E10" si="11">C8</f>
        <v>컨설팅현장</v>
      </c>
      <c r="D9" s="75" t="str">
        <f t="shared" si="11"/>
        <v>(주)이음건설</v>
      </c>
      <c r="E9" s="506" t="str">
        <f t="shared" si="11"/>
        <v>행원마을동아솔레시티</v>
      </c>
      <c r="F9" s="88"/>
      <c r="G9" s="88"/>
      <c r="H9" s="77">
        <v>109031200</v>
      </c>
      <c r="I9" s="89" t="s">
        <v>536</v>
      </c>
      <c r="J9" s="251">
        <v>45992</v>
      </c>
      <c r="K9" s="462">
        <f>K8</f>
        <v>45961</v>
      </c>
      <c r="L9" s="252">
        <v>46111</v>
      </c>
      <c r="M9" s="91">
        <f t="shared" ref="M9:M10" si="12">IF(L9&lt;&gt;"", L9+30, "")</f>
        <v>46141</v>
      </c>
      <c r="N9" s="250">
        <v>46127</v>
      </c>
      <c r="O9" s="371">
        <f>H9*1.1</f>
        <v>119934320.00000001</v>
      </c>
      <c r="P9" s="80">
        <f t="shared" si="0"/>
        <v>0</v>
      </c>
      <c r="Q9" s="462">
        <f>Q10</f>
        <v>46133</v>
      </c>
      <c r="R9" s="81"/>
      <c r="S9" s="81" t="str">
        <f t="shared" ca="1" si="10"/>
        <v/>
      </c>
      <c r="T9" s="97"/>
      <c r="U9" s="95"/>
      <c r="V9" s="95"/>
      <c r="W9" s="66"/>
      <c r="X9" s="94"/>
      <c r="Y9" s="95"/>
      <c r="Z9" s="96"/>
      <c r="AA9" s="66"/>
      <c r="AB9" s="97"/>
      <c r="AC9" s="95"/>
      <c r="AD9" s="95"/>
      <c r="AE9" s="95"/>
      <c r="AF9" s="95"/>
      <c r="AG9" s="96"/>
      <c r="AH9" s="66"/>
      <c r="AI9" s="66"/>
    </row>
    <row r="10" spans="1:35" s="98" customFormat="1" ht="13.5" customHeight="1">
      <c r="A10" s="5"/>
      <c r="B10" s="74">
        <f t="shared" si="3"/>
        <v>3</v>
      </c>
      <c r="C10" s="513" t="str">
        <f t="shared" si="11"/>
        <v>컨설팅현장</v>
      </c>
      <c r="D10" s="75" t="str">
        <f t="shared" si="11"/>
        <v>(주)이음건설</v>
      </c>
      <c r="E10" s="506" t="str">
        <f t="shared" si="11"/>
        <v>행원마을동아솔레시티</v>
      </c>
      <c r="F10" s="88"/>
      <c r="G10" s="88">
        <f>-AG8</f>
        <v>-21326000</v>
      </c>
      <c r="H10" s="77">
        <f>G8-H8-H9-AG8</f>
        <v>87705200</v>
      </c>
      <c r="I10" s="89" t="s">
        <v>537</v>
      </c>
      <c r="J10" s="251">
        <v>45992</v>
      </c>
      <c r="K10" s="462">
        <f>K9</f>
        <v>45961</v>
      </c>
      <c r="L10" s="252">
        <v>46141</v>
      </c>
      <c r="M10" s="91">
        <f t="shared" si="12"/>
        <v>46171</v>
      </c>
      <c r="N10" s="100"/>
      <c r="O10" s="371"/>
      <c r="P10" s="80">
        <f t="shared" si="0"/>
        <v>96475720.000000015</v>
      </c>
      <c r="Q10" s="463">
        <v>46133</v>
      </c>
      <c r="R10" s="81"/>
      <c r="S10" s="81" t="str">
        <f t="shared" ca="1" si="10"/>
        <v>관리</v>
      </c>
      <c r="T10" s="97"/>
      <c r="U10" s="95"/>
      <c r="V10" s="95"/>
      <c r="W10" s="66"/>
      <c r="X10" s="94"/>
      <c r="Y10" s="95"/>
      <c r="Z10" s="96"/>
      <c r="AA10" s="66"/>
      <c r="AB10" s="97"/>
      <c r="AC10" s="95"/>
      <c r="AD10" s="95"/>
      <c r="AE10" s="95"/>
      <c r="AF10" s="95"/>
      <c r="AG10" s="96"/>
      <c r="AH10" s="66"/>
      <c r="AI10" s="66"/>
    </row>
    <row r="11" spans="1:35" s="86" customFormat="1" ht="13.5" customHeight="1">
      <c r="A11" s="73"/>
      <c r="B11" s="74">
        <f t="shared" si="3"/>
        <v>4</v>
      </c>
      <c r="C11" s="453" t="s">
        <v>66</v>
      </c>
      <c r="D11" s="450" t="s">
        <v>2114</v>
      </c>
      <c r="E11" s="504" t="s">
        <v>540</v>
      </c>
      <c r="F11" s="77">
        <v>114700000</v>
      </c>
      <c r="G11" s="77">
        <v>59588500</v>
      </c>
      <c r="H11" s="77">
        <v>11917700</v>
      </c>
      <c r="I11" s="78" t="s">
        <v>535</v>
      </c>
      <c r="J11" s="250"/>
      <c r="K11" s="474">
        <v>45981</v>
      </c>
      <c r="L11" s="250">
        <v>45979</v>
      </c>
      <c r="M11" s="79"/>
      <c r="N11" s="250">
        <v>45989</v>
      </c>
      <c r="O11" s="353">
        <f>H11*1.1</f>
        <v>13109470.000000002</v>
      </c>
      <c r="P11" s="80">
        <f t="shared" si="0"/>
        <v>0</v>
      </c>
      <c r="Q11" s="462">
        <f>Q13</f>
        <v>46113</v>
      </c>
      <c r="R11" s="81"/>
      <c r="S11" s="81" t="str">
        <f t="shared" ca="1" si="10"/>
        <v/>
      </c>
      <c r="T11" s="97">
        <v>60795200</v>
      </c>
      <c r="U11" s="83">
        <f>G11-T11-AG11</f>
        <v>-4804200</v>
      </c>
      <c r="V11" s="85">
        <f>U11/F11</f>
        <v>-4.1884917175239754E-2</v>
      </c>
      <c r="W11" s="66"/>
      <c r="X11" s="82" t="s">
        <v>546</v>
      </c>
      <c r="Y11" s="83">
        <v>18500</v>
      </c>
      <c r="Z11" s="84">
        <v>55111500</v>
      </c>
      <c r="AA11" s="66"/>
      <c r="AB11" s="82">
        <v>2147500</v>
      </c>
      <c r="AC11" s="83"/>
      <c r="AD11" s="83">
        <v>1450000</v>
      </c>
      <c r="AE11" s="83"/>
      <c r="AF11" s="83"/>
      <c r="AG11" s="84">
        <f>SUM(AB11:AF11)</f>
        <v>3597500</v>
      </c>
      <c r="AH11" s="66"/>
      <c r="AI11" s="66"/>
    </row>
    <row r="12" spans="1:35" s="98" customFormat="1" ht="13.5" customHeight="1">
      <c r="A12" s="5"/>
      <c r="B12" s="74">
        <f t="shared" si="3"/>
        <v>4</v>
      </c>
      <c r="C12" s="513" t="str">
        <f t="shared" ref="C12:E13" si="13">C11</f>
        <v>컨설팅현장</v>
      </c>
      <c r="D12" s="75" t="str">
        <f t="shared" si="13"/>
        <v>(주)석민이앤씨</v>
      </c>
      <c r="E12" s="506" t="str">
        <f t="shared" si="13"/>
        <v>강서힐스테이트</v>
      </c>
      <c r="F12" s="88"/>
      <c r="G12" s="88"/>
      <c r="H12" s="77">
        <f>G11*40%</f>
        <v>23835400</v>
      </c>
      <c r="I12" s="89" t="s">
        <v>536</v>
      </c>
      <c r="J12" s="251">
        <v>45992</v>
      </c>
      <c r="K12" s="462">
        <f>K11</f>
        <v>45981</v>
      </c>
      <c r="L12" s="250">
        <v>46104</v>
      </c>
      <c r="M12" s="91">
        <f t="shared" ref="M12" si="14">IF(L12&lt;&gt;"", L12+30, "")</f>
        <v>46134</v>
      </c>
      <c r="N12" s="250">
        <v>46127</v>
      </c>
      <c r="O12" s="353">
        <f>H12*1.1</f>
        <v>26218940.000000004</v>
      </c>
      <c r="P12" s="80">
        <f t="shared" si="0"/>
        <v>0</v>
      </c>
      <c r="Q12" s="462">
        <f>Q13</f>
        <v>46113</v>
      </c>
      <c r="R12" s="81"/>
      <c r="S12" s="81" t="str">
        <f t="shared" ca="1" si="10"/>
        <v/>
      </c>
      <c r="T12" s="97"/>
      <c r="U12" s="95"/>
      <c r="V12" s="95"/>
      <c r="W12" s="66"/>
      <c r="X12" s="94"/>
      <c r="Y12" s="95"/>
      <c r="Z12" s="96"/>
      <c r="AA12" s="66"/>
      <c r="AB12" s="97"/>
      <c r="AC12" s="95"/>
      <c r="AD12" s="95"/>
      <c r="AE12" s="95"/>
      <c r="AF12" s="95"/>
      <c r="AG12" s="96"/>
      <c r="AH12" s="66"/>
      <c r="AI12" s="66"/>
    </row>
    <row r="13" spans="1:35" s="98" customFormat="1" ht="13.5" customHeight="1">
      <c r="A13" s="5"/>
      <c r="B13" s="74">
        <f t="shared" si="3"/>
        <v>4</v>
      </c>
      <c r="C13" s="513" t="str">
        <f t="shared" si="13"/>
        <v>컨설팅현장</v>
      </c>
      <c r="D13" s="75" t="str">
        <f t="shared" si="13"/>
        <v>(주)석민이앤씨</v>
      </c>
      <c r="E13" s="506" t="str">
        <f t="shared" si="13"/>
        <v>강서힐스테이트</v>
      </c>
      <c r="F13" s="88"/>
      <c r="G13" s="88">
        <f>-AG11</f>
        <v>-3597500</v>
      </c>
      <c r="H13" s="77">
        <f>(G11*40%)-AG11</f>
        <v>20237900</v>
      </c>
      <c r="I13" s="89" t="s">
        <v>537</v>
      </c>
      <c r="J13" s="251">
        <v>45992</v>
      </c>
      <c r="K13" s="462">
        <f>K12</f>
        <v>45981</v>
      </c>
      <c r="L13" s="250">
        <v>46120</v>
      </c>
      <c r="M13" s="91">
        <f>IF(L13&lt;&gt;"", L13+30, "")</f>
        <v>46150</v>
      </c>
      <c r="N13" s="250">
        <v>46171</v>
      </c>
      <c r="O13" s="353">
        <f>H13*1.1</f>
        <v>22261690</v>
      </c>
      <c r="P13" s="80">
        <f t="shared" si="0"/>
        <v>0</v>
      </c>
      <c r="Q13" s="463">
        <v>46113</v>
      </c>
      <c r="R13" s="81">
        <f>N13-Q13</f>
        <v>58</v>
      </c>
      <c r="S13" s="81" t="str">
        <f t="shared" ca="1" si="10"/>
        <v/>
      </c>
      <c r="T13" s="97"/>
      <c r="U13" s="95"/>
      <c r="V13" s="95"/>
      <c r="W13" s="66"/>
      <c r="X13" s="94"/>
      <c r="Y13" s="95"/>
      <c r="Z13" s="96"/>
      <c r="AA13" s="66"/>
      <c r="AB13" s="97"/>
      <c r="AC13" s="95"/>
      <c r="AD13" s="95"/>
      <c r="AE13" s="95"/>
      <c r="AF13" s="95"/>
      <c r="AG13" s="96"/>
      <c r="AH13" s="66"/>
      <c r="AI13" s="66"/>
    </row>
    <row r="14" spans="1:35" s="86" customFormat="1" ht="13.5" customHeight="1">
      <c r="A14" s="73"/>
      <c r="B14" s="74">
        <f t="shared" si="3"/>
        <v>5</v>
      </c>
      <c r="C14" s="453" t="s">
        <v>66</v>
      </c>
      <c r="D14" s="449" t="s">
        <v>1509</v>
      </c>
      <c r="E14" s="504" t="s">
        <v>543</v>
      </c>
      <c r="F14" s="77">
        <v>46890000</v>
      </c>
      <c r="G14" s="77">
        <f>F14-Z14</f>
        <v>41640000</v>
      </c>
      <c r="H14" s="77">
        <v>14756000</v>
      </c>
      <c r="I14" s="78" t="s">
        <v>535</v>
      </c>
      <c r="J14" s="250"/>
      <c r="K14" s="474">
        <v>45987</v>
      </c>
      <c r="L14" s="250">
        <v>45988</v>
      </c>
      <c r="M14" s="79"/>
      <c r="N14" s="250">
        <v>45989</v>
      </c>
      <c r="O14" s="353">
        <f>H14*1.1</f>
        <v>16231600.000000002</v>
      </c>
      <c r="P14" s="80">
        <f t="shared" ref="P14:P16" si="15">IF(L14="", 0, (H14*1.1)-O14)</f>
        <v>0</v>
      </c>
      <c r="Q14" s="462">
        <f>Q16</f>
        <v>46095</v>
      </c>
      <c r="R14" s="81"/>
      <c r="S14" s="81" t="str">
        <f t="shared" ca="1" si="10"/>
        <v/>
      </c>
      <c r="T14" s="82">
        <v>6151500</v>
      </c>
      <c r="U14" s="83">
        <f>G14-T14-AG14</f>
        <v>7688500</v>
      </c>
      <c r="V14" s="85">
        <f>U14/F14</f>
        <v>0.16396886329707827</v>
      </c>
      <c r="W14" s="66"/>
      <c r="X14" s="289" t="s">
        <v>549</v>
      </c>
      <c r="Y14" s="83">
        <v>14000</v>
      </c>
      <c r="Z14" s="84">
        <v>5250000</v>
      </c>
      <c r="AA14" s="66"/>
      <c r="AB14" s="82">
        <v>21000000</v>
      </c>
      <c r="AC14" s="83"/>
      <c r="AD14" s="83">
        <v>3000000</v>
      </c>
      <c r="AE14" s="83">
        <v>100000</v>
      </c>
      <c r="AF14" s="83">
        <f>1700000+2000000</f>
        <v>3700000</v>
      </c>
      <c r="AG14" s="84">
        <f>SUM(AB14:AF14)</f>
        <v>27800000</v>
      </c>
      <c r="AH14" s="66"/>
      <c r="AI14" s="66"/>
    </row>
    <row r="15" spans="1:35" s="98" customFormat="1" ht="13.5" customHeight="1">
      <c r="A15" s="5"/>
      <c r="B15" s="74">
        <f t="shared" si="3"/>
        <v>5</v>
      </c>
      <c r="C15" s="513" t="str">
        <f t="shared" ref="C15:E16" si="16">C14</f>
        <v>컨설팅현장</v>
      </c>
      <c r="D15" s="75" t="str">
        <f>D14</f>
        <v>여름건설㈜</v>
      </c>
      <c r="E15" s="506" t="str">
        <f t="shared" si="16"/>
        <v>원불교안암교당</v>
      </c>
      <c r="F15" s="88"/>
      <c r="G15" s="88"/>
      <c r="H15" s="77"/>
      <c r="I15" s="89" t="s">
        <v>536</v>
      </c>
      <c r="J15" s="251"/>
      <c r="K15" s="462">
        <f>K14</f>
        <v>45987</v>
      </c>
      <c r="L15" s="250"/>
      <c r="M15" s="79"/>
      <c r="N15" s="250"/>
      <c r="O15" s="353"/>
      <c r="P15" s="80">
        <f t="shared" si="15"/>
        <v>0</v>
      </c>
      <c r="Q15" s="462">
        <f>Q16</f>
        <v>46095</v>
      </c>
      <c r="R15" s="81"/>
      <c r="S15" s="81" t="str">
        <f t="shared" ca="1" si="10"/>
        <v/>
      </c>
      <c r="T15" s="97"/>
      <c r="U15" s="95"/>
      <c r="V15" s="95"/>
      <c r="W15" s="66"/>
      <c r="X15" s="94" t="s">
        <v>550</v>
      </c>
      <c r="Y15" s="95"/>
      <c r="Z15" s="96"/>
      <c r="AA15" s="66"/>
      <c r="AB15" s="97"/>
      <c r="AC15" s="95"/>
      <c r="AD15" s="95"/>
      <c r="AE15" s="95"/>
      <c r="AF15" s="95"/>
      <c r="AG15" s="96"/>
      <c r="AH15" s="443"/>
      <c r="AI15" s="66"/>
    </row>
    <row r="16" spans="1:35" s="98" customFormat="1" ht="13.5" customHeight="1">
      <c r="A16" s="5"/>
      <c r="B16" s="74">
        <f t="shared" si="3"/>
        <v>5</v>
      </c>
      <c r="C16" s="513" t="str">
        <f t="shared" si="16"/>
        <v>컨설팅현장</v>
      </c>
      <c r="D16" s="75" t="str">
        <f t="shared" si="16"/>
        <v>여름건설㈜</v>
      </c>
      <c r="E16" s="506" t="str">
        <f t="shared" si="16"/>
        <v>원불교안암교당</v>
      </c>
      <c r="F16" s="88"/>
      <c r="G16" s="88">
        <f>-AG14</f>
        <v>-27800000</v>
      </c>
      <c r="H16" s="77">
        <f>F14-H14-Z14-AG14</f>
        <v>-916000</v>
      </c>
      <c r="I16" s="89" t="s">
        <v>537</v>
      </c>
      <c r="J16" s="251">
        <v>45992</v>
      </c>
      <c r="K16" s="462">
        <f>K15</f>
        <v>45987</v>
      </c>
      <c r="L16" s="250">
        <v>46133</v>
      </c>
      <c r="M16" s="79"/>
      <c r="N16" s="250">
        <v>46133</v>
      </c>
      <c r="O16" s="353">
        <v>-1007600</v>
      </c>
      <c r="P16" s="353">
        <f t="shared" si="15"/>
        <v>-1.1641532182693481E-10</v>
      </c>
      <c r="Q16" s="463">
        <v>46095</v>
      </c>
      <c r="R16" s="81">
        <f>N16-Q16</f>
        <v>38</v>
      </c>
      <c r="S16" s="81" t="str">
        <f t="shared" ca="1" si="10"/>
        <v>관리</v>
      </c>
      <c r="T16" s="97"/>
      <c r="U16" s="95"/>
      <c r="V16" s="95"/>
      <c r="W16" s="66"/>
      <c r="X16" s="94"/>
      <c r="Y16" s="95"/>
      <c r="Z16" s="96"/>
      <c r="AA16" s="66"/>
      <c r="AB16" s="97"/>
      <c r="AC16" s="95"/>
      <c r="AD16" s="95"/>
      <c r="AE16" s="95"/>
      <c r="AF16" s="95"/>
      <c r="AG16" s="96"/>
      <c r="AH16" s="66"/>
      <c r="AI16" s="66"/>
    </row>
    <row r="17" spans="1:35" s="86" customFormat="1" ht="13.5" customHeight="1">
      <c r="A17" s="73"/>
      <c r="B17" s="74">
        <f t="shared" si="3"/>
        <v>6</v>
      </c>
      <c r="C17" s="453" t="s">
        <v>66</v>
      </c>
      <c r="D17" s="449" t="s">
        <v>584</v>
      </c>
      <c r="E17" s="507" t="s">
        <v>544</v>
      </c>
      <c r="F17" s="77">
        <v>14500000</v>
      </c>
      <c r="G17" s="77">
        <v>10336000</v>
      </c>
      <c r="H17" s="77"/>
      <c r="I17" s="78" t="s">
        <v>535</v>
      </c>
      <c r="J17" s="250"/>
      <c r="K17" s="474">
        <v>46000</v>
      </c>
      <c r="L17" s="250"/>
      <c r="M17" s="79"/>
      <c r="N17" s="250"/>
      <c r="O17" s="353"/>
      <c r="P17" s="80">
        <f t="shared" ref="P17:P19" si="17">IF(L17="", 0, (H17*1.1)-O17)</f>
        <v>0</v>
      </c>
      <c r="Q17" s="462">
        <f>Q19</f>
        <v>46080</v>
      </c>
      <c r="R17" s="81"/>
      <c r="S17" s="81" t="str">
        <f t="shared" ca="1" si="10"/>
        <v/>
      </c>
      <c r="T17" s="82">
        <v>8440100</v>
      </c>
      <c r="U17" s="83">
        <f>G17-T17-AG17</f>
        <v>595900</v>
      </c>
      <c r="V17" s="85">
        <f>U17/F17</f>
        <v>4.1096551724137932E-2</v>
      </c>
      <c r="W17" s="66"/>
      <c r="X17" s="82" t="s">
        <v>551</v>
      </c>
      <c r="Y17" s="83">
        <v>12000</v>
      </c>
      <c r="Z17" s="84">
        <v>4164000</v>
      </c>
      <c r="AA17" s="66"/>
      <c r="AB17" s="82">
        <v>750000</v>
      </c>
      <c r="AC17" s="83"/>
      <c r="AD17" s="83">
        <v>400000</v>
      </c>
      <c r="AE17" s="83">
        <f>130000+20000</f>
        <v>150000</v>
      </c>
      <c r="AF17" s="83"/>
      <c r="AG17" s="84">
        <f>SUM(AB17:AF17)</f>
        <v>1300000</v>
      </c>
      <c r="AH17" s="66"/>
      <c r="AI17" s="66"/>
    </row>
    <row r="18" spans="1:35" s="98" customFormat="1" ht="13.5" customHeight="1">
      <c r="A18" s="5"/>
      <c r="B18" s="74">
        <f t="shared" si="3"/>
        <v>6</v>
      </c>
      <c r="C18" s="513" t="str">
        <f t="shared" ref="C18:E19" si="18">C17</f>
        <v>컨설팅현장</v>
      </c>
      <c r="D18" s="75" t="str">
        <f t="shared" si="18"/>
        <v>신화건설㈜</v>
      </c>
      <c r="E18" s="506" t="str">
        <f t="shared" si="18"/>
        <v>광명노온정수장</v>
      </c>
      <c r="F18" s="88"/>
      <c r="G18" s="88"/>
      <c r="H18" s="77"/>
      <c r="I18" s="89" t="s">
        <v>536</v>
      </c>
      <c r="J18" s="251"/>
      <c r="K18" s="462">
        <f>K17</f>
        <v>46000</v>
      </c>
      <c r="L18" s="250"/>
      <c r="M18" s="79"/>
      <c r="N18" s="250"/>
      <c r="O18" s="353"/>
      <c r="P18" s="80">
        <f t="shared" si="17"/>
        <v>0</v>
      </c>
      <c r="Q18" s="462">
        <f>Q19</f>
        <v>46080</v>
      </c>
      <c r="R18" s="81"/>
      <c r="S18" s="81" t="str">
        <f t="shared" ca="1" si="10"/>
        <v/>
      </c>
      <c r="T18" s="97"/>
      <c r="U18" s="95"/>
      <c r="V18" s="95"/>
      <c r="W18" s="66"/>
      <c r="X18" s="94"/>
      <c r="Y18" s="95"/>
      <c r="Z18" s="96"/>
      <c r="AA18" s="66"/>
      <c r="AB18" s="97"/>
      <c r="AC18" s="95"/>
      <c r="AD18" s="95"/>
      <c r="AE18" s="95"/>
      <c r="AF18" s="95"/>
      <c r="AG18" s="96"/>
      <c r="AH18" s="66"/>
      <c r="AI18" s="66"/>
    </row>
    <row r="19" spans="1:35" s="98" customFormat="1" ht="13.5" customHeight="1">
      <c r="A19" s="5"/>
      <c r="B19" s="74">
        <f t="shared" si="3"/>
        <v>6</v>
      </c>
      <c r="C19" s="513" t="str">
        <f t="shared" si="18"/>
        <v>컨설팅현장</v>
      </c>
      <c r="D19" s="75" t="str">
        <f t="shared" si="18"/>
        <v>신화건설㈜</v>
      </c>
      <c r="E19" s="506" t="str">
        <f t="shared" si="18"/>
        <v>광명노온정수장</v>
      </c>
      <c r="F19" s="88"/>
      <c r="G19" s="88">
        <f>-AG17</f>
        <v>-1300000</v>
      </c>
      <c r="H19" s="77">
        <f>(G17)-AG17</f>
        <v>9036000</v>
      </c>
      <c r="I19" s="89" t="s">
        <v>537</v>
      </c>
      <c r="J19" s="251">
        <v>45992</v>
      </c>
      <c r="K19" s="462">
        <f>K18</f>
        <v>46000</v>
      </c>
      <c r="L19" s="250">
        <v>46080</v>
      </c>
      <c r="M19" s="91">
        <f>IF(L19&lt;&gt;"", L19+30, "")</f>
        <v>46110</v>
      </c>
      <c r="N19" s="250">
        <v>46112</v>
      </c>
      <c r="O19" s="353">
        <f>H19*1.1</f>
        <v>9939600</v>
      </c>
      <c r="P19" s="80">
        <f t="shared" si="17"/>
        <v>0</v>
      </c>
      <c r="Q19" s="463">
        <v>46080</v>
      </c>
      <c r="R19" s="81">
        <f>N19-Q19</f>
        <v>32</v>
      </c>
      <c r="S19" s="81" t="str">
        <f t="shared" ca="1" si="10"/>
        <v/>
      </c>
      <c r="T19" s="97"/>
      <c r="U19" s="95"/>
      <c r="V19" s="95"/>
      <c r="W19" s="66"/>
      <c r="X19" s="94"/>
      <c r="Y19" s="95"/>
      <c r="Z19" s="96"/>
      <c r="AA19" s="66"/>
      <c r="AB19" s="97"/>
      <c r="AC19" s="95"/>
      <c r="AD19" s="95"/>
      <c r="AE19" s="95"/>
      <c r="AF19" s="95"/>
      <c r="AG19" s="96"/>
      <c r="AH19" s="66"/>
      <c r="AI19" s="66"/>
    </row>
    <row r="20" spans="1:35" s="86" customFormat="1" ht="13.5" customHeight="1">
      <c r="A20" s="73"/>
      <c r="B20" s="74">
        <f t="shared" si="3"/>
        <v>7</v>
      </c>
      <c r="C20" s="453" t="s">
        <v>66</v>
      </c>
      <c r="D20" s="450" t="s">
        <v>2115</v>
      </c>
      <c r="E20" s="449" t="s">
        <v>573</v>
      </c>
      <c r="F20" s="77">
        <v>89000000</v>
      </c>
      <c r="G20" s="77">
        <f>F20-Z20</f>
        <v>55577000</v>
      </c>
      <c r="H20" s="77">
        <f>G20*20%</f>
        <v>11115400</v>
      </c>
      <c r="I20" s="78" t="s">
        <v>69</v>
      </c>
      <c r="J20" s="250">
        <v>46084</v>
      </c>
      <c r="K20" s="474">
        <v>46085</v>
      </c>
      <c r="L20" s="250">
        <v>46085</v>
      </c>
      <c r="M20" s="91">
        <f>IF(L20&lt;&gt;"", L20+20, "")</f>
        <v>46105</v>
      </c>
      <c r="N20" s="250">
        <v>46118</v>
      </c>
      <c r="O20" s="353">
        <f>H20*1.1</f>
        <v>12226940.000000002</v>
      </c>
      <c r="P20" s="80">
        <f>IF(L20="", 0, (H20*1.1)-O20)</f>
        <v>0</v>
      </c>
      <c r="Q20" s="462">
        <f>Q22</f>
        <v>46144</v>
      </c>
      <c r="R20" s="81"/>
      <c r="S20" s="81" t="str">
        <f t="shared" ca="1" si="10"/>
        <v/>
      </c>
      <c r="T20" s="82"/>
      <c r="U20" s="83">
        <f>G20-T20-AG20</f>
        <v>54777000</v>
      </c>
      <c r="V20" s="85">
        <f>U20/F20</f>
        <v>0.61547191011235958</v>
      </c>
      <c r="W20" s="66"/>
      <c r="X20" s="313" t="s">
        <v>552</v>
      </c>
      <c r="Y20" s="83">
        <v>13000</v>
      </c>
      <c r="Z20" s="84">
        <f>2571*Y20</f>
        <v>33423000</v>
      </c>
      <c r="AA20" s="66"/>
      <c r="AB20" s="82"/>
      <c r="AC20" s="83"/>
      <c r="AD20" s="83"/>
      <c r="AE20" s="83">
        <v>800000</v>
      </c>
      <c r="AF20" s="83"/>
      <c r="AG20" s="84">
        <f>SUM(AB20:AF20)</f>
        <v>800000</v>
      </c>
      <c r="AH20" s="66"/>
      <c r="AI20" s="66"/>
    </row>
    <row r="21" spans="1:35" s="98" customFormat="1" ht="13.5" customHeight="1">
      <c r="A21" s="5"/>
      <c r="B21" s="74">
        <f t="shared" si="3"/>
        <v>7</v>
      </c>
      <c r="C21" s="513" t="str">
        <f t="shared" ref="C21:E22" si="19">C20</f>
        <v>컨설팅현장</v>
      </c>
      <c r="D21" s="75" t="str">
        <f t="shared" si="19"/>
        <v xml:space="preserve">	(주)에이치제이건설</v>
      </c>
      <c r="E21" s="76" t="str">
        <f t="shared" si="19"/>
        <v>해운대센텀트루엘</v>
      </c>
      <c r="F21" s="88"/>
      <c r="G21" s="88"/>
      <c r="H21" s="77">
        <f>G20*40%</f>
        <v>22230800</v>
      </c>
      <c r="I21" s="89" t="s">
        <v>70</v>
      </c>
      <c r="J21" s="251">
        <f>J20</f>
        <v>46084</v>
      </c>
      <c r="K21" s="462">
        <f>K20</f>
        <v>46085</v>
      </c>
      <c r="L21" s="250">
        <v>46115</v>
      </c>
      <c r="M21" s="91">
        <f t="shared" ref="M21" si="20">IF(L21&lt;&gt;"", L21+30, "")</f>
        <v>46145</v>
      </c>
      <c r="N21" s="250">
        <v>46127</v>
      </c>
      <c r="O21" s="353">
        <f>H21*1.1</f>
        <v>24453880.000000004</v>
      </c>
      <c r="P21" s="80">
        <f t="shared" ref="P21:P46" si="21">IF(L21="", 0, (H21*1.1)-O21)</f>
        <v>0</v>
      </c>
      <c r="Q21" s="462">
        <f>Q22</f>
        <v>46144</v>
      </c>
      <c r="R21" s="93"/>
      <c r="S21" s="81" t="str">
        <f t="shared" ca="1" si="10"/>
        <v/>
      </c>
      <c r="T21" s="97"/>
      <c r="U21" s="95"/>
      <c r="V21" s="95"/>
      <c r="W21" s="66"/>
      <c r="X21" s="94"/>
      <c r="Y21" s="95"/>
      <c r="Z21" s="96"/>
      <c r="AA21" s="66"/>
      <c r="AB21" s="97"/>
      <c r="AC21" s="95"/>
      <c r="AD21" s="95"/>
      <c r="AE21" s="95"/>
      <c r="AF21" s="95"/>
      <c r="AG21" s="96"/>
      <c r="AH21" s="66"/>
      <c r="AI21" s="66"/>
    </row>
    <row r="22" spans="1:35" s="98" customFormat="1" ht="13.5" customHeight="1">
      <c r="A22" s="5"/>
      <c r="B22" s="74">
        <f t="shared" si="3"/>
        <v>7</v>
      </c>
      <c r="C22" s="513" t="str">
        <f t="shared" si="19"/>
        <v>컨설팅현장</v>
      </c>
      <c r="D22" s="75" t="str">
        <f t="shared" si="19"/>
        <v xml:space="preserve">	(주)에이치제이건설</v>
      </c>
      <c r="E22" s="76" t="str">
        <f t="shared" si="19"/>
        <v>해운대센텀트루엘</v>
      </c>
      <c r="F22" s="88"/>
      <c r="G22" s="88">
        <f>-AG20</f>
        <v>-800000</v>
      </c>
      <c r="H22" s="77">
        <f>(G20*40%)-AG20</f>
        <v>21430800</v>
      </c>
      <c r="I22" s="89" t="s">
        <v>71</v>
      </c>
      <c r="J22" s="251">
        <f>J21</f>
        <v>46084</v>
      </c>
      <c r="K22" s="462">
        <f>K21</f>
        <v>46085</v>
      </c>
      <c r="L22" s="252">
        <v>46157</v>
      </c>
      <c r="M22" s="91">
        <f>IF(L22&lt;&gt;"", L22+30, "")</f>
        <v>46187</v>
      </c>
      <c r="N22" s="100"/>
      <c r="O22" s="371"/>
      <c r="P22" s="80">
        <f t="shared" si="21"/>
        <v>23573880.000000004</v>
      </c>
      <c r="Q22" s="463">
        <v>46144</v>
      </c>
      <c r="R22" s="93"/>
      <c r="S22" s="81" t="str">
        <f t="shared" ca="1" si="10"/>
        <v/>
      </c>
      <c r="T22" s="97"/>
      <c r="U22" s="95"/>
      <c r="V22" s="95"/>
      <c r="W22" s="66"/>
      <c r="X22" s="94"/>
      <c r="Y22" s="95"/>
      <c r="Z22" s="96"/>
      <c r="AA22" s="66"/>
      <c r="AB22" s="97"/>
      <c r="AC22" s="95"/>
      <c r="AD22" s="95"/>
      <c r="AE22" s="95"/>
      <c r="AF22" s="95"/>
      <c r="AG22" s="96"/>
      <c r="AH22" s="66"/>
      <c r="AI22" s="66"/>
    </row>
    <row r="23" spans="1:35" s="98" customFormat="1" ht="13.5" customHeight="1">
      <c r="A23" s="5"/>
      <c r="B23" s="74">
        <f t="shared" si="3"/>
        <v>8</v>
      </c>
      <c r="C23" s="453" t="s">
        <v>66</v>
      </c>
      <c r="D23" s="451" t="s">
        <v>2116</v>
      </c>
      <c r="E23" s="504" t="s">
        <v>72</v>
      </c>
      <c r="F23" s="77">
        <v>30420000</v>
      </c>
      <c r="G23" s="77">
        <f>F23-Z23</f>
        <v>21771000</v>
      </c>
      <c r="H23" s="77">
        <f>G23*20%</f>
        <v>4354200</v>
      </c>
      <c r="I23" s="89" t="s">
        <v>69</v>
      </c>
      <c r="J23" s="250">
        <v>45999</v>
      </c>
      <c r="K23" s="474">
        <v>46098</v>
      </c>
      <c r="L23" s="250">
        <v>46099</v>
      </c>
      <c r="M23" s="91">
        <f>IF(L23&lt;&gt;"", L23+20, "")</f>
        <v>46119</v>
      </c>
      <c r="N23" s="250">
        <v>46127</v>
      </c>
      <c r="O23" s="371">
        <f>H23*1.1</f>
        <v>4789620</v>
      </c>
      <c r="P23" s="80">
        <f t="shared" si="21"/>
        <v>0</v>
      </c>
      <c r="Q23" s="462">
        <f>Q25</f>
        <v>46105</v>
      </c>
      <c r="R23" s="93"/>
      <c r="S23" s="81" t="str">
        <f t="shared" ca="1" si="10"/>
        <v/>
      </c>
      <c r="T23" s="97">
        <v>10983800</v>
      </c>
      <c r="U23" s="83">
        <f>G23-T23-AG23</f>
        <v>9611200</v>
      </c>
      <c r="V23" s="85">
        <f>U23/F23</f>
        <v>0.3159500328731098</v>
      </c>
      <c r="W23" s="66"/>
      <c r="X23" s="313" t="s">
        <v>1079</v>
      </c>
      <c r="Y23" s="95" t="s">
        <v>1080</v>
      </c>
      <c r="Z23" s="96">
        <f>(12000*107)+(12000*85)+(15000*423)</f>
        <v>8649000</v>
      </c>
      <c r="AA23" s="66"/>
      <c r="AB23" s="97">
        <v>1076000</v>
      </c>
      <c r="AC23" s="95"/>
      <c r="AD23" s="95"/>
      <c r="AE23" s="95">
        <v>100000</v>
      </c>
      <c r="AF23" s="95"/>
      <c r="AG23" s="84">
        <f>SUM(AB23:AF23)</f>
        <v>1176000</v>
      </c>
      <c r="AH23" s="66"/>
      <c r="AI23" s="66"/>
    </row>
    <row r="24" spans="1:35" s="98" customFormat="1" ht="13.5" customHeight="1">
      <c r="A24" s="5"/>
      <c r="B24" s="74">
        <f t="shared" si="3"/>
        <v>8</v>
      </c>
      <c r="C24" s="513" t="s">
        <v>66</v>
      </c>
      <c r="D24" s="75" t="str">
        <f>D23</f>
        <v>여름건설㈜</v>
      </c>
      <c r="E24" s="120" t="str">
        <f>E23</f>
        <v>자양10차현대홈타운</v>
      </c>
      <c r="F24" s="88"/>
      <c r="G24" s="88"/>
      <c r="H24" s="77">
        <f>G23*40%</f>
        <v>8708400</v>
      </c>
      <c r="I24" s="89" t="s">
        <v>70</v>
      </c>
      <c r="J24" s="251">
        <f>J23</f>
        <v>45999</v>
      </c>
      <c r="K24" s="462">
        <f>K23</f>
        <v>46098</v>
      </c>
      <c r="L24" s="252">
        <v>46104</v>
      </c>
      <c r="M24" s="91">
        <f t="shared" ref="M24:M48" si="22">IF(L24&lt;&gt;"", L24+30, "")</f>
        <v>46134</v>
      </c>
      <c r="N24" s="463">
        <v>46127</v>
      </c>
      <c r="O24" s="371">
        <f>H24*1.1</f>
        <v>9579240</v>
      </c>
      <c r="P24" s="80">
        <f t="shared" si="21"/>
        <v>0</v>
      </c>
      <c r="Q24" s="462">
        <f>Q25</f>
        <v>46105</v>
      </c>
      <c r="R24" s="93"/>
      <c r="S24" s="81" t="str">
        <f t="shared" ca="1" si="10"/>
        <v/>
      </c>
      <c r="T24" s="97"/>
      <c r="U24" s="95"/>
      <c r="V24" s="95"/>
      <c r="W24" s="66"/>
      <c r="X24" s="97"/>
      <c r="Y24" s="95"/>
      <c r="Z24" s="96"/>
      <c r="AA24" s="66"/>
      <c r="AB24" s="97"/>
      <c r="AC24" s="95"/>
      <c r="AD24" s="95"/>
      <c r="AE24" s="95"/>
      <c r="AF24" s="95"/>
      <c r="AG24" s="96"/>
      <c r="AH24" s="66"/>
      <c r="AI24" s="66"/>
    </row>
    <row r="25" spans="1:35" s="98" customFormat="1" ht="13.5" customHeight="1">
      <c r="A25" s="5"/>
      <c r="B25" s="74">
        <f t="shared" si="3"/>
        <v>8</v>
      </c>
      <c r="C25" s="513" t="s">
        <v>66</v>
      </c>
      <c r="D25" s="75" t="str">
        <f>D24</f>
        <v>여름건설㈜</v>
      </c>
      <c r="E25" s="120" t="str">
        <f>E24</f>
        <v>자양10차현대홈타운</v>
      </c>
      <c r="F25" s="88"/>
      <c r="G25" s="88">
        <f>-AG23</f>
        <v>-1176000</v>
      </c>
      <c r="H25" s="77">
        <f>(G23*40%)-AG23</f>
        <v>7532400</v>
      </c>
      <c r="I25" s="89" t="s">
        <v>71</v>
      </c>
      <c r="J25" s="251">
        <f>J24</f>
        <v>45999</v>
      </c>
      <c r="K25" s="462">
        <f>K24</f>
        <v>46098</v>
      </c>
      <c r="L25" s="252">
        <v>46126</v>
      </c>
      <c r="M25" s="91">
        <f t="shared" si="22"/>
        <v>46156</v>
      </c>
      <c r="N25" s="463">
        <v>46154</v>
      </c>
      <c r="O25" s="371">
        <f>H25*1.1</f>
        <v>8285640.0000000009</v>
      </c>
      <c r="P25" s="80">
        <f t="shared" si="21"/>
        <v>0</v>
      </c>
      <c r="Q25" s="463">
        <v>46105</v>
      </c>
      <c r="R25" s="81">
        <f>N25-Q25</f>
        <v>49</v>
      </c>
      <c r="S25" s="81" t="str">
        <f t="shared" ca="1" si="10"/>
        <v/>
      </c>
      <c r="T25" s="97"/>
      <c r="U25" s="95"/>
      <c r="V25" s="95"/>
      <c r="W25" s="66"/>
      <c r="X25" s="97"/>
      <c r="Y25" s="95"/>
      <c r="Z25" s="96"/>
      <c r="AA25" s="66"/>
      <c r="AB25" s="97"/>
      <c r="AC25" s="95"/>
      <c r="AD25" s="95"/>
      <c r="AE25" s="95"/>
      <c r="AF25" s="95"/>
      <c r="AG25" s="96"/>
      <c r="AH25" s="66"/>
      <c r="AI25" s="66"/>
    </row>
    <row r="26" spans="1:35" s="98" customFormat="1" ht="13.5" customHeight="1">
      <c r="A26" s="5"/>
      <c r="B26" s="74">
        <f t="shared" si="3"/>
        <v>9</v>
      </c>
      <c r="C26" s="453" t="s">
        <v>66</v>
      </c>
      <c r="D26" s="451" t="s">
        <v>2116</v>
      </c>
      <c r="E26" s="453" t="s">
        <v>73</v>
      </c>
      <c r="F26" s="77">
        <v>39060000</v>
      </c>
      <c r="G26" s="77">
        <f>F26-Z26</f>
        <v>28884000</v>
      </c>
      <c r="H26" s="77">
        <f>G26*20%</f>
        <v>5776800</v>
      </c>
      <c r="I26" s="89" t="s">
        <v>69</v>
      </c>
      <c r="J26" s="250">
        <v>45999</v>
      </c>
      <c r="K26" s="474">
        <v>46149</v>
      </c>
      <c r="L26" s="250">
        <v>46156</v>
      </c>
      <c r="M26" s="91">
        <f>IF(L26&lt;&gt;"", L26+20, "")</f>
        <v>46176</v>
      </c>
      <c r="N26" s="90"/>
      <c r="O26" s="371"/>
      <c r="P26" s="80">
        <f t="shared" si="21"/>
        <v>6354480.0000000009</v>
      </c>
      <c r="Q26" s="462" t="str">
        <f>Q28</f>
        <v>(예)2026-05-31</v>
      </c>
      <c r="R26" s="93"/>
      <c r="S26" s="81" t="str">
        <f t="shared" ca="1" si="10"/>
        <v/>
      </c>
      <c r="T26" s="97"/>
      <c r="U26" s="83"/>
      <c r="V26" s="85"/>
      <c r="W26" s="66"/>
      <c r="X26" s="501" t="s">
        <v>2626</v>
      </c>
      <c r="Y26" s="95">
        <v>12000</v>
      </c>
      <c r="Z26" s="96">
        <f>(632*12000)+(216*12000)</f>
        <v>10176000</v>
      </c>
      <c r="AA26" s="66"/>
      <c r="AB26" s="97"/>
      <c r="AC26" s="95"/>
      <c r="AD26" s="95"/>
      <c r="AE26" s="95"/>
      <c r="AF26" s="95"/>
      <c r="AG26" s="84">
        <f>SUM(AB26:AF26)</f>
        <v>0</v>
      </c>
      <c r="AH26" s="66"/>
      <c r="AI26" s="66"/>
    </row>
    <row r="27" spans="1:35" s="98" customFormat="1" ht="13.5" customHeight="1">
      <c r="A27" s="5"/>
      <c r="B27" s="74">
        <f t="shared" si="3"/>
        <v>9</v>
      </c>
      <c r="C27" s="513" t="s">
        <v>66</v>
      </c>
      <c r="D27" s="75" t="str">
        <f>D26</f>
        <v>여름건설㈜</v>
      </c>
      <c r="E27" s="75" t="str">
        <f>E26</f>
        <v>광덕파크빌</v>
      </c>
      <c r="F27" s="88"/>
      <c r="G27" s="88"/>
      <c r="H27" s="77">
        <f>G26*40%</f>
        <v>11553600</v>
      </c>
      <c r="I27" s="89" t="s">
        <v>70</v>
      </c>
      <c r="J27" s="251">
        <f>J26</f>
        <v>45999</v>
      </c>
      <c r="K27" s="462">
        <f>K26</f>
        <v>46149</v>
      </c>
      <c r="L27" s="252">
        <v>46160</v>
      </c>
      <c r="M27" s="91">
        <f t="shared" si="22"/>
        <v>46190</v>
      </c>
      <c r="N27" s="90"/>
      <c r="O27" s="371"/>
      <c r="P27" s="80">
        <f t="shared" si="21"/>
        <v>12708960.000000002</v>
      </c>
      <c r="Q27" s="462" t="str">
        <f>Q28</f>
        <v>(예)2026-05-31</v>
      </c>
      <c r="R27" s="93"/>
      <c r="S27" s="81" t="str">
        <f t="shared" ca="1" si="10"/>
        <v/>
      </c>
      <c r="T27" s="97"/>
      <c r="U27" s="95"/>
      <c r="V27" s="95"/>
      <c r="W27" s="66"/>
      <c r="X27" s="97"/>
      <c r="Y27" s="95"/>
      <c r="Z27" s="96"/>
      <c r="AA27" s="66"/>
      <c r="AB27" s="97"/>
      <c r="AC27" s="95"/>
      <c r="AD27" s="95"/>
      <c r="AE27" s="95"/>
      <c r="AF27" s="95"/>
      <c r="AG27" s="96"/>
      <c r="AH27" s="66"/>
      <c r="AI27" s="66"/>
    </row>
    <row r="28" spans="1:35" s="98" customFormat="1" ht="13.5" customHeight="1">
      <c r="A28" s="5"/>
      <c r="B28" s="74">
        <f t="shared" si="3"/>
        <v>9</v>
      </c>
      <c r="C28" s="513" t="s">
        <v>66</v>
      </c>
      <c r="D28" s="75" t="str">
        <f>D27</f>
        <v>여름건설㈜</v>
      </c>
      <c r="E28" s="75" t="str">
        <f>E27</f>
        <v>광덕파크빌</v>
      </c>
      <c r="F28" s="88"/>
      <c r="G28" s="88">
        <f>-AG26</f>
        <v>0</v>
      </c>
      <c r="H28" s="77">
        <f>(G26*40%)-AG26</f>
        <v>11553600</v>
      </c>
      <c r="I28" s="89" t="s">
        <v>71</v>
      </c>
      <c r="J28" s="251">
        <f>J27</f>
        <v>45999</v>
      </c>
      <c r="K28" s="462">
        <f>K26</f>
        <v>46149</v>
      </c>
      <c r="L28" s="252"/>
      <c r="M28" s="91" t="str">
        <f t="shared" si="22"/>
        <v/>
      </c>
      <c r="N28" s="90"/>
      <c r="O28" s="371"/>
      <c r="P28" s="80">
        <f t="shared" si="21"/>
        <v>0</v>
      </c>
      <c r="Q28" s="463" t="s">
        <v>1943</v>
      </c>
      <c r="R28" s="93"/>
      <c r="S28" s="81" t="str">
        <f t="shared" ca="1" si="10"/>
        <v/>
      </c>
      <c r="T28" s="97"/>
      <c r="U28" s="95"/>
      <c r="V28" s="95"/>
      <c r="W28" s="66"/>
      <c r="X28" s="97"/>
      <c r="Y28" s="95"/>
      <c r="Z28" s="96"/>
      <c r="AA28" s="66"/>
      <c r="AB28" s="97"/>
      <c r="AC28" s="95"/>
      <c r="AD28" s="95"/>
      <c r="AE28" s="95"/>
      <c r="AF28" s="95"/>
      <c r="AG28" s="96"/>
      <c r="AH28" s="66"/>
      <c r="AI28" s="66"/>
    </row>
    <row r="29" spans="1:35" s="98" customFormat="1" ht="13.5" customHeight="1">
      <c r="A29" s="5"/>
      <c r="B29" s="74">
        <f t="shared" si="3"/>
        <v>10</v>
      </c>
      <c r="C29" s="453" t="s">
        <v>66</v>
      </c>
      <c r="D29" s="450" t="s">
        <v>2117</v>
      </c>
      <c r="E29" s="453" t="s">
        <v>75</v>
      </c>
      <c r="F29" s="77">
        <v>202900000</v>
      </c>
      <c r="G29" s="77">
        <f>F29-AK29</f>
        <v>202900000</v>
      </c>
      <c r="H29" s="77">
        <f>G29*20%</f>
        <v>40580000</v>
      </c>
      <c r="I29" s="89" t="s">
        <v>69</v>
      </c>
      <c r="J29" s="250">
        <v>45999</v>
      </c>
      <c r="K29" s="474" t="s">
        <v>1938</v>
      </c>
      <c r="L29" s="250"/>
      <c r="M29" s="91" t="str">
        <f>IF(L29&lt;&gt;"", L29+20, "")</f>
        <v/>
      </c>
      <c r="N29" s="90"/>
      <c r="O29" s="371"/>
      <c r="P29" s="80">
        <f t="shared" si="21"/>
        <v>0</v>
      </c>
      <c r="Q29" s="462" t="str">
        <f>Q31</f>
        <v>미정</v>
      </c>
      <c r="R29" s="93"/>
      <c r="S29" s="81" t="str">
        <f t="shared" ca="1" si="10"/>
        <v/>
      </c>
      <c r="T29" s="97"/>
      <c r="U29" s="83"/>
      <c r="V29" s="85"/>
      <c r="W29" s="66"/>
      <c r="X29" s="97"/>
      <c r="Y29" s="95"/>
      <c r="Z29" s="96">
        <v>63670000</v>
      </c>
      <c r="AA29" s="66"/>
      <c r="AB29" s="97"/>
      <c r="AC29" s="95"/>
      <c r="AD29" s="95"/>
      <c r="AE29" s="95"/>
      <c r="AF29" s="95"/>
      <c r="AG29" s="84">
        <f>SUM(AB29:AF29)</f>
        <v>0</v>
      </c>
      <c r="AH29" s="66"/>
      <c r="AI29" s="66"/>
    </row>
    <row r="30" spans="1:35" s="98" customFormat="1" ht="13.5" customHeight="1">
      <c r="A30" s="5"/>
      <c r="B30" s="74">
        <f t="shared" si="3"/>
        <v>10</v>
      </c>
      <c r="C30" s="513" t="s">
        <v>66</v>
      </c>
      <c r="D30" s="75" t="str">
        <f>D29</f>
        <v>(주)기림이앤씨</v>
      </c>
      <c r="E30" s="75" t="str">
        <f>E29</f>
        <v>해누리선경</v>
      </c>
      <c r="F30" s="88"/>
      <c r="G30" s="88"/>
      <c r="H30" s="77">
        <f>G29*40%</f>
        <v>81160000</v>
      </c>
      <c r="I30" s="89" t="s">
        <v>70</v>
      </c>
      <c r="J30" s="251">
        <f>J29</f>
        <v>45999</v>
      </c>
      <c r="K30" s="462" t="str">
        <f>K29</f>
        <v>미정</v>
      </c>
      <c r="L30" s="252"/>
      <c r="M30" s="91" t="str">
        <f t="shared" si="22"/>
        <v/>
      </c>
      <c r="N30" s="90"/>
      <c r="O30" s="371"/>
      <c r="P30" s="80">
        <f t="shared" si="21"/>
        <v>0</v>
      </c>
      <c r="Q30" s="462" t="str">
        <f>Q31</f>
        <v>미정</v>
      </c>
      <c r="R30" s="93"/>
      <c r="S30" s="81" t="str">
        <f t="shared" ca="1" si="10"/>
        <v/>
      </c>
      <c r="T30" s="97"/>
      <c r="U30" s="95"/>
      <c r="V30" s="95"/>
      <c r="W30" s="66"/>
      <c r="X30" s="97"/>
      <c r="Y30" s="95"/>
      <c r="Z30" s="96"/>
      <c r="AA30" s="66"/>
      <c r="AB30" s="97"/>
      <c r="AC30" s="95"/>
      <c r="AD30" s="95"/>
      <c r="AE30" s="95"/>
      <c r="AF30" s="95"/>
      <c r="AG30" s="96"/>
      <c r="AH30" s="66"/>
      <c r="AI30" s="66"/>
    </row>
    <row r="31" spans="1:35" s="98" customFormat="1" ht="13.5" customHeight="1">
      <c r="A31" s="5"/>
      <c r="B31" s="74">
        <f t="shared" si="3"/>
        <v>10</v>
      </c>
      <c r="C31" s="513" t="s">
        <v>66</v>
      </c>
      <c r="D31" s="75" t="str">
        <f>D30</f>
        <v>(주)기림이앤씨</v>
      </c>
      <c r="E31" s="75" t="str">
        <f>E30</f>
        <v>해누리선경</v>
      </c>
      <c r="F31" s="88"/>
      <c r="G31" s="88">
        <f>-AG29</f>
        <v>0</v>
      </c>
      <c r="H31" s="77">
        <f>(G29*40%)-AG29</f>
        <v>81160000</v>
      </c>
      <c r="I31" s="89" t="s">
        <v>71</v>
      </c>
      <c r="J31" s="251">
        <f>J30</f>
        <v>45999</v>
      </c>
      <c r="K31" s="462" t="str">
        <f>K30</f>
        <v>미정</v>
      </c>
      <c r="L31" s="252"/>
      <c r="M31" s="91" t="str">
        <f t="shared" si="22"/>
        <v/>
      </c>
      <c r="N31" s="90"/>
      <c r="O31" s="371"/>
      <c r="P31" s="80">
        <f t="shared" si="21"/>
        <v>0</v>
      </c>
      <c r="Q31" s="464" t="s">
        <v>1938</v>
      </c>
      <c r="R31" s="93"/>
      <c r="S31" s="81" t="str">
        <f t="shared" ca="1" si="10"/>
        <v/>
      </c>
      <c r="T31" s="97"/>
      <c r="U31" s="95"/>
      <c r="V31" s="95"/>
      <c r="W31" s="66"/>
      <c r="X31" s="97"/>
      <c r="Y31" s="95"/>
      <c r="Z31" s="96"/>
      <c r="AA31" s="66"/>
      <c r="AB31" s="97"/>
      <c r="AC31" s="95"/>
      <c r="AD31" s="95"/>
      <c r="AE31" s="95"/>
      <c r="AF31" s="95"/>
      <c r="AG31" s="96"/>
      <c r="AH31" s="66"/>
      <c r="AI31" s="66"/>
    </row>
    <row r="32" spans="1:35" s="98" customFormat="1" ht="13.5" customHeight="1">
      <c r="A32" s="5"/>
      <c r="B32" s="74">
        <f t="shared" si="3"/>
        <v>11</v>
      </c>
      <c r="C32" s="453" t="s">
        <v>66</v>
      </c>
      <c r="D32" s="450" t="s">
        <v>2117</v>
      </c>
      <c r="E32" s="451" t="s">
        <v>76</v>
      </c>
      <c r="F32" s="77">
        <v>122600000</v>
      </c>
      <c r="G32" s="77">
        <f>F32-Z32</f>
        <v>86060000</v>
      </c>
      <c r="H32" s="77">
        <f>G32*20%</f>
        <v>17212000</v>
      </c>
      <c r="I32" s="89" t="s">
        <v>69</v>
      </c>
      <c r="J32" s="250">
        <v>45999</v>
      </c>
      <c r="K32" s="475">
        <v>46141</v>
      </c>
      <c r="L32" s="250">
        <v>46153</v>
      </c>
      <c r="M32" s="91">
        <f>IF(L32&lt;&gt;"", L32+20, "")</f>
        <v>46173</v>
      </c>
      <c r="N32" s="90">
        <v>46157</v>
      </c>
      <c r="O32" s="371">
        <f>H32*1.1</f>
        <v>18933200</v>
      </c>
      <c r="P32" s="80">
        <f t="shared" si="21"/>
        <v>0</v>
      </c>
      <c r="Q32" s="462" t="str">
        <f>Q34</f>
        <v>(예)2026-05-31</v>
      </c>
      <c r="R32" s="93"/>
      <c r="S32" s="81" t="str">
        <f t="shared" ca="1" si="10"/>
        <v/>
      </c>
      <c r="T32" s="97"/>
      <c r="U32" s="83"/>
      <c r="V32" s="85"/>
      <c r="W32" s="66"/>
      <c r="X32" s="97" t="s">
        <v>1942</v>
      </c>
      <c r="Y32" s="95">
        <v>14000</v>
      </c>
      <c r="Z32" s="96">
        <f>2610*14000</f>
        <v>36540000</v>
      </c>
      <c r="AA32" s="66"/>
      <c r="AB32" s="97"/>
      <c r="AC32" s="95"/>
      <c r="AD32" s="95"/>
      <c r="AE32" s="95"/>
      <c r="AF32" s="95"/>
      <c r="AG32" s="84">
        <f>SUM(AB32:AF32)</f>
        <v>0</v>
      </c>
      <c r="AH32" s="66"/>
      <c r="AI32" s="66"/>
    </row>
    <row r="33" spans="1:35" s="98" customFormat="1" ht="13.5" customHeight="1">
      <c r="A33" s="5"/>
      <c r="B33" s="74">
        <f t="shared" si="3"/>
        <v>11</v>
      </c>
      <c r="C33" s="513" t="s">
        <v>66</v>
      </c>
      <c r="D33" s="75" t="str">
        <f>D32</f>
        <v>(주)기림이앤씨</v>
      </c>
      <c r="E33" s="75" t="str">
        <f>E32</f>
        <v>지웰시티푸르지오1단지오피스텔</v>
      </c>
      <c r="F33" s="88"/>
      <c r="G33" s="88"/>
      <c r="H33" s="77">
        <f>G32*40%</f>
        <v>34424000</v>
      </c>
      <c r="I33" s="89" t="s">
        <v>70</v>
      </c>
      <c r="J33" s="251">
        <f>J32</f>
        <v>45999</v>
      </c>
      <c r="K33" s="462">
        <f>K32</f>
        <v>46141</v>
      </c>
      <c r="L33" s="252">
        <v>46157</v>
      </c>
      <c r="M33" s="91">
        <f t="shared" si="22"/>
        <v>46187</v>
      </c>
      <c r="N33" s="90"/>
      <c r="O33" s="371"/>
      <c r="P33" s="80">
        <f t="shared" si="21"/>
        <v>37866400</v>
      </c>
      <c r="Q33" s="462" t="str">
        <f>Q34</f>
        <v>(예)2026-05-31</v>
      </c>
      <c r="R33" s="93"/>
      <c r="S33" s="81" t="str">
        <f t="shared" ca="1" si="10"/>
        <v/>
      </c>
      <c r="T33" s="97"/>
      <c r="U33" s="95"/>
      <c r="V33" s="95"/>
      <c r="W33" s="66"/>
      <c r="X33" s="97"/>
      <c r="Y33" s="95"/>
      <c r="Z33" s="96"/>
      <c r="AA33" s="66"/>
      <c r="AB33" s="97"/>
      <c r="AC33" s="95"/>
      <c r="AD33" s="95"/>
      <c r="AE33" s="95"/>
      <c r="AF33" s="95"/>
      <c r="AG33" s="96"/>
      <c r="AH33" s="66"/>
      <c r="AI33" s="66"/>
    </row>
    <row r="34" spans="1:35" s="98" customFormat="1" ht="13.5" customHeight="1">
      <c r="A34" s="5"/>
      <c r="B34" s="74">
        <f t="shared" si="3"/>
        <v>11</v>
      </c>
      <c r="C34" s="513" t="s">
        <v>66</v>
      </c>
      <c r="D34" s="75" t="str">
        <f>D33</f>
        <v>(주)기림이앤씨</v>
      </c>
      <c r="E34" s="75" t="str">
        <f>E33</f>
        <v>지웰시티푸르지오1단지오피스텔</v>
      </c>
      <c r="F34" s="88"/>
      <c r="G34" s="88">
        <f>-AG32</f>
        <v>0</v>
      </c>
      <c r="H34" s="77">
        <f>(G32*40%)-AG32</f>
        <v>34424000</v>
      </c>
      <c r="I34" s="89" t="s">
        <v>71</v>
      </c>
      <c r="J34" s="251">
        <f>J33</f>
        <v>45999</v>
      </c>
      <c r="K34" s="462">
        <f>K33</f>
        <v>46141</v>
      </c>
      <c r="L34" s="252"/>
      <c r="M34" s="91" t="str">
        <f t="shared" si="22"/>
        <v/>
      </c>
      <c r="N34" s="90"/>
      <c r="O34" s="371"/>
      <c r="P34" s="80">
        <f t="shared" si="21"/>
        <v>0</v>
      </c>
      <c r="Q34" s="463" t="s">
        <v>1943</v>
      </c>
      <c r="R34" s="93"/>
      <c r="S34" s="81" t="str">
        <f t="shared" ca="1" si="10"/>
        <v/>
      </c>
      <c r="T34" s="97"/>
      <c r="U34" s="95"/>
      <c r="V34" s="95"/>
      <c r="W34" s="66"/>
      <c r="X34" s="97"/>
      <c r="Y34" s="95"/>
      <c r="Z34" s="96"/>
      <c r="AA34" s="66"/>
      <c r="AB34" s="97"/>
      <c r="AC34" s="95"/>
      <c r="AD34" s="95"/>
      <c r="AE34" s="95"/>
      <c r="AF34" s="95"/>
      <c r="AG34" s="96"/>
      <c r="AH34" s="66"/>
      <c r="AI34" s="66"/>
    </row>
    <row r="35" spans="1:35" s="98" customFormat="1" ht="13.5" customHeight="1">
      <c r="A35" s="5"/>
      <c r="B35" s="74">
        <f t="shared" si="3"/>
        <v>12</v>
      </c>
      <c r="C35" s="453" t="s">
        <v>66</v>
      </c>
      <c r="D35" s="451" t="s">
        <v>2118</v>
      </c>
      <c r="E35" s="453" t="s">
        <v>77</v>
      </c>
      <c r="F35" s="77">
        <v>105000000</v>
      </c>
      <c r="G35" s="77">
        <f>F35-Z35</f>
        <v>61800000</v>
      </c>
      <c r="H35" s="77">
        <v>12360000</v>
      </c>
      <c r="I35" s="89" t="s">
        <v>69</v>
      </c>
      <c r="J35" s="250">
        <v>45999</v>
      </c>
      <c r="K35" s="474">
        <v>46085</v>
      </c>
      <c r="L35" s="250">
        <v>46085</v>
      </c>
      <c r="M35" s="91">
        <f>IF(L35&lt;&gt;"", L35+20, "")</f>
        <v>46105</v>
      </c>
      <c r="N35" s="91">
        <v>46086</v>
      </c>
      <c r="O35" s="371">
        <f>H35*1.1</f>
        <v>13596000.000000002</v>
      </c>
      <c r="P35" s="80">
        <f t="shared" si="21"/>
        <v>0</v>
      </c>
      <c r="Q35" s="462">
        <f>Q37</f>
        <v>46148</v>
      </c>
      <c r="R35" s="93"/>
      <c r="S35" s="81" t="str">
        <f t="shared" ca="1" si="10"/>
        <v/>
      </c>
      <c r="T35" s="97"/>
      <c r="U35" s="95"/>
      <c r="V35" s="95"/>
      <c r="W35" s="66"/>
      <c r="X35" s="97" t="s">
        <v>755</v>
      </c>
      <c r="Y35" s="95">
        <v>15000</v>
      </c>
      <c r="Z35" s="96">
        <f>2880*15000</f>
        <v>43200000</v>
      </c>
      <c r="AA35" s="66"/>
      <c r="AB35" s="97">
        <v>5880000</v>
      </c>
      <c r="AC35" s="95"/>
      <c r="AD35" s="95"/>
      <c r="AE35" s="95">
        <v>800000</v>
      </c>
      <c r="AF35" s="95"/>
      <c r="AG35" s="84">
        <f>SUM(AB35:AF35)</f>
        <v>6680000</v>
      </c>
      <c r="AH35" s="66"/>
      <c r="AI35" s="66"/>
    </row>
    <row r="36" spans="1:35" s="98" customFormat="1" ht="13.5" customHeight="1">
      <c r="A36" s="5"/>
      <c r="B36" s="74">
        <f t="shared" si="3"/>
        <v>12</v>
      </c>
      <c r="C36" s="513" t="s">
        <v>66</v>
      </c>
      <c r="D36" s="75" t="str">
        <f>D35</f>
        <v>건진개발㈜</v>
      </c>
      <c r="E36" s="75" t="str">
        <f>E35</f>
        <v>덕천동롯데</v>
      </c>
      <c r="F36" s="88"/>
      <c r="G36" s="88"/>
      <c r="H36" s="77">
        <v>24720000</v>
      </c>
      <c r="I36" s="89" t="s">
        <v>70</v>
      </c>
      <c r="J36" s="251">
        <f>J35</f>
        <v>45999</v>
      </c>
      <c r="K36" s="462">
        <f>K35</f>
        <v>46085</v>
      </c>
      <c r="L36" s="252">
        <v>46139</v>
      </c>
      <c r="M36" s="91">
        <f t="shared" si="22"/>
        <v>46169</v>
      </c>
      <c r="N36" s="91">
        <v>46148</v>
      </c>
      <c r="O36" s="371">
        <f>H36*1.1</f>
        <v>27192000.000000004</v>
      </c>
      <c r="P36" s="80">
        <f t="shared" si="21"/>
        <v>0</v>
      </c>
      <c r="Q36" s="462">
        <f>Q37</f>
        <v>46148</v>
      </c>
      <c r="R36" s="93"/>
      <c r="S36" s="81" t="str">
        <f t="shared" ca="1" si="10"/>
        <v/>
      </c>
      <c r="T36" s="97"/>
      <c r="U36" s="95"/>
      <c r="V36" s="95"/>
      <c r="W36" s="66"/>
      <c r="X36" s="97"/>
      <c r="Y36" s="95"/>
      <c r="Z36" s="96"/>
      <c r="AA36" s="66"/>
      <c r="AB36" s="97"/>
      <c r="AC36" s="95"/>
      <c r="AD36" s="95"/>
      <c r="AE36" s="95"/>
      <c r="AF36" s="95"/>
      <c r="AG36" s="96"/>
      <c r="AH36" s="66"/>
      <c r="AI36" s="66"/>
    </row>
    <row r="37" spans="1:35" s="98" customFormat="1" ht="13.5" customHeight="1">
      <c r="A37" s="5"/>
      <c r="B37" s="74">
        <f t="shared" si="3"/>
        <v>12</v>
      </c>
      <c r="C37" s="513" t="s">
        <v>66</v>
      </c>
      <c r="D37" s="75" t="str">
        <f>D36</f>
        <v>건진개발㈜</v>
      </c>
      <c r="E37" s="75" t="str">
        <f>E36</f>
        <v>덕천동롯데</v>
      </c>
      <c r="F37" s="88"/>
      <c r="G37" s="88">
        <f>-AG35</f>
        <v>-6680000</v>
      </c>
      <c r="H37" s="77">
        <f>(G35*40%)-AG35</f>
        <v>18040000</v>
      </c>
      <c r="I37" s="89" t="s">
        <v>71</v>
      </c>
      <c r="J37" s="251">
        <f>J36</f>
        <v>45999</v>
      </c>
      <c r="K37" s="462">
        <f>K36</f>
        <v>46085</v>
      </c>
      <c r="L37" s="252">
        <v>46161</v>
      </c>
      <c r="M37" s="91">
        <f t="shared" si="22"/>
        <v>46191</v>
      </c>
      <c r="N37" s="91">
        <v>46168</v>
      </c>
      <c r="O37" s="371">
        <f>H37*1.1</f>
        <v>19844000</v>
      </c>
      <c r="P37" s="80">
        <f t="shared" si="21"/>
        <v>0</v>
      </c>
      <c r="Q37" s="463">
        <v>46148</v>
      </c>
      <c r="R37" s="93"/>
      <c r="S37" s="81" t="str">
        <f t="shared" ca="1" si="10"/>
        <v/>
      </c>
      <c r="T37" s="97"/>
      <c r="U37" s="95"/>
      <c r="V37" s="95"/>
      <c r="W37" s="66"/>
      <c r="X37" s="97"/>
      <c r="Y37" s="95"/>
      <c r="Z37" s="96"/>
      <c r="AA37" s="66"/>
      <c r="AB37" s="97"/>
      <c r="AC37" s="95"/>
      <c r="AD37" s="95"/>
      <c r="AE37" s="95"/>
      <c r="AF37" s="95"/>
      <c r="AG37" s="96"/>
      <c r="AH37" s="66"/>
      <c r="AI37" s="66"/>
    </row>
    <row r="38" spans="1:35" s="98" customFormat="1" ht="13.5" customHeight="1">
      <c r="A38" s="5"/>
      <c r="B38" s="74">
        <f t="shared" si="3"/>
        <v>13</v>
      </c>
      <c r="C38" s="453" t="s">
        <v>66</v>
      </c>
      <c r="D38" s="450" t="s">
        <v>2114</v>
      </c>
      <c r="E38" s="508" t="s">
        <v>562</v>
      </c>
      <c r="F38" s="77">
        <v>92100000</v>
      </c>
      <c r="G38" s="77">
        <f>F38-Z38</f>
        <v>68470000</v>
      </c>
      <c r="H38" s="77">
        <f>G38*20%</f>
        <v>13694000</v>
      </c>
      <c r="I38" s="89" t="s">
        <v>69</v>
      </c>
      <c r="J38" s="250">
        <v>45999</v>
      </c>
      <c r="K38" s="474">
        <v>46091</v>
      </c>
      <c r="L38" s="250">
        <v>46091</v>
      </c>
      <c r="M38" s="91">
        <f>IF(L38&lt;&gt;"", L38+20, "")</f>
        <v>46111</v>
      </c>
      <c r="N38" s="91">
        <v>46094</v>
      </c>
      <c r="O38" s="371">
        <f>H38*1.1</f>
        <v>15063400.000000002</v>
      </c>
      <c r="P38" s="80">
        <f t="shared" si="21"/>
        <v>0</v>
      </c>
      <c r="Q38" s="462">
        <f>Q40</f>
        <v>46110</v>
      </c>
      <c r="R38" s="93"/>
      <c r="S38" s="81" t="str">
        <f t="shared" ca="1" si="10"/>
        <v/>
      </c>
      <c r="T38" s="97">
        <v>39731750</v>
      </c>
      <c r="U38" s="83">
        <f>G38-T38-AG38</f>
        <v>-26750</v>
      </c>
      <c r="V38" s="85">
        <f>U38/F38</f>
        <v>-2.9044516829533114E-4</v>
      </c>
      <c r="W38" s="66"/>
      <c r="X38" s="97" t="s">
        <v>848</v>
      </c>
      <c r="Y38" s="95">
        <v>10000</v>
      </c>
      <c r="Z38" s="96">
        <f>2363*Y38</f>
        <v>23630000</v>
      </c>
      <c r="AA38" s="66"/>
      <c r="AB38" s="97">
        <v>28065000</v>
      </c>
      <c r="AC38" s="95"/>
      <c r="AD38" s="95"/>
      <c r="AE38" s="95">
        <v>700000</v>
      </c>
      <c r="AF38" s="95"/>
      <c r="AG38" s="84">
        <f>SUM(AB38:AF38)</f>
        <v>28765000</v>
      </c>
      <c r="AH38" s="66"/>
      <c r="AI38" s="66"/>
    </row>
    <row r="39" spans="1:35" s="98" customFormat="1" ht="13.5" customHeight="1">
      <c r="A39" s="5"/>
      <c r="B39" s="74">
        <f t="shared" si="3"/>
        <v>13</v>
      </c>
      <c r="C39" s="513" t="s">
        <v>66</v>
      </c>
      <c r="D39" s="75" t="str">
        <f>D38</f>
        <v>(주)석민이앤씨</v>
      </c>
      <c r="E39" s="509" t="str">
        <f>E38</f>
        <v>동탄역시범한화꿈에그린프레스티지</v>
      </c>
      <c r="F39" s="88"/>
      <c r="G39" s="88"/>
      <c r="H39" s="77"/>
      <c r="I39" s="89" t="s">
        <v>70</v>
      </c>
      <c r="J39" s="251">
        <v>45999</v>
      </c>
      <c r="K39" s="462">
        <f>K38</f>
        <v>46091</v>
      </c>
      <c r="L39" s="252"/>
      <c r="M39" s="91" t="str">
        <f t="shared" si="22"/>
        <v/>
      </c>
      <c r="N39" s="90"/>
      <c r="O39" s="371"/>
      <c r="P39" s="80">
        <f t="shared" si="21"/>
        <v>0</v>
      </c>
      <c r="Q39" s="462">
        <f>Q40</f>
        <v>46110</v>
      </c>
      <c r="R39" s="93"/>
      <c r="S39" s="81" t="str">
        <f t="shared" ca="1" si="10"/>
        <v/>
      </c>
      <c r="T39" s="97"/>
      <c r="U39" s="95"/>
      <c r="V39" s="95"/>
      <c r="W39" s="66"/>
      <c r="X39" s="97"/>
      <c r="Y39" s="95"/>
      <c r="Z39" s="96"/>
      <c r="AA39" s="66"/>
      <c r="AB39" s="97"/>
      <c r="AC39" s="95"/>
      <c r="AD39" s="95"/>
      <c r="AE39" s="95"/>
      <c r="AF39" s="95"/>
      <c r="AG39" s="96"/>
      <c r="AH39" s="66"/>
      <c r="AI39" s="66"/>
    </row>
    <row r="40" spans="1:35" s="98" customFormat="1" ht="13.5" customHeight="1">
      <c r="A40" s="5"/>
      <c r="B40" s="74">
        <f t="shared" si="3"/>
        <v>13</v>
      </c>
      <c r="C40" s="513" t="s">
        <v>66</v>
      </c>
      <c r="D40" s="75" t="str">
        <f>D39</f>
        <v>(주)석민이앤씨</v>
      </c>
      <c r="E40" s="509" t="str">
        <f>E39</f>
        <v>동탄역시범한화꿈에그린프레스티지</v>
      </c>
      <c r="F40" s="88"/>
      <c r="G40" s="88">
        <f>-AG38</f>
        <v>-28765000</v>
      </c>
      <c r="H40" s="77">
        <f>(G38*80%)-AG38</f>
        <v>26011000</v>
      </c>
      <c r="I40" s="89" t="s">
        <v>71</v>
      </c>
      <c r="J40" s="251">
        <v>45999</v>
      </c>
      <c r="K40" s="462">
        <f>K39</f>
        <v>46091</v>
      </c>
      <c r="L40" s="252">
        <v>46118</v>
      </c>
      <c r="M40" s="91">
        <f t="shared" si="22"/>
        <v>46148</v>
      </c>
      <c r="N40" s="91">
        <v>46171</v>
      </c>
      <c r="O40" s="371">
        <f t="shared" ref="O40:O45" si="23">H40*1.1</f>
        <v>28612100.000000004</v>
      </c>
      <c r="P40" s="80">
        <f t="shared" si="21"/>
        <v>0</v>
      </c>
      <c r="Q40" s="465">
        <v>46110</v>
      </c>
      <c r="R40" s="81">
        <f>N40-Q40</f>
        <v>61</v>
      </c>
      <c r="S40" s="81" t="str">
        <f t="shared" ca="1" si="10"/>
        <v/>
      </c>
      <c r="T40" s="97"/>
      <c r="U40" s="95"/>
      <c r="V40" s="95"/>
      <c r="W40" s="66"/>
      <c r="X40" s="97"/>
      <c r="Y40" s="95"/>
      <c r="Z40" s="96"/>
      <c r="AA40" s="66"/>
      <c r="AB40" s="97"/>
      <c r="AC40" s="95"/>
      <c r="AD40" s="95"/>
      <c r="AE40" s="95"/>
      <c r="AF40" s="95"/>
      <c r="AG40" s="96"/>
      <c r="AH40" s="66"/>
      <c r="AI40" s="66"/>
    </row>
    <row r="41" spans="1:35" s="98" customFormat="1" ht="13.5" customHeight="1">
      <c r="A41" s="5"/>
      <c r="B41" s="74">
        <f t="shared" si="3"/>
        <v>14</v>
      </c>
      <c r="C41" s="453" t="s">
        <v>66</v>
      </c>
      <c r="D41" s="451" t="s">
        <v>2119</v>
      </c>
      <c r="E41" s="504" t="s">
        <v>2120</v>
      </c>
      <c r="F41" s="77">
        <v>98000000</v>
      </c>
      <c r="G41" s="77">
        <f>F41-Z41-Z42</f>
        <v>55857000</v>
      </c>
      <c r="H41" s="77">
        <f>G41*20%</f>
        <v>11171400</v>
      </c>
      <c r="I41" s="89" t="s">
        <v>69</v>
      </c>
      <c r="J41" s="250">
        <v>46009</v>
      </c>
      <c r="K41" s="474">
        <v>46085</v>
      </c>
      <c r="L41" s="250">
        <v>46085</v>
      </c>
      <c r="M41" s="91">
        <f>IF(L41&lt;&gt;"", L41+20, "")</f>
        <v>46105</v>
      </c>
      <c r="N41" s="91">
        <v>46098</v>
      </c>
      <c r="O41" s="371">
        <f t="shared" si="23"/>
        <v>12288540.000000002</v>
      </c>
      <c r="P41" s="80">
        <f t="shared" si="21"/>
        <v>0</v>
      </c>
      <c r="Q41" s="462">
        <f>Q43</f>
        <v>46104</v>
      </c>
      <c r="R41" s="93"/>
      <c r="S41" s="81" t="str">
        <f t="shared" ca="1" si="10"/>
        <v/>
      </c>
      <c r="T41" s="97">
        <v>34519400</v>
      </c>
      <c r="U41" s="83">
        <f>G41-T41-AG41</f>
        <v>21087600</v>
      </c>
      <c r="V41" s="85">
        <f>U41/F41</f>
        <v>0.21517959183673468</v>
      </c>
      <c r="W41" s="66"/>
      <c r="X41" s="97" t="s">
        <v>759</v>
      </c>
      <c r="Y41" s="95">
        <v>17000</v>
      </c>
      <c r="Z41" s="96">
        <f>2479*Y41</f>
        <v>42143000</v>
      </c>
      <c r="AA41" s="66"/>
      <c r="AB41" s="97"/>
      <c r="AC41" s="95"/>
      <c r="AD41" s="95"/>
      <c r="AE41" s="95">
        <v>250000</v>
      </c>
      <c r="AF41" s="95"/>
      <c r="AG41" s="84">
        <f>SUM(AB41:AF41)</f>
        <v>250000</v>
      </c>
      <c r="AH41" s="66"/>
      <c r="AI41" s="66"/>
    </row>
    <row r="42" spans="1:35" s="98" customFormat="1" ht="13.5" customHeight="1">
      <c r="A42" s="5"/>
      <c r="B42" s="74">
        <f t="shared" si="3"/>
        <v>14</v>
      </c>
      <c r="C42" s="513" t="s">
        <v>66</v>
      </c>
      <c r="D42" s="75" t="str">
        <f>D41</f>
        <v>색채산업개발㈜</v>
      </c>
      <c r="E42" s="120" t="str">
        <f>E41</f>
        <v>토당금강KCC</v>
      </c>
      <c r="F42" s="88"/>
      <c r="G42" s="88"/>
      <c r="H42" s="77">
        <f>G41*40%</f>
        <v>22342800</v>
      </c>
      <c r="I42" s="89" t="s">
        <v>70</v>
      </c>
      <c r="J42" s="251">
        <f>J41</f>
        <v>46009</v>
      </c>
      <c r="K42" s="462">
        <f>K41</f>
        <v>46085</v>
      </c>
      <c r="L42" s="252">
        <v>46097</v>
      </c>
      <c r="M42" s="91">
        <f t="shared" si="22"/>
        <v>46127</v>
      </c>
      <c r="N42" s="91">
        <v>46118</v>
      </c>
      <c r="O42" s="371">
        <f t="shared" si="23"/>
        <v>24577080.000000004</v>
      </c>
      <c r="P42" s="80">
        <f t="shared" si="21"/>
        <v>0</v>
      </c>
      <c r="Q42" s="462">
        <f>Q43</f>
        <v>46104</v>
      </c>
      <c r="R42" s="93"/>
      <c r="S42" s="81" t="str">
        <f t="shared" ca="1" si="10"/>
        <v/>
      </c>
      <c r="T42" s="97"/>
      <c r="U42" s="95"/>
      <c r="V42" s="95"/>
      <c r="W42" s="66"/>
      <c r="X42" s="97"/>
      <c r="Y42" s="95"/>
      <c r="Z42" s="96"/>
      <c r="AA42" s="66"/>
      <c r="AB42" s="97"/>
      <c r="AC42" s="95"/>
      <c r="AD42" s="95"/>
      <c r="AE42" s="95"/>
      <c r="AF42" s="95"/>
      <c r="AG42" s="96"/>
      <c r="AH42" s="66"/>
      <c r="AI42" s="66"/>
    </row>
    <row r="43" spans="1:35" s="98" customFormat="1" ht="13.5" customHeight="1">
      <c r="A43" s="5"/>
      <c r="B43" s="74">
        <f t="shared" si="3"/>
        <v>14</v>
      </c>
      <c r="C43" s="514" t="s">
        <v>66</v>
      </c>
      <c r="D43" s="99" t="str">
        <f>D42</f>
        <v>색채산업개발㈜</v>
      </c>
      <c r="E43" s="505" t="str">
        <f>E42</f>
        <v>토당금강KCC</v>
      </c>
      <c r="F43" s="102"/>
      <c r="G43" s="88">
        <f>-AG41</f>
        <v>-250000</v>
      </c>
      <c r="H43" s="103">
        <f>(G41*40%)-AG41</f>
        <v>22092800</v>
      </c>
      <c r="I43" s="104" t="s">
        <v>71</v>
      </c>
      <c r="J43" s="251">
        <f>J42</f>
        <v>46009</v>
      </c>
      <c r="K43" s="462">
        <f>K42</f>
        <v>46085</v>
      </c>
      <c r="L43" s="252">
        <v>46113</v>
      </c>
      <c r="M43" s="91">
        <f t="shared" si="22"/>
        <v>46143</v>
      </c>
      <c r="N43" s="91">
        <v>46136</v>
      </c>
      <c r="O43" s="371">
        <f t="shared" si="23"/>
        <v>24302080.000000004</v>
      </c>
      <c r="P43" s="80">
        <f t="shared" si="21"/>
        <v>0</v>
      </c>
      <c r="Q43" s="465">
        <v>46104</v>
      </c>
      <c r="R43" s="93">
        <f>N43-Q43</f>
        <v>32</v>
      </c>
      <c r="S43" s="81" t="str">
        <f t="shared" ca="1" si="10"/>
        <v/>
      </c>
      <c r="T43" s="97"/>
      <c r="U43" s="95"/>
      <c r="V43" s="95"/>
      <c r="W43" s="66"/>
      <c r="X43" s="97"/>
      <c r="Y43" s="95"/>
      <c r="Z43" s="96"/>
      <c r="AA43" s="66"/>
      <c r="AB43" s="97"/>
      <c r="AC43" s="95"/>
      <c r="AD43" s="95"/>
      <c r="AE43" s="95"/>
      <c r="AF43" s="95"/>
      <c r="AG43" s="96"/>
      <c r="AH43" s="66"/>
      <c r="AI43" s="66"/>
    </row>
    <row r="44" spans="1:35" s="98" customFormat="1" ht="13.5" customHeight="1">
      <c r="A44" s="5"/>
      <c r="B44" s="74">
        <f t="shared" si="3"/>
        <v>15</v>
      </c>
      <c r="C44" s="453" t="s">
        <v>756</v>
      </c>
      <c r="D44" s="451" t="s">
        <v>2121</v>
      </c>
      <c r="E44" s="510" t="s">
        <v>757</v>
      </c>
      <c r="F44" s="77">
        <v>69200000</v>
      </c>
      <c r="G44" s="77">
        <f>F44-Z44-Z45</f>
        <v>48860000</v>
      </c>
      <c r="H44" s="77">
        <v>9772000</v>
      </c>
      <c r="I44" s="89" t="s">
        <v>69</v>
      </c>
      <c r="J44" s="250">
        <v>46078</v>
      </c>
      <c r="K44" s="474">
        <v>46079</v>
      </c>
      <c r="L44" s="250">
        <v>46085</v>
      </c>
      <c r="M44" s="91">
        <f>IF(L44&lt;&gt;"", L44+20, "")</f>
        <v>46105</v>
      </c>
      <c r="N44" s="91">
        <v>46085</v>
      </c>
      <c r="O44" s="371">
        <f t="shared" si="23"/>
        <v>10749200</v>
      </c>
      <c r="P44" s="80">
        <f t="shared" si="21"/>
        <v>0</v>
      </c>
      <c r="Q44" s="462">
        <f>Q46</f>
        <v>46090</v>
      </c>
      <c r="R44" s="93"/>
      <c r="S44" s="81" t="str">
        <f t="shared" ca="1" si="10"/>
        <v/>
      </c>
      <c r="T44" s="97">
        <f>19631100+10828900</f>
        <v>30460000</v>
      </c>
      <c r="U44" s="83">
        <f>G44-T44-AG44</f>
        <v>11174000</v>
      </c>
      <c r="V44" s="85">
        <f>U44/F44</f>
        <v>0.16147398843930635</v>
      </c>
      <c r="W44" s="66"/>
      <c r="X44" s="97" t="s">
        <v>551</v>
      </c>
      <c r="Y44" s="95">
        <v>12000</v>
      </c>
      <c r="Z44" s="96">
        <f>1123*Y44</f>
        <v>13476000</v>
      </c>
      <c r="AA44" s="66"/>
      <c r="AB44" s="97">
        <v>5426000</v>
      </c>
      <c r="AC44" s="95"/>
      <c r="AD44" s="95">
        <v>1400000</v>
      </c>
      <c r="AE44" s="95">
        <f>150000+250000</f>
        <v>400000</v>
      </c>
      <c r="AF44" s="95"/>
      <c r="AG44" s="84">
        <f>SUM(AB44:AF44)</f>
        <v>7226000</v>
      </c>
      <c r="AH44" s="66"/>
      <c r="AI44" s="66"/>
    </row>
    <row r="45" spans="1:35" s="98" customFormat="1" ht="13.5" customHeight="1">
      <c r="A45" s="5"/>
      <c r="B45" s="74">
        <f t="shared" si="3"/>
        <v>15</v>
      </c>
      <c r="C45" s="513" t="s">
        <v>66</v>
      </c>
      <c r="D45" s="75" t="str">
        <f>D44</f>
        <v>주식회사 대신하우징</v>
      </c>
      <c r="E45" s="120" t="str">
        <f>E44</f>
        <v>영산대학교</v>
      </c>
      <c r="F45" s="88"/>
      <c r="G45" s="88"/>
      <c r="H45" s="77">
        <v>19544000</v>
      </c>
      <c r="I45" s="89" t="s">
        <v>70</v>
      </c>
      <c r="J45" s="251">
        <f>J44</f>
        <v>46078</v>
      </c>
      <c r="K45" s="462">
        <f>K44</f>
        <v>46079</v>
      </c>
      <c r="L45" s="252">
        <v>46086</v>
      </c>
      <c r="M45" s="91">
        <f t="shared" si="22"/>
        <v>46116</v>
      </c>
      <c r="N45" s="91">
        <v>46090</v>
      </c>
      <c r="O45" s="371">
        <f t="shared" si="23"/>
        <v>21498400</v>
      </c>
      <c r="P45" s="80">
        <f t="shared" si="21"/>
        <v>0</v>
      </c>
      <c r="Q45" s="462">
        <f>Q46</f>
        <v>46090</v>
      </c>
      <c r="R45" s="93"/>
      <c r="S45" s="81" t="str">
        <f t="shared" ca="1" si="10"/>
        <v/>
      </c>
      <c r="T45" s="97"/>
      <c r="U45" s="95"/>
      <c r="V45" s="95"/>
      <c r="W45" s="66"/>
      <c r="X45" s="97" t="s">
        <v>758</v>
      </c>
      <c r="Y45" s="95">
        <v>13000</v>
      </c>
      <c r="Z45" s="96">
        <f>528*Y45</f>
        <v>6864000</v>
      </c>
      <c r="AA45" s="66"/>
      <c r="AB45" s="97"/>
      <c r="AC45" s="95"/>
      <c r="AD45" s="95"/>
      <c r="AE45" s="95"/>
      <c r="AF45" s="95"/>
      <c r="AG45" s="96"/>
      <c r="AH45" s="66"/>
      <c r="AI45" s="66"/>
    </row>
    <row r="46" spans="1:35" s="98" customFormat="1" ht="13.5" customHeight="1">
      <c r="A46" s="5"/>
      <c r="B46" s="74">
        <f t="shared" si="3"/>
        <v>15</v>
      </c>
      <c r="C46" s="514" t="s">
        <v>66</v>
      </c>
      <c r="D46" s="99" t="str">
        <f>D45</f>
        <v>주식회사 대신하우징</v>
      </c>
      <c r="E46" s="505" t="str">
        <f>E45</f>
        <v>영산대학교</v>
      </c>
      <c r="F46" s="102"/>
      <c r="G46" s="88">
        <f>-AG44</f>
        <v>-7226000</v>
      </c>
      <c r="H46" s="103">
        <f>G44-H44-H45-AG44</f>
        <v>12318000</v>
      </c>
      <c r="I46" s="104" t="s">
        <v>71</v>
      </c>
      <c r="J46" s="251">
        <f>J45</f>
        <v>46078</v>
      </c>
      <c r="K46" s="462">
        <f>K45</f>
        <v>46079</v>
      </c>
      <c r="L46" s="252">
        <v>46153</v>
      </c>
      <c r="M46" s="91">
        <f t="shared" si="22"/>
        <v>46183</v>
      </c>
      <c r="N46" s="90"/>
      <c r="O46" s="371"/>
      <c r="P46" s="80">
        <f t="shared" si="21"/>
        <v>13549800.000000002</v>
      </c>
      <c r="Q46" s="463">
        <v>46090</v>
      </c>
      <c r="R46" s="93"/>
      <c r="S46" s="81" t="str">
        <f t="shared" ca="1" si="10"/>
        <v/>
      </c>
      <c r="T46" s="97"/>
      <c r="U46" s="95"/>
      <c r="V46" s="95"/>
      <c r="W46" s="66"/>
      <c r="X46" s="97"/>
      <c r="Y46" s="95"/>
      <c r="Z46" s="96"/>
      <c r="AA46" s="66"/>
      <c r="AB46" s="97"/>
      <c r="AC46" s="95"/>
      <c r="AD46" s="95"/>
      <c r="AE46" s="95"/>
      <c r="AF46" s="95"/>
      <c r="AG46" s="96"/>
      <c r="AH46" s="66"/>
      <c r="AI46" s="66"/>
    </row>
    <row r="47" spans="1:35" s="98" customFormat="1" ht="13.5" customHeight="1">
      <c r="A47" s="5"/>
      <c r="B47" s="74">
        <f t="shared" ref="B47:B49" si="24">IF(I46="잔금", B46+1, B46)</f>
        <v>16</v>
      </c>
      <c r="C47" s="453" t="s">
        <v>756</v>
      </c>
      <c r="D47" s="451" t="s">
        <v>2122</v>
      </c>
      <c r="E47" s="510" t="s">
        <v>781</v>
      </c>
      <c r="F47" s="77">
        <v>174000000</v>
      </c>
      <c r="G47" s="77">
        <f>F47-Z47-Z48</f>
        <v>104322000</v>
      </c>
      <c r="H47" s="77">
        <v>30186600</v>
      </c>
      <c r="I47" s="89" t="s">
        <v>69</v>
      </c>
      <c r="J47" s="250">
        <v>46080</v>
      </c>
      <c r="K47" s="474">
        <v>46085</v>
      </c>
      <c r="L47" s="250">
        <v>46086</v>
      </c>
      <c r="M47" s="91">
        <f>IF(L47&lt;&gt;"", L47+20, "")</f>
        <v>46106</v>
      </c>
      <c r="N47" s="91">
        <v>46122</v>
      </c>
      <c r="O47" s="371">
        <f>H47*1.1</f>
        <v>33205260.000000004</v>
      </c>
      <c r="P47" s="80">
        <f t="shared" ref="P47:P49" si="25">IF(L47="", 0, (H47*1.1)-O47)</f>
        <v>0</v>
      </c>
      <c r="Q47" s="462">
        <f>Q49</f>
        <v>46132</v>
      </c>
      <c r="R47" s="93"/>
      <c r="S47" s="81" t="str">
        <f t="shared" ca="1" si="10"/>
        <v/>
      </c>
      <c r="T47" s="97">
        <v>95607000</v>
      </c>
      <c r="U47" s="83">
        <f>G47-T47-AG47</f>
        <v>888000</v>
      </c>
      <c r="V47" s="85">
        <f>U47/F47</f>
        <v>5.1034482758620693E-3</v>
      </c>
      <c r="W47" s="66"/>
      <c r="X47" s="97" t="s">
        <v>782</v>
      </c>
      <c r="Y47" s="95">
        <v>14000</v>
      </c>
      <c r="Z47" s="96">
        <f>4977*Y47</f>
        <v>69678000</v>
      </c>
      <c r="AA47" s="66"/>
      <c r="AB47" s="97">
        <f>76905000-Z47</f>
        <v>7227000</v>
      </c>
      <c r="AC47" s="95"/>
      <c r="AD47" s="95"/>
      <c r="AE47" s="95">
        <v>600000</v>
      </c>
      <c r="AF47" s="95"/>
      <c r="AG47" s="84">
        <f>SUM(AB47:AF47)</f>
        <v>7827000</v>
      </c>
      <c r="AH47" s="66"/>
      <c r="AI47" s="66"/>
    </row>
    <row r="48" spans="1:35" s="98" customFormat="1" ht="13.5" customHeight="1">
      <c r="A48" s="5"/>
      <c r="B48" s="74">
        <f t="shared" si="24"/>
        <v>16</v>
      </c>
      <c r="C48" s="513" t="s">
        <v>66</v>
      </c>
      <c r="D48" s="75" t="str">
        <f>D47</f>
        <v>새로이건설㈜</v>
      </c>
      <c r="E48" s="120" t="str">
        <f>E47</f>
        <v>E편한세상한강신도시2차 아파트</v>
      </c>
      <c r="F48" s="88"/>
      <c r="G48" s="88"/>
      <c r="H48" s="77">
        <v>30186600</v>
      </c>
      <c r="I48" s="89" t="s">
        <v>70</v>
      </c>
      <c r="J48" s="251">
        <f>J47</f>
        <v>46080</v>
      </c>
      <c r="K48" s="462">
        <f>K47</f>
        <v>46085</v>
      </c>
      <c r="L48" s="252">
        <v>46106</v>
      </c>
      <c r="M48" s="91">
        <f t="shared" si="22"/>
        <v>46136</v>
      </c>
      <c r="N48" s="90"/>
      <c r="O48" s="371"/>
      <c r="P48" s="80">
        <f t="shared" si="25"/>
        <v>33205260.000000004</v>
      </c>
      <c r="Q48" s="462">
        <f>Q49</f>
        <v>46132</v>
      </c>
      <c r="R48" s="93"/>
      <c r="S48" s="81" t="str">
        <f t="shared" ca="1" si="10"/>
        <v>관리</v>
      </c>
      <c r="T48" s="97"/>
      <c r="U48" s="95"/>
      <c r="V48" s="95"/>
      <c r="W48" s="66"/>
      <c r="X48" s="97"/>
      <c r="Y48" s="95"/>
      <c r="Z48" s="96">
        <f>528*Y48</f>
        <v>0</v>
      </c>
      <c r="AA48" s="66"/>
      <c r="AB48" s="97"/>
      <c r="AC48" s="95"/>
      <c r="AD48" s="95"/>
      <c r="AE48" s="95"/>
      <c r="AF48" s="95"/>
      <c r="AG48" s="96"/>
      <c r="AH48" s="66"/>
      <c r="AI48" s="66"/>
    </row>
    <row r="49" spans="1:35" s="98" customFormat="1" ht="13.5" customHeight="1">
      <c r="A49" s="5"/>
      <c r="B49" s="74">
        <f t="shared" si="24"/>
        <v>16</v>
      </c>
      <c r="C49" s="514" t="s">
        <v>66</v>
      </c>
      <c r="D49" s="99" t="str">
        <f>D48</f>
        <v>새로이건설㈜</v>
      </c>
      <c r="E49" s="505" t="str">
        <f>E48</f>
        <v>E편한세상한강신도시2차 아파트</v>
      </c>
      <c r="F49" s="102"/>
      <c r="G49" s="88">
        <f>-AG47</f>
        <v>-7827000</v>
      </c>
      <c r="H49" s="103">
        <f>(G47-H47-H48)-AG47</f>
        <v>36121800</v>
      </c>
      <c r="I49" s="104" t="s">
        <v>71</v>
      </c>
      <c r="J49" s="251">
        <f>J48</f>
        <v>46080</v>
      </c>
      <c r="K49" s="462">
        <f>K48</f>
        <v>46085</v>
      </c>
      <c r="L49" s="252">
        <v>46170</v>
      </c>
      <c r="M49" s="91">
        <f t="shared" ref="M49" si="26">IF(L49&lt;&gt;"", L49+30, "")</f>
        <v>46200</v>
      </c>
      <c r="N49" s="90"/>
      <c r="O49" s="371"/>
      <c r="P49" s="80">
        <f t="shared" si="25"/>
        <v>39733980</v>
      </c>
      <c r="Q49" s="463">
        <v>46132</v>
      </c>
      <c r="R49" s="93"/>
      <c r="S49" s="81" t="str">
        <f t="shared" ca="1" si="10"/>
        <v/>
      </c>
      <c r="T49" s="97"/>
      <c r="U49" s="95"/>
      <c r="V49" s="95"/>
      <c r="W49" s="66"/>
      <c r="X49" s="97"/>
      <c r="Y49" s="95"/>
      <c r="Z49" s="96"/>
      <c r="AA49" s="66"/>
      <c r="AB49" s="97"/>
      <c r="AC49" s="95"/>
      <c r="AD49" s="95"/>
      <c r="AE49" s="95"/>
      <c r="AF49" s="95"/>
      <c r="AG49" s="96"/>
      <c r="AH49" s="66"/>
      <c r="AI49" s="66"/>
    </row>
    <row r="50" spans="1:35" s="98" customFormat="1" ht="13.5" customHeight="1">
      <c r="A50" s="5"/>
      <c r="B50" s="74">
        <f t="shared" ref="B50:B52" si="27">IF(I49="잔금", B49+1, B49)</f>
        <v>17</v>
      </c>
      <c r="C50" s="453" t="s">
        <v>756</v>
      </c>
      <c r="D50" s="451" t="s">
        <v>2123</v>
      </c>
      <c r="E50" s="510" t="s">
        <v>820</v>
      </c>
      <c r="F50" s="77">
        <v>50900000</v>
      </c>
      <c r="G50" s="77">
        <f>F50-Z50-Z51</f>
        <v>26792000</v>
      </c>
      <c r="H50" s="77">
        <f>G50*20%</f>
        <v>5358400</v>
      </c>
      <c r="I50" s="89" t="s">
        <v>69</v>
      </c>
      <c r="J50" s="250">
        <v>46084</v>
      </c>
      <c r="K50" s="474">
        <v>46086</v>
      </c>
      <c r="L50" s="250">
        <v>46087</v>
      </c>
      <c r="M50" s="91">
        <f>IF(L50&lt;&gt;"", L50+20, "")</f>
        <v>46107</v>
      </c>
      <c r="N50" s="91">
        <v>46113</v>
      </c>
      <c r="O50" s="371">
        <f>H50*1.1</f>
        <v>5894240.0000000009</v>
      </c>
      <c r="P50" s="80">
        <f t="shared" ref="P50:P52" si="28">IF(L50="", 0, (H50*1.1)-O50)</f>
        <v>0</v>
      </c>
      <c r="Q50" s="462">
        <f>Q52</f>
        <v>46105</v>
      </c>
      <c r="R50" s="93"/>
      <c r="S50" s="81" t="str">
        <f t="shared" ca="1" si="10"/>
        <v/>
      </c>
      <c r="T50" s="97">
        <v>27175100</v>
      </c>
      <c r="U50" s="83">
        <f>G50-T50-AG50</f>
        <v>-783100</v>
      </c>
      <c r="V50" s="85">
        <f>U50/F50</f>
        <v>-1.5385068762278978E-2</v>
      </c>
      <c r="W50" s="66"/>
      <c r="X50" s="97" t="s">
        <v>821</v>
      </c>
      <c r="Y50" s="95">
        <v>14000</v>
      </c>
      <c r="Z50" s="96">
        <f>1722*Y50</f>
        <v>24108000</v>
      </c>
      <c r="AA50" s="66"/>
      <c r="AB50" s="97"/>
      <c r="AC50" s="95"/>
      <c r="AD50" s="95"/>
      <c r="AE50" s="95">
        <v>400000</v>
      </c>
      <c r="AF50" s="95"/>
      <c r="AG50" s="84">
        <f>SUM(AB50:AF50)</f>
        <v>400000</v>
      </c>
      <c r="AH50" s="66"/>
      <c r="AI50" s="66"/>
    </row>
    <row r="51" spans="1:35" s="98" customFormat="1" ht="13.5" customHeight="1">
      <c r="A51" s="5"/>
      <c r="B51" s="74">
        <f t="shared" si="27"/>
        <v>17</v>
      </c>
      <c r="C51" s="513" t="s">
        <v>66</v>
      </c>
      <c r="D51" s="75" t="str">
        <f>D50</f>
        <v>(주)모아씨앤에스</v>
      </c>
      <c r="E51" s="120" t="str">
        <f>E50</f>
        <v>성균관대역서희스타힐스 1,2단지아파트</v>
      </c>
      <c r="F51" s="88"/>
      <c r="G51" s="88"/>
      <c r="H51" s="77">
        <f>G50*40%</f>
        <v>10716800</v>
      </c>
      <c r="I51" s="89" t="s">
        <v>70</v>
      </c>
      <c r="J51" s="251">
        <f>J50</f>
        <v>46084</v>
      </c>
      <c r="K51" s="462">
        <f>K50</f>
        <v>46086</v>
      </c>
      <c r="L51" s="252">
        <v>46101</v>
      </c>
      <c r="M51" s="91">
        <f>IF(L51&lt;&gt;"", L51+30, "")</f>
        <v>46131</v>
      </c>
      <c r="N51" s="91">
        <v>46113</v>
      </c>
      <c r="O51" s="371">
        <f>H51*1.1</f>
        <v>11788480.000000002</v>
      </c>
      <c r="P51" s="80">
        <f t="shared" si="28"/>
        <v>0</v>
      </c>
      <c r="Q51" s="462">
        <f>Q52</f>
        <v>46105</v>
      </c>
      <c r="R51" s="93"/>
      <c r="S51" s="81" t="str">
        <f t="shared" ca="1" si="10"/>
        <v/>
      </c>
      <c r="T51" s="97"/>
      <c r="U51" s="95"/>
      <c r="V51" s="95"/>
      <c r="W51" s="66"/>
      <c r="X51" s="97"/>
      <c r="Y51" s="95"/>
      <c r="Z51" s="96">
        <f>528*Y51</f>
        <v>0</v>
      </c>
      <c r="AA51" s="66"/>
      <c r="AB51" s="97"/>
      <c r="AC51" s="95"/>
      <c r="AD51" s="95"/>
      <c r="AE51" s="95"/>
      <c r="AF51" s="95"/>
      <c r="AG51" s="96"/>
      <c r="AH51" s="66"/>
      <c r="AI51" s="66"/>
    </row>
    <row r="52" spans="1:35" s="98" customFormat="1" ht="13.5" customHeight="1">
      <c r="A52" s="5"/>
      <c r="B52" s="74">
        <f t="shared" si="27"/>
        <v>17</v>
      </c>
      <c r="C52" s="514" t="s">
        <v>66</v>
      </c>
      <c r="D52" s="99" t="str">
        <f>D51</f>
        <v>(주)모아씨앤에스</v>
      </c>
      <c r="E52" s="505" t="str">
        <f>E51</f>
        <v>성균관대역서희스타힐스 1,2단지아파트</v>
      </c>
      <c r="F52" s="102"/>
      <c r="G52" s="88">
        <f>-AG50</f>
        <v>-400000</v>
      </c>
      <c r="H52" s="103">
        <f>(G50*40%)-AG50</f>
        <v>10316800</v>
      </c>
      <c r="I52" s="104" t="s">
        <v>71</v>
      </c>
      <c r="J52" s="251">
        <f>J51</f>
        <v>46084</v>
      </c>
      <c r="K52" s="462">
        <f>K51</f>
        <v>46086</v>
      </c>
      <c r="L52" s="252">
        <v>46118</v>
      </c>
      <c r="M52" s="91">
        <f t="shared" ref="M52" si="29">IF(L52&lt;&gt;"", L52+30, "")</f>
        <v>46148</v>
      </c>
      <c r="N52" s="91">
        <v>46156</v>
      </c>
      <c r="O52" s="371">
        <f>H52*1.1</f>
        <v>11348480</v>
      </c>
      <c r="P52" s="80">
        <f t="shared" si="28"/>
        <v>0</v>
      </c>
      <c r="Q52" s="465">
        <v>46105</v>
      </c>
      <c r="R52" s="93">
        <f>N52-Q52</f>
        <v>51</v>
      </c>
      <c r="S52" s="81" t="str">
        <f t="shared" ca="1" si="10"/>
        <v/>
      </c>
      <c r="T52" s="97"/>
      <c r="U52" s="95"/>
      <c r="V52" s="95"/>
      <c r="W52" s="66"/>
      <c r="X52" s="97"/>
      <c r="Y52" s="95"/>
      <c r="Z52" s="96"/>
      <c r="AA52" s="66"/>
      <c r="AB52" s="97"/>
      <c r="AC52" s="95"/>
      <c r="AD52" s="95"/>
      <c r="AE52" s="95"/>
      <c r="AF52" s="95"/>
      <c r="AG52" s="96"/>
      <c r="AH52" s="66"/>
      <c r="AI52" s="66"/>
    </row>
    <row r="53" spans="1:35" s="98" customFormat="1" ht="13.5" customHeight="1">
      <c r="A53" s="5"/>
      <c r="B53" s="74">
        <f t="shared" ref="B53:B55" si="30">IF(I52="잔금", B52+1, B52)</f>
        <v>18</v>
      </c>
      <c r="C53" s="453" t="s">
        <v>756</v>
      </c>
      <c r="D53" s="451" t="s">
        <v>2124</v>
      </c>
      <c r="E53" s="510" t="s">
        <v>844</v>
      </c>
      <c r="F53" s="77">
        <v>226100000</v>
      </c>
      <c r="G53" s="77">
        <f>F53-Z53-Z54</f>
        <v>145352000</v>
      </c>
      <c r="H53" s="77">
        <v>29070400</v>
      </c>
      <c r="I53" s="89" t="s">
        <v>69</v>
      </c>
      <c r="J53" s="250">
        <v>46087</v>
      </c>
      <c r="K53" s="474">
        <v>46091</v>
      </c>
      <c r="L53" s="250">
        <v>46090</v>
      </c>
      <c r="M53" s="91">
        <f>IF(L53&lt;&gt;"", L53+20, "")</f>
        <v>46110</v>
      </c>
      <c r="N53" s="91">
        <v>46094</v>
      </c>
      <c r="O53" s="371">
        <f>H53*1.1</f>
        <v>31977440.000000004</v>
      </c>
      <c r="P53" s="80">
        <f t="shared" ref="P53:P55" si="31">IF(L53="", 0, (H53*1.1)-O53)</f>
        <v>0</v>
      </c>
      <c r="Q53" s="462">
        <f>Q55</f>
        <v>46141</v>
      </c>
      <c r="R53" s="93"/>
      <c r="S53" s="81" t="str">
        <f t="shared" ca="1" si="10"/>
        <v/>
      </c>
      <c r="T53" s="97">
        <v>125728100</v>
      </c>
      <c r="U53" s="83">
        <f>G53-T53-AG53</f>
        <v>15813900</v>
      </c>
      <c r="V53" s="85">
        <f>U53/F53</f>
        <v>6.9942061034940287E-2</v>
      </c>
      <c r="W53" s="66"/>
      <c r="X53" s="97" t="s">
        <v>551</v>
      </c>
      <c r="Y53" s="95">
        <v>12000</v>
      </c>
      <c r="Z53" s="96">
        <f>6729*Y53</f>
        <v>80748000</v>
      </c>
      <c r="AA53" s="66"/>
      <c r="AB53" s="97">
        <v>2760000</v>
      </c>
      <c r="AC53" s="95"/>
      <c r="AD53" s="95"/>
      <c r="AE53" s="95">
        <f>450000+600000</f>
        <v>1050000</v>
      </c>
      <c r="AF53" s="95"/>
      <c r="AG53" s="84">
        <f>SUM(AB53:AF53)</f>
        <v>3810000</v>
      </c>
      <c r="AH53" s="66"/>
      <c r="AI53" s="66"/>
    </row>
    <row r="54" spans="1:35" s="98" customFormat="1" ht="13.5" customHeight="1">
      <c r="A54" s="5"/>
      <c r="B54" s="74">
        <f t="shared" si="30"/>
        <v>18</v>
      </c>
      <c r="C54" s="513" t="s">
        <v>66</v>
      </c>
      <c r="D54" s="75" t="str">
        <f>D53</f>
        <v>주식회사 유광씨앤씨</v>
      </c>
      <c r="E54" s="75" t="str">
        <f>E53</f>
        <v>성원아파트2단지</v>
      </c>
      <c r="F54" s="88"/>
      <c r="G54" s="88"/>
      <c r="H54" s="77">
        <v>72676000</v>
      </c>
      <c r="I54" s="92" t="s">
        <v>846</v>
      </c>
      <c r="J54" s="251">
        <f>J53</f>
        <v>46087</v>
      </c>
      <c r="K54" s="462">
        <f>K53</f>
        <v>46091</v>
      </c>
      <c r="L54" s="252">
        <v>46122</v>
      </c>
      <c r="M54" s="91">
        <f>IF(L54&lt;&gt;"", L54+30, "")</f>
        <v>46152</v>
      </c>
      <c r="N54" s="91">
        <v>46127</v>
      </c>
      <c r="O54" s="371">
        <f>H54*1.1</f>
        <v>79943600</v>
      </c>
      <c r="P54" s="80">
        <f t="shared" si="31"/>
        <v>0</v>
      </c>
      <c r="Q54" s="462">
        <f>Q55</f>
        <v>46141</v>
      </c>
      <c r="R54" s="93"/>
      <c r="S54" s="81" t="str">
        <f t="shared" ca="1" si="10"/>
        <v/>
      </c>
      <c r="T54" s="97"/>
      <c r="U54" s="95"/>
      <c r="V54" s="95"/>
      <c r="W54" s="66"/>
      <c r="X54" s="97"/>
      <c r="Y54" s="95"/>
      <c r="Z54" s="96">
        <f>528*Y54</f>
        <v>0</v>
      </c>
      <c r="AA54" s="66"/>
      <c r="AB54" s="97"/>
      <c r="AC54" s="95"/>
      <c r="AD54" s="95"/>
      <c r="AE54" s="95"/>
      <c r="AF54" s="95"/>
      <c r="AG54" s="96"/>
      <c r="AH54" s="66"/>
      <c r="AI54" s="66"/>
    </row>
    <row r="55" spans="1:35" s="98" customFormat="1" ht="13.5" customHeight="1">
      <c r="A55" s="5"/>
      <c r="B55" s="74">
        <f t="shared" si="30"/>
        <v>18</v>
      </c>
      <c r="C55" s="514" t="s">
        <v>66</v>
      </c>
      <c r="D55" s="99" t="str">
        <f>D54</f>
        <v>주식회사 유광씨앤씨</v>
      </c>
      <c r="E55" s="503" t="str">
        <f>E54</f>
        <v>성원아파트2단지</v>
      </c>
      <c r="F55" s="102"/>
      <c r="G55" s="88">
        <f>-AG53</f>
        <v>-3810000</v>
      </c>
      <c r="H55" s="103">
        <f>(G53-H53-H54)-AG53</f>
        <v>39795600</v>
      </c>
      <c r="I55" s="104" t="s">
        <v>71</v>
      </c>
      <c r="J55" s="251">
        <f>J54</f>
        <v>46087</v>
      </c>
      <c r="K55" s="462">
        <f>K54</f>
        <v>46091</v>
      </c>
      <c r="L55" s="252">
        <v>46154</v>
      </c>
      <c r="M55" s="91">
        <f t="shared" ref="M55" si="32">IF(L55&lt;&gt;"", L55+30, "")</f>
        <v>46184</v>
      </c>
      <c r="N55" s="90"/>
      <c r="O55" s="371"/>
      <c r="P55" s="80">
        <f t="shared" si="31"/>
        <v>43775160</v>
      </c>
      <c r="Q55" s="463">
        <v>46141</v>
      </c>
      <c r="R55" s="93"/>
      <c r="S55" s="81" t="str">
        <f t="shared" ca="1" si="10"/>
        <v/>
      </c>
      <c r="T55" s="97"/>
      <c r="U55" s="95"/>
      <c r="V55" s="95"/>
      <c r="W55" s="66"/>
      <c r="X55" s="97"/>
      <c r="Y55" s="95"/>
      <c r="Z55" s="96"/>
      <c r="AA55" s="66"/>
      <c r="AB55" s="97"/>
      <c r="AC55" s="95"/>
      <c r="AD55" s="95"/>
      <c r="AE55" s="95"/>
      <c r="AF55" s="95"/>
      <c r="AG55" s="96"/>
      <c r="AH55" s="66"/>
      <c r="AI55" s="66"/>
    </row>
    <row r="56" spans="1:35" s="98" customFormat="1" ht="13.5" customHeight="1">
      <c r="A56" s="5"/>
      <c r="B56" s="74">
        <f t="shared" ref="B56:B62" si="33">IF(I55="잔금", B55+1, B55)</f>
        <v>19</v>
      </c>
      <c r="C56" s="453" t="s">
        <v>756</v>
      </c>
      <c r="D56" s="449" t="s">
        <v>847</v>
      </c>
      <c r="E56" s="461" t="s">
        <v>845</v>
      </c>
      <c r="F56" s="77">
        <v>261900000</v>
      </c>
      <c r="G56" s="77">
        <f>F56-Z56-Z57</f>
        <v>187820000</v>
      </c>
      <c r="H56" s="77">
        <v>59166000</v>
      </c>
      <c r="I56" s="89" t="s">
        <v>69</v>
      </c>
      <c r="J56" s="250">
        <v>46090</v>
      </c>
      <c r="K56" s="474">
        <v>46091</v>
      </c>
      <c r="L56" s="250">
        <v>46091</v>
      </c>
      <c r="M56" s="91">
        <f>IF(L56&lt;&gt;"", L56+20, "")</f>
        <v>46111</v>
      </c>
      <c r="N56" s="91">
        <v>46094</v>
      </c>
      <c r="O56" s="371">
        <f>H56*1.1</f>
        <v>65082600.000000007</v>
      </c>
      <c r="P56" s="80">
        <f t="shared" ref="P56:P62" si="34">IF(L56="", 0, (H56*1.1)-O56)</f>
        <v>0</v>
      </c>
      <c r="Q56" s="462">
        <f>Q58</f>
        <v>46136</v>
      </c>
      <c r="R56" s="93"/>
      <c r="S56" s="81" t="str">
        <f t="shared" ca="1" si="10"/>
        <v/>
      </c>
      <c r="T56" s="97">
        <v>114475700</v>
      </c>
      <c r="U56" s="83">
        <f>G56-T56-AG56</f>
        <v>53486300</v>
      </c>
      <c r="V56" s="85">
        <f>U56/F56</f>
        <v>0.20422413134784267</v>
      </c>
      <c r="W56" s="66"/>
      <c r="X56" s="97" t="s">
        <v>558</v>
      </c>
      <c r="Y56" s="95">
        <v>10000</v>
      </c>
      <c r="Z56" s="96">
        <f>7408*Y56</f>
        <v>74080000</v>
      </c>
      <c r="AA56" s="66"/>
      <c r="AB56" s="97">
        <v>19858000</v>
      </c>
      <c r="AC56" s="95"/>
      <c r="AD56" s="95"/>
      <c r="AE56" s="95"/>
      <c r="AF56" s="95"/>
      <c r="AG56" s="84">
        <f>SUM(AB56:AF56)</f>
        <v>19858000</v>
      </c>
      <c r="AH56" s="66"/>
      <c r="AI56" s="66"/>
    </row>
    <row r="57" spans="1:35" s="98" customFormat="1" ht="13.5" customHeight="1">
      <c r="A57" s="5"/>
      <c r="B57" s="74">
        <f t="shared" si="33"/>
        <v>19</v>
      </c>
      <c r="C57" s="513" t="s">
        <v>66</v>
      </c>
      <c r="D57" s="75" t="str">
        <f>D56</f>
        <v>이루미건설㈜</v>
      </c>
      <c r="E57" s="75" t="str">
        <f>E56</f>
        <v>갈매스타힐스아파트</v>
      </c>
      <c r="F57" s="88"/>
      <c r="G57" s="88"/>
      <c r="H57" s="77">
        <v>39444000</v>
      </c>
      <c r="I57" s="380" t="s">
        <v>894</v>
      </c>
      <c r="J57" s="251">
        <f>J56</f>
        <v>46090</v>
      </c>
      <c r="K57" s="462">
        <f>K56</f>
        <v>46091</v>
      </c>
      <c r="L57" s="252">
        <v>46115</v>
      </c>
      <c r="M57" s="91">
        <f>IF(L57&lt;&gt;"", L57+30, "")</f>
        <v>46145</v>
      </c>
      <c r="N57" s="91">
        <v>46127</v>
      </c>
      <c r="O57" s="371">
        <f>H57*1.1</f>
        <v>43388400</v>
      </c>
      <c r="P57" s="80">
        <f t="shared" si="34"/>
        <v>0</v>
      </c>
      <c r="Q57" s="462">
        <f>Q58</f>
        <v>46136</v>
      </c>
      <c r="R57" s="93"/>
      <c r="S57" s="81" t="str">
        <f t="shared" ca="1" si="10"/>
        <v/>
      </c>
      <c r="T57" s="97"/>
      <c r="U57" s="95"/>
      <c r="V57" s="95"/>
      <c r="W57" s="66"/>
      <c r="X57" s="97"/>
      <c r="Y57" s="95"/>
      <c r="Z57" s="96">
        <f>528*Y57</f>
        <v>0</v>
      </c>
      <c r="AA57" s="66"/>
      <c r="AB57" s="97"/>
      <c r="AC57" s="95"/>
      <c r="AD57" s="95"/>
      <c r="AE57" s="95"/>
      <c r="AF57" s="95"/>
      <c r="AG57" s="96"/>
      <c r="AH57" s="66"/>
      <c r="AI57" s="66"/>
    </row>
    <row r="58" spans="1:35" s="98" customFormat="1" ht="13.5" customHeight="1">
      <c r="A58" s="5"/>
      <c r="B58" s="74">
        <f t="shared" si="33"/>
        <v>19</v>
      </c>
      <c r="C58" s="513" t="s">
        <v>66</v>
      </c>
      <c r="D58" s="75" t="str">
        <f>D57</f>
        <v>이루미건설㈜</v>
      </c>
      <c r="E58" s="75" t="str">
        <f>E57</f>
        <v>갈매스타힐스아파트</v>
      </c>
      <c r="F58" s="378"/>
      <c r="G58" s="88"/>
      <c r="H58" s="77">
        <v>59166000</v>
      </c>
      <c r="I58" s="379" t="s">
        <v>895</v>
      </c>
      <c r="J58" s="251">
        <f>J57</f>
        <v>46090</v>
      </c>
      <c r="K58" s="462">
        <f>K57</f>
        <v>46091</v>
      </c>
      <c r="L58" s="252">
        <v>46125</v>
      </c>
      <c r="M58" s="91">
        <f>IF(L58&lt;&gt;"", L58+30, "")</f>
        <v>46155</v>
      </c>
      <c r="N58" s="90"/>
      <c r="O58" s="371"/>
      <c r="P58" s="80">
        <f t="shared" si="34"/>
        <v>65082600.000000007</v>
      </c>
      <c r="Q58" s="462">
        <f>Q59</f>
        <v>46136</v>
      </c>
      <c r="R58" s="93"/>
      <c r="S58" s="81" t="str">
        <f t="shared" ca="1" si="10"/>
        <v>관리</v>
      </c>
      <c r="T58" s="97"/>
      <c r="U58" s="95"/>
      <c r="V58" s="95"/>
      <c r="W58" s="66"/>
      <c r="X58" s="97"/>
      <c r="Y58" s="95"/>
      <c r="Z58" s="96"/>
      <c r="AA58" s="66"/>
      <c r="AB58" s="97"/>
      <c r="AC58" s="95"/>
      <c r="AD58" s="95"/>
      <c r="AE58" s="95"/>
      <c r="AF58" s="95"/>
      <c r="AG58" s="96"/>
      <c r="AH58" s="66"/>
      <c r="AI58" s="66"/>
    </row>
    <row r="59" spans="1:35" s="98" customFormat="1" ht="13.5" customHeight="1">
      <c r="A59" s="5"/>
      <c r="B59" s="74">
        <f t="shared" si="33"/>
        <v>19</v>
      </c>
      <c r="C59" s="514" t="s">
        <v>66</v>
      </c>
      <c r="D59" s="99" t="str">
        <f>D57</f>
        <v>이루미건설㈜</v>
      </c>
      <c r="E59" s="503" t="str">
        <f>E57</f>
        <v>갈매스타힐스아파트</v>
      </c>
      <c r="F59" s="102"/>
      <c r="G59" s="88">
        <f>-AG56</f>
        <v>-19858000</v>
      </c>
      <c r="H59" s="103">
        <f>G56-H56-H57-H58-AG56</f>
        <v>10186000</v>
      </c>
      <c r="I59" s="104" t="s">
        <v>71</v>
      </c>
      <c r="J59" s="251">
        <f>J57</f>
        <v>46090</v>
      </c>
      <c r="K59" s="462">
        <f>K58</f>
        <v>46091</v>
      </c>
      <c r="L59" s="252">
        <v>46155</v>
      </c>
      <c r="M59" s="91">
        <f t="shared" ref="M59" si="35">IF(L59&lt;&gt;"", L59+30, "")</f>
        <v>46185</v>
      </c>
      <c r="N59" s="90"/>
      <c r="O59" s="371"/>
      <c r="P59" s="80">
        <f t="shared" si="34"/>
        <v>11204600</v>
      </c>
      <c r="Q59" s="463">
        <v>46136</v>
      </c>
      <c r="R59" s="93"/>
      <c r="S59" s="81" t="str">
        <f t="shared" ca="1" si="10"/>
        <v/>
      </c>
      <c r="T59" s="97"/>
      <c r="U59" s="95"/>
      <c r="V59" s="95"/>
      <c r="W59" s="66"/>
      <c r="X59" s="97"/>
      <c r="Y59" s="95"/>
      <c r="Z59" s="96"/>
      <c r="AA59" s="66"/>
      <c r="AB59" s="97"/>
      <c r="AC59" s="95"/>
      <c r="AD59" s="95"/>
      <c r="AE59" s="95"/>
      <c r="AF59" s="95"/>
      <c r="AG59" s="96"/>
      <c r="AH59" s="66"/>
      <c r="AI59" s="66"/>
    </row>
    <row r="60" spans="1:35" s="98" customFormat="1" ht="13.5" customHeight="1">
      <c r="A60" s="5"/>
      <c r="B60" s="74">
        <f t="shared" si="33"/>
        <v>20</v>
      </c>
      <c r="C60" s="453" t="s">
        <v>756</v>
      </c>
      <c r="D60" s="449" t="s">
        <v>1033</v>
      </c>
      <c r="E60" s="461" t="s">
        <v>1034</v>
      </c>
      <c r="F60" s="77">
        <v>129800000</v>
      </c>
      <c r="G60" s="77">
        <f>F60-Z60-Z61</f>
        <v>95103000</v>
      </c>
      <c r="H60" s="77">
        <v>28530900</v>
      </c>
      <c r="I60" s="89" t="s">
        <v>69</v>
      </c>
      <c r="J60" s="250">
        <v>46094</v>
      </c>
      <c r="K60" s="474">
        <v>46098</v>
      </c>
      <c r="L60" s="250">
        <v>46099</v>
      </c>
      <c r="M60" s="91">
        <f>IF(L60&lt;&gt;"", L60+20, "")</f>
        <v>46119</v>
      </c>
      <c r="N60" s="91">
        <v>46115</v>
      </c>
      <c r="O60" s="371">
        <f>H60*1.1</f>
        <v>31383990.000000004</v>
      </c>
      <c r="P60" s="80">
        <f t="shared" si="34"/>
        <v>0</v>
      </c>
      <c r="Q60" s="462" t="str">
        <f>Q62</f>
        <v>(예)2026-05-31</v>
      </c>
      <c r="R60" s="93"/>
      <c r="S60" s="81" t="str">
        <f t="shared" ca="1" si="10"/>
        <v/>
      </c>
      <c r="T60" s="97"/>
      <c r="U60" s="95"/>
      <c r="V60" s="95"/>
      <c r="W60" s="66"/>
      <c r="X60" s="97" t="s">
        <v>1035</v>
      </c>
      <c r="Y60" s="95">
        <v>13000</v>
      </c>
      <c r="Z60" s="96">
        <f>Y60*(2415+254)</f>
        <v>34697000</v>
      </c>
      <c r="AA60" s="66"/>
      <c r="AB60" s="97">
        <v>12835000</v>
      </c>
      <c r="AC60" s="95"/>
      <c r="AD60" s="95"/>
      <c r="AE60" s="95"/>
      <c r="AF60" s="95"/>
      <c r="AG60" s="84">
        <f>SUM(AB60:AF60)</f>
        <v>12835000</v>
      </c>
      <c r="AH60" s="66"/>
      <c r="AI60" s="66"/>
    </row>
    <row r="61" spans="1:35" s="98" customFormat="1" ht="13.5" customHeight="1">
      <c r="A61" s="5"/>
      <c r="B61" s="74">
        <f t="shared" si="33"/>
        <v>20</v>
      </c>
      <c r="C61" s="513" t="s">
        <v>66</v>
      </c>
      <c r="D61" s="75" t="str">
        <f>D60</f>
        <v>(주)국제특수건설</v>
      </c>
      <c r="E61" s="75" t="str">
        <f>E60</f>
        <v>고척파크푸르지오</v>
      </c>
      <c r="F61" s="88"/>
      <c r="G61" s="88"/>
      <c r="H61" s="77">
        <v>38041200</v>
      </c>
      <c r="I61" s="92" t="s">
        <v>536</v>
      </c>
      <c r="J61" s="251">
        <f>J60</f>
        <v>46094</v>
      </c>
      <c r="K61" s="462">
        <f>K60</f>
        <v>46098</v>
      </c>
      <c r="L61" s="252">
        <v>46149</v>
      </c>
      <c r="M61" s="91"/>
      <c r="N61" s="90"/>
      <c r="O61" s="371"/>
      <c r="P61" s="80">
        <f t="shared" si="34"/>
        <v>41845320</v>
      </c>
      <c r="Q61" s="462" t="str">
        <f>Q62</f>
        <v>(예)2026-05-31</v>
      </c>
      <c r="R61" s="93"/>
      <c r="S61" s="81" t="str">
        <f t="shared" ca="1" si="10"/>
        <v/>
      </c>
      <c r="T61" s="97"/>
      <c r="U61" s="95"/>
      <c r="V61" s="95"/>
      <c r="W61" s="66"/>
      <c r="X61" s="97"/>
      <c r="Y61" s="95"/>
      <c r="Z61" s="96">
        <f>528*Y61</f>
        <v>0</v>
      </c>
      <c r="AA61" s="66"/>
      <c r="AB61" s="97"/>
      <c r="AC61" s="95"/>
      <c r="AD61" s="95"/>
      <c r="AE61" s="95"/>
      <c r="AF61" s="95"/>
      <c r="AG61" s="96"/>
      <c r="AH61" s="66"/>
      <c r="AI61" s="66"/>
    </row>
    <row r="62" spans="1:35" s="98" customFormat="1" ht="13.5" customHeight="1">
      <c r="A62" s="5"/>
      <c r="B62" s="74">
        <f t="shared" si="33"/>
        <v>20</v>
      </c>
      <c r="C62" s="514" t="s">
        <v>66</v>
      </c>
      <c r="D62" s="99" t="str">
        <f>D61</f>
        <v>(주)국제특수건설</v>
      </c>
      <c r="E62" s="99" t="str">
        <f>E61</f>
        <v>고척파크푸르지오</v>
      </c>
      <c r="F62" s="102"/>
      <c r="G62" s="88">
        <f>-AG60</f>
        <v>-12835000</v>
      </c>
      <c r="H62" s="103">
        <f>(G60*30%)-AG60</f>
        <v>15695900</v>
      </c>
      <c r="I62" s="104" t="s">
        <v>71</v>
      </c>
      <c r="J62" s="251">
        <f>J61</f>
        <v>46094</v>
      </c>
      <c r="K62" s="462">
        <f>K61</f>
        <v>46098</v>
      </c>
      <c r="L62" s="252"/>
      <c r="M62" s="91" t="str">
        <f t="shared" ref="M62" si="36">IF(L62&lt;&gt;"", L62+30, "")</f>
        <v/>
      </c>
      <c r="N62" s="90"/>
      <c r="O62" s="371"/>
      <c r="P62" s="80">
        <f t="shared" si="34"/>
        <v>0</v>
      </c>
      <c r="Q62" s="463" t="s">
        <v>1943</v>
      </c>
      <c r="R62" s="93"/>
      <c r="S62" s="81" t="str">
        <f t="shared" ca="1" si="10"/>
        <v/>
      </c>
      <c r="T62" s="97"/>
      <c r="U62" s="95"/>
      <c r="V62" s="95"/>
      <c r="W62" s="66"/>
      <c r="X62" s="97"/>
      <c r="Y62" s="95"/>
      <c r="Z62" s="96"/>
      <c r="AA62" s="66"/>
      <c r="AB62" s="97"/>
      <c r="AC62" s="95"/>
      <c r="AD62" s="95"/>
      <c r="AE62" s="95"/>
      <c r="AF62" s="95"/>
      <c r="AG62" s="96"/>
      <c r="AH62" s="66"/>
      <c r="AI62" s="66"/>
    </row>
    <row r="63" spans="1:35" s="98" customFormat="1" ht="13.5" customHeight="1">
      <c r="A63" s="5"/>
      <c r="B63" s="74">
        <f t="shared" ref="B63:B65" si="37">IF(I62="잔금", B62+1, B62)</f>
        <v>21</v>
      </c>
      <c r="C63" s="453" t="s">
        <v>756</v>
      </c>
      <c r="D63" s="449" t="s">
        <v>1037</v>
      </c>
      <c r="E63" s="461" t="s">
        <v>1036</v>
      </c>
      <c r="F63" s="77">
        <v>179600000</v>
      </c>
      <c r="G63" s="77">
        <f>F63-Z63-Z64</f>
        <v>131848000</v>
      </c>
      <c r="H63" s="77">
        <v>26089600</v>
      </c>
      <c r="I63" s="89" t="s">
        <v>69</v>
      </c>
      <c r="J63" s="250">
        <v>46094</v>
      </c>
      <c r="K63" s="474">
        <v>46098</v>
      </c>
      <c r="L63" s="250">
        <v>46099</v>
      </c>
      <c r="M63" s="91">
        <f>IF(L63&lt;&gt;"", L63+20, "")</f>
        <v>46119</v>
      </c>
      <c r="N63" s="91">
        <v>46099</v>
      </c>
      <c r="O63" s="371">
        <f>H63*1.1</f>
        <v>28698560.000000004</v>
      </c>
      <c r="P63" s="80">
        <f t="shared" ref="P63:P65" si="38">IF(L63="", 0, (H63*1.1)-O63)</f>
        <v>0</v>
      </c>
      <c r="Q63" s="462">
        <f>Q65</f>
        <v>46146</v>
      </c>
      <c r="R63" s="93"/>
      <c r="S63" s="81" t="str">
        <f t="shared" ca="1" si="10"/>
        <v/>
      </c>
      <c r="T63" s="97"/>
      <c r="U63" s="95"/>
      <c r="V63" s="95"/>
      <c r="W63" s="66"/>
      <c r="X63" s="97" t="s">
        <v>1038</v>
      </c>
      <c r="Y63" s="404" t="s">
        <v>1039</v>
      </c>
      <c r="Z63" s="96">
        <f>(10000*4183)+(9000*658)</f>
        <v>47752000</v>
      </c>
      <c r="AA63" s="66"/>
      <c r="AB63" s="97">
        <v>24272000</v>
      </c>
      <c r="AC63" s="95"/>
      <c r="AD63" s="95"/>
      <c r="AE63" s="95">
        <v>400000</v>
      </c>
      <c r="AF63" s="95"/>
      <c r="AG63" s="84">
        <f>SUM(AB63:AF63)</f>
        <v>24672000</v>
      </c>
      <c r="AH63" s="66"/>
      <c r="AI63" s="66"/>
    </row>
    <row r="64" spans="1:35" s="98" customFormat="1" ht="13.5" customHeight="1">
      <c r="A64" s="5"/>
      <c r="B64" s="74">
        <f t="shared" si="37"/>
        <v>21</v>
      </c>
      <c r="C64" s="513" t="s">
        <v>66</v>
      </c>
      <c r="D64" s="75" t="str">
        <f>D63</f>
        <v>동현이앤씨㈜</v>
      </c>
      <c r="E64" s="75" t="str">
        <f>E63</f>
        <v>코오롱아파트</v>
      </c>
      <c r="F64" s="88"/>
      <c r="G64" s="88"/>
      <c r="H64" s="77">
        <v>65224000</v>
      </c>
      <c r="I64" s="92" t="s">
        <v>536</v>
      </c>
      <c r="J64" s="251">
        <f>J63</f>
        <v>46094</v>
      </c>
      <c r="K64" s="462">
        <f>K63</f>
        <v>46098</v>
      </c>
      <c r="L64" s="252">
        <v>46129</v>
      </c>
      <c r="M64" s="91">
        <f>IF(L64&lt;&gt;"", L64+30, "")</f>
        <v>46159</v>
      </c>
      <c r="N64" s="91">
        <v>46140</v>
      </c>
      <c r="O64" s="371">
        <f>H64*1.1</f>
        <v>71746400</v>
      </c>
      <c r="P64" s="80">
        <f t="shared" si="38"/>
        <v>0</v>
      </c>
      <c r="Q64" s="462">
        <f>Q65</f>
        <v>46146</v>
      </c>
      <c r="R64" s="93"/>
      <c r="S64" s="81" t="str">
        <f t="shared" ca="1" si="10"/>
        <v/>
      </c>
      <c r="T64" s="97"/>
      <c r="U64" s="95"/>
      <c r="V64" s="95"/>
      <c r="W64" s="66"/>
      <c r="X64" s="97"/>
      <c r="Y64" s="95"/>
      <c r="Z64" s="96">
        <f>528*Y64</f>
        <v>0</v>
      </c>
      <c r="AA64" s="66"/>
      <c r="AB64" s="97"/>
      <c r="AC64" s="95"/>
      <c r="AD64" s="95"/>
      <c r="AE64" s="95"/>
      <c r="AF64" s="95"/>
      <c r="AG64" s="96"/>
      <c r="AH64" s="66"/>
      <c r="AI64" s="66"/>
    </row>
    <row r="65" spans="1:35" s="98" customFormat="1" ht="13.5" customHeight="1">
      <c r="A65" s="5"/>
      <c r="B65" s="74">
        <f t="shared" si="37"/>
        <v>21</v>
      </c>
      <c r="C65" s="514" t="s">
        <v>66</v>
      </c>
      <c r="D65" s="99" t="str">
        <f>D64</f>
        <v>동현이앤씨㈜</v>
      </c>
      <c r="E65" s="99" t="str">
        <f>E64</f>
        <v>코오롱아파트</v>
      </c>
      <c r="F65" s="102"/>
      <c r="G65" s="88">
        <f>-AG63</f>
        <v>-24672000</v>
      </c>
      <c r="H65" s="103">
        <f>(G63-H63-H64)-AG63</f>
        <v>15862400</v>
      </c>
      <c r="I65" s="104" t="s">
        <v>71</v>
      </c>
      <c r="J65" s="251">
        <f>J64</f>
        <v>46094</v>
      </c>
      <c r="K65" s="462">
        <f>K64</f>
        <v>46098</v>
      </c>
      <c r="L65" s="252">
        <v>46156</v>
      </c>
      <c r="M65" s="91">
        <f t="shared" ref="M65" si="39">IF(L65&lt;&gt;"", L65+30, "")</f>
        <v>46186</v>
      </c>
      <c r="N65" s="90"/>
      <c r="O65" s="371"/>
      <c r="P65" s="80">
        <f t="shared" si="38"/>
        <v>17448640</v>
      </c>
      <c r="Q65" s="463">
        <v>46146</v>
      </c>
      <c r="R65" s="93"/>
      <c r="S65" s="81" t="str">
        <f t="shared" ca="1" si="10"/>
        <v/>
      </c>
      <c r="T65" s="97"/>
      <c r="U65" s="95"/>
      <c r="V65" s="95"/>
      <c r="W65" s="66"/>
      <c r="X65" s="97"/>
      <c r="Y65" s="95"/>
      <c r="Z65" s="96"/>
      <c r="AA65" s="66"/>
      <c r="AB65" s="97"/>
      <c r="AC65" s="95"/>
      <c r="AD65" s="95"/>
      <c r="AE65" s="95"/>
      <c r="AF65" s="95"/>
      <c r="AG65" s="96"/>
      <c r="AH65" s="66"/>
      <c r="AI65" s="66"/>
    </row>
    <row r="66" spans="1:35" s="98" customFormat="1" ht="13.5" customHeight="1">
      <c r="A66" s="5"/>
      <c r="B66" s="74">
        <f t="shared" ref="B66:B68" si="40">IF(I65="잔금", B65+1, B65)</f>
        <v>22</v>
      </c>
      <c r="C66" s="453" t="s">
        <v>756</v>
      </c>
      <c r="D66" s="449" t="s">
        <v>1386</v>
      </c>
      <c r="E66" s="461" t="s">
        <v>1040</v>
      </c>
      <c r="F66" s="77">
        <v>142600000</v>
      </c>
      <c r="G66" s="77">
        <f>F66-Z66-Z67</f>
        <v>92497000</v>
      </c>
      <c r="H66" s="77">
        <v>27749100</v>
      </c>
      <c r="I66" s="89" t="s">
        <v>69</v>
      </c>
      <c r="J66" s="250">
        <v>46094</v>
      </c>
      <c r="K66" s="474">
        <v>46098</v>
      </c>
      <c r="L66" s="250">
        <v>46099</v>
      </c>
      <c r="M66" s="91">
        <f>IF(L66&lt;&gt;"", L66+20, "")</f>
        <v>46119</v>
      </c>
      <c r="N66" s="91">
        <v>46115</v>
      </c>
      <c r="O66" s="371">
        <f>H66*1.1</f>
        <v>30524010.000000004</v>
      </c>
      <c r="P66" s="80">
        <f t="shared" ref="P66:P68" si="41">IF(L66="", 0, (H66*1.1)-O66)</f>
        <v>0</v>
      </c>
      <c r="Q66" s="462">
        <f>Q68</f>
        <v>46128</v>
      </c>
      <c r="R66" s="93"/>
      <c r="S66" s="81" t="str">
        <f t="shared" ca="1" si="10"/>
        <v/>
      </c>
      <c r="T66" s="97">
        <v>50515700</v>
      </c>
      <c r="U66" s="83">
        <f>G66-T66-AG66</f>
        <v>34789300</v>
      </c>
      <c r="V66" s="85">
        <f>U66/F66</f>
        <v>0.24396423562412342</v>
      </c>
      <c r="W66" s="66"/>
      <c r="X66" s="97" t="s">
        <v>1077</v>
      </c>
      <c r="Y66" s="404" t="s">
        <v>1078</v>
      </c>
      <c r="Z66" s="96">
        <f>(13000*2871)+(10000*1278)</f>
        <v>50103000</v>
      </c>
      <c r="AA66" s="66"/>
      <c r="AB66" s="97">
        <v>6492000</v>
      </c>
      <c r="AC66" s="95"/>
      <c r="AD66" s="95"/>
      <c r="AE66" s="95">
        <v>700000</v>
      </c>
      <c r="AF66" s="95"/>
      <c r="AG66" s="84">
        <f>SUM(AB66:AF66)</f>
        <v>7192000</v>
      </c>
      <c r="AH66" s="66"/>
      <c r="AI66" s="66"/>
    </row>
    <row r="67" spans="1:35" s="98" customFormat="1" ht="13.5" customHeight="1">
      <c r="A67" s="5"/>
      <c r="B67" s="74">
        <f t="shared" si="40"/>
        <v>22</v>
      </c>
      <c r="C67" s="513" t="s">
        <v>66</v>
      </c>
      <c r="D67" s="75" t="str">
        <f>D66</f>
        <v>주식회사 수지씨앤에스</v>
      </c>
      <c r="E67" s="75" t="str">
        <f>E66</f>
        <v>수림1차아파트</v>
      </c>
      <c r="F67" s="88"/>
      <c r="G67" s="88"/>
      <c r="H67" s="77">
        <v>36998800</v>
      </c>
      <c r="I67" s="92" t="s">
        <v>536</v>
      </c>
      <c r="J67" s="251">
        <f>J66</f>
        <v>46094</v>
      </c>
      <c r="K67" s="462">
        <f>K66</f>
        <v>46098</v>
      </c>
      <c r="L67" s="252">
        <v>46115</v>
      </c>
      <c r="M67" s="91">
        <f>IF(L67&lt;&gt;"", L67+30, "")</f>
        <v>46145</v>
      </c>
      <c r="N67" s="91">
        <v>46142</v>
      </c>
      <c r="O67" s="371">
        <f>H67*1.1</f>
        <v>40698680</v>
      </c>
      <c r="P67" s="80">
        <f t="shared" si="41"/>
        <v>0</v>
      </c>
      <c r="Q67" s="462">
        <f>Q68</f>
        <v>46128</v>
      </c>
      <c r="R67" s="93"/>
      <c r="S67" s="81" t="str">
        <f t="shared" ca="1" si="10"/>
        <v/>
      </c>
      <c r="T67" s="97"/>
      <c r="U67" s="95"/>
      <c r="V67" s="95"/>
      <c r="W67" s="66"/>
      <c r="X67" s="97"/>
      <c r="Y67" s="95"/>
      <c r="Z67" s="96">
        <f>528*Y67</f>
        <v>0</v>
      </c>
      <c r="AA67" s="66"/>
      <c r="AB67" s="97"/>
      <c r="AC67" s="95"/>
      <c r="AD67" s="95"/>
      <c r="AE67" s="95"/>
      <c r="AF67" s="95"/>
      <c r="AG67" s="96"/>
      <c r="AH67" s="66"/>
      <c r="AI67" s="66"/>
    </row>
    <row r="68" spans="1:35" s="98" customFormat="1" ht="13.5" customHeight="1">
      <c r="A68" s="5"/>
      <c r="B68" s="74">
        <f t="shared" si="40"/>
        <v>22</v>
      </c>
      <c r="C68" s="514" t="s">
        <v>66</v>
      </c>
      <c r="D68" s="99" t="str">
        <f>D67</f>
        <v>주식회사 수지씨앤에스</v>
      </c>
      <c r="E68" s="503" t="str">
        <f>E67</f>
        <v>수림1차아파트</v>
      </c>
      <c r="F68" s="102"/>
      <c r="G68" s="88">
        <f>-AG66</f>
        <v>-7192000</v>
      </c>
      <c r="H68" s="103">
        <f>(G66*30%)-AG66</f>
        <v>20557100</v>
      </c>
      <c r="I68" s="104" t="s">
        <v>71</v>
      </c>
      <c r="J68" s="251">
        <f>J67</f>
        <v>46094</v>
      </c>
      <c r="K68" s="462">
        <f>K67</f>
        <v>46098</v>
      </c>
      <c r="L68" s="252">
        <v>46157</v>
      </c>
      <c r="M68" s="91">
        <f t="shared" ref="M68" si="42">IF(L68&lt;&gt;"", L68+30, "")</f>
        <v>46187</v>
      </c>
      <c r="N68" s="90"/>
      <c r="O68" s="371"/>
      <c r="P68" s="80">
        <f t="shared" si="41"/>
        <v>22612810</v>
      </c>
      <c r="Q68" s="465">
        <v>46128</v>
      </c>
      <c r="R68" s="93"/>
      <c r="S68" s="81" t="str">
        <f t="shared" ca="1" si="10"/>
        <v/>
      </c>
      <c r="T68" s="97"/>
      <c r="U68" s="95"/>
      <c r="V68" s="95"/>
      <c r="W68" s="66"/>
      <c r="X68" s="97"/>
      <c r="Y68" s="95"/>
      <c r="Z68" s="96"/>
      <c r="AA68" s="66"/>
      <c r="AB68" s="97"/>
      <c r="AC68" s="95"/>
      <c r="AD68" s="95"/>
      <c r="AE68" s="95"/>
      <c r="AF68" s="95"/>
      <c r="AG68" s="96"/>
      <c r="AH68" s="66"/>
      <c r="AI68" s="66"/>
    </row>
    <row r="69" spans="1:35" s="98" customFormat="1" ht="13.5" customHeight="1">
      <c r="A69" s="5"/>
      <c r="B69" s="74">
        <f t="shared" ref="B69:B71" si="43">IF(I68="잔금", B68+1, B68)</f>
        <v>23</v>
      </c>
      <c r="C69" s="453" t="s">
        <v>756</v>
      </c>
      <c r="D69" s="449" t="s">
        <v>1120</v>
      </c>
      <c r="E69" s="461" t="s">
        <v>1121</v>
      </c>
      <c r="F69" s="77">
        <v>72200000</v>
      </c>
      <c r="G69" s="77">
        <f>F69-Z69-Z70</f>
        <v>46148000</v>
      </c>
      <c r="H69" s="77">
        <v>9029600</v>
      </c>
      <c r="I69" s="89" t="s">
        <v>69</v>
      </c>
      <c r="J69" s="250">
        <v>46097</v>
      </c>
      <c r="K69" s="474">
        <v>46100</v>
      </c>
      <c r="L69" s="250">
        <v>46101</v>
      </c>
      <c r="M69" s="91">
        <f>IF(L69&lt;&gt;"", L69+20, "")</f>
        <v>46121</v>
      </c>
      <c r="N69" s="91">
        <v>46114</v>
      </c>
      <c r="O69" s="371">
        <f>H69*1.1</f>
        <v>9932560</v>
      </c>
      <c r="P69" s="80">
        <f t="shared" ref="P69:P71" si="44">IF(L69="", 0, (H69*1.1)-O69)</f>
        <v>0</v>
      </c>
      <c r="Q69" s="462">
        <f>Q71</f>
        <v>46119</v>
      </c>
      <c r="R69" s="93"/>
      <c r="S69" s="81" t="str">
        <f t="shared" ca="1" si="10"/>
        <v/>
      </c>
      <c r="T69" s="97">
        <v>35023000</v>
      </c>
      <c r="U69" s="83">
        <f>G69-T69-AG69</f>
        <v>6321000</v>
      </c>
      <c r="V69" s="85">
        <f>U69/F69</f>
        <v>8.7548476454293631E-2</v>
      </c>
      <c r="W69" s="66"/>
      <c r="X69" s="97" t="s">
        <v>1165</v>
      </c>
      <c r="Y69" s="404">
        <v>13000</v>
      </c>
      <c r="Z69" s="96">
        <f>2004*13000</f>
        <v>26052000</v>
      </c>
      <c r="AA69" s="66"/>
      <c r="AB69" s="97">
        <v>4504000</v>
      </c>
      <c r="AC69" s="95"/>
      <c r="AD69" s="95"/>
      <c r="AE69" s="95">
        <v>300000</v>
      </c>
      <c r="AF69" s="95"/>
      <c r="AG69" s="84">
        <f>SUM(AB69:AF69)</f>
        <v>4804000</v>
      </c>
      <c r="AH69" s="66"/>
      <c r="AI69" s="66"/>
    </row>
    <row r="70" spans="1:35" s="98" customFormat="1" ht="13.5" customHeight="1">
      <c r="A70" s="5"/>
      <c r="B70" s="74">
        <f t="shared" si="43"/>
        <v>23</v>
      </c>
      <c r="C70" s="513" t="s">
        <v>66</v>
      </c>
      <c r="D70" s="75" t="str">
        <f>D69</f>
        <v>주식회사 위즈페인팅</v>
      </c>
      <c r="E70" s="75" t="str">
        <f>E69</f>
        <v>크로바아파트</v>
      </c>
      <c r="F70" s="88"/>
      <c r="G70" s="88"/>
      <c r="H70" s="77">
        <v>18059200</v>
      </c>
      <c r="I70" s="92" t="s">
        <v>536</v>
      </c>
      <c r="J70" s="251">
        <f>J69</f>
        <v>46097</v>
      </c>
      <c r="K70" s="462">
        <f>K69</f>
        <v>46100</v>
      </c>
      <c r="L70" s="252">
        <v>46115</v>
      </c>
      <c r="M70" s="91">
        <f>IF(L70&lt;&gt;"", L70+30, "")</f>
        <v>46145</v>
      </c>
      <c r="N70" s="90"/>
      <c r="O70" s="371"/>
      <c r="P70" s="80">
        <f t="shared" si="44"/>
        <v>19865120</v>
      </c>
      <c r="Q70" s="462">
        <f>Q71</f>
        <v>46119</v>
      </c>
      <c r="R70" s="93"/>
      <c r="S70" s="81" t="str">
        <f t="shared" ca="1" si="10"/>
        <v>관리</v>
      </c>
      <c r="T70" s="97"/>
      <c r="U70" s="95"/>
      <c r="V70" s="95"/>
      <c r="W70" s="66"/>
      <c r="X70" s="97"/>
      <c r="Y70" s="95"/>
      <c r="Z70" s="96">
        <f>528*Y70</f>
        <v>0</v>
      </c>
      <c r="AA70" s="66"/>
      <c r="AB70" s="97"/>
      <c r="AC70" s="95"/>
      <c r="AD70" s="95"/>
      <c r="AE70" s="95"/>
      <c r="AF70" s="95"/>
      <c r="AG70" s="96"/>
      <c r="AH70" s="66"/>
      <c r="AI70" s="66"/>
    </row>
    <row r="71" spans="1:35" s="98" customFormat="1" ht="13.5" customHeight="1">
      <c r="A71" s="5"/>
      <c r="B71" s="74">
        <f t="shared" si="43"/>
        <v>23</v>
      </c>
      <c r="C71" s="514" t="s">
        <v>66</v>
      </c>
      <c r="D71" s="99" t="str">
        <f>D70</f>
        <v>주식회사 위즈페인팅</v>
      </c>
      <c r="E71" s="99" t="str">
        <f>E70</f>
        <v>크로바아파트</v>
      </c>
      <c r="F71" s="102"/>
      <c r="G71" s="88">
        <f>-AG69</f>
        <v>-4804000</v>
      </c>
      <c r="H71" s="103">
        <f>G69-H69-H70-AG69</f>
        <v>14255200</v>
      </c>
      <c r="I71" s="104" t="s">
        <v>71</v>
      </c>
      <c r="J71" s="251">
        <f>J70</f>
        <v>46097</v>
      </c>
      <c r="K71" s="462">
        <f>K70</f>
        <v>46100</v>
      </c>
      <c r="L71" s="252">
        <v>46129</v>
      </c>
      <c r="M71" s="91">
        <f t="shared" ref="M71" si="45">IF(L71&lt;&gt;"", L71+30, "")</f>
        <v>46159</v>
      </c>
      <c r="N71" s="90"/>
      <c r="O71" s="371"/>
      <c r="P71" s="80">
        <f t="shared" si="44"/>
        <v>15680720.000000002</v>
      </c>
      <c r="Q71" s="465">
        <v>46119</v>
      </c>
      <c r="R71" s="93"/>
      <c r="S71" s="81" t="str">
        <f t="shared" ca="1" si="10"/>
        <v>관리</v>
      </c>
      <c r="T71" s="97"/>
      <c r="U71" s="95"/>
      <c r="V71" s="95"/>
      <c r="W71" s="66"/>
      <c r="X71" s="97"/>
      <c r="Y71" s="95"/>
      <c r="Z71" s="96"/>
      <c r="AA71" s="66"/>
      <c r="AB71" s="97"/>
      <c r="AC71" s="95"/>
      <c r="AD71" s="95"/>
      <c r="AE71" s="95"/>
      <c r="AF71" s="95"/>
      <c r="AG71" s="96"/>
      <c r="AH71" s="66"/>
      <c r="AI71" s="66"/>
    </row>
    <row r="72" spans="1:35" s="98" customFormat="1" ht="13.5" customHeight="1">
      <c r="A72" s="5"/>
      <c r="B72" s="74">
        <f t="shared" ref="B72:B74" si="46">IF(I71="잔금", B71+1, B71)</f>
        <v>24</v>
      </c>
      <c r="C72" s="453" t="s">
        <v>756</v>
      </c>
      <c r="D72" s="449" t="s">
        <v>1122</v>
      </c>
      <c r="E72" s="461" t="s">
        <v>1123</v>
      </c>
      <c r="F72" s="77">
        <v>51700000</v>
      </c>
      <c r="G72" s="77">
        <f>F72-Z72-Z73</f>
        <v>32422000</v>
      </c>
      <c r="H72" s="77">
        <f>G72*20%</f>
        <v>6484400</v>
      </c>
      <c r="I72" s="89" t="s">
        <v>69</v>
      </c>
      <c r="J72" s="250">
        <v>46098</v>
      </c>
      <c r="K72" s="474">
        <v>46099</v>
      </c>
      <c r="L72" s="250">
        <v>46101</v>
      </c>
      <c r="M72" s="91">
        <f>IF(L72&lt;&gt;"", L72+20, "")</f>
        <v>46121</v>
      </c>
      <c r="N72" s="91">
        <v>46127</v>
      </c>
      <c r="O72" s="371">
        <f>H72*1.1</f>
        <v>7132840.0000000009</v>
      </c>
      <c r="P72" s="80">
        <f t="shared" ref="P72:P74" si="47">IF(L72="", 0, (H72*1.1)-O72)</f>
        <v>0</v>
      </c>
      <c r="Q72" s="462">
        <f>Q74</f>
        <v>46118</v>
      </c>
      <c r="R72" s="93"/>
      <c r="S72" s="81" t="str">
        <f t="shared" ref="S72:S135" ca="1" si="48">IF(OR(L72="",P72=0),"",IF(I72="선금",IF(TODAY()-L72&gt;=91,"장기미수",IF(TODAY()-L72&gt;=21,"관리","")),IF(TODAY()-L72&gt;=91,"장기미수",IF(TODAY()-L72&gt;=31,"관리",""))))</f>
        <v/>
      </c>
      <c r="T72" s="97">
        <v>22912000</v>
      </c>
      <c r="U72" s="83">
        <f>G72-T72-AG72</f>
        <v>9160000</v>
      </c>
      <c r="V72" s="85">
        <f>U72/F72</f>
        <v>0.17717601547388781</v>
      </c>
      <c r="W72" s="66"/>
      <c r="X72" s="97" t="s">
        <v>1166</v>
      </c>
      <c r="Y72" s="404">
        <v>14000</v>
      </c>
      <c r="Z72" s="96">
        <f>1377*Y72</f>
        <v>19278000</v>
      </c>
      <c r="AA72" s="66"/>
      <c r="AB72" s="97"/>
      <c r="AC72" s="95"/>
      <c r="AD72" s="95"/>
      <c r="AE72" s="95">
        <v>350000</v>
      </c>
      <c r="AF72" s="95"/>
      <c r="AG72" s="84">
        <f>SUM(AB72:AF72)</f>
        <v>350000</v>
      </c>
      <c r="AH72" s="66"/>
      <c r="AI72" s="66"/>
    </row>
    <row r="73" spans="1:35" s="98" customFormat="1" ht="13.5" customHeight="1">
      <c r="A73" s="5"/>
      <c r="B73" s="74">
        <f t="shared" si="46"/>
        <v>24</v>
      </c>
      <c r="C73" s="513" t="s">
        <v>66</v>
      </c>
      <c r="D73" s="75" t="str">
        <f>D72</f>
        <v>(주)도경</v>
      </c>
      <c r="E73" s="75" t="str">
        <f>E72</f>
        <v>삼일원앙아파트</v>
      </c>
      <c r="F73" s="88"/>
      <c r="G73" s="88"/>
      <c r="H73" s="77">
        <f>G72*40%</f>
        <v>12968800</v>
      </c>
      <c r="I73" s="92" t="s">
        <v>536</v>
      </c>
      <c r="J73" s="251">
        <f>J72</f>
        <v>46098</v>
      </c>
      <c r="K73" s="462">
        <f>K72</f>
        <v>46099</v>
      </c>
      <c r="L73" s="252">
        <v>46113</v>
      </c>
      <c r="M73" s="91">
        <f t="shared" ref="M73:M74" si="49">IF(L73&lt;&gt;"", L73+30, "")</f>
        <v>46143</v>
      </c>
      <c r="N73" s="91">
        <v>46127</v>
      </c>
      <c r="O73" s="371">
        <f>H73*1.1</f>
        <v>14265680.000000002</v>
      </c>
      <c r="P73" s="80">
        <f t="shared" si="47"/>
        <v>0</v>
      </c>
      <c r="Q73" s="462">
        <f>Q74</f>
        <v>46118</v>
      </c>
      <c r="R73" s="93"/>
      <c r="S73" s="81" t="str">
        <f t="shared" ca="1" si="48"/>
        <v/>
      </c>
      <c r="T73" s="97"/>
      <c r="U73" s="95"/>
      <c r="V73" s="95"/>
      <c r="W73" s="66"/>
      <c r="X73" s="97"/>
      <c r="Y73" s="95"/>
      <c r="Z73" s="96">
        <f>528*Y73</f>
        <v>0</v>
      </c>
      <c r="AA73" s="66"/>
      <c r="AB73" s="97"/>
      <c r="AC73" s="95"/>
      <c r="AD73" s="95"/>
      <c r="AE73" s="95"/>
      <c r="AF73" s="95"/>
      <c r="AG73" s="96"/>
      <c r="AH73" s="66"/>
      <c r="AI73" s="66"/>
    </row>
    <row r="74" spans="1:35" s="98" customFormat="1" ht="13.5" customHeight="1">
      <c r="A74" s="5"/>
      <c r="B74" s="74">
        <f t="shared" si="46"/>
        <v>24</v>
      </c>
      <c r="C74" s="514" t="s">
        <v>66</v>
      </c>
      <c r="D74" s="99" t="str">
        <f>D73</f>
        <v>(주)도경</v>
      </c>
      <c r="E74" s="99" t="str">
        <f>E73</f>
        <v>삼일원앙아파트</v>
      </c>
      <c r="F74" s="102"/>
      <c r="G74" s="88">
        <f>-AG72</f>
        <v>-350000</v>
      </c>
      <c r="H74" s="103">
        <f>(G72*40%)-AG72</f>
        <v>12618800</v>
      </c>
      <c r="I74" s="104" t="s">
        <v>71</v>
      </c>
      <c r="J74" s="251">
        <f>J73</f>
        <v>46098</v>
      </c>
      <c r="K74" s="462">
        <f>K73</f>
        <v>46099</v>
      </c>
      <c r="L74" s="252">
        <v>46125</v>
      </c>
      <c r="M74" s="91">
        <f t="shared" si="49"/>
        <v>46155</v>
      </c>
      <c r="N74" s="91">
        <v>46157</v>
      </c>
      <c r="O74" s="371">
        <f>H74*1.1</f>
        <v>13880680.000000002</v>
      </c>
      <c r="P74" s="80">
        <f t="shared" si="47"/>
        <v>0</v>
      </c>
      <c r="Q74" s="465">
        <v>46118</v>
      </c>
      <c r="R74" s="93">
        <f>N74-Q74</f>
        <v>39</v>
      </c>
      <c r="S74" s="81" t="str">
        <f t="shared" ca="1" si="48"/>
        <v/>
      </c>
      <c r="T74" s="97"/>
      <c r="U74" s="95"/>
      <c r="V74" s="95"/>
      <c r="W74" s="66"/>
      <c r="X74" s="97"/>
      <c r="Y74" s="95"/>
      <c r="Z74" s="96"/>
      <c r="AA74" s="66"/>
      <c r="AB74" s="97"/>
      <c r="AC74" s="95"/>
      <c r="AD74" s="95"/>
      <c r="AE74" s="95"/>
      <c r="AF74" s="95"/>
      <c r="AG74" s="96"/>
      <c r="AH74" s="66"/>
      <c r="AI74" s="66"/>
    </row>
    <row r="75" spans="1:35" s="98" customFormat="1" ht="13.5" customHeight="1">
      <c r="A75" s="5"/>
      <c r="B75" s="74">
        <f t="shared" ref="B75:B77" si="50">IF(I74="잔금", B74+1, B74)</f>
        <v>25</v>
      </c>
      <c r="C75" s="453" t="s">
        <v>756</v>
      </c>
      <c r="D75" s="449" t="s">
        <v>1140</v>
      </c>
      <c r="E75" s="461" t="s">
        <v>1141</v>
      </c>
      <c r="F75" s="77">
        <v>286500000</v>
      </c>
      <c r="G75" s="77">
        <f>F75-Z75-Z76</f>
        <v>178691000</v>
      </c>
      <c r="H75" s="77">
        <v>52857300</v>
      </c>
      <c r="I75" s="89" t="s">
        <v>69</v>
      </c>
      <c r="J75" s="250">
        <v>46097</v>
      </c>
      <c r="K75" s="474">
        <v>46098</v>
      </c>
      <c r="L75" s="250">
        <v>46101</v>
      </c>
      <c r="M75" s="91">
        <f>IF(L75&lt;&gt;"", L75+20, "")</f>
        <v>46121</v>
      </c>
      <c r="N75" s="91">
        <v>46112</v>
      </c>
      <c r="O75" s="371">
        <f>H75*1.1</f>
        <v>58143030.000000007</v>
      </c>
      <c r="P75" s="80">
        <f t="shared" ref="P75:P77" si="51">IF(L75="", 0, (H75*1.1)-O75)</f>
        <v>0</v>
      </c>
      <c r="Q75" s="462">
        <f>Q77</f>
        <v>46153</v>
      </c>
      <c r="R75" s="93"/>
      <c r="S75" s="81" t="str">
        <f t="shared" ca="1" si="48"/>
        <v/>
      </c>
      <c r="T75" s="97"/>
      <c r="U75" s="95"/>
      <c r="V75" s="95"/>
      <c r="W75" s="66"/>
      <c r="X75" s="97" t="s">
        <v>1167</v>
      </c>
      <c r="Y75" s="404">
        <v>13000</v>
      </c>
      <c r="Z75" s="96">
        <f>(2945*13000)+(660*13000)</f>
        <v>46865000</v>
      </c>
      <c r="AA75" s="66"/>
      <c r="AB75" s="97">
        <v>6994000</v>
      </c>
      <c r="AC75" s="95"/>
      <c r="AD75" s="95"/>
      <c r="AE75" s="95"/>
      <c r="AF75" s="95"/>
      <c r="AG75" s="84">
        <f>SUM(AB75:AF75)</f>
        <v>6994000</v>
      </c>
      <c r="AH75" s="66"/>
      <c r="AI75" s="66"/>
    </row>
    <row r="76" spans="1:35" s="98" customFormat="1" ht="13.5" customHeight="1">
      <c r="A76" s="5"/>
      <c r="B76" s="74">
        <f t="shared" si="50"/>
        <v>25</v>
      </c>
      <c r="C76" s="513" t="s">
        <v>66</v>
      </c>
      <c r="D76" s="75" t="str">
        <f>D75</f>
        <v>㈜일성기업</v>
      </c>
      <c r="E76" s="75" t="str">
        <f>E75</f>
        <v>산격대우아파트</v>
      </c>
      <c r="F76" s="88"/>
      <c r="G76" s="88"/>
      <c r="H76" s="77">
        <v>70476400</v>
      </c>
      <c r="I76" s="92" t="s">
        <v>536</v>
      </c>
      <c r="J76" s="251">
        <f>J75</f>
        <v>46097</v>
      </c>
      <c r="K76" s="462">
        <f>K75</f>
        <v>46098</v>
      </c>
      <c r="L76" s="252">
        <v>46126</v>
      </c>
      <c r="M76" s="91">
        <f>IF(L76&lt;&gt;"", L76+30, "")</f>
        <v>46156</v>
      </c>
      <c r="N76" s="91">
        <v>46146</v>
      </c>
      <c r="O76" s="371">
        <f>H76*1.1</f>
        <v>77524040</v>
      </c>
      <c r="P76" s="80">
        <f t="shared" si="51"/>
        <v>0</v>
      </c>
      <c r="Q76" s="462">
        <f>Q77</f>
        <v>46153</v>
      </c>
      <c r="R76" s="93"/>
      <c r="S76" s="81" t="str">
        <f t="shared" ca="1" si="48"/>
        <v/>
      </c>
      <c r="T76" s="97"/>
      <c r="U76" s="95"/>
      <c r="V76" s="95"/>
      <c r="W76" s="66"/>
      <c r="X76" s="97" t="s">
        <v>1168</v>
      </c>
      <c r="Y76" s="404">
        <v>13000</v>
      </c>
      <c r="Z76" s="96">
        <f>(3124*13000)+(666*13000)+((223+675)*13000)</f>
        <v>60944000</v>
      </c>
      <c r="AA76" s="66"/>
      <c r="AB76" s="97"/>
      <c r="AC76" s="95"/>
      <c r="AD76" s="95"/>
      <c r="AE76" s="95"/>
      <c r="AF76" s="95"/>
      <c r="AG76" s="96"/>
      <c r="AH76" s="66"/>
      <c r="AI76" s="66"/>
    </row>
    <row r="77" spans="1:35" s="98" customFormat="1" ht="13.5" customHeight="1">
      <c r="A77" s="5"/>
      <c r="B77" s="74">
        <f t="shared" si="50"/>
        <v>25</v>
      </c>
      <c r="C77" s="514" t="s">
        <v>66</v>
      </c>
      <c r="D77" s="99" t="str">
        <f>D76</f>
        <v>㈜일성기업</v>
      </c>
      <c r="E77" s="99" t="str">
        <f>E76</f>
        <v>산격대우아파트</v>
      </c>
      <c r="F77" s="102"/>
      <c r="G77" s="88">
        <f>-AG75</f>
        <v>-6994000</v>
      </c>
      <c r="H77" s="103">
        <f>G75-H75-H76-AG75</f>
        <v>48363300</v>
      </c>
      <c r="I77" s="104" t="s">
        <v>71</v>
      </c>
      <c r="J77" s="251">
        <f>J76</f>
        <v>46097</v>
      </c>
      <c r="K77" s="462">
        <f>K76</f>
        <v>46098</v>
      </c>
      <c r="L77" s="252"/>
      <c r="M77" s="91" t="str">
        <f t="shared" ref="M77" si="52">IF(L77&lt;&gt;"", L77+30, "")</f>
        <v/>
      </c>
      <c r="N77" s="90"/>
      <c r="O77" s="371"/>
      <c r="P77" s="80">
        <f t="shared" si="51"/>
        <v>0</v>
      </c>
      <c r="Q77" s="463">
        <v>46153</v>
      </c>
      <c r="R77" s="93"/>
      <c r="S77" s="81" t="str">
        <f t="shared" ca="1" si="48"/>
        <v/>
      </c>
      <c r="T77" s="97"/>
      <c r="U77" s="95"/>
      <c r="V77" s="95"/>
      <c r="W77" s="66"/>
      <c r="X77" s="97"/>
      <c r="Y77" s="95"/>
      <c r="Z77" s="96"/>
      <c r="AA77" s="66"/>
      <c r="AB77" s="97"/>
      <c r="AC77" s="95"/>
      <c r="AD77" s="95"/>
      <c r="AE77" s="95"/>
      <c r="AF77" s="95"/>
      <c r="AG77" s="96"/>
      <c r="AH77" s="66"/>
      <c r="AI77" s="66"/>
    </row>
    <row r="78" spans="1:35" s="98" customFormat="1" ht="13.5" customHeight="1">
      <c r="A78" s="5"/>
      <c r="B78" s="74">
        <f t="shared" ref="B78:B80" si="53">IF(I77="잔금", B77+1, B77)</f>
        <v>26</v>
      </c>
      <c r="C78" s="453" t="s">
        <v>756</v>
      </c>
      <c r="D78" s="449" t="s">
        <v>1212</v>
      </c>
      <c r="E78" s="461" t="s">
        <v>1209</v>
      </c>
      <c r="F78" s="77">
        <v>38200000</v>
      </c>
      <c r="G78" s="77">
        <f>F78-Z78-Z79</f>
        <v>30430000</v>
      </c>
      <c r="H78" s="77">
        <v>8559000</v>
      </c>
      <c r="I78" s="89" t="s">
        <v>69</v>
      </c>
      <c r="J78" s="250">
        <v>46100</v>
      </c>
      <c r="K78" s="474">
        <v>46101</v>
      </c>
      <c r="L78" s="250">
        <v>46105</v>
      </c>
      <c r="M78" s="91">
        <f>IF(L78&lt;&gt;"", L78+20, "")</f>
        <v>46125</v>
      </c>
      <c r="N78" s="91">
        <v>46107</v>
      </c>
      <c r="O78" s="371">
        <f>H78*1.1</f>
        <v>9414900</v>
      </c>
      <c r="P78" s="80">
        <f t="shared" ref="P78:P80" si="54">IF(L78="", 0, (H78*1.1)-O78)</f>
        <v>0</v>
      </c>
      <c r="Q78" s="462">
        <f>Q80</f>
        <v>46153</v>
      </c>
      <c r="R78" s="93"/>
      <c r="S78" s="81" t="str">
        <f t="shared" ca="1" si="48"/>
        <v/>
      </c>
      <c r="T78" s="97"/>
      <c r="U78" s="95"/>
      <c r="V78" s="95"/>
      <c r="W78" s="66"/>
      <c r="X78" s="97" t="s">
        <v>1210</v>
      </c>
      <c r="Y78" s="404" t="s">
        <v>1211</v>
      </c>
      <c r="Z78" s="96">
        <f>(267*10000)+(340*15000)</f>
        <v>7770000</v>
      </c>
      <c r="AA78" s="66"/>
      <c r="AB78" s="97">
        <f>15561000+750000</f>
        <v>16311000</v>
      </c>
      <c r="AC78" s="95"/>
      <c r="AD78" s="95">
        <v>18000000</v>
      </c>
      <c r="AE78" s="95">
        <v>250000</v>
      </c>
      <c r="AF78" s="95"/>
      <c r="AG78" s="84">
        <f>SUM(AB78:AF78)</f>
        <v>34561000</v>
      </c>
      <c r="AH78" s="66"/>
      <c r="AI78" s="66"/>
    </row>
    <row r="79" spans="1:35" s="98" customFormat="1" ht="13.5" customHeight="1">
      <c r="A79" s="5"/>
      <c r="B79" s="74">
        <f t="shared" si="53"/>
        <v>26</v>
      </c>
      <c r="C79" s="513" t="s">
        <v>66</v>
      </c>
      <c r="D79" s="75" t="str">
        <f>D78</f>
        <v>㈜케이탑건설</v>
      </c>
      <c r="E79" s="75" t="str">
        <f>E78</f>
        <v>한보구암마을아파트</v>
      </c>
      <c r="F79" s="88"/>
      <c r="G79" s="88"/>
      <c r="H79" s="77"/>
      <c r="I79" s="92" t="s">
        <v>536</v>
      </c>
      <c r="J79" s="251">
        <f>J78</f>
        <v>46100</v>
      </c>
      <c r="K79" s="462">
        <f>K78</f>
        <v>46101</v>
      </c>
      <c r="L79" s="252"/>
      <c r="M79" s="91"/>
      <c r="N79" s="90"/>
      <c r="O79" s="371"/>
      <c r="P79" s="80">
        <f t="shared" si="54"/>
        <v>0</v>
      </c>
      <c r="Q79" s="462">
        <f>Q80</f>
        <v>46153</v>
      </c>
      <c r="R79" s="93"/>
      <c r="S79" s="81" t="str">
        <f t="shared" ca="1" si="48"/>
        <v/>
      </c>
      <c r="T79" s="97"/>
      <c r="U79" s="95"/>
      <c r="V79" s="95"/>
      <c r="W79" s="66"/>
      <c r="X79" s="97"/>
      <c r="Y79" s="404"/>
      <c r="Z79" s="96"/>
      <c r="AA79" s="66"/>
      <c r="AB79" s="97"/>
      <c r="AC79" s="95"/>
      <c r="AD79" s="95"/>
      <c r="AE79" s="95"/>
      <c r="AF79" s="95"/>
      <c r="AG79" s="96"/>
      <c r="AH79" s="66"/>
      <c r="AI79" s="66"/>
    </row>
    <row r="80" spans="1:35" s="98" customFormat="1" ht="13.5" customHeight="1">
      <c r="A80" s="5"/>
      <c r="B80" s="74">
        <f t="shared" si="53"/>
        <v>26</v>
      </c>
      <c r="C80" s="514" t="s">
        <v>66</v>
      </c>
      <c r="D80" s="75" t="str">
        <f>D79</f>
        <v>㈜케이탑건설</v>
      </c>
      <c r="E80" s="99" t="str">
        <f>E79</f>
        <v>한보구암마을아파트</v>
      </c>
      <c r="F80" s="102"/>
      <c r="G80" s="88">
        <f>-AG78</f>
        <v>-34561000</v>
      </c>
      <c r="H80" s="103">
        <f>(G78-H78)-AG78</f>
        <v>-12690000</v>
      </c>
      <c r="I80" s="104" t="s">
        <v>71</v>
      </c>
      <c r="J80" s="251">
        <f>J79</f>
        <v>46100</v>
      </c>
      <c r="K80" s="462">
        <f>K79</f>
        <v>46101</v>
      </c>
      <c r="L80" s="252">
        <v>46171</v>
      </c>
      <c r="M80" s="91">
        <f>IF(L80&lt;&gt;"", L80+30, "")</f>
        <v>46201</v>
      </c>
      <c r="N80" s="90"/>
      <c r="O80" s="371"/>
      <c r="P80" s="80">
        <f t="shared" si="54"/>
        <v>-13959000.000000002</v>
      </c>
      <c r="Q80" s="463">
        <v>46153</v>
      </c>
      <c r="R80" s="93"/>
      <c r="S80" s="81" t="str">
        <f t="shared" ca="1" si="48"/>
        <v/>
      </c>
      <c r="T80" s="97"/>
      <c r="U80" s="95"/>
      <c r="V80" s="95"/>
      <c r="W80" s="66"/>
      <c r="X80" s="97"/>
      <c r="Y80" s="95"/>
      <c r="Z80" s="96"/>
      <c r="AA80" s="66"/>
      <c r="AB80" s="97"/>
      <c r="AC80" s="95"/>
      <c r="AD80" s="95"/>
      <c r="AE80" s="95"/>
      <c r="AF80" s="95"/>
      <c r="AG80" s="96"/>
      <c r="AH80" s="66"/>
      <c r="AI80" s="66"/>
    </row>
    <row r="81" spans="1:35" s="98" customFormat="1" ht="13.5" customHeight="1">
      <c r="A81" s="5"/>
      <c r="B81" s="74">
        <f t="shared" ref="B81:B83" si="55">IF(I80="잔금", B80+1, B80)</f>
        <v>27</v>
      </c>
      <c r="C81" s="453" t="s">
        <v>756</v>
      </c>
      <c r="D81" s="449" t="s">
        <v>1215</v>
      </c>
      <c r="E81" s="461" t="s">
        <v>1213</v>
      </c>
      <c r="F81" s="77">
        <v>23300000</v>
      </c>
      <c r="G81" s="77">
        <f>F81-Z81-Z82</f>
        <v>16405000</v>
      </c>
      <c r="H81" s="77">
        <f>G81*20%</f>
        <v>3281000</v>
      </c>
      <c r="I81" s="89" t="s">
        <v>69</v>
      </c>
      <c r="J81" s="250">
        <v>46104</v>
      </c>
      <c r="K81" s="474">
        <v>46105</v>
      </c>
      <c r="L81" s="250">
        <v>46105</v>
      </c>
      <c r="M81" s="91">
        <f>IF(L81&lt;&gt;"", L81+20, "")</f>
        <v>46125</v>
      </c>
      <c r="N81" s="91">
        <v>46127</v>
      </c>
      <c r="O81" s="371">
        <f>H81*1.1</f>
        <v>3609100.0000000005</v>
      </c>
      <c r="P81" s="80">
        <f t="shared" ref="P81:P83" si="56">IF(L81="", 0, (H81*1.1)-O81)</f>
        <v>0</v>
      </c>
      <c r="Q81" s="462">
        <f>Q83</f>
        <v>46109</v>
      </c>
      <c r="R81" s="93"/>
      <c r="S81" s="81" t="str">
        <f t="shared" ca="1" si="48"/>
        <v/>
      </c>
      <c r="T81" s="97">
        <v>10051600</v>
      </c>
      <c r="U81" s="83">
        <f>G81-T81-AG81</f>
        <v>4009400</v>
      </c>
      <c r="V81" s="85">
        <f>U81/F81</f>
        <v>0.17207725321888412</v>
      </c>
      <c r="W81" s="66"/>
      <c r="X81" s="97" t="s">
        <v>1214</v>
      </c>
      <c r="Y81" s="404" t="s">
        <v>1039</v>
      </c>
      <c r="Z81" s="96">
        <f>(568*10000)+(135*9000)</f>
        <v>6895000</v>
      </c>
      <c r="AA81" s="66"/>
      <c r="AB81" s="97">
        <v>2244000</v>
      </c>
      <c r="AC81" s="95"/>
      <c r="AD81" s="95"/>
      <c r="AE81" s="95">
        <v>100000</v>
      </c>
      <c r="AF81" s="95"/>
      <c r="AG81" s="84">
        <f>SUM(AB81:AF81)</f>
        <v>2344000</v>
      </c>
      <c r="AH81" s="66"/>
      <c r="AI81" s="66"/>
    </row>
    <row r="82" spans="1:35" s="98" customFormat="1" ht="13.5" customHeight="1">
      <c r="A82" s="5"/>
      <c r="B82" s="74">
        <f t="shared" si="55"/>
        <v>27</v>
      </c>
      <c r="C82" s="513" t="s">
        <v>66</v>
      </c>
      <c r="D82" s="75" t="str">
        <f>D81</f>
        <v>㈜적산건설</v>
      </c>
      <c r="E82" s="75" t="str">
        <f>E81</f>
        <v>암사동한솔아파트</v>
      </c>
      <c r="F82" s="88"/>
      <c r="G82" s="88"/>
      <c r="H82" s="77">
        <f>G81*40%</f>
        <v>6562000</v>
      </c>
      <c r="I82" s="92" t="s">
        <v>536</v>
      </c>
      <c r="J82" s="251">
        <f>J81</f>
        <v>46104</v>
      </c>
      <c r="K82" s="462">
        <f>K81</f>
        <v>46105</v>
      </c>
      <c r="L82" s="252">
        <v>46112</v>
      </c>
      <c r="M82" s="91">
        <f>IF(L82&lt;&gt;"", L82+30, "")</f>
        <v>46142</v>
      </c>
      <c r="N82" s="91">
        <v>46127</v>
      </c>
      <c r="O82" s="371">
        <f>H82*1.1</f>
        <v>7218200.0000000009</v>
      </c>
      <c r="P82" s="80">
        <f t="shared" si="56"/>
        <v>0</v>
      </c>
      <c r="Q82" s="462">
        <f>Q83</f>
        <v>46109</v>
      </c>
      <c r="R82" s="93"/>
      <c r="S82" s="81" t="str">
        <f t="shared" ca="1" si="48"/>
        <v/>
      </c>
      <c r="T82" s="97"/>
      <c r="U82" s="95"/>
      <c r="V82" s="95"/>
      <c r="W82" s="66"/>
      <c r="X82" s="97"/>
      <c r="Y82" s="404"/>
      <c r="Z82" s="96"/>
      <c r="AA82" s="66"/>
      <c r="AB82" s="97"/>
      <c r="AC82" s="95"/>
      <c r="AD82" s="95"/>
      <c r="AE82" s="95"/>
      <c r="AF82" s="95"/>
      <c r="AG82" s="96"/>
      <c r="AH82" s="66"/>
      <c r="AI82" s="66"/>
    </row>
    <row r="83" spans="1:35" s="98" customFormat="1" ht="13.5" customHeight="1">
      <c r="A83" s="5"/>
      <c r="B83" s="74">
        <f t="shared" si="55"/>
        <v>27</v>
      </c>
      <c r="C83" s="514" t="s">
        <v>66</v>
      </c>
      <c r="D83" s="75" t="str">
        <f>D82</f>
        <v>㈜적산건설</v>
      </c>
      <c r="E83" s="99" t="str">
        <f>E82</f>
        <v>암사동한솔아파트</v>
      </c>
      <c r="F83" s="102"/>
      <c r="G83" s="88">
        <f>-AG81</f>
        <v>-2344000</v>
      </c>
      <c r="H83" s="103">
        <f>(G81*40%)-AG81</f>
        <v>4218000</v>
      </c>
      <c r="I83" s="104" t="s">
        <v>71</v>
      </c>
      <c r="J83" s="251">
        <f>J82</f>
        <v>46104</v>
      </c>
      <c r="K83" s="462">
        <f>K82</f>
        <v>46105</v>
      </c>
      <c r="L83" s="252">
        <v>46119</v>
      </c>
      <c r="M83" s="91">
        <f t="shared" ref="M83" si="57">IF(L83&lt;&gt;"", L83+30, "")</f>
        <v>46149</v>
      </c>
      <c r="N83" s="91">
        <v>46157</v>
      </c>
      <c r="O83" s="371">
        <f>H83*1.1</f>
        <v>4639800</v>
      </c>
      <c r="P83" s="80">
        <f t="shared" si="56"/>
        <v>0</v>
      </c>
      <c r="Q83" s="465">
        <v>46109</v>
      </c>
      <c r="R83" s="93">
        <f>N83-Q83</f>
        <v>48</v>
      </c>
      <c r="S83" s="81" t="str">
        <f t="shared" ca="1" si="48"/>
        <v/>
      </c>
      <c r="T83" s="97"/>
      <c r="U83" s="95"/>
      <c r="V83" s="95"/>
      <c r="W83" s="66"/>
      <c r="X83" s="97"/>
      <c r="Y83" s="95"/>
      <c r="Z83" s="96"/>
      <c r="AA83" s="66"/>
      <c r="AB83" s="97"/>
      <c r="AC83" s="95"/>
      <c r="AD83" s="95"/>
      <c r="AE83" s="95"/>
      <c r="AF83" s="95"/>
      <c r="AG83" s="96"/>
      <c r="AH83" s="66"/>
      <c r="AI83" s="66"/>
    </row>
    <row r="84" spans="1:35" s="98" customFormat="1" ht="13.5" customHeight="1">
      <c r="A84" s="5"/>
      <c r="B84" s="74">
        <f t="shared" ref="B84:B86" si="58">IF(I83="잔금", B83+1, B83)</f>
        <v>28</v>
      </c>
      <c r="C84" s="453" t="s">
        <v>756</v>
      </c>
      <c r="D84" s="449" t="s">
        <v>1246</v>
      </c>
      <c r="E84" s="461" t="s">
        <v>1247</v>
      </c>
      <c r="F84" s="77">
        <v>67200000</v>
      </c>
      <c r="G84" s="77">
        <f>F84-Z84-Z85</f>
        <v>40400000</v>
      </c>
      <c r="H84" s="77">
        <f>G84*20%</f>
        <v>8080000</v>
      </c>
      <c r="I84" s="89" t="s">
        <v>69</v>
      </c>
      <c r="J84" s="250">
        <v>46101</v>
      </c>
      <c r="K84" s="474">
        <v>46105</v>
      </c>
      <c r="L84" s="250">
        <v>46106</v>
      </c>
      <c r="M84" s="91">
        <f>IF(L84&lt;&gt;"", L84+20, "")</f>
        <v>46126</v>
      </c>
      <c r="N84" s="91">
        <v>46113</v>
      </c>
      <c r="O84" s="371">
        <f>H84*1.1</f>
        <v>8888000</v>
      </c>
      <c r="P84" s="80">
        <f t="shared" ref="P84:P86" si="59">IF(L84="", 0, (H84*1.1)-O84)</f>
        <v>0</v>
      </c>
      <c r="Q84" s="462">
        <f>Q86</f>
        <v>46114</v>
      </c>
      <c r="R84" s="93"/>
      <c r="S84" s="81" t="str">
        <f t="shared" ca="1" si="48"/>
        <v/>
      </c>
      <c r="T84" s="97">
        <v>21764100</v>
      </c>
      <c r="U84" s="83">
        <f>G84-T84-AG84</f>
        <v>17235900</v>
      </c>
      <c r="V84" s="85">
        <f>U84/F84</f>
        <v>0.25648660714285715</v>
      </c>
      <c r="W84" s="66"/>
      <c r="X84" s="97" t="s">
        <v>759</v>
      </c>
      <c r="Y84" s="404">
        <v>16000</v>
      </c>
      <c r="Z84" s="96">
        <f>1675*16000</f>
        <v>26800000</v>
      </c>
      <c r="AA84" s="66"/>
      <c r="AB84" s="97"/>
      <c r="AC84" s="95"/>
      <c r="AD84" s="95">
        <v>1200000</v>
      </c>
      <c r="AE84" s="95">
        <v>200000</v>
      </c>
      <c r="AF84" s="95"/>
      <c r="AG84" s="84">
        <f>SUM(AB84:AF84)</f>
        <v>1400000</v>
      </c>
      <c r="AH84" s="66"/>
      <c r="AI84" s="66"/>
    </row>
    <row r="85" spans="1:35" s="98" customFormat="1" ht="13.5" customHeight="1">
      <c r="A85" s="5"/>
      <c r="B85" s="74">
        <f t="shared" si="58"/>
        <v>28</v>
      </c>
      <c r="C85" s="513" t="s">
        <v>66</v>
      </c>
      <c r="D85" s="75" t="str">
        <f>D84</f>
        <v>코지건설㈜</v>
      </c>
      <c r="E85" s="75" t="str">
        <f>E84</f>
        <v>동탄역시범리슈빌아파트</v>
      </c>
      <c r="F85" s="88"/>
      <c r="G85" s="88"/>
      <c r="H85" s="77">
        <f>G84*40%</f>
        <v>16160000</v>
      </c>
      <c r="I85" s="92" t="s">
        <v>536</v>
      </c>
      <c r="J85" s="251">
        <f>J84</f>
        <v>46101</v>
      </c>
      <c r="K85" s="462">
        <f>K84</f>
        <v>46105</v>
      </c>
      <c r="L85" s="252">
        <v>46113</v>
      </c>
      <c r="M85" s="91">
        <f>IF(L85&lt;&gt;"", L85+30, "")</f>
        <v>46143</v>
      </c>
      <c r="N85" s="91">
        <v>46150</v>
      </c>
      <c r="O85" s="371">
        <f>H85*1.1</f>
        <v>17776000</v>
      </c>
      <c r="P85" s="80">
        <f t="shared" si="59"/>
        <v>0</v>
      </c>
      <c r="Q85" s="462">
        <f>Q86</f>
        <v>46114</v>
      </c>
      <c r="R85" s="93"/>
      <c r="S85" s="81" t="str">
        <f t="shared" ca="1" si="48"/>
        <v/>
      </c>
      <c r="T85" s="97"/>
      <c r="U85" s="95"/>
      <c r="V85" s="95"/>
      <c r="W85" s="66"/>
      <c r="X85" s="97"/>
      <c r="Y85" s="404"/>
      <c r="Z85" s="96"/>
      <c r="AA85" s="66"/>
      <c r="AB85" s="97"/>
      <c r="AC85" s="95"/>
      <c r="AD85" s="95"/>
      <c r="AE85" s="95"/>
      <c r="AF85" s="95"/>
      <c r="AG85" s="96"/>
      <c r="AH85" s="66"/>
      <c r="AI85" s="66"/>
    </row>
    <row r="86" spans="1:35" s="98" customFormat="1" ht="13.5" customHeight="1">
      <c r="A86" s="5"/>
      <c r="B86" s="74">
        <f t="shared" si="58"/>
        <v>28</v>
      </c>
      <c r="C86" s="514" t="s">
        <v>66</v>
      </c>
      <c r="D86" s="75" t="str">
        <f>D85</f>
        <v>코지건설㈜</v>
      </c>
      <c r="E86" s="99" t="str">
        <f>E85</f>
        <v>동탄역시범리슈빌아파트</v>
      </c>
      <c r="F86" s="102"/>
      <c r="G86" s="88">
        <f>-AG84</f>
        <v>-1400000</v>
      </c>
      <c r="H86" s="103">
        <f>(G84*40%)-AG84</f>
        <v>14760000</v>
      </c>
      <c r="I86" s="104" t="s">
        <v>71</v>
      </c>
      <c r="J86" s="251">
        <f>J85</f>
        <v>46101</v>
      </c>
      <c r="K86" s="462">
        <f>K85</f>
        <v>46105</v>
      </c>
      <c r="L86" s="252">
        <v>46122</v>
      </c>
      <c r="M86" s="91">
        <f t="shared" ref="M86" si="60">IF(L86&lt;&gt;"", L86+30, "")</f>
        <v>46152</v>
      </c>
      <c r="N86" s="91"/>
      <c r="O86" s="371"/>
      <c r="P86" s="80">
        <f t="shared" si="59"/>
        <v>16236000.000000002</v>
      </c>
      <c r="Q86" s="465">
        <v>46114</v>
      </c>
      <c r="R86" s="93"/>
      <c r="S86" s="81" t="str">
        <f t="shared" ca="1" si="48"/>
        <v>관리</v>
      </c>
      <c r="T86" s="97"/>
      <c r="U86" s="95"/>
      <c r="V86" s="95"/>
      <c r="W86" s="66"/>
      <c r="X86" s="97"/>
      <c r="Y86" s="95"/>
      <c r="Z86" s="96"/>
      <c r="AA86" s="66"/>
      <c r="AB86" s="97"/>
      <c r="AC86" s="95"/>
      <c r="AD86" s="95"/>
      <c r="AE86" s="95"/>
      <c r="AF86" s="95"/>
      <c r="AG86" s="96"/>
      <c r="AH86" s="66"/>
      <c r="AI86" s="66"/>
    </row>
    <row r="87" spans="1:35" s="98" customFormat="1" ht="13.5" customHeight="1">
      <c r="A87" s="5"/>
      <c r="B87" s="74">
        <f t="shared" ref="B87:B89" si="61">IF(I86="잔금", B86+1, B86)</f>
        <v>29</v>
      </c>
      <c r="C87" s="453" t="s">
        <v>756</v>
      </c>
      <c r="D87" s="451" t="s">
        <v>2116</v>
      </c>
      <c r="E87" s="461" t="s">
        <v>1287</v>
      </c>
      <c r="F87" s="77">
        <v>25830000</v>
      </c>
      <c r="G87" s="77">
        <f>F87-Z87-Z88</f>
        <v>18024000</v>
      </c>
      <c r="H87" s="77">
        <v>2878800</v>
      </c>
      <c r="I87" s="89" t="s">
        <v>69</v>
      </c>
      <c r="J87" s="250">
        <v>46106</v>
      </c>
      <c r="K87" s="474">
        <v>46107</v>
      </c>
      <c r="L87" s="250">
        <v>46107</v>
      </c>
      <c r="M87" s="91">
        <f>IF(L87&lt;&gt;"", L87+20, "")</f>
        <v>46127</v>
      </c>
      <c r="N87" s="91">
        <v>46154</v>
      </c>
      <c r="O87" s="371">
        <f t="shared" ref="O87:O89" si="62">H87*1.1</f>
        <v>3166680.0000000005</v>
      </c>
      <c r="P87" s="80">
        <f t="shared" ref="P87:P89" si="63">IF(L87="", 0, (H87*1.1)-O87)</f>
        <v>0</v>
      </c>
      <c r="Q87" s="462">
        <f>Q89</f>
        <v>46115</v>
      </c>
      <c r="R87" s="93"/>
      <c r="S87" s="81" t="str">
        <f t="shared" ca="1" si="48"/>
        <v/>
      </c>
      <c r="T87" s="97">
        <v>7493950</v>
      </c>
      <c r="U87" s="83">
        <f>G87-T87-AG87</f>
        <v>8430050</v>
      </c>
      <c r="V87" s="85">
        <f>U87/F87</f>
        <v>0.32636662795199378</v>
      </c>
      <c r="W87" s="66"/>
      <c r="X87" s="97" t="s">
        <v>758</v>
      </c>
      <c r="Y87" s="404" t="s">
        <v>1288</v>
      </c>
      <c r="Z87" s="96">
        <f>(482*13000)+(110*14000)</f>
        <v>7806000</v>
      </c>
      <c r="AA87" s="66"/>
      <c r="AB87" s="97">
        <v>2000000</v>
      </c>
      <c r="AC87" s="95"/>
      <c r="AD87" s="95"/>
      <c r="AE87" s="95">
        <v>100000</v>
      </c>
      <c r="AF87" s="95"/>
      <c r="AG87" s="84">
        <f>SUM(AB87:AF87)</f>
        <v>2100000</v>
      </c>
      <c r="AH87" s="66"/>
      <c r="AI87" s="66"/>
    </row>
    <row r="88" spans="1:35" s="98" customFormat="1" ht="13.5" customHeight="1">
      <c r="A88" s="5"/>
      <c r="B88" s="74">
        <f t="shared" si="61"/>
        <v>29</v>
      </c>
      <c r="C88" s="513" t="s">
        <v>66</v>
      </c>
      <c r="D88" s="75" t="str">
        <f>D87</f>
        <v>여름건설㈜</v>
      </c>
      <c r="E88" s="75" t="str">
        <f>E87</f>
        <v>정릉중앙하이츠빌2단지아파트</v>
      </c>
      <c r="F88" s="88"/>
      <c r="G88" s="88"/>
      <c r="H88" s="77">
        <v>5757600</v>
      </c>
      <c r="I88" s="92" t="s">
        <v>536</v>
      </c>
      <c r="J88" s="251">
        <f>J87</f>
        <v>46106</v>
      </c>
      <c r="K88" s="462">
        <f>K87</f>
        <v>46107</v>
      </c>
      <c r="L88" s="252">
        <v>46118</v>
      </c>
      <c r="M88" s="91">
        <f>IF(L88&lt;&gt;"", L88+30, "")</f>
        <v>46148</v>
      </c>
      <c r="N88" s="91">
        <v>46154</v>
      </c>
      <c r="O88" s="371">
        <f t="shared" si="62"/>
        <v>6333360.0000000009</v>
      </c>
      <c r="P88" s="80">
        <f t="shared" si="63"/>
        <v>0</v>
      </c>
      <c r="Q88" s="462">
        <f>Q89</f>
        <v>46115</v>
      </c>
      <c r="R88" s="93"/>
      <c r="S88" s="81" t="str">
        <f t="shared" ca="1" si="48"/>
        <v/>
      </c>
      <c r="T88" s="97"/>
      <c r="U88" s="95"/>
      <c r="V88" s="95"/>
      <c r="W88" s="66"/>
      <c r="X88" s="97"/>
      <c r="Y88" s="404"/>
      <c r="Z88" s="96"/>
      <c r="AA88" s="66"/>
      <c r="AB88" s="97"/>
      <c r="AC88" s="95"/>
      <c r="AD88" s="95"/>
      <c r="AE88" s="95"/>
      <c r="AF88" s="95"/>
      <c r="AG88" s="96"/>
      <c r="AH88" s="66"/>
      <c r="AI88" s="66"/>
    </row>
    <row r="89" spans="1:35" s="98" customFormat="1" ht="13.5" customHeight="1">
      <c r="A89" s="5"/>
      <c r="B89" s="74">
        <f t="shared" si="61"/>
        <v>29</v>
      </c>
      <c r="C89" s="514" t="s">
        <v>66</v>
      </c>
      <c r="D89" s="75" t="str">
        <f>D88</f>
        <v>여름건설㈜</v>
      </c>
      <c r="E89" s="99" t="str">
        <f>E88</f>
        <v>정릉중앙하이츠빌2단지아파트</v>
      </c>
      <c r="F89" s="102"/>
      <c r="G89" s="88">
        <f>-AG87</f>
        <v>-2100000</v>
      </c>
      <c r="H89" s="103">
        <f>G87-H87-H88-AG87</f>
        <v>7287600</v>
      </c>
      <c r="I89" s="104" t="s">
        <v>71</v>
      </c>
      <c r="J89" s="251">
        <f>J88</f>
        <v>46106</v>
      </c>
      <c r="K89" s="462">
        <f>K88</f>
        <v>46107</v>
      </c>
      <c r="L89" s="252">
        <v>46126</v>
      </c>
      <c r="M89" s="91">
        <f t="shared" ref="M89" si="64">IF(L89&lt;&gt;"", L89+30, "")</f>
        <v>46156</v>
      </c>
      <c r="N89" s="91">
        <v>46154</v>
      </c>
      <c r="O89" s="371">
        <f t="shared" si="62"/>
        <v>8016360.0000000009</v>
      </c>
      <c r="P89" s="80">
        <f t="shared" si="63"/>
        <v>0</v>
      </c>
      <c r="Q89" s="465">
        <v>46115</v>
      </c>
      <c r="R89" s="93">
        <f>N89-Q89</f>
        <v>39</v>
      </c>
      <c r="S89" s="81" t="str">
        <f t="shared" ca="1" si="48"/>
        <v/>
      </c>
      <c r="T89" s="97"/>
      <c r="U89" s="95"/>
      <c r="V89" s="95"/>
      <c r="W89" s="66"/>
      <c r="X89" s="97"/>
      <c r="Y89" s="95"/>
      <c r="Z89" s="96"/>
      <c r="AA89" s="66"/>
      <c r="AB89" s="97"/>
      <c r="AC89" s="95"/>
      <c r="AD89" s="95"/>
      <c r="AE89" s="95"/>
      <c r="AF89" s="95"/>
      <c r="AG89" s="96"/>
      <c r="AH89" s="66"/>
      <c r="AI89" s="66"/>
    </row>
    <row r="90" spans="1:35" s="98" customFormat="1" ht="13.5" customHeight="1">
      <c r="A90" s="5"/>
      <c r="B90" s="74">
        <f t="shared" ref="B90:B92" si="65">IF(I89="잔금", B89+1, B89)</f>
        <v>30</v>
      </c>
      <c r="C90" s="453" t="s">
        <v>756</v>
      </c>
      <c r="D90" s="451" t="s">
        <v>2125</v>
      </c>
      <c r="E90" s="461" t="s">
        <v>1370</v>
      </c>
      <c r="F90" s="77">
        <v>154900000</v>
      </c>
      <c r="G90" s="77">
        <f>F90-Z90-Z91</f>
        <v>88619000</v>
      </c>
      <c r="H90" s="77">
        <f>G90*20%</f>
        <v>17723800</v>
      </c>
      <c r="I90" s="89" t="s">
        <v>69</v>
      </c>
      <c r="J90" s="250">
        <v>46106</v>
      </c>
      <c r="K90" s="474">
        <v>46108</v>
      </c>
      <c r="L90" s="250">
        <v>46113</v>
      </c>
      <c r="M90" s="91">
        <f>IF(L90&lt;&gt;"", L90+20, "")</f>
        <v>46133</v>
      </c>
      <c r="N90" s="91">
        <v>46127</v>
      </c>
      <c r="O90" s="371">
        <f>H90*1.1</f>
        <v>19496180</v>
      </c>
      <c r="P90" s="80">
        <f t="shared" ref="P90:P92" si="66">IF(L90="", 0, (H90*1.1)-O90)</f>
        <v>0</v>
      </c>
      <c r="Q90" s="462">
        <f>Q92</f>
        <v>46148</v>
      </c>
      <c r="R90" s="93"/>
      <c r="S90" s="81" t="str">
        <f t="shared" ca="1" si="48"/>
        <v/>
      </c>
      <c r="T90" s="97"/>
      <c r="U90" s="95"/>
      <c r="V90" s="95"/>
      <c r="W90" s="66"/>
      <c r="X90" s="97" t="s">
        <v>1371</v>
      </c>
      <c r="Y90" s="404" t="s">
        <v>1372</v>
      </c>
      <c r="Z90" s="96">
        <f>(3769*13000)+(868*13000)+(600*10000)</f>
        <v>66281000</v>
      </c>
      <c r="AA90" s="66"/>
      <c r="AB90" s="97">
        <v>2000000</v>
      </c>
      <c r="AC90" s="95"/>
      <c r="AD90" s="95"/>
      <c r="AE90" s="95">
        <v>1000000</v>
      </c>
      <c r="AF90" s="95"/>
      <c r="AG90" s="84">
        <f>SUM(AB90:AF90)</f>
        <v>3000000</v>
      </c>
      <c r="AH90" s="66"/>
      <c r="AI90" s="66"/>
    </row>
    <row r="91" spans="1:35" s="98" customFormat="1" ht="13.5" customHeight="1">
      <c r="A91" s="5"/>
      <c r="B91" s="74">
        <f t="shared" si="65"/>
        <v>30</v>
      </c>
      <c r="C91" s="513" t="s">
        <v>66</v>
      </c>
      <c r="D91" s="75" t="str">
        <f>D90</f>
        <v>삼정ING건설</v>
      </c>
      <c r="E91" s="75" t="str">
        <f>E90</f>
        <v>금오주공그린빌4단지아파트</v>
      </c>
      <c r="F91" s="88"/>
      <c r="G91" s="88"/>
      <c r="H91" s="77">
        <f>G90*40%</f>
        <v>35447600</v>
      </c>
      <c r="I91" s="92" t="s">
        <v>536</v>
      </c>
      <c r="J91" s="251">
        <f>J90</f>
        <v>46106</v>
      </c>
      <c r="K91" s="462">
        <f>K90</f>
        <v>46108</v>
      </c>
      <c r="L91" s="252">
        <v>46132</v>
      </c>
      <c r="M91" s="91">
        <f>IF(L91&lt;&gt;"", L91+30, "")</f>
        <v>46162</v>
      </c>
      <c r="N91" s="91">
        <v>46153</v>
      </c>
      <c r="O91" s="371">
        <f>H91*1.1</f>
        <v>38992360</v>
      </c>
      <c r="P91" s="80">
        <f t="shared" si="66"/>
        <v>0</v>
      </c>
      <c r="Q91" s="462">
        <f>Q92</f>
        <v>46148</v>
      </c>
      <c r="R91" s="93"/>
      <c r="S91" s="81" t="str">
        <f t="shared" ca="1" si="48"/>
        <v/>
      </c>
      <c r="T91" s="97"/>
      <c r="U91" s="95"/>
      <c r="V91" s="95"/>
      <c r="W91" s="66"/>
      <c r="X91" s="97"/>
      <c r="Y91" s="404"/>
      <c r="Z91" s="96"/>
      <c r="AA91" s="66"/>
      <c r="AB91" s="97"/>
      <c r="AC91" s="95"/>
      <c r="AD91" s="95"/>
      <c r="AE91" s="95"/>
      <c r="AF91" s="95"/>
      <c r="AG91" s="96"/>
      <c r="AH91" s="66"/>
      <c r="AI91" s="66"/>
    </row>
    <row r="92" spans="1:35" s="98" customFormat="1" ht="13.5" customHeight="1">
      <c r="A92" s="5"/>
      <c r="B92" s="74">
        <f t="shared" si="65"/>
        <v>30</v>
      </c>
      <c r="C92" s="514" t="s">
        <v>66</v>
      </c>
      <c r="D92" s="75" t="str">
        <f>D91</f>
        <v>삼정ING건설</v>
      </c>
      <c r="E92" s="99" t="str">
        <f>E91</f>
        <v>금오주공그린빌4단지아파트</v>
      </c>
      <c r="F92" s="102"/>
      <c r="G92" s="88">
        <f>-AG90</f>
        <v>-3000000</v>
      </c>
      <c r="H92" s="103">
        <f>(G90*40%)-AG90</f>
        <v>32447600</v>
      </c>
      <c r="I92" s="104" t="s">
        <v>71</v>
      </c>
      <c r="J92" s="251">
        <f>J91</f>
        <v>46106</v>
      </c>
      <c r="K92" s="462">
        <f>K91</f>
        <v>46108</v>
      </c>
      <c r="L92" s="252">
        <v>46161</v>
      </c>
      <c r="M92" s="91">
        <f t="shared" ref="M92" si="67">IF(L92&lt;&gt;"", L92+30, "")</f>
        <v>46191</v>
      </c>
      <c r="N92" s="91"/>
      <c r="O92" s="371"/>
      <c r="P92" s="80">
        <f t="shared" si="66"/>
        <v>35692360</v>
      </c>
      <c r="Q92" s="463">
        <v>46148</v>
      </c>
      <c r="R92" s="93"/>
      <c r="S92" s="81" t="str">
        <f t="shared" ca="1" si="48"/>
        <v/>
      </c>
      <c r="T92" s="97"/>
      <c r="U92" s="95"/>
      <c r="V92" s="95"/>
      <c r="W92" s="66"/>
      <c r="X92" s="97"/>
      <c r="Y92" s="95"/>
      <c r="Z92" s="96"/>
      <c r="AA92" s="66"/>
      <c r="AB92" s="97"/>
      <c r="AC92" s="95"/>
      <c r="AD92" s="95"/>
      <c r="AE92" s="95"/>
      <c r="AF92" s="95"/>
      <c r="AG92" s="96"/>
      <c r="AH92" s="66"/>
      <c r="AI92" s="66"/>
    </row>
    <row r="93" spans="1:35" s="98" customFormat="1" ht="13.5" customHeight="1">
      <c r="A93" s="5"/>
      <c r="B93" s="74">
        <f t="shared" ref="B93:B95" si="68">IF(I92="잔금", B92+1, B92)</f>
        <v>31</v>
      </c>
      <c r="C93" s="453" t="s">
        <v>756</v>
      </c>
      <c r="D93" s="451" t="s">
        <v>2117</v>
      </c>
      <c r="E93" s="461" t="s">
        <v>1373</v>
      </c>
      <c r="F93" s="77">
        <v>217700000</v>
      </c>
      <c r="G93" s="77">
        <f>F93-Z93-Z94</f>
        <v>132141000</v>
      </c>
      <c r="H93" s="77">
        <v>48448200</v>
      </c>
      <c r="I93" s="89" t="s">
        <v>69</v>
      </c>
      <c r="J93" s="250">
        <v>46100</v>
      </c>
      <c r="K93" s="474">
        <v>46105</v>
      </c>
      <c r="L93" s="250">
        <v>46113</v>
      </c>
      <c r="M93" s="91">
        <f>IF(L93&lt;&gt;"", L93+20, "")</f>
        <v>46133</v>
      </c>
      <c r="N93" s="91">
        <v>46127</v>
      </c>
      <c r="O93" s="371">
        <f>H93*1.1</f>
        <v>53293020.000000007</v>
      </c>
      <c r="P93" s="80">
        <f t="shared" ref="P93:P95" si="69">IF(L93="", 0, (H93*1.1)-O93)</f>
        <v>0</v>
      </c>
      <c r="Q93" s="462">
        <f>Q95</f>
        <v>46159</v>
      </c>
      <c r="R93" s="93"/>
      <c r="S93" s="81" t="str">
        <f t="shared" ca="1" si="48"/>
        <v/>
      </c>
      <c r="T93" s="97"/>
      <c r="U93" s="95"/>
      <c r="V93" s="95"/>
      <c r="W93" s="66"/>
      <c r="X93" s="97" t="s">
        <v>1374</v>
      </c>
      <c r="Y93" s="404" t="s">
        <v>1375</v>
      </c>
      <c r="Z93" s="96">
        <f>(6602*12000)+(1267*5000)</f>
        <v>85559000</v>
      </c>
      <c r="AA93" s="66"/>
      <c r="AB93" s="97"/>
      <c r="AC93" s="95"/>
      <c r="AD93" s="95"/>
      <c r="AE93" s="95">
        <v>1300000</v>
      </c>
      <c r="AF93" s="95"/>
      <c r="AG93" s="84">
        <f>SUM(AB93:AF93)</f>
        <v>1300000</v>
      </c>
      <c r="AH93" s="66"/>
      <c r="AI93" s="66"/>
    </row>
    <row r="94" spans="1:35" s="98" customFormat="1" ht="13.5" customHeight="1">
      <c r="A94" s="5"/>
      <c r="B94" s="74">
        <f t="shared" si="68"/>
        <v>31</v>
      </c>
      <c r="C94" s="513" t="s">
        <v>66</v>
      </c>
      <c r="D94" s="75" t="str">
        <f>D93</f>
        <v>(주)기림이앤씨</v>
      </c>
      <c r="E94" s="75" t="str">
        <f>E93</f>
        <v>두정이편한세상3차아파트</v>
      </c>
      <c r="F94" s="88"/>
      <c r="G94" s="88"/>
      <c r="H94" s="77">
        <v>30836400</v>
      </c>
      <c r="I94" s="92" t="s">
        <v>536</v>
      </c>
      <c r="J94" s="251">
        <f>J93</f>
        <v>46100</v>
      </c>
      <c r="K94" s="462">
        <f>K93</f>
        <v>46105</v>
      </c>
      <c r="L94" s="252">
        <v>46141</v>
      </c>
      <c r="M94" s="91">
        <f>IF(L94&lt;&gt;"", L94+30, "")</f>
        <v>46171</v>
      </c>
      <c r="N94" s="91">
        <v>46157</v>
      </c>
      <c r="O94" s="371">
        <f>H94*1.1</f>
        <v>33920040</v>
      </c>
      <c r="P94" s="80">
        <f t="shared" si="69"/>
        <v>0</v>
      </c>
      <c r="Q94" s="462">
        <f>Q95</f>
        <v>46159</v>
      </c>
      <c r="R94" s="93"/>
      <c r="S94" s="81" t="str">
        <f t="shared" ca="1" si="48"/>
        <v/>
      </c>
      <c r="T94" s="97"/>
      <c r="U94" s="95"/>
      <c r="V94" s="95"/>
      <c r="W94" s="66"/>
      <c r="X94" s="97"/>
      <c r="Y94" s="404"/>
      <c r="Z94" s="96"/>
      <c r="AA94" s="66"/>
      <c r="AB94" s="97"/>
      <c r="AC94" s="95"/>
      <c r="AD94" s="95"/>
      <c r="AE94" s="95"/>
      <c r="AF94" s="95"/>
      <c r="AG94" s="96"/>
      <c r="AH94" s="66"/>
      <c r="AI94" s="66"/>
    </row>
    <row r="95" spans="1:35" s="98" customFormat="1" ht="13.5" customHeight="1">
      <c r="A95" s="5"/>
      <c r="B95" s="74">
        <f t="shared" si="68"/>
        <v>31</v>
      </c>
      <c r="C95" s="514" t="s">
        <v>66</v>
      </c>
      <c r="D95" s="75" t="str">
        <f>D94</f>
        <v>(주)기림이앤씨</v>
      </c>
      <c r="E95" s="99" t="str">
        <f>E94</f>
        <v>두정이편한세상3차아파트</v>
      </c>
      <c r="F95" s="102"/>
      <c r="G95" s="88">
        <f>-AG93</f>
        <v>-1300000</v>
      </c>
      <c r="H95" s="103">
        <f>G93-H93-H94-AG93</f>
        <v>51556400</v>
      </c>
      <c r="I95" s="104" t="s">
        <v>71</v>
      </c>
      <c r="J95" s="251">
        <f>J94</f>
        <v>46100</v>
      </c>
      <c r="K95" s="462">
        <f>K94</f>
        <v>46105</v>
      </c>
      <c r="L95" s="252"/>
      <c r="M95" s="91" t="str">
        <f t="shared" ref="M95" si="70">IF(L95&lt;&gt;"", L95+30, "")</f>
        <v/>
      </c>
      <c r="N95" s="91"/>
      <c r="O95" s="371"/>
      <c r="P95" s="80">
        <f t="shared" si="69"/>
        <v>0</v>
      </c>
      <c r="Q95" s="463">
        <v>46159</v>
      </c>
      <c r="R95" s="93"/>
      <c r="S95" s="81" t="str">
        <f t="shared" ca="1" si="48"/>
        <v/>
      </c>
      <c r="T95" s="97"/>
      <c r="U95" s="95"/>
      <c r="V95" s="95"/>
      <c r="W95" s="66"/>
      <c r="X95" s="97"/>
      <c r="Y95" s="95"/>
      <c r="Z95" s="96"/>
      <c r="AA95" s="66"/>
      <c r="AB95" s="97"/>
      <c r="AC95" s="95"/>
      <c r="AD95" s="95"/>
      <c r="AE95" s="95"/>
      <c r="AF95" s="95"/>
      <c r="AG95" s="96"/>
      <c r="AH95" s="66"/>
      <c r="AI95" s="66"/>
    </row>
    <row r="96" spans="1:35" s="98" customFormat="1" ht="13.5" customHeight="1">
      <c r="A96" s="5"/>
      <c r="B96" s="74">
        <f t="shared" ref="B96:B98" si="71">IF(I95="잔금", B95+1, B95)</f>
        <v>32</v>
      </c>
      <c r="C96" s="453" t="s">
        <v>756</v>
      </c>
      <c r="D96" s="451" t="s">
        <v>2126</v>
      </c>
      <c r="E96" s="461" t="s">
        <v>1376</v>
      </c>
      <c r="F96" s="77">
        <v>185000000</v>
      </c>
      <c r="G96" s="77">
        <f>F96-Z96-Z97</f>
        <v>119192000</v>
      </c>
      <c r="H96" s="77">
        <f>G96*20%</f>
        <v>23838400</v>
      </c>
      <c r="I96" s="89" t="s">
        <v>69</v>
      </c>
      <c r="J96" s="420">
        <v>46108</v>
      </c>
      <c r="K96" s="474">
        <v>46114</v>
      </c>
      <c r="L96" s="250">
        <v>46114</v>
      </c>
      <c r="M96" s="91">
        <f>IF(L96&lt;&gt;"", L96+20, "")</f>
        <v>46134</v>
      </c>
      <c r="N96" s="91">
        <v>46114</v>
      </c>
      <c r="O96" s="371">
        <f>H96*1.1</f>
        <v>26222240.000000004</v>
      </c>
      <c r="P96" s="80">
        <f t="shared" ref="P96:P98" si="72">IF(L96="", 0, (H96*1.1)-O96)</f>
        <v>0</v>
      </c>
      <c r="Q96" s="462" t="str">
        <f>Q98</f>
        <v>(예)2026-05-31</v>
      </c>
      <c r="R96" s="93"/>
      <c r="S96" s="81" t="str">
        <f t="shared" ca="1" si="48"/>
        <v/>
      </c>
      <c r="T96" s="97"/>
      <c r="U96" s="95"/>
      <c r="V96" s="95"/>
      <c r="W96" s="66"/>
      <c r="X96" s="97" t="s">
        <v>546</v>
      </c>
      <c r="Y96" s="404">
        <v>12000</v>
      </c>
      <c r="Z96" s="96">
        <f>(3852*12000)+(1632*12000)</f>
        <v>65808000</v>
      </c>
      <c r="AA96" s="66"/>
      <c r="AB96" s="97"/>
      <c r="AC96" s="95"/>
      <c r="AD96" s="95"/>
      <c r="AE96" s="95"/>
      <c r="AF96" s="95"/>
      <c r="AG96" s="84">
        <f>SUM(AB96:AF96)</f>
        <v>0</v>
      </c>
      <c r="AH96" s="66"/>
      <c r="AI96" s="66"/>
    </row>
    <row r="97" spans="1:35" s="98" customFormat="1" ht="13.5" customHeight="1">
      <c r="A97" s="5"/>
      <c r="B97" s="74">
        <f t="shared" si="71"/>
        <v>32</v>
      </c>
      <c r="C97" s="513" t="s">
        <v>66</v>
      </c>
      <c r="D97" s="75" t="str">
        <f>D96</f>
        <v>(주)다수건설</v>
      </c>
      <c r="E97" s="75" t="str">
        <f>E96</f>
        <v>우미이노스빌아파트</v>
      </c>
      <c r="F97" s="88"/>
      <c r="G97" s="88"/>
      <c r="H97" s="77">
        <f>G96*40%</f>
        <v>47676800</v>
      </c>
      <c r="I97" s="92" t="s">
        <v>536</v>
      </c>
      <c r="J97" s="251">
        <f>J96</f>
        <v>46108</v>
      </c>
      <c r="K97" s="462">
        <f>K96</f>
        <v>46114</v>
      </c>
      <c r="L97" s="252">
        <v>46148</v>
      </c>
      <c r="M97" s="91">
        <f>IF(L97&lt;&gt;"", L97+30, "")</f>
        <v>46178</v>
      </c>
      <c r="N97" s="91">
        <v>46150</v>
      </c>
      <c r="O97" s="371">
        <f>H97*1.1</f>
        <v>52444480.000000007</v>
      </c>
      <c r="P97" s="80">
        <f t="shared" si="72"/>
        <v>0</v>
      </c>
      <c r="Q97" s="462" t="str">
        <f>Q98</f>
        <v>(예)2026-05-31</v>
      </c>
      <c r="R97" s="93"/>
      <c r="S97" s="81" t="str">
        <f t="shared" ca="1" si="48"/>
        <v/>
      </c>
      <c r="T97" s="97"/>
      <c r="U97" s="95"/>
      <c r="V97" s="95"/>
      <c r="W97" s="66"/>
      <c r="X97" s="97"/>
      <c r="Y97" s="404"/>
      <c r="Z97" s="96"/>
      <c r="AA97" s="66"/>
      <c r="AB97" s="97"/>
      <c r="AC97" s="95"/>
      <c r="AD97" s="95"/>
      <c r="AE97" s="95"/>
      <c r="AF97" s="95"/>
      <c r="AG97" s="96"/>
      <c r="AH97" s="66"/>
      <c r="AI97" s="66"/>
    </row>
    <row r="98" spans="1:35" s="98" customFormat="1" ht="13.5" customHeight="1">
      <c r="A98" s="5"/>
      <c r="B98" s="74">
        <f t="shared" si="71"/>
        <v>32</v>
      </c>
      <c r="C98" s="514" t="s">
        <v>66</v>
      </c>
      <c r="D98" s="75" t="str">
        <f>D97</f>
        <v>(주)다수건설</v>
      </c>
      <c r="E98" s="99" t="str">
        <f>E97</f>
        <v>우미이노스빌아파트</v>
      </c>
      <c r="F98" s="102"/>
      <c r="G98" s="88">
        <f>-AG96</f>
        <v>0</v>
      </c>
      <c r="H98" s="103">
        <f>(G96*40%)-AG96</f>
        <v>47676800</v>
      </c>
      <c r="I98" s="104" t="s">
        <v>71</v>
      </c>
      <c r="J98" s="251">
        <f>J97</f>
        <v>46108</v>
      </c>
      <c r="K98" s="462">
        <f>K97</f>
        <v>46114</v>
      </c>
      <c r="L98" s="252"/>
      <c r="M98" s="91" t="str">
        <f t="shared" ref="M98" si="73">IF(L98&lt;&gt;"", L98+30, "")</f>
        <v/>
      </c>
      <c r="N98" s="91"/>
      <c r="O98" s="371"/>
      <c r="P98" s="80">
        <f t="shared" si="72"/>
        <v>0</v>
      </c>
      <c r="Q98" s="463" t="s">
        <v>1943</v>
      </c>
      <c r="R98" s="93"/>
      <c r="S98" s="81" t="str">
        <f t="shared" ca="1" si="48"/>
        <v/>
      </c>
      <c r="T98" s="97"/>
      <c r="U98" s="95"/>
      <c r="V98" s="95"/>
      <c r="W98" s="66"/>
      <c r="X98" s="97"/>
      <c r="Y98" s="95"/>
      <c r="Z98" s="96"/>
      <c r="AA98" s="66"/>
      <c r="AB98" s="97"/>
      <c r="AC98" s="95"/>
      <c r="AD98" s="95"/>
      <c r="AE98" s="95"/>
      <c r="AF98" s="95"/>
      <c r="AG98" s="96"/>
      <c r="AH98" s="66"/>
      <c r="AI98" s="66"/>
    </row>
    <row r="99" spans="1:35" s="98" customFormat="1" ht="13.5" customHeight="1">
      <c r="A99" s="5"/>
      <c r="B99" s="74">
        <f t="shared" ref="B99:B101" si="74">IF(I98="잔금", B98+1, B98)</f>
        <v>33</v>
      </c>
      <c r="C99" s="453" t="s">
        <v>756</v>
      </c>
      <c r="D99" s="451" t="s">
        <v>2127</v>
      </c>
      <c r="E99" s="461" t="s">
        <v>1377</v>
      </c>
      <c r="F99" s="77">
        <v>196700000</v>
      </c>
      <c r="G99" s="77">
        <f>F99-Z99-Z100</f>
        <v>115250000</v>
      </c>
      <c r="H99" s="77">
        <f>G99*20%</f>
        <v>23050000</v>
      </c>
      <c r="I99" s="89" t="s">
        <v>69</v>
      </c>
      <c r="J99" s="420">
        <v>46108</v>
      </c>
      <c r="K99" s="474">
        <v>46112</v>
      </c>
      <c r="L99" s="250">
        <v>46114</v>
      </c>
      <c r="M99" s="91">
        <f>IF(L99&lt;&gt;"", L99+20, "")</f>
        <v>46134</v>
      </c>
      <c r="N99" s="91">
        <v>46115</v>
      </c>
      <c r="O99" s="371">
        <f>H99*1.1</f>
        <v>25355000.000000004</v>
      </c>
      <c r="P99" s="80">
        <f t="shared" ref="P99:P101" si="75">IF(L99="", 0, (H99*1.1)-O99)</f>
        <v>0</v>
      </c>
      <c r="Q99" s="462">
        <f>Q101</f>
        <v>46153</v>
      </c>
      <c r="R99" s="93"/>
      <c r="S99" s="81" t="str">
        <f t="shared" ca="1" si="48"/>
        <v/>
      </c>
      <c r="T99" s="97"/>
      <c r="U99" s="95"/>
      <c r="V99" s="95"/>
      <c r="W99" s="66"/>
      <c r="X99" s="97" t="s">
        <v>759</v>
      </c>
      <c r="Y99" s="404">
        <v>15000</v>
      </c>
      <c r="Z99" s="96">
        <f>5430*Y99</f>
        <v>81450000</v>
      </c>
      <c r="AA99" s="66"/>
      <c r="AB99" s="97"/>
      <c r="AC99" s="95"/>
      <c r="AD99" s="95"/>
      <c r="AE99" s="95">
        <v>800000</v>
      </c>
      <c r="AF99" s="95"/>
      <c r="AG99" s="84">
        <f>SUM(AB99:AF99)</f>
        <v>800000</v>
      </c>
      <c r="AH99" s="66"/>
      <c r="AI99" s="66"/>
    </row>
    <row r="100" spans="1:35" s="98" customFormat="1" ht="13.5" customHeight="1">
      <c r="A100" s="5"/>
      <c r="B100" s="74">
        <f t="shared" si="74"/>
        <v>33</v>
      </c>
      <c r="C100" s="513" t="s">
        <v>66</v>
      </c>
      <c r="D100" s="75" t="str">
        <f>D99</f>
        <v>초담건설㈜</v>
      </c>
      <c r="E100" s="75" t="str">
        <f>E99</f>
        <v>대지마을현대홈타운아파트</v>
      </c>
      <c r="F100" s="88"/>
      <c r="G100" s="88"/>
      <c r="H100" s="77">
        <f>G99*40%</f>
        <v>46100000</v>
      </c>
      <c r="I100" s="92" t="s">
        <v>536</v>
      </c>
      <c r="J100" s="251">
        <f>J99</f>
        <v>46108</v>
      </c>
      <c r="K100" s="462">
        <f>K99</f>
        <v>46112</v>
      </c>
      <c r="L100" s="252">
        <v>46139</v>
      </c>
      <c r="M100" s="91">
        <f>IF(L100&lt;&gt;"", L100+30, "")</f>
        <v>46169</v>
      </c>
      <c r="N100" s="91">
        <v>46157</v>
      </c>
      <c r="O100" s="371">
        <f>H100*1.1</f>
        <v>50710000.000000007</v>
      </c>
      <c r="P100" s="80">
        <f t="shared" si="75"/>
        <v>0</v>
      </c>
      <c r="Q100" s="462">
        <f>Q101</f>
        <v>46153</v>
      </c>
      <c r="R100" s="93"/>
      <c r="S100" s="81" t="str">
        <f t="shared" ca="1" si="48"/>
        <v/>
      </c>
      <c r="T100" s="97"/>
      <c r="U100" s="95"/>
      <c r="V100" s="95"/>
      <c r="W100" s="66"/>
      <c r="X100" s="97"/>
      <c r="Y100" s="404"/>
      <c r="Z100" s="96"/>
      <c r="AA100" s="66"/>
      <c r="AB100" s="97"/>
      <c r="AC100" s="95"/>
      <c r="AD100" s="95"/>
      <c r="AE100" s="95"/>
      <c r="AF100" s="95"/>
      <c r="AG100" s="96"/>
      <c r="AH100" s="66"/>
      <c r="AI100" s="66"/>
    </row>
    <row r="101" spans="1:35" s="98" customFormat="1" ht="13.5" customHeight="1">
      <c r="A101" s="5"/>
      <c r="B101" s="74">
        <f t="shared" si="74"/>
        <v>33</v>
      </c>
      <c r="C101" s="514" t="s">
        <v>66</v>
      </c>
      <c r="D101" s="75" t="str">
        <f>D100</f>
        <v>초담건설㈜</v>
      </c>
      <c r="E101" s="99" t="str">
        <f>E100</f>
        <v>대지마을현대홈타운아파트</v>
      </c>
      <c r="F101" s="102"/>
      <c r="G101" s="88">
        <f>-AG99</f>
        <v>-800000</v>
      </c>
      <c r="H101" s="103">
        <f>(G99*40%)-AG99</f>
        <v>45300000</v>
      </c>
      <c r="I101" s="104" t="s">
        <v>71</v>
      </c>
      <c r="J101" s="251">
        <f>J100</f>
        <v>46108</v>
      </c>
      <c r="K101" s="462">
        <f>K100</f>
        <v>46112</v>
      </c>
      <c r="L101" s="252">
        <v>46161</v>
      </c>
      <c r="M101" s="91">
        <f t="shared" ref="M101" si="76">IF(L101&lt;&gt;"", L101+30, "")</f>
        <v>46191</v>
      </c>
      <c r="N101" s="91"/>
      <c r="O101" s="371"/>
      <c r="P101" s="80">
        <f t="shared" si="75"/>
        <v>49830000.000000007</v>
      </c>
      <c r="Q101" s="463">
        <v>46153</v>
      </c>
      <c r="R101" s="93"/>
      <c r="S101" s="81" t="str">
        <f t="shared" ca="1" si="48"/>
        <v/>
      </c>
      <c r="T101" s="97"/>
      <c r="U101" s="95"/>
      <c r="V101" s="95"/>
      <c r="W101" s="66"/>
      <c r="X101" s="97"/>
      <c r="Y101" s="95"/>
      <c r="Z101" s="96"/>
      <c r="AA101" s="66"/>
      <c r="AB101" s="97"/>
      <c r="AC101" s="95"/>
      <c r="AD101" s="95"/>
      <c r="AE101" s="95"/>
      <c r="AF101" s="95"/>
      <c r="AG101" s="96"/>
      <c r="AH101" s="66"/>
      <c r="AI101" s="66"/>
    </row>
    <row r="102" spans="1:35" s="98" customFormat="1" ht="13.5" customHeight="1">
      <c r="A102" s="5"/>
      <c r="B102" s="74">
        <f t="shared" ref="B102:B104" si="77">IF(I101="잔금", B101+1, B101)</f>
        <v>34</v>
      </c>
      <c r="C102" s="453" t="s">
        <v>756</v>
      </c>
      <c r="D102" s="449" t="s">
        <v>1215</v>
      </c>
      <c r="E102" s="461" t="s">
        <v>1538</v>
      </c>
      <c r="F102" s="77">
        <v>16200000</v>
      </c>
      <c r="G102" s="77">
        <f>F102-Z102-Z103</f>
        <v>10200000</v>
      </c>
      <c r="H102" s="77">
        <f>G102*20%</f>
        <v>2040000</v>
      </c>
      <c r="I102" s="89" t="s">
        <v>69</v>
      </c>
      <c r="J102" s="420">
        <v>46108</v>
      </c>
      <c r="K102" s="475">
        <v>46119</v>
      </c>
      <c r="L102" s="250">
        <v>46119</v>
      </c>
      <c r="M102" s="91">
        <f>IF(L102&lt;&gt;"", L102+20, "")</f>
        <v>46139</v>
      </c>
      <c r="N102" s="91">
        <v>46127</v>
      </c>
      <c r="O102" s="371">
        <f>H102*1.1</f>
        <v>2244000</v>
      </c>
      <c r="P102" s="80">
        <f t="shared" ref="P102:P104" si="78">IF(L102="", 0, (H102*1.1)-O102)</f>
        <v>0</v>
      </c>
      <c r="Q102" s="462">
        <f>Q104</f>
        <v>46127</v>
      </c>
      <c r="R102" s="93"/>
      <c r="S102" s="81" t="str">
        <f t="shared" ca="1" si="48"/>
        <v/>
      </c>
      <c r="T102" s="97">
        <v>4239100</v>
      </c>
      <c r="U102" s="83">
        <f>G102-T102-AG102</f>
        <v>5410900</v>
      </c>
      <c r="V102" s="85">
        <f>U102/F102</f>
        <v>0.33400617283950618</v>
      </c>
      <c r="W102" s="66"/>
      <c r="X102" s="97" t="s">
        <v>1539</v>
      </c>
      <c r="Y102" s="404" t="s">
        <v>1540</v>
      </c>
      <c r="Z102" s="96">
        <f>24*250000</f>
        <v>6000000</v>
      </c>
      <c r="AA102" s="66"/>
      <c r="AB102" s="97">
        <v>500000</v>
      </c>
      <c r="AC102" s="95"/>
      <c r="AD102" s="95"/>
      <c r="AE102" s="95">
        <v>50000</v>
      </c>
      <c r="AF102" s="95"/>
      <c r="AG102" s="84">
        <f>SUM(AB102:AF102)</f>
        <v>550000</v>
      </c>
      <c r="AH102" s="66"/>
      <c r="AI102" s="66"/>
    </row>
    <row r="103" spans="1:35" s="98" customFormat="1" ht="13.5" customHeight="1">
      <c r="A103" s="5"/>
      <c r="B103" s="74">
        <f t="shared" si="77"/>
        <v>34</v>
      </c>
      <c r="C103" s="513" t="s">
        <v>66</v>
      </c>
      <c r="D103" s="75" t="str">
        <f>D102</f>
        <v>㈜적산건설</v>
      </c>
      <c r="E103" s="75" t="str">
        <f>E102</f>
        <v>석수e편한세상아파트</v>
      </c>
      <c r="F103" s="88"/>
      <c r="G103" s="88"/>
      <c r="H103" s="77">
        <f>G102*40%</f>
        <v>4080000</v>
      </c>
      <c r="I103" s="92" t="s">
        <v>536</v>
      </c>
      <c r="J103" s="251">
        <f>J102</f>
        <v>46108</v>
      </c>
      <c r="K103" s="462">
        <f>K102</f>
        <v>46119</v>
      </c>
      <c r="L103" s="252">
        <v>46126</v>
      </c>
      <c r="M103" s="91">
        <f>IF(L103&lt;&gt;"", L103+30, "")</f>
        <v>46156</v>
      </c>
      <c r="N103" s="91">
        <v>46157</v>
      </c>
      <c r="O103" s="371">
        <f>H103*1.1</f>
        <v>4488000</v>
      </c>
      <c r="P103" s="80">
        <f t="shared" si="78"/>
        <v>0</v>
      </c>
      <c r="Q103" s="462">
        <f>Q104</f>
        <v>46127</v>
      </c>
      <c r="R103" s="93"/>
      <c r="S103" s="81" t="str">
        <f t="shared" ca="1" si="48"/>
        <v/>
      </c>
      <c r="T103" s="97"/>
      <c r="U103" s="95"/>
      <c r="V103" s="95"/>
      <c r="W103" s="66"/>
      <c r="X103" s="97"/>
      <c r="Y103" s="404"/>
      <c r="Z103" s="96"/>
      <c r="AA103" s="66"/>
      <c r="AB103" s="97"/>
      <c r="AC103" s="95"/>
      <c r="AD103" s="95"/>
      <c r="AE103" s="95"/>
      <c r="AF103" s="95"/>
      <c r="AG103" s="96"/>
      <c r="AH103" s="66"/>
      <c r="AI103" s="66"/>
    </row>
    <row r="104" spans="1:35" s="98" customFormat="1" ht="13.5" customHeight="1">
      <c r="A104" s="5"/>
      <c r="B104" s="74">
        <f t="shared" si="77"/>
        <v>34</v>
      </c>
      <c r="C104" s="514" t="s">
        <v>66</v>
      </c>
      <c r="D104" s="75" t="str">
        <f>D103</f>
        <v>㈜적산건설</v>
      </c>
      <c r="E104" s="99" t="str">
        <f>E103</f>
        <v>석수e편한세상아파트</v>
      </c>
      <c r="F104" s="102"/>
      <c r="G104" s="88">
        <f>-AG102</f>
        <v>-550000</v>
      </c>
      <c r="H104" s="103">
        <f>(G102*40%)-AG102</f>
        <v>3530000</v>
      </c>
      <c r="I104" s="104" t="s">
        <v>71</v>
      </c>
      <c r="J104" s="251">
        <f>J103</f>
        <v>46108</v>
      </c>
      <c r="K104" s="462">
        <f>K103</f>
        <v>46119</v>
      </c>
      <c r="L104" s="252">
        <v>46139</v>
      </c>
      <c r="M104" s="91">
        <f t="shared" ref="M104" si="79">IF(L104&lt;&gt;"", L104+30, "")</f>
        <v>46169</v>
      </c>
      <c r="N104" s="91">
        <v>46157</v>
      </c>
      <c r="O104" s="371">
        <f>H104*1.1</f>
        <v>3883000.0000000005</v>
      </c>
      <c r="P104" s="80">
        <f t="shared" si="78"/>
        <v>0</v>
      </c>
      <c r="Q104" s="465">
        <v>46127</v>
      </c>
      <c r="R104" s="93">
        <f>N104-Q104</f>
        <v>30</v>
      </c>
      <c r="S104" s="81" t="str">
        <f t="shared" ca="1" si="48"/>
        <v/>
      </c>
      <c r="T104" s="97"/>
      <c r="U104" s="95"/>
      <c r="V104" s="95"/>
      <c r="W104" s="66"/>
      <c r="X104" s="97"/>
      <c r="Y104" s="95"/>
      <c r="Z104" s="96"/>
      <c r="AA104" s="66"/>
      <c r="AB104" s="97"/>
      <c r="AC104" s="95"/>
      <c r="AD104" s="95"/>
      <c r="AE104" s="95"/>
      <c r="AF104" s="95"/>
      <c r="AG104" s="96"/>
      <c r="AH104" s="66"/>
      <c r="AI104" s="66"/>
    </row>
    <row r="105" spans="1:35" s="98" customFormat="1" ht="13.5" customHeight="1">
      <c r="A105" s="5"/>
      <c r="B105" s="74">
        <f t="shared" ref="B105:B107" si="80">IF(I104="잔금", B104+1, B104)</f>
        <v>35</v>
      </c>
      <c r="C105" s="453" t="s">
        <v>756</v>
      </c>
      <c r="D105" s="451" t="s">
        <v>2128</v>
      </c>
      <c r="E105" s="461" t="s">
        <v>1542</v>
      </c>
      <c r="F105" s="77">
        <v>55000000</v>
      </c>
      <c r="G105" s="77">
        <f>F105-Z105-Z106</f>
        <v>30066000</v>
      </c>
      <c r="H105" s="77">
        <f>G105*20%</f>
        <v>6013200</v>
      </c>
      <c r="I105" s="89" t="s">
        <v>69</v>
      </c>
      <c r="J105" s="420">
        <v>46118</v>
      </c>
      <c r="K105" s="475">
        <v>46119</v>
      </c>
      <c r="L105" s="250">
        <v>46120</v>
      </c>
      <c r="M105" s="91">
        <f>IF(L105&lt;&gt;"", L105+20, "")</f>
        <v>46140</v>
      </c>
      <c r="N105" s="91">
        <v>46121</v>
      </c>
      <c r="O105" s="371">
        <f>H105*1.1</f>
        <v>6614520.0000000009</v>
      </c>
      <c r="P105" s="80">
        <f t="shared" ref="P105:P107" si="81">IF(L105="", 0, (H105*1.1)-O105)</f>
        <v>0</v>
      </c>
      <c r="Q105" s="462">
        <f>Q107</f>
        <v>46126</v>
      </c>
      <c r="R105" s="93"/>
      <c r="S105" s="81" t="str">
        <f t="shared" ca="1" si="48"/>
        <v/>
      </c>
      <c r="T105" s="97">
        <v>25535800</v>
      </c>
      <c r="U105" s="83">
        <f>G105-T105-AG105</f>
        <v>3930200</v>
      </c>
      <c r="V105" s="85">
        <f>U105/F105</f>
        <v>7.1458181818181823E-2</v>
      </c>
      <c r="W105" s="66"/>
      <c r="X105" s="97" t="s">
        <v>848</v>
      </c>
      <c r="Y105" s="404">
        <v>13000</v>
      </c>
      <c r="Z105" s="96">
        <f>1918*13000</f>
        <v>24934000</v>
      </c>
      <c r="AA105" s="66"/>
      <c r="AB105" s="97"/>
      <c r="AC105" s="95"/>
      <c r="AD105" s="95"/>
      <c r="AE105" s="95">
        <v>600000</v>
      </c>
      <c r="AF105" s="95"/>
      <c r="AG105" s="84">
        <f>SUM(AB105:AF105)</f>
        <v>600000</v>
      </c>
      <c r="AH105" s="66"/>
      <c r="AI105" s="66"/>
    </row>
    <row r="106" spans="1:35" s="98" customFormat="1" ht="13.5" customHeight="1">
      <c r="A106" s="5"/>
      <c r="B106" s="74">
        <f t="shared" si="80"/>
        <v>35</v>
      </c>
      <c r="C106" s="513" t="s">
        <v>66</v>
      </c>
      <c r="D106" s="75" t="str">
        <f>D105</f>
        <v>(주)에스엠에이</v>
      </c>
      <c r="E106" s="75" t="str">
        <f>E105</f>
        <v xml:space="preserve">신동아파밀리에아파트  </v>
      </c>
      <c r="F106" s="88"/>
      <c r="G106" s="88"/>
      <c r="H106" s="77">
        <f>G105*40%</f>
        <v>12026400</v>
      </c>
      <c r="I106" s="92" t="s">
        <v>536</v>
      </c>
      <c r="J106" s="251">
        <f>J105</f>
        <v>46118</v>
      </c>
      <c r="K106" s="462">
        <f>K105</f>
        <v>46119</v>
      </c>
      <c r="L106" s="252">
        <v>46125</v>
      </c>
      <c r="M106" s="91">
        <f>IF(L106&lt;&gt;"", L106+30, "")</f>
        <v>46155</v>
      </c>
      <c r="N106" s="90"/>
      <c r="O106" s="371"/>
      <c r="P106" s="80">
        <f t="shared" si="81"/>
        <v>13229040.000000002</v>
      </c>
      <c r="Q106" s="462">
        <f>Q107</f>
        <v>46126</v>
      </c>
      <c r="R106" s="93"/>
      <c r="S106" s="81" t="str">
        <f t="shared" ca="1" si="48"/>
        <v>관리</v>
      </c>
      <c r="T106" s="97"/>
      <c r="U106" s="95"/>
      <c r="V106" s="95"/>
      <c r="W106" s="66"/>
      <c r="X106" s="97"/>
      <c r="Y106" s="404"/>
      <c r="Z106" s="96"/>
      <c r="AA106" s="66"/>
      <c r="AB106" s="97"/>
      <c r="AC106" s="95"/>
      <c r="AD106" s="95"/>
      <c r="AE106" s="95"/>
      <c r="AF106" s="95"/>
      <c r="AG106" s="96"/>
      <c r="AH106" s="66"/>
      <c r="AI106" s="66"/>
    </row>
    <row r="107" spans="1:35" s="98" customFormat="1" ht="13.5" customHeight="1">
      <c r="A107" s="5"/>
      <c r="B107" s="74">
        <f t="shared" si="80"/>
        <v>35</v>
      </c>
      <c r="C107" s="514" t="s">
        <v>66</v>
      </c>
      <c r="D107" s="75" t="str">
        <f>D106</f>
        <v>(주)에스엠에이</v>
      </c>
      <c r="E107" s="99" t="str">
        <f>E106</f>
        <v xml:space="preserve">신동아파밀리에아파트  </v>
      </c>
      <c r="F107" s="102"/>
      <c r="G107" s="88">
        <f>-AG105</f>
        <v>-600000</v>
      </c>
      <c r="H107" s="103">
        <f>(G105*40%)-AG105</f>
        <v>11426400</v>
      </c>
      <c r="I107" s="104" t="s">
        <v>71</v>
      </c>
      <c r="J107" s="251">
        <f>J106</f>
        <v>46118</v>
      </c>
      <c r="K107" s="462">
        <f>K106</f>
        <v>46119</v>
      </c>
      <c r="L107" s="252">
        <v>46141</v>
      </c>
      <c r="M107" s="91">
        <f t="shared" ref="M107" si="82">IF(L107&lt;&gt;"", L107+30, "")</f>
        <v>46171</v>
      </c>
      <c r="N107" s="90"/>
      <c r="O107" s="371"/>
      <c r="P107" s="80">
        <f t="shared" si="81"/>
        <v>12569040.000000002</v>
      </c>
      <c r="Q107" s="465">
        <v>46126</v>
      </c>
      <c r="R107" s="93"/>
      <c r="S107" s="81" t="str">
        <f t="shared" ca="1" si="48"/>
        <v>관리</v>
      </c>
      <c r="T107" s="97"/>
      <c r="U107" s="95"/>
      <c r="V107" s="95"/>
      <c r="W107" s="66"/>
      <c r="X107" s="97"/>
      <c r="Y107" s="95"/>
      <c r="Z107" s="96"/>
      <c r="AA107" s="66"/>
      <c r="AB107" s="97"/>
      <c r="AC107" s="95"/>
      <c r="AD107" s="95"/>
      <c r="AE107" s="95"/>
      <c r="AF107" s="95"/>
      <c r="AG107" s="96"/>
      <c r="AH107" s="66"/>
      <c r="AI107" s="66"/>
    </row>
    <row r="108" spans="1:35" s="98" customFormat="1" ht="13.5" customHeight="1">
      <c r="A108" s="5"/>
      <c r="B108" s="74">
        <f t="shared" ref="B108:B110" si="83">IF(I107="잔금", B107+1, B107)</f>
        <v>36</v>
      </c>
      <c r="C108" s="453" t="s">
        <v>756</v>
      </c>
      <c r="D108" s="449" t="s">
        <v>1640</v>
      </c>
      <c r="E108" s="461" t="s">
        <v>1639</v>
      </c>
      <c r="F108" s="77">
        <v>4500000</v>
      </c>
      <c r="G108" s="77">
        <f>F108-Z108-Z109</f>
        <v>2500000</v>
      </c>
      <c r="H108" s="77"/>
      <c r="I108" s="89" t="s">
        <v>69</v>
      </c>
      <c r="J108" s="420">
        <v>46101</v>
      </c>
      <c r="K108" s="475">
        <v>46105</v>
      </c>
      <c r="L108" s="250"/>
      <c r="M108" s="91" t="str">
        <f>IF(L108&lt;&gt;"", L108+20, "")</f>
        <v/>
      </c>
      <c r="N108" s="91"/>
      <c r="O108" s="371"/>
      <c r="P108" s="80">
        <f t="shared" ref="P108:P110" si="84">IF(L108="", 0, (H108*1.1)-O108)</f>
        <v>0</v>
      </c>
      <c r="Q108" s="462">
        <f>Q110</f>
        <v>46107</v>
      </c>
      <c r="R108" s="93"/>
      <c r="S108" s="81" t="str">
        <f t="shared" ca="1" si="48"/>
        <v/>
      </c>
      <c r="T108" s="97">
        <v>2826800</v>
      </c>
      <c r="U108" s="83">
        <f>G108-T108-AG108</f>
        <v>-346800</v>
      </c>
      <c r="V108" s="85">
        <f>U108/F108</f>
        <v>-7.7066666666666672E-2</v>
      </c>
      <c r="W108" s="66"/>
      <c r="X108" s="97" t="s">
        <v>759</v>
      </c>
      <c r="Y108" s="404" t="s">
        <v>1641</v>
      </c>
      <c r="Z108" s="96">
        <f>250000*8</f>
        <v>2000000</v>
      </c>
      <c r="AA108" s="66"/>
      <c r="AB108" s="97"/>
      <c r="AC108" s="95"/>
      <c r="AD108" s="95"/>
      <c r="AE108" s="95">
        <v>20000</v>
      </c>
      <c r="AF108" s="95"/>
      <c r="AG108" s="84">
        <f>SUM(AB108:AF108)</f>
        <v>20000</v>
      </c>
      <c r="AH108" s="66"/>
      <c r="AI108" s="66"/>
    </row>
    <row r="109" spans="1:35" s="98" customFormat="1" ht="13.5" customHeight="1">
      <c r="A109" s="5"/>
      <c r="B109" s="74">
        <f t="shared" si="83"/>
        <v>36</v>
      </c>
      <c r="C109" s="513" t="s">
        <v>66</v>
      </c>
      <c r="D109" s="75" t="str">
        <f>D108</f>
        <v>여름건설㈜</v>
      </c>
      <c r="E109" s="75" t="str">
        <f>E108</f>
        <v>용산데시앙포레아파트</v>
      </c>
      <c r="F109" s="88"/>
      <c r="G109" s="88"/>
      <c r="H109" s="77"/>
      <c r="I109" s="92" t="s">
        <v>536</v>
      </c>
      <c r="J109" s="251">
        <f>J108</f>
        <v>46101</v>
      </c>
      <c r="K109" s="462">
        <f>K108</f>
        <v>46105</v>
      </c>
      <c r="L109" s="252"/>
      <c r="M109" s="91"/>
      <c r="N109" s="90"/>
      <c r="O109" s="371"/>
      <c r="P109" s="80">
        <f t="shared" si="84"/>
        <v>0</v>
      </c>
      <c r="Q109" s="462">
        <f>Q110</f>
        <v>46107</v>
      </c>
      <c r="R109" s="93"/>
      <c r="S109" s="81" t="str">
        <f t="shared" ca="1" si="48"/>
        <v/>
      </c>
      <c r="T109" s="97"/>
      <c r="U109" s="95"/>
      <c r="V109" s="95"/>
      <c r="W109" s="66"/>
      <c r="X109" s="97"/>
      <c r="Y109" s="404"/>
      <c r="Z109" s="96"/>
      <c r="AA109" s="66"/>
      <c r="AB109" s="97"/>
      <c r="AC109" s="95"/>
      <c r="AD109" s="95"/>
      <c r="AE109" s="95"/>
      <c r="AF109" s="95"/>
      <c r="AG109" s="96"/>
      <c r="AH109" s="66"/>
      <c r="AI109" s="66"/>
    </row>
    <row r="110" spans="1:35" s="98" customFormat="1" ht="13.5" customHeight="1">
      <c r="A110" s="5"/>
      <c r="B110" s="74">
        <f t="shared" si="83"/>
        <v>36</v>
      </c>
      <c r="C110" s="514" t="s">
        <v>66</v>
      </c>
      <c r="D110" s="75" t="str">
        <f>D109</f>
        <v>여름건설㈜</v>
      </c>
      <c r="E110" s="99" t="str">
        <f>E109</f>
        <v>용산데시앙포레아파트</v>
      </c>
      <c r="F110" s="102"/>
      <c r="G110" s="88">
        <f>-AG108</f>
        <v>-20000</v>
      </c>
      <c r="H110" s="103">
        <f>G108-AG108</f>
        <v>2480000</v>
      </c>
      <c r="I110" s="104" t="s">
        <v>71</v>
      </c>
      <c r="J110" s="251">
        <f>J109</f>
        <v>46101</v>
      </c>
      <c r="K110" s="462">
        <f>K109</f>
        <v>46105</v>
      </c>
      <c r="L110" s="252">
        <v>46122</v>
      </c>
      <c r="M110" s="91">
        <f t="shared" ref="M110" si="85">IF(L110&lt;&gt;"", L110+30, "")</f>
        <v>46152</v>
      </c>
      <c r="N110" s="91">
        <v>46127</v>
      </c>
      <c r="O110" s="371">
        <f>H110*1.1</f>
        <v>2728000</v>
      </c>
      <c r="P110" s="80">
        <f t="shared" si="84"/>
        <v>0</v>
      </c>
      <c r="Q110" s="465">
        <v>46107</v>
      </c>
      <c r="R110" s="81">
        <f>N110-Q110</f>
        <v>20</v>
      </c>
      <c r="S110" s="81" t="str">
        <f t="shared" ca="1" si="48"/>
        <v/>
      </c>
      <c r="T110" s="97"/>
      <c r="U110" s="95"/>
      <c r="V110" s="95"/>
      <c r="W110" s="66"/>
      <c r="X110" s="97"/>
      <c r="Y110" s="95"/>
      <c r="Z110" s="96"/>
      <c r="AA110" s="66"/>
      <c r="AB110" s="97"/>
      <c r="AC110" s="95"/>
      <c r="AD110" s="95"/>
      <c r="AE110" s="95"/>
      <c r="AF110" s="95"/>
      <c r="AG110" s="96"/>
      <c r="AH110" s="66"/>
      <c r="AI110" s="66"/>
    </row>
    <row r="111" spans="1:35" s="98" customFormat="1" ht="13.5" customHeight="1">
      <c r="A111" s="5"/>
      <c r="B111" s="74">
        <f t="shared" ref="B111:B113" si="86">IF(I110="잔금", B110+1, B110)</f>
        <v>37</v>
      </c>
      <c r="C111" s="453" t="s">
        <v>756</v>
      </c>
      <c r="D111" s="449" t="s">
        <v>1660</v>
      </c>
      <c r="E111" s="461" t="s">
        <v>1659</v>
      </c>
      <c r="F111" s="77">
        <v>38100000</v>
      </c>
      <c r="G111" s="77">
        <f>F111-Z111-Z112</f>
        <v>26825000</v>
      </c>
      <c r="H111" s="77">
        <f>G111*20%</f>
        <v>5365000</v>
      </c>
      <c r="I111" s="89" t="s">
        <v>69</v>
      </c>
      <c r="J111" s="420">
        <v>46120</v>
      </c>
      <c r="K111" s="475">
        <v>46121</v>
      </c>
      <c r="L111" s="250">
        <v>46125</v>
      </c>
      <c r="M111" s="91">
        <f>IF(L111&lt;&gt;"", L111+20, "")</f>
        <v>46145</v>
      </c>
      <c r="N111" s="91">
        <v>46142</v>
      </c>
      <c r="O111" s="371">
        <f>H111*1.1</f>
        <v>5901500.0000000009</v>
      </c>
      <c r="P111" s="80">
        <f t="shared" ref="P111:P113" si="87">IF(L111="", 0, (H111*1.1)-O111)</f>
        <v>0</v>
      </c>
      <c r="Q111" s="462">
        <f>Q113</f>
        <v>46132</v>
      </c>
      <c r="R111" s="93"/>
      <c r="S111" s="81" t="str">
        <f t="shared" ca="1" si="48"/>
        <v/>
      </c>
      <c r="T111" s="97">
        <v>12545200</v>
      </c>
      <c r="U111" s="83">
        <f>G111-T111-AG111</f>
        <v>14099800</v>
      </c>
      <c r="V111" s="85">
        <f>U111/F111</f>
        <v>0.37007349081364832</v>
      </c>
      <c r="W111" s="66"/>
      <c r="X111" s="97" t="s">
        <v>1661</v>
      </c>
      <c r="Y111" s="404">
        <v>11000</v>
      </c>
      <c r="Z111" s="96">
        <f>1025*11000</f>
        <v>11275000</v>
      </c>
      <c r="AA111" s="66"/>
      <c r="AB111" s="97"/>
      <c r="AC111" s="95"/>
      <c r="AD111" s="95"/>
      <c r="AE111" s="95">
        <v>180000</v>
      </c>
      <c r="AF111" s="95"/>
      <c r="AG111" s="84">
        <f>SUM(AB111:AF111)</f>
        <v>180000</v>
      </c>
      <c r="AH111" s="66"/>
      <c r="AI111" s="66"/>
    </row>
    <row r="112" spans="1:35" s="98" customFormat="1" ht="13.5" customHeight="1">
      <c r="A112" s="5"/>
      <c r="B112" s="74">
        <f t="shared" si="86"/>
        <v>37</v>
      </c>
      <c r="C112" s="513" t="s">
        <v>66</v>
      </c>
      <c r="D112" s="75" t="str">
        <f>D111</f>
        <v>㈜적산건설</v>
      </c>
      <c r="E112" s="75" t="str">
        <f>E111</f>
        <v>대창센시티아파트</v>
      </c>
      <c r="F112" s="88"/>
      <c r="G112" s="88"/>
      <c r="H112" s="77">
        <f>G111*40%</f>
        <v>10730000</v>
      </c>
      <c r="I112" s="92" t="s">
        <v>536</v>
      </c>
      <c r="J112" s="251">
        <f>J111</f>
        <v>46120</v>
      </c>
      <c r="K112" s="462">
        <f>K111</f>
        <v>46121</v>
      </c>
      <c r="L112" s="252">
        <v>46134</v>
      </c>
      <c r="M112" s="91">
        <f>IF(L112&lt;&gt;"", L112+30, "")</f>
        <v>46164</v>
      </c>
      <c r="N112" s="91">
        <v>46157</v>
      </c>
      <c r="O112" s="371">
        <f>H112*1.1</f>
        <v>11803000.000000002</v>
      </c>
      <c r="P112" s="80">
        <f t="shared" si="87"/>
        <v>0</v>
      </c>
      <c r="Q112" s="462">
        <f>Q113</f>
        <v>46132</v>
      </c>
      <c r="R112" s="93"/>
      <c r="S112" s="81" t="str">
        <f t="shared" ca="1" si="48"/>
        <v/>
      </c>
      <c r="T112" s="97"/>
      <c r="U112" s="95"/>
      <c r="V112" s="95"/>
      <c r="W112" s="66"/>
      <c r="X112" s="97"/>
      <c r="Y112" s="404"/>
      <c r="Z112" s="96"/>
      <c r="AA112" s="66"/>
      <c r="AB112" s="97"/>
      <c r="AC112" s="95"/>
      <c r="AD112" s="95"/>
      <c r="AE112" s="95"/>
      <c r="AF112" s="95"/>
      <c r="AG112" s="96"/>
      <c r="AH112" s="66"/>
      <c r="AI112" s="66"/>
    </row>
    <row r="113" spans="1:35" s="98" customFormat="1" ht="13.5" customHeight="1">
      <c r="A113" s="5"/>
      <c r="B113" s="74">
        <f t="shared" si="86"/>
        <v>37</v>
      </c>
      <c r="C113" s="514" t="s">
        <v>66</v>
      </c>
      <c r="D113" s="75" t="str">
        <f>D112</f>
        <v>㈜적산건설</v>
      </c>
      <c r="E113" s="99" t="str">
        <f>E112</f>
        <v>대창센시티아파트</v>
      </c>
      <c r="F113" s="102"/>
      <c r="G113" s="88">
        <f>-AG111</f>
        <v>-180000</v>
      </c>
      <c r="H113" s="103">
        <f>(G111*40%)-AG111</f>
        <v>10550000</v>
      </c>
      <c r="I113" s="104" t="s">
        <v>71</v>
      </c>
      <c r="J113" s="251">
        <f>J112</f>
        <v>46120</v>
      </c>
      <c r="K113" s="462">
        <f>K112</f>
        <v>46121</v>
      </c>
      <c r="L113" s="252">
        <v>46139</v>
      </c>
      <c r="M113" s="91">
        <f t="shared" ref="M113" si="88">IF(L113&lt;&gt;"", L113+30, "")</f>
        <v>46169</v>
      </c>
      <c r="N113" s="91">
        <v>46157</v>
      </c>
      <c r="O113" s="371">
        <f>H113*1.1</f>
        <v>11605000.000000002</v>
      </c>
      <c r="P113" s="80">
        <f t="shared" si="87"/>
        <v>0</v>
      </c>
      <c r="Q113" s="465">
        <v>46132</v>
      </c>
      <c r="R113" s="93">
        <f>N113-Q113</f>
        <v>25</v>
      </c>
      <c r="S113" s="81" t="str">
        <f t="shared" ca="1" si="48"/>
        <v/>
      </c>
      <c r="T113" s="97"/>
      <c r="U113" s="95"/>
      <c r="V113" s="95"/>
      <c r="W113" s="66"/>
      <c r="X113" s="97"/>
      <c r="Y113" s="95"/>
      <c r="Z113" s="96"/>
      <c r="AA113" s="66"/>
      <c r="AB113" s="97"/>
      <c r="AC113" s="95"/>
      <c r="AD113" s="95"/>
      <c r="AE113" s="95"/>
      <c r="AF113" s="95"/>
      <c r="AG113" s="96"/>
      <c r="AH113" s="66"/>
      <c r="AI113" s="66"/>
    </row>
    <row r="114" spans="1:35" s="98" customFormat="1" ht="13.5" customHeight="1">
      <c r="A114" s="5"/>
      <c r="B114" s="74">
        <f t="shared" ref="B114:B116" si="89">IF(I113="잔금", B113+1, B113)</f>
        <v>38</v>
      </c>
      <c r="C114" s="453" t="s">
        <v>756</v>
      </c>
      <c r="D114" s="449" t="s">
        <v>847</v>
      </c>
      <c r="E114" s="461" t="s">
        <v>1818</v>
      </c>
      <c r="F114" s="77">
        <v>575500000</v>
      </c>
      <c r="G114" s="77">
        <f>F114-Z114-Z115-Z116</f>
        <v>349412500</v>
      </c>
      <c r="H114" s="77">
        <f>G114*30%</f>
        <v>104823750</v>
      </c>
      <c r="I114" s="89" t="s">
        <v>69</v>
      </c>
      <c r="J114" s="420">
        <v>46126</v>
      </c>
      <c r="K114" s="475">
        <v>46129</v>
      </c>
      <c r="L114" s="250">
        <v>46129</v>
      </c>
      <c r="M114" s="91">
        <f>IF(L114&lt;&gt;"", L114+20, "")</f>
        <v>46149</v>
      </c>
      <c r="N114" s="91">
        <v>46136</v>
      </c>
      <c r="O114" s="371">
        <f>H114*1.1</f>
        <v>115306125.00000001</v>
      </c>
      <c r="P114" s="80">
        <f t="shared" ref="P114:P120" si="90">IF(L114="", 0, (H114*1.1)-O114)</f>
        <v>0</v>
      </c>
      <c r="Q114" s="462" t="str">
        <f>Q117</f>
        <v>(예)2026-06-30</v>
      </c>
      <c r="R114" s="93"/>
      <c r="S114" s="81" t="str">
        <f t="shared" ca="1" si="48"/>
        <v/>
      </c>
      <c r="T114" s="97"/>
      <c r="U114" s="95"/>
      <c r="V114" s="95"/>
      <c r="W114" s="66"/>
      <c r="X114" s="97" t="s">
        <v>1819</v>
      </c>
      <c r="Y114" s="404">
        <v>12500</v>
      </c>
      <c r="Z114" s="96">
        <f>6029*Y114</f>
        <v>75362500</v>
      </c>
      <c r="AA114" s="66"/>
      <c r="AB114" s="97"/>
      <c r="AC114" s="95"/>
      <c r="AD114" s="95"/>
      <c r="AE114" s="95"/>
      <c r="AF114" s="95"/>
      <c r="AG114" s="84">
        <f>SUM(AB114:AF114)</f>
        <v>0</v>
      </c>
      <c r="AH114" s="66"/>
      <c r="AI114" s="66"/>
    </row>
    <row r="115" spans="1:35" s="98" customFormat="1" ht="13.5" customHeight="1">
      <c r="A115" s="5"/>
      <c r="B115" s="74">
        <f t="shared" si="89"/>
        <v>38</v>
      </c>
      <c r="C115" s="513" t="s">
        <v>66</v>
      </c>
      <c r="D115" s="75" t="str">
        <f>D114</f>
        <v>이루미건설㈜</v>
      </c>
      <c r="E115" s="75" t="str">
        <f>E114</f>
        <v>호수마을풍림아파트</v>
      </c>
      <c r="F115" s="88"/>
      <c r="G115" s="88"/>
      <c r="H115" s="77">
        <f>G114*20%</f>
        <v>69882500</v>
      </c>
      <c r="I115" s="92" t="s">
        <v>1820</v>
      </c>
      <c r="J115" s="251">
        <f>J114</f>
        <v>46126</v>
      </c>
      <c r="K115" s="462">
        <f>K114</f>
        <v>46129</v>
      </c>
      <c r="L115" s="252">
        <v>46170</v>
      </c>
      <c r="M115" s="91">
        <f>IF(L115&lt;&gt;"", L115+30, "")</f>
        <v>46200</v>
      </c>
      <c r="N115" s="90"/>
      <c r="O115" s="371"/>
      <c r="P115" s="80">
        <f t="shared" si="90"/>
        <v>76870750</v>
      </c>
      <c r="Q115" s="462" t="str">
        <f>Q117</f>
        <v>(예)2026-06-30</v>
      </c>
      <c r="R115" s="93"/>
      <c r="S115" s="81" t="str">
        <f t="shared" ca="1" si="48"/>
        <v/>
      </c>
      <c r="T115" s="97"/>
      <c r="U115" s="95"/>
      <c r="V115" s="95"/>
      <c r="W115" s="66"/>
      <c r="X115" s="97" t="s">
        <v>1821</v>
      </c>
      <c r="Y115" s="404">
        <v>12500</v>
      </c>
      <c r="Z115" s="96">
        <f>6029*Y115</f>
        <v>75362500</v>
      </c>
      <c r="AA115" s="66"/>
      <c r="AB115" s="97"/>
      <c r="AC115" s="95"/>
      <c r="AD115" s="95"/>
      <c r="AE115" s="95"/>
      <c r="AF115" s="95"/>
      <c r="AG115" s="96"/>
      <c r="AH115" s="66"/>
      <c r="AI115" s="66"/>
    </row>
    <row r="116" spans="1:35" s="98" customFormat="1" ht="13.5" customHeight="1">
      <c r="A116" s="5"/>
      <c r="B116" s="74">
        <f t="shared" si="89"/>
        <v>38</v>
      </c>
      <c r="C116" s="515" t="str">
        <f>C115</f>
        <v>컨설팅현장</v>
      </c>
      <c r="D116" s="75" t="str">
        <f>D115</f>
        <v>이루미건설㈜</v>
      </c>
      <c r="E116" s="75" t="str">
        <f t="shared" ref="E116:E117" si="91">E115</f>
        <v>호수마을풍림아파트</v>
      </c>
      <c r="F116" s="378"/>
      <c r="G116" s="88"/>
      <c r="H116" s="77">
        <f>G114*30%</f>
        <v>104823750</v>
      </c>
      <c r="I116" s="92" t="s">
        <v>895</v>
      </c>
      <c r="J116" s="251">
        <f>J115</f>
        <v>46126</v>
      </c>
      <c r="K116" s="462">
        <f>K115</f>
        <v>46129</v>
      </c>
      <c r="L116" s="252">
        <v>46174</v>
      </c>
      <c r="M116" s="91">
        <f>IF(L116&lt;&gt;"", L116+30, "")</f>
        <v>46204</v>
      </c>
      <c r="N116" s="90"/>
      <c r="O116" s="371"/>
      <c r="P116" s="80">
        <f t="shared" si="90"/>
        <v>115306125.00000001</v>
      </c>
      <c r="Q116" s="462">
        <f>Q118</f>
        <v>46161</v>
      </c>
      <c r="R116" s="93"/>
      <c r="S116" s="81" t="str">
        <f t="shared" ca="1" si="48"/>
        <v/>
      </c>
      <c r="T116" s="97"/>
      <c r="U116" s="95"/>
      <c r="V116" s="95"/>
      <c r="W116" s="66"/>
      <c r="X116" s="97" t="s">
        <v>1822</v>
      </c>
      <c r="Y116" s="404">
        <v>12500</v>
      </c>
      <c r="Z116" s="96">
        <f>6029*Y116</f>
        <v>75362500</v>
      </c>
      <c r="AA116" s="66"/>
      <c r="AB116" s="97"/>
      <c r="AC116" s="95"/>
      <c r="AD116" s="95"/>
      <c r="AE116" s="95"/>
      <c r="AF116" s="95"/>
      <c r="AG116" s="96"/>
      <c r="AH116" s="66"/>
      <c r="AI116" s="66"/>
    </row>
    <row r="117" spans="1:35" s="98" customFormat="1" ht="13.5" customHeight="1">
      <c r="A117" s="5"/>
      <c r="B117" s="74">
        <f>IF(I115="잔금", B115+1, B115)</f>
        <v>38</v>
      </c>
      <c r="C117" s="514" t="s">
        <v>66</v>
      </c>
      <c r="D117" s="75" t="str">
        <f>D115</f>
        <v>이루미건설㈜</v>
      </c>
      <c r="E117" s="75" t="str">
        <f t="shared" si="91"/>
        <v>호수마을풍림아파트</v>
      </c>
      <c r="F117" s="102"/>
      <c r="G117" s="88">
        <f>-AG114</f>
        <v>0</v>
      </c>
      <c r="H117" s="103">
        <f>(G114*20%)-AG114</f>
        <v>69882500</v>
      </c>
      <c r="I117" s="104" t="s">
        <v>71</v>
      </c>
      <c r="J117" s="251">
        <f>J115</f>
        <v>46126</v>
      </c>
      <c r="K117" s="462">
        <f>K115</f>
        <v>46129</v>
      </c>
      <c r="L117" s="252"/>
      <c r="M117" s="91"/>
      <c r="N117" s="90"/>
      <c r="O117" s="371"/>
      <c r="P117" s="80">
        <f t="shared" si="90"/>
        <v>0</v>
      </c>
      <c r="Q117" s="465" t="s">
        <v>1944</v>
      </c>
      <c r="R117" s="93"/>
      <c r="S117" s="81" t="str">
        <f t="shared" ca="1" si="48"/>
        <v/>
      </c>
      <c r="T117" s="97"/>
      <c r="U117" s="95"/>
      <c r="V117" s="95"/>
      <c r="W117" s="66"/>
      <c r="X117" s="97"/>
      <c r="Y117" s="95"/>
      <c r="Z117" s="96"/>
      <c r="AA117" s="66"/>
      <c r="AB117" s="97"/>
      <c r="AC117" s="95"/>
      <c r="AD117" s="95"/>
      <c r="AE117" s="95"/>
      <c r="AF117" s="95"/>
      <c r="AG117" s="96"/>
      <c r="AH117" s="66"/>
      <c r="AI117" s="66"/>
    </row>
    <row r="118" spans="1:35" s="98" customFormat="1" ht="13.5" customHeight="1">
      <c r="A118" s="5"/>
      <c r="B118" s="74">
        <f t="shared" ref="B118:B120" si="92">IF(I117="잔금", B117+1, B117)</f>
        <v>39</v>
      </c>
      <c r="C118" s="453" t="s">
        <v>756</v>
      </c>
      <c r="D118" s="450" t="s">
        <v>2107</v>
      </c>
      <c r="E118" s="461" t="s">
        <v>1914</v>
      </c>
      <c r="F118" s="77">
        <v>68500000</v>
      </c>
      <c r="G118" s="77">
        <f>F118-Z118-Z119</f>
        <v>47117000</v>
      </c>
      <c r="H118" s="77">
        <f>G118*20%</f>
        <v>9423400</v>
      </c>
      <c r="I118" s="89" t="s">
        <v>69</v>
      </c>
      <c r="J118" s="420">
        <v>46125</v>
      </c>
      <c r="K118" s="475">
        <v>46128</v>
      </c>
      <c r="L118" s="250">
        <v>46134</v>
      </c>
      <c r="M118" s="91">
        <f>IF(L118&lt;&gt;"", L118+20, "")</f>
        <v>46154</v>
      </c>
      <c r="N118" s="91">
        <v>46157</v>
      </c>
      <c r="O118" s="353">
        <f>H118*1.1</f>
        <v>10365740</v>
      </c>
      <c r="P118" s="80">
        <f t="shared" si="90"/>
        <v>0</v>
      </c>
      <c r="Q118" s="462">
        <f>Q120</f>
        <v>46161</v>
      </c>
      <c r="R118" s="93"/>
      <c r="S118" s="81" t="str">
        <f t="shared" ca="1" si="48"/>
        <v/>
      </c>
      <c r="T118" s="97"/>
      <c r="U118" s="95"/>
      <c r="V118" s="95"/>
      <c r="W118" s="66"/>
      <c r="X118" s="97" t="s">
        <v>1539</v>
      </c>
      <c r="Y118" s="404" t="s">
        <v>1915</v>
      </c>
      <c r="Z118" s="96">
        <f>(882*14000)+(695*13000)</f>
        <v>21383000</v>
      </c>
      <c r="AA118" s="66"/>
      <c r="AB118" s="97">
        <v>1250000</v>
      </c>
      <c r="AC118" s="95">
        <v>6450000</v>
      </c>
      <c r="AD118" s="95">
        <v>3100000</v>
      </c>
      <c r="AE118" s="95">
        <v>130000</v>
      </c>
      <c r="AF118" s="95">
        <v>2800000</v>
      </c>
      <c r="AG118" s="84">
        <f>SUM(AB118:AF118)</f>
        <v>13730000</v>
      </c>
      <c r="AH118" s="66"/>
      <c r="AI118" s="66"/>
    </row>
    <row r="119" spans="1:35" s="98" customFormat="1" ht="13.5" customHeight="1">
      <c r="A119" s="5"/>
      <c r="B119" s="74">
        <f t="shared" si="92"/>
        <v>39</v>
      </c>
      <c r="C119" s="513" t="s">
        <v>66</v>
      </c>
      <c r="D119" s="75" t="str">
        <f>D118</f>
        <v>(주)에이치제이건설</v>
      </c>
      <c r="E119" s="75" t="str">
        <f>E118</f>
        <v>영승한마음타운아파트</v>
      </c>
      <c r="F119" s="88"/>
      <c r="G119" s="88"/>
      <c r="H119" s="77">
        <f>G118*50%</f>
        <v>23558500</v>
      </c>
      <c r="I119" s="92" t="s">
        <v>536</v>
      </c>
      <c r="J119" s="251">
        <f>J118</f>
        <v>46125</v>
      </c>
      <c r="K119" s="462">
        <f>K118</f>
        <v>46128</v>
      </c>
      <c r="L119" s="252">
        <v>46160</v>
      </c>
      <c r="M119" s="91">
        <f>IF(L119&lt;&gt;"", L119+30, "")</f>
        <v>46190</v>
      </c>
      <c r="N119" s="91">
        <v>46171</v>
      </c>
      <c r="O119" s="371">
        <f>H119*1.1</f>
        <v>25914350.000000004</v>
      </c>
      <c r="P119" s="80">
        <f t="shared" si="90"/>
        <v>0</v>
      </c>
      <c r="Q119" s="462">
        <f>Q120</f>
        <v>46161</v>
      </c>
      <c r="R119" s="93"/>
      <c r="S119" s="81" t="str">
        <f t="shared" ca="1" si="48"/>
        <v/>
      </c>
      <c r="T119" s="97"/>
      <c r="U119" s="95"/>
      <c r="V119" s="95"/>
      <c r="W119" s="66"/>
      <c r="X119" s="97"/>
      <c r="Y119" s="404"/>
      <c r="Z119" s="96"/>
      <c r="AA119" s="66"/>
      <c r="AB119" s="97"/>
      <c r="AC119" s="95"/>
      <c r="AD119" s="95"/>
      <c r="AE119" s="95"/>
      <c r="AF119" s="95"/>
      <c r="AG119" s="96"/>
      <c r="AH119" s="66"/>
      <c r="AI119" s="66"/>
    </row>
    <row r="120" spans="1:35" s="98" customFormat="1" ht="13.5" customHeight="1">
      <c r="A120" s="5"/>
      <c r="B120" s="74">
        <f t="shared" si="92"/>
        <v>39</v>
      </c>
      <c r="C120" s="514" t="s">
        <v>66</v>
      </c>
      <c r="D120" s="75" t="str">
        <f>D119</f>
        <v>(주)에이치제이건설</v>
      </c>
      <c r="E120" s="99" t="str">
        <f>E119</f>
        <v>영승한마음타운아파트</v>
      </c>
      <c r="F120" s="102"/>
      <c r="G120" s="88">
        <f>-AG118</f>
        <v>-13730000</v>
      </c>
      <c r="H120" s="103">
        <f>(G118*30%)-AG118</f>
        <v>405100</v>
      </c>
      <c r="I120" s="104" t="s">
        <v>71</v>
      </c>
      <c r="J120" s="251">
        <f>J119</f>
        <v>46125</v>
      </c>
      <c r="K120" s="462">
        <f>K119</f>
        <v>46128</v>
      </c>
      <c r="L120" s="252">
        <v>46170</v>
      </c>
      <c r="M120" s="91">
        <f>IF(L120&lt;&gt;"", L120+30, "")</f>
        <v>46200</v>
      </c>
      <c r="N120" s="90"/>
      <c r="O120" s="371"/>
      <c r="P120" s="80">
        <f t="shared" si="90"/>
        <v>445610.00000000006</v>
      </c>
      <c r="Q120" s="463">
        <v>46161</v>
      </c>
      <c r="R120" s="93"/>
      <c r="S120" s="81" t="str">
        <f t="shared" ca="1" si="48"/>
        <v/>
      </c>
      <c r="T120" s="97"/>
      <c r="U120" s="95"/>
      <c r="V120" s="95"/>
      <c r="W120" s="66"/>
      <c r="X120" s="97"/>
      <c r="Y120" s="95"/>
      <c r="Z120" s="96"/>
      <c r="AA120" s="66"/>
      <c r="AB120" s="97"/>
      <c r="AC120" s="95"/>
      <c r="AD120" s="95"/>
      <c r="AE120" s="95"/>
      <c r="AF120" s="95"/>
      <c r="AG120" s="96"/>
      <c r="AH120" s="66"/>
      <c r="AI120" s="66"/>
    </row>
    <row r="121" spans="1:35" s="98" customFormat="1" ht="13.5" customHeight="1">
      <c r="A121" s="5"/>
      <c r="B121" s="74">
        <f t="shared" ref="B121:B123" si="93">IF(I120="잔금", B120+1, B120)</f>
        <v>40</v>
      </c>
      <c r="C121" s="453" t="s">
        <v>756</v>
      </c>
      <c r="D121" s="450" t="s">
        <v>2114</v>
      </c>
      <c r="E121" s="461" t="s">
        <v>1941</v>
      </c>
      <c r="F121" s="77">
        <v>61700000</v>
      </c>
      <c r="G121" s="77">
        <f>F121-Z121-Z122</f>
        <v>39812000</v>
      </c>
      <c r="H121" s="77">
        <f>G121*20%</f>
        <v>7962400</v>
      </c>
      <c r="I121" s="89" t="s">
        <v>69</v>
      </c>
      <c r="J121" s="420">
        <v>46133</v>
      </c>
      <c r="K121" s="475">
        <v>46134</v>
      </c>
      <c r="L121" s="250">
        <v>46141</v>
      </c>
      <c r="M121" s="91">
        <f>IF(L121&lt;&gt;"", L121+20, "")</f>
        <v>46161</v>
      </c>
      <c r="N121" s="91">
        <v>46142</v>
      </c>
      <c r="O121" s="371">
        <f>H121*1.1</f>
        <v>8758640</v>
      </c>
      <c r="P121" s="80">
        <f t="shared" ref="P121:P123" si="94">IF(L121="", 0, (H121*1.1)-O121)</f>
        <v>0</v>
      </c>
      <c r="Q121" s="462">
        <f>Q123</f>
        <v>46153</v>
      </c>
      <c r="R121" s="93"/>
      <c r="S121" s="81" t="str">
        <f t="shared" ca="1" si="48"/>
        <v/>
      </c>
      <c r="T121" s="97"/>
      <c r="U121" s="95"/>
      <c r="V121" s="95"/>
      <c r="W121" s="66"/>
      <c r="X121" s="97" t="s">
        <v>1077</v>
      </c>
      <c r="Y121" s="404">
        <v>12000</v>
      </c>
      <c r="Z121" s="96">
        <f>1824*Y121</f>
        <v>21888000</v>
      </c>
      <c r="AA121" s="66"/>
      <c r="AB121" s="97">
        <v>1000000</v>
      </c>
      <c r="AC121" s="95">
        <v>1830000</v>
      </c>
      <c r="AD121" s="95"/>
      <c r="AE121" s="95">
        <v>600000</v>
      </c>
      <c r="AF121" s="95"/>
      <c r="AG121" s="84">
        <f>SUM(AB121:AF121)</f>
        <v>3430000</v>
      </c>
      <c r="AH121" s="66"/>
      <c r="AI121" s="66"/>
    </row>
    <row r="122" spans="1:35" s="98" customFormat="1" ht="13.5" customHeight="1">
      <c r="A122" s="5"/>
      <c r="B122" s="74">
        <f t="shared" si="93"/>
        <v>40</v>
      </c>
      <c r="C122" s="513" t="s">
        <v>66</v>
      </c>
      <c r="D122" s="75" t="str">
        <f>D121</f>
        <v>(주)석민이앤씨</v>
      </c>
      <c r="E122" s="75" t="str">
        <f>E121</f>
        <v>이천신둔코아루아파트</v>
      </c>
      <c r="F122" s="88"/>
      <c r="G122" s="88"/>
      <c r="H122" s="77">
        <f>G121*50%</f>
        <v>19906000</v>
      </c>
      <c r="I122" s="92" t="s">
        <v>536</v>
      </c>
      <c r="J122" s="251">
        <f>J121</f>
        <v>46133</v>
      </c>
      <c r="K122" s="462">
        <f>K121</f>
        <v>46134</v>
      </c>
      <c r="L122" s="252">
        <v>46155</v>
      </c>
      <c r="M122" s="91">
        <f>IF(L122&lt;&gt;"", L122+30, "")</f>
        <v>46185</v>
      </c>
      <c r="N122" s="91">
        <v>46157</v>
      </c>
      <c r="O122" s="371">
        <f>H122*1.1</f>
        <v>21896600</v>
      </c>
      <c r="P122" s="80">
        <f t="shared" si="94"/>
        <v>0</v>
      </c>
      <c r="Q122" s="462">
        <f>Q123</f>
        <v>46153</v>
      </c>
      <c r="R122" s="93"/>
      <c r="S122" s="81" t="str">
        <f t="shared" ca="1" si="48"/>
        <v/>
      </c>
      <c r="T122" s="97"/>
      <c r="U122" s="95"/>
      <c r="V122" s="95"/>
      <c r="W122" s="66"/>
      <c r="X122" s="97"/>
      <c r="Y122" s="404"/>
      <c r="Z122" s="96"/>
      <c r="AA122" s="66"/>
      <c r="AB122" s="97"/>
      <c r="AC122" s="95"/>
      <c r="AD122" s="95"/>
      <c r="AE122" s="95"/>
      <c r="AF122" s="95"/>
      <c r="AG122" s="96"/>
      <c r="AH122" s="66"/>
      <c r="AI122" s="66"/>
    </row>
    <row r="123" spans="1:35" s="98" customFormat="1" ht="13.5" customHeight="1">
      <c r="A123" s="5"/>
      <c r="B123" s="74">
        <f t="shared" si="93"/>
        <v>40</v>
      </c>
      <c r="C123" s="514" t="s">
        <v>66</v>
      </c>
      <c r="D123" s="75" t="str">
        <f>D122</f>
        <v>(주)석민이앤씨</v>
      </c>
      <c r="E123" s="99" t="str">
        <f>E122</f>
        <v>이천신둔코아루아파트</v>
      </c>
      <c r="F123" s="102"/>
      <c r="G123" s="88">
        <f>-AG121</f>
        <v>-3430000</v>
      </c>
      <c r="H123" s="103">
        <f>(G121*30%)-AG121</f>
        <v>8513600</v>
      </c>
      <c r="I123" s="104" t="s">
        <v>71</v>
      </c>
      <c r="J123" s="251">
        <f>J122</f>
        <v>46133</v>
      </c>
      <c r="K123" s="462">
        <f>K122</f>
        <v>46134</v>
      </c>
      <c r="L123" s="252">
        <v>46169</v>
      </c>
      <c r="M123" s="91">
        <f>IF(L123&lt;&gt;"", L123+30, "")</f>
        <v>46199</v>
      </c>
      <c r="N123" s="90"/>
      <c r="O123" s="371"/>
      <c r="P123" s="80">
        <f t="shared" si="94"/>
        <v>9364960</v>
      </c>
      <c r="Q123" s="463">
        <v>46153</v>
      </c>
      <c r="R123" s="93"/>
      <c r="S123" s="81" t="str">
        <f t="shared" ca="1" si="48"/>
        <v/>
      </c>
      <c r="T123" s="97"/>
      <c r="U123" s="95"/>
      <c r="V123" s="95"/>
      <c r="W123" s="66"/>
      <c r="X123" s="97"/>
      <c r="Y123" s="95"/>
      <c r="Z123" s="96"/>
      <c r="AA123" s="66"/>
      <c r="AB123" s="97"/>
      <c r="AC123" s="95"/>
      <c r="AD123" s="95"/>
      <c r="AE123" s="95"/>
      <c r="AF123" s="95"/>
      <c r="AG123" s="96"/>
      <c r="AH123" s="66"/>
      <c r="AI123" s="66"/>
    </row>
    <row r="124" spans="1:35" s="98" customFormat="1" ht="13.5" customHeight="1">
      <c r="A124" s="5"/>
      <c r="B124" s="74">
        <f t="shared" ref="B124:B126" si="95">IF(I123="잔금", B123+1, B123)</f>
        <v>41</v>
      </c>
      <c r="C124" s="453" t="s">
        <v>756</v>
      </c>
      <c r="D124" s="451" t="s">
        <v>2117</v>
      </c>
      <c r="E124" s="461" t="s">
        <v>1076</v>
      </c>
      <c r="F124" s="77">
        <v>179500000</v>
      </c>
      <c r="G124" s="77">
        <f>F124-Z124-Z125</f>
        <v>107274000</v>
      </c>
      <c r="H124" s="77">
        <f>G124*20%</f>
        <v>21454800</v>
      </c>
      <c r="I124" s="89" t="s">
        <v>69</v>
      </c>
      <c r="J124" s="420">
        <v>46132</v>
      </c>
      <c r="K124" s="475">
        <v>46133</v>
      </c>
      <c r="L124" s="250">
        <v>46148</v>
      </c>
      <c r="M124" s="91">
        <f>IF(L124&lt;&gt;"", L124+20, "")</f>
        <v>46168</v>
      </c>
      <c r="N124" s="91">
        <v>46157</v>
      </c>
      <c r="O124" s="371">
        <f>H124*1.1</f>
        <v>23600280.000000004</v>
      </c>
      <c r="P124" s="80">
        <f t="shared" ref="P124:P126" si="96">IF(L124="", 0, (H124*1.1)-O124)</f>
        <v>0</v>
      </c>
      <c r="Q124" s="462" t="str">
        <f>Q126</f>
        <v>(예)2026-06-30</v>
      </c>
      <c r="R124" s="93"/>
      <c r="S124" s="81" t="str">
        <f t="shared" ca="1" si="48"/>
        <v/>
      </c>
      <c r="T124" s="97"/>
      <c r="U124" s="95"/>
      <c r="V124" s="95"/>
      <c r="W124" s="66"/>
      <c r="X124" s="97" t="s">
        <v>821</v>
      </c>
      <c r="Y124" s="404" t="s">
        <v>2315</v>
      </c>
      <c r="Z124" s="96">
        <f>(4312*13000)+(1078*15000)</f>
        <v>72226000</v>
      </c>
      <c r="AA124" s="66"/>
      <c r="AB124" s="97"/>
      <c r="AC124" s="95"/>
      <c r="AD124" s="95"/>
      <c r="AE124" s="95"/>
      <c r="AF124" s="95"/>
      <c r="AG124" s="84">
        <f>SUM(AB124:AF124)</f>
        <v>0</v>
      </c>
      <c r="AH124" s="66"/>
      <c r="AI124" s="66"/>
    </row>
    <row r="125" spans="1:35" s="98" customFormat="1" ht="13.5" customHeight="1">
      <c r="A125" s="5"/>
      <c r="B125" s="74">
        <f t="shared" si="95"/>
        <v>41</v>
      </c>
      <c r="C125" s="513" t="s">
        <v>66</v>
      </c>
      <c r="D125" s="75" t="str">
        <f>D124</f>
        <v>(주)기림이앤씨</v>
      </c>
      <c r="E125" s="75" t="str">
        <f>E124</f>
        <v>불당파크푸르지오2단지</v>
      </c>
      <c r="F125" s="88"/>
      <c r="G125" s="88"/>
      <c r="H125" s="77">
        <f>G124*40%</f>
        <v>42909600</v>
      </c>
      <c r="I125" s="92" t="s">
        <v>536</v>
      </c>
      <c r="J125" s="251">
        <f>J124</f>
        <v>46132</v>
      </c>
      <c r="K125" s="462">
        <f>K124</f>
        <v>46133</v>
      </c>
      <c r="L125" s="252">
        <v>46169</v>
      </c>
      <c r="M125" s="91">
        <f>IF(L125&lt;&gt;"", L125+30, "")</f>
        <v>46199</v>
      </c>
      <c r="N125" s="90"/>
      <c r="O125" s="371"/>
      <c r="P125" s="80">
        <f t="shared" si="96"/>
        <v>47200560.000000007</v>
      </c>
      <c r="Q125" s="462" t="str">
        <f>Q126</f>
        <v>(예)2026-06-30</v>
      </c>
      <c r="R125" s="93"/>
      <c r="S125" s="81" t="str">
        <f t="shared" ca="1" si="48"/>
        <v/>
      </c>
      <c r="T125" s="97"/>
      <c r="U125" s="95"/>
      <c r="V125" s="95"/>
      <c r="W125" s="66"/>
      <c r="X125" s="97"/>
      <c r="Y125" s="404"/>
      <c r="Z125" s="96"/>
      <c r="AA125" s="66"/>
      <c r="AB125" s="97"/>
      <c r="AC125" s="95"/>
      <c r="AD125" s="95"/>
      <c r="AE125" s="95"/>
      <c r="AF125" s="95"/>
      <c r="AG125" s="96"/>
      <c r="AH125" s="66"/>
      <c r="AI125" s="66"/>
    </row>
    <row r="126" spans="1:35" s="98" customFormat="1" ht="13.5" customHeight="1">
      <c r="A126" s="5"/>
      <c r="B126" s="74">
        <f t="shared" si="95"/>
        <v>41</v>
      </c>
      <c r="C126" s="514" t="s">
        <v>66</v>
      </c>
      <c r="D126" s="75" t="str">
        <f>D125</f>
        <v>(주)기림이앤씨</v>
      </c>
      <c r="E126" s="99" t="str">
        <f>E125</f>
        <v>불당파크푸르지오2단지</v>
      </c>
      <c r="F126" s="102"/>
      <c r="G126" s="88">
        <f>-AG124</f>
        <v>0</v>
      </c>
      <c r="H126" s="103">
        <f>(G124*40%)-AG124</f>
        <v>42909600</v>
      </c>
      <c r="I126" s="104" t="s">
        <v>71</v>
      </c>
      <c r="J126" s="251">
        <f>J125</f>
        <v>46132</v>
      </c>
      <c r="K126" s="462">
        <f>K125</f>
        <v>46133</v>
      </c>
      <c r="L126" s="252"/>
      <c r="M126" s="91"/>
      <c r="N126" s="90"/>
      <c r="O126" s="371"/>
      <c r="P126" s="80">
        <f t="shared" si="96"/>
        <v>0</v>
      </c>
      <c r="Q126" s="465" t="s">
        <v>1944</v>
      </c>
      <c r="R126" s="93"/>
      <c r="S126" s="81" t="str">
        <f t="shared" ca="1" si="48"/>
        <v/>
      </c>
      <c r="T126" s="97"/>
      <c r="U126" s="95"/>
      <c r="V126" s="95"/>
      <c r="W126" s="66"/>
      <c r="X126" s="97"/>
      <c r="Y126" s="95"/>
      <c r="Z126" s="96"/>
      <c r="AA126" s="66"/>
      <c r="AB126" s="97"/>
      <c r="AC126" s="95"/>
      <c r="AD126" s="95"/>
      <c r="AE126" s="95"/>
      <c r="AF126" s="95"/>
      <c r="AG126" s="96"/>
      <c r="AH126" s="66"/>
      <c r="AI126" s="66"/>
    </row>
    <row r="127" spans="1:35" s="98" customFormat="1" ht="13.5" customHeight="1">
      <c r="A127" s="5"/>
      <c r="B127" s="74">
        <f t="shared" ref="B127:B129" si="97">IF(I126="잔금", B126+1, B126)</f>
        <v>42</v>
      </c>
      <c r="C127" s="453" t="s">
        <v>756</v>
      </c>
      <c r="D127" s="449" t="s">
        <v>1509</v>
      </c>
      <c r="E127" s="461" t="s">
        <v>1940</v>
      </c>
      <c r="F127" s="77">
        <v>24750000</v>
      </c>
      <c r="G127" s="77">
        <f>F127-Z127-Z128</f>
        <v>20390000</v>
      </c>
      <c r="H127" s="77">
        <v>3448000</v>
      </c>
      <c r="I127" s="89" t="s">
        <v>69</v>
      </c>
      <c r="J127" s="420">
        <v>46139</v>
      </c>
      <c r="K127" s="475">
        <v>46140</v>
      </c>
      <c r="L127" s="250">
        <v>46142</v>
      </c>
      <c r="M127" s="91">
        <f>IF(L127&lt;&gt;"", L127+20, "")</f>
        <v>46162</v>
      </c>
      <c r="N127" s="91"/>
      <c r="O127" s="371"/>
      <c r="P127" s="80">
        <f t="shared" ref="P127:P129" si="98">IF(L127="", 0, (H127*1.1)-O127)</f>
        <v>3792800.0000000005</v>
      </c>
      <c r="Q127" s="462">
        <f>Q129</f>
        <v>46147</v>
      </c>
      <c r="R127" s="93"/>
      <c r="S127" s="81" t="str">
        <f t="shared" ca="1" si="48"/>
        <v>관리</v>
      </c>
      <c r="T127" s="97"/>
      <c r="U127" s="95"/>
      <c r="V127" s="95"/>
      <c r="W127" s="66"/>
      <c r="X127" s="97" t="s">
        <v>2263</v>
      </c>
      <c r="Y127" s="404">
        <v>10000</v>
      </c>
      <c r="Z127" s="96">
        <v>4360000</v>
      </c>
      <c r="AA127" s="66"/>
      <c r="AB127" s="97">
        <v>1890000</v>
      </c>
      <c r="AC127" s="95"/>
      <c r="AD127" s="95"/>
      <c r="AE127" s="95">
        <v>70000</v>
      </c>
      <c r="AF127" s="95"/>
      <c r="AG127" s="84">
        <f>SUM(AB127:AF127)</f>
        <v>1960000</v>
      </c>
      <c r="AH127" s="66"/>
      <c r="AI127" s="66"/>
    </row>
    <row r="128" spans="1:35" s="98" customFormat="1" ht="13.5" customHeight="1">
      <c r="A128" s="5"/>
      <c r="B128" s="74">
        <f t="shared" si="97"/>
        <v>42</v>
      </c>
      <c r="C128" s="513" t="s">
        <v>66</v>
      </c>
      <c r="D128" s="75" t="str">
        <f>D127</f>
        <v>여름건설㈜</v>
      </c>
      <c r="E128" s="75" t="str">
        <f>E127</f>
        <v>해가든더클래식아파트</v>
      </c>
      <c r="F128" s="88"/>
      <c r="G128" s="88"/>
      <c r="H128" s="77">
        <v>6896000</v>
      </c>
      <c r="I128" s="92" t="s">
        <v>536</v>
      </c>
      <c r="J128" s="251">
        <f>J127</f>
        <v>46139</v>
      </c>
      <c r="K128" s="462">
        <f>K127</f>
        <v>46140</v>
      </c>
      <c r="L128" s="252">
        <v>46149</v>
      </c>
      <c r="M128" s="91">
        <f>IF(L128&lt;&gt;"", L128+30, "")</f>
        <v>46179</v>
      </c>
      <c r="N128" s="90"/>
      <c r="O128" s="371"/>
      <c r="P128" s="80">
        <f t="shared" si="98"/>
        <v>7585600.0000000009</v>
      </c>
      <c r="Q128" s="462">
        <f>Q129</f>
        <v>46147</v>
      </c>
      <c r="R128" s="93"/>
      <c r="S128" s="81" t="str">
        <f t="shared" ca="1" si="48"/>
        <v/>
      </c>
      <c r="T128" s="97"/>
      <c r="U128" s="95"/>
      <c r="V128" s="95"/>
      <c r="W128" s="66"/>
      <c r="X128" s="97"/>
      <c r="Y128" s="404"/>
      <c r="Z128" s="96"/>
      <c r="AA128" s="66"/>
      <c r="AB128" s="97"/>
      <c r="AC128" s="95"/>
      <c r="AD128" s="95"/>
      <c r="AE128" s="95"/>
      <c r="AF128" s="95"/>
      <c r="AG128" s="96"/>
      <c r="AH128" s="66"/>
      <c r="AI128" s="66"/>
    </row>
    <row r="129" spans="1:35" s="98" customFormat="1" ht="13.5" customHeight="1">
      <c r="A129" s="5"/>
      <c r="B129" s="74">
        <f t="shared" si="97"/>
        <v>42</v>
      </c>
      <c r="C129" s="514" t="s">
        <v>66</v>
      </c>
      <c r="D129" s="75" t="str">
        <f>D128</f>
        <v>여름건설㈜</v>
      </c>
      <c r="E129" s="99" t="str">
        <f>E128</f>
        <v>해가든더클래식아파트</v>
      </c>
      <c r="F129" s="102"/>
      <c r="G129" s="88">
        <f>-AG127</f>
        <v>-1960000</v>
      </c>
      <c r="H129" s="103">
        <f>(G127-H127-H128)-AG127</f>
        <v>8086000</v>
      </c>
      <c r="I129" s="104" t="s">
        <v>71</v>
      </c>
      <c r="J129" s="251">
        <f>J128</f>
        <v>46139</v>
      </c>
      <c r="K129" s="462">
        <f>K128</f>
        <v>46140</v>
      </c>
      <c r="L129" s="252"/>
      <c r="M129" s="91"/>
      <c r="N129" s="90"/>
      <c r="O129" s="371"/>
      <c r="P129" s="80">
        <f t="shared" si="98"/>
        <v>0</v>
      </c>
      <c r="Q129" s="465">
        <v>46147</v>
      </c>
      <c r="R129" s="93"/>
      <c r="S129" s="81" t="str">
        <f t="shared" ca="1" si="48"/>
        <v/>
      </c>
      <c r="T129" s="97"/>
      <c r="U129" s="95"/>
      <c r="V129" s="95"/>
      <c r="W129" s="66"/>
      <c r="X129" s="97"/>
      <c r="Y129" s="95"/>
      <c r="Z129" s="96"/>
      <c r="AA129" s="66"/>
      <c r="AB129" s="97"/>
      <c r="AC129" s="95"/>
      <c r="AD129" s="95"/>
      <c r="AE129" s="95"/>
      <c r="AF129" s="95"/>
      <c r="AG129" s="96"/>
      <c r="AH129" s="66"/>
      <c r="AI129" s="66"/>
    </row>
    <row r="130" spans="1:35" s="98" customFormat="1" ht="13.5" customHeight="1">
      <c r="A130" s="5"/>
      <c r="B130" s="74">
        <f t="shared" ref="B130:B141" si="99">IF(I129="잔금", B129+1, B129)</f>
        <v>43</v>
      </c>
      <c r="C130" s="453" t="s">
        <v>756</v>
      </c>
      <c r="D130" s="449" t="s">
        <v>2180</v>
      </c>
      <c r="E130" s="461" t="s">
        <v>2175</v>
      </c>
      <c r="F130" s="77">
        <v>134400000</v>
      </c>
      <c r="G130" s="77">
        <f>F130-Z130-Z131</f>
        <v>92724000</v>
      </c>
      <c r="H130" s="77">
        <f>G130*20%</f>
        <v>18544800</v>
      </c>
      <c r="I130" s="89" t="s">
        <v>69</v>
      </c>
      <c r="J130" s="420">
        <v>46140</v>
      </c>
      <c r="K130" s="475">
        <v>46142</v>
      </c>
      <c r="L130" s="250">
        <v>46142</v>
      </c>
      <c r="M130" s="91">
        <f>IF(L130&lt;&gt;"", L130+20, "")</f>
        <v>46162</v>
      </c>
      <c r="N130" s="91">
        <v>46153</v>
      </c>
      <c r="O130" s="371">
        <f>H130*1.1</f>
        <v>20399280</v>
      </c>
      <c r="P130" s="80">
        <f t="shared" ref="P130:P141" si="100">IF(L130="", 0, (H130*1.1)-O130)</f>
        <v>0</v>
      </c>
      <c r="Q130" s="462" t="str">
        <f>Q132</f>
        <v>(예)2026-06-30</v>
      </c>
      <c r="R130" s="93"/>
      <c r="S130" s="81" t="str">
        <f t="shared" ca="1" si="48"/>
        <v/>
      </c>
      <c r="T130" s="97"/>
      <c r="U130" s="95"/>
      <c r="V130" s="95"/>
      <c r="W130" s="66"/>
      <c r="X130" s="97" t="s">
        <v>2265</v>
      </c>
      <c r="Y130" s="404">
        <v>12000</v>
      </c>
      <c r="Z130" s="96">
        <f>3473*12000</f>
        <v>41676000</v>
      </c>
      <c r="AA130" s="66"/>
      <c r="AB130" s="97"/>
      <c r="AC130" s="95"/>
      <c r="AD130" s="95"/>
      <c r="AE130" s="95"/>
      <c r="AF130" s="95"/>
      <c r="AG130" s="84">
        <f>SUM(AB130:AF130)</f>
        <v>0</v>
      </c>
      <c r="AH130" s="66"/>
      <c r="AI130" s="66"/>
    </row>
    <row r="131" spans="1:35" s="98" customFormat="1" ht="13.5" customHeight="1">
      <c r="A131" s="5"/>
      <c r="B131" s="74">
        <f t="shared" si="99"/>
        <v>43</v>
      </c>
      <c r="C131" s="513" t="s">
        <v>66</v>
      </c>
      <c r="D131" s="75" t="str">
        <f>D130</f>
        <v>㈜방수존건설</v>
      </c>
      <c r="E131" s="75" t="str">
        <f>E130</f>
        <v>구로두산위브아파트</v>
      </c>
      <c r="F131" s="88"/>
      <c r="G131" s="88"/>
      <c r="H131" s="77">
        <f>G130*40%</f>
        <v>37089600</v>
      </c>
      <c r="I131" s="92" t="s">
        <v>536</v>
      </c>
      <c r="J131" s="251">
        <f>J130</f>
        <v>46140</v>
      </c>
      <c r="K131" s="462">
        <f>K130</f>
        <v>46142</v>
      </c>
      <c r="L131" s="252"/>
      <c r="M131" s="91" t="str">
        <f>IF(L131&lt;&gt;"", L131+30, "")</f>
        <v/>
      </c>
      <c r="N131" s="90"/>
      <c r="O131" s="371"/>
      <c r="P131" s="80">
        <f t="shared" si="100"/>
        <v>0</v>
      </c>
      <c r="Q131" s="462" t="str">
        <f>Q132</f>
        <v>(예)2026-06-30</v>
      </c>
      <c r="R131" s="93"/>
      <c r="S131" s="81" t="str">
        <f t="shared" ca="1" si="48"/>
        <v/>
      </c>
      <c r="T131" s="97"/>
      <c r="U131" s="95"/>
      <c r="V131" s="95"/>
      <c r="W131" s="66"/>
      <c r="X131" s="97"/>
      <c r="Y131" s="404"/>
      <c r="Z131" s="96"/>
      <c r="AA131" s="66"/>
      <c r="AB131" s="97"/>
      <c r="AC131" s="95"/>
      <c r="AD131" s="95"/>
      <c r="AE131" s="95"/>
      <c r="AF131" s="95"/>
      <c r="AG131" s="96"/>
      <c r="AH131" s="66"/>
      <c r="AI131" s="66"/>
    </row>
    <row r="132" spans="1:35" s="98" customFormat="1" ht="13.5" customHeight="1">
      <c r="A132" s="5"/>
      <c r="B132" s="74">
        <f t="shared" si="99"/>
        <v>43</v>
      </c>
      <c r="C132" s="514" t="s">
        <v>66</v>
      </c>
      <c r="D132" s="75" t="str">
        <f>D131</f>
        <v>㈜방수존건설</v>
      </c>
      <c r="E132" s="99" t="str">
        <f>E131</f>
        <v>구로두산위브아파트</v>
      </c>
      <c r="F132" s="102"/>
      <c r="G132" s="88">
        <f>-AG130</f>
        <v>0</v>
      </c>
      <c r="H132" s="103">
        <f>(G130*40%)-AG130</f>
        <v>37089600</v>
      </c>
      <c r="I132" s="104" t="s">
        <v>71</v>
      </c>
      <c r="J132" s="251">
        <f>J131</f>
        <v>46140</v>
      </c>
      <c r="K132" s="462">
        <f>K131</f>
        <v>46142</v>
      </c>
      <c r="L132" s="252"/>
      <c r="M132" s="91"/>
      <c r="N132" s="90"/>
      <c r="O132" s="371"/>
      <c r="P132" s="80">
        <f t="shared" si="100"/>
        <v>0</v>
      </c>
      <c r="Q132" s="465" t="s">
        <v>2181</v>
      </c>
      <c r="R132" s="93"/>
      <c r="S132" s="81" t="str">
        <f t="shared" ca="1" si="48"/>
        <v/>
      </c>
      <c r="T132" s="97"/>
      <c r="U132" s="95"/>
      <c r="V132" s="95"/>
      <c r="W132" s="66"/>
      <c r="X132" s="97"/>
      <c r="Y132" s="95"/>
      <c r="Z132" s="96"/>
      <c r="AA132" s="66"/>
      <c r="AB132" s="97"/>
      <c r="AC132" s="95"/>
      <c r="AD132" s="95"/>
      <c r="AE132" s="95"/>
      <c r="AF132" s="95"/>
      <c r="AG132" s="96"/>
      <c r="AH132" s="66"/>
      <c r="AI132" s="66"/>
    </row>
    <row r="133" spans="1:35" s="98" customFormat="1" ht="13.5" customHeight="1">
      <c r="A133" s="5"/>
      <c r="B133" s="74">
        <f t="shared" si="99"/>
        <v>44</v>
      </c>
      <c r="C133" s="453" t="s">
        <v>756</v>
      </c>
      <c r="D133" s="449" t="s">
        <v>2184</v>
      </c>
      <c r="E133" s="461" t="s">
        <v>2176</v>
      </c>
      <c r="F133" s="77">
        <v>150800000</v>
      </c>
      <c r="G133" s="77">
        <f>F133-Z133-Z134</f>
        <v>117860000</v>
      </c>
      <c r="H133" s="77">
        <f>G133*20%</f>
        <v>23572000</v>
      </c>
      <c r="I133" s="89" t="s">
        <v>69</v>
      </c>
      <c r="J133" s="420">
        <v>46140</v>
      </c>
      <c r="K133" s="475" t="s">
        <v>2182</v>
      </c>
      <c r="L133" s="250"/>
      <c r="M133" s="91" t="str">
        <f>IF(L133&lt;&gt;"", L133+20, "")</f>
        <v/>
      </c>
      <c r="N133" s="91"/>
      <c r="O133" s="371"/>
      <c r="P133" s="80">
        <f t="shared" si="100"/>
        <v>0</v>
      </c>
      <c r="Q133" s="462" t="str">
        <f>Q135</f>
        <v>(예)2026-07-28</v>
      </c>
      <c r="R133" s="93"/>
      <c r="S133" s="81" t="str">
        <f t="shared" ca="1" si="48"/>
        <v/>
      </c>
      <c r="T133" s="97"/>
      <c r="U133" s="95"/>
      <c r="V133" s="95"/>
      <c r="W133" s="66"/>
      <c r="X133" s="97"/>
      <c r="Y133" s="404"/>
      <c r="Z133" s="96">
        <v>32940000</v>
      </c>
      <c r="AA133" s="66"/>
      <c r="AB133" s="97"/>
      <c r="AC133" s="95"/>
      <c r="AD133" s="95"/>
      <c r="AE133" s="95"/>
      <c r="AF133" s="95"/>
      <c r="AG133" s="84">
        <f>SUM(AB133:AF133)</f>
        <v>0</v>
      </c>
      <c r="AH133" s="66"/>
      <c r="AI133" s="66"/>
    </row>
    <row r="134" spans="1:35" s="98" customFormat="1" ht="13.5" customHeight="1">
      <c r="A134" s="5"/>
      <c r="B134" s="74">
        <f t="shared" si="99"/>
        <v>44</v>
      </c>
      <c r="C134" s="513" t="s">
        <v>66</v>
      </c>
      <c r="D134" s="75" t="str">
        <f>D133</f>
        <v>㈜세원티엠</v>
      </c>
      <c r="E134" s="75" t="str">
        <f>E133</f>
        <v>삼송리슈빌센트럴파크</v>
      </c>
      <c r="F134" s="88"/>
      <c r="G134" s="88"/>
      <c r="H134" s="77">
        <f>G133*40%</f>
        <v>47144000</v>
      </c>
      <c r="I134" s="92" t="s">
        <v>536</v>
      </c>
      <c r="J134" s="251">
        <f>J133</f>
        <v>46140</v>
      </c>
      <c r="K134" s="462" t="str">
        <f>K133</f>
        <v>(예)2026-05-30</v>
      </c>
      <c r="L134" s="252"/>
      <c r="M134" s="91" t="str">
        <f>IF(L134&lt;&gt;"", L134+30, "")</f>
        <v/>
      </c>
      <c r="N134" s="90"/>
      <c r="O134" s="371"/>
      <c r="P134" s="80">
        <f t="shared" si="100"/>
        <v>0</v>
      </c>
      <c r="Q134" s="462" t="str">
        <f>Q135</f>
        <v>(예)2026-07-28</v>
      </c>
      <c r="R134" s="93"/>
      <c r="S134" s="81" t="str">
        <f t="shared" ca="1" si="48"/>
        <v/>
      </c>
      <c r="T134" s="97"/>
      <c r="U134" s="95"/>
      <c r="V134" s="95"/>
      <c r="W134" s="66"/>
      <c r="X134" s="97"/>
      <c r="Y134" s="404"/>
      <c r="Z134" s="96"/>
      <c r="AA134" s="66"/>
      <c r="AB134" s="97"/>
      <c r="AC134" s="95"/>
      <c r="AD134" s="95"/>
      <c r="AE134" s="95"/>
      <c r="AF134" s="95"/>
      <c r="AG134" s="96"/>
      <c r="AH134" s="66"/>
      <c r="AI134" s="66"/>
    </row>
    <row r="135" spans="1:35" s="98" customFormat="1" ht="13.5" customHeight="1">
      <c r="A135" s="5"/>
      <c r="B135" s="74">
        <f t="shared" si="99"/>
        <v>44</v>
      </c>
      <c r="C135" s="514" t="s">
        <v>66</v>
      </c>
      <c r="D135" s="75" t="str">
        <f>D134</f>
        <v>㈜세원티엠</v>
      </c>
      <c r="E135" s="99" t="str">
        <f>E134</f>
        <v>삼송리슈빌센트럴파크</v>
      </c>
      <c r="F135" s="102"/>
      <c r="G135" s="88">
        <f>-AG133</f>
        <v>0</v>
      </c>
      <c r="H135" s="103">
        <f>(G133*40%)-AG133</f>
        <v>47144000</v>
      </c>
      <c r="I135" s="104" t="s">
        <v>71</v>
      </c>
      <c r="J135" s="251">
        <f>J134</f>
        <v>46140</v>
      </c>
      <c r="K135" s="462" t="str">
        <f>K134</f>
        <v>(예)2026-05-30</v>
      </c>
      <c r="L135" s="252"/>
      <c r="M135" s="91"/>
      <c r="N135" s="90"/>
      <c r="O135" s="371"/>
      <c r="P135" s="80">
        <f t="shared" si="100"/>
        <v>0</v>
      </c>
      <c r="Q135" s="465" t="s">
        <v>2183</v>
      </c>
      <c r="R135" s="93"/>
      <c r="S135" s="81" t="str">
        <f t="shared" ca="1" si="48"/>
        <v/>
      </c>
      <c r="T135" s="97"/>
      <c r="U135" s="95"/>
      <c r="V135" s="95"/>
      <c r="W135" s="66"/>
      <c r="X135" s="97"/>
      <c r="Y135" s="95"/>
      <c r="Z135" s="96"/>
      <c r="AA135" s="66"/>
      <c r="AB135" s="97"/>
      <c r="AC135" s="95"/>
      <c r="AD135" s="95"/>
      <c r="AE135" s="95"/>
      <c r="AF135" s="95"/>
      <c r="AG135" s="96"/>
      <c r="AH135" s="66"/>
      <c r="AI135" s="66"/>
    </row>
    <row r="136" spans="1:35" s="98" customFormat="1" ht="13.5" customHeight="1">
      <c r="A136" s="5"/>
      <c r="B136" s="74">
        <f t="shared" si="99"/>
        <v>45</v>
      </c>
      <c r="C136" s="453" t="s">
        <v>756</v>
      </c>
      <c r="D136" s="449" t="s">
        <v>2185</v>
      </c>
      <c r="E136" s="461" t="s">
        <v>2177</v>
      </c>
      <c r="F136" s="77">
        <v>213800000</v>
      </c>
      <c r="G136" s="77">
        <f>F136-Z136-Z137</f>
        <v>138266000</v>
      </c>
      <c r="H136" s="77">
        <f>G136*20%</f>
        <v>27653200</v>
      </c>
      <c r="I136" s="89" t="s">
        <v>69</v>
      </c>
      <c r="J136" s="420">
        <v>46140</v>
      </c>
      <c r="K136" s="475">
        <v>46154</v>
      </c>
      <c r="L136" s="250">
        <v>46156</v>
      </c>
      <c r="M136" s="91">
        <f>IF(L136&lt;&gt;"", L136+20, "")</f>
        <v>46176</v>
      </c>
      <c r="N136" s="91">
        <v>46164</v>
      </c>
      <c r="O136" s="371">
        <f>H136*1.1</f>
        <v>30418520.000000004</v>
      </c>
      <c r="P136" s="80">
        <f t="shared" si="100"/>
        <v>0</v>
      </c>
      <c r="Q136" s="462" t="str">
        <f>Q138</f>
        <v>(예)2026-07-31</v>
      </c>
      <c r="R136" s="93"/>
      <c r="S136" s="81" t="str">
        <f t="shared" ref="S136:S147" ca="1" si="101">IF(OR(L136="",P136=0),"",IF(I136="선금",IF(TODAY()-L136&gt;=91,"장기미수",IF(TODAY()-L136&gt;=21,"관리","")),IF(TODAY()-L136&gt;=91,"장기미수",IF(TODAY()-L136&gt;=31,"관리",""))))</f>
        <v/>
      </c>
      <c r="T136" s="97"/>
      <c r="U136" s="95"/>
      <c r="V136" s="95"/>
      <c r="W136" s="66"/>
      <c r="X136" s="97" t="s">
        <v>2627</v>
      </c>
      <c r="Y136" s="404" t="s">
        <v>2629</v>
      </c>
      <c r="Z136" s="96">
        <f>(1980*12000)+(1490*13000)</f>
        <v>43130000</v>
      </c>
      <c r="AA136" s="66"/>
      <c r="AB136" s="97"/>
      <c r="AC136" s="95"/>
      <c r="AD136" s="95"/>
      <c r="AE136" s="95"/>
      <c r="AF136" s="95"/>
      <c r="AG136" s="84">
        <f>SUM(AB136:AF136)</f>
        <v>0</v>
      </c>
      <c r="AH136" s="66"/>
      <c r="AI136" s="66"/>
    </row>
    <row r="137" spans="1:35" s="98" customFormat="1" ht="13.5" customHeight="1">
      <c r="A137" s="5"/>
      <c r="B137" s="74">
        <f t="shared" si="99"/>
        <v>45</v>
      </c>
      <c r="C137" s="513" t="s">
        <v>66</v>
      </c>
      <c r="D137" s="75" t="str">
        <f>D136</f>
        <v>㈜두영이앤씨</v>
      </c>
      <c r="E137" s="75" t="str">
        <f>E136</f>
        <v>그린빌7단지아파트</v>
      </c>
      <c r="F137" s="88"/>
      <c r="G137" s="88"/>
      <c r="H137" s="77">
        <f>G136*40%</f>
        <v>55306400</v>
      </c>
      <c r="I137" s="92" t="s">
        <v>536</v>
      </c>
      <c r="J137" s="251">
        <f>J136</f>
        <v>46140</v>
      </c>
      <c r="K137" s="462">
        <f>K136</f>
        <v>46154</v>
      </c>
      <c r="L137" s="252"/>
      <c r="M137" s="91" t="str">
        <f>IF(L137&lt;&gt;"", L137+30, "")</f>
        <v/>
      </c>
      <c r="N137" s="90"/>
      <c r="O137" s="371"/>
      <c r="P137" s="80">
        <f t="shared" si="100"/>
        <v>0</v>
      </c>
      <c r="Q137" s="462" t="str">
        <f>Q138</f>
        <v>(예)2026-07-31</v>
      </c>
      <c r="R137" s="93"/>
      <c r="S137" s="81" t="str">
        <f t="shared" ca="1" si="101"/>
        <v/>
      </c>
      <c r="T137" s="97"/>
      <c r="U137" s="95"/>
      <c r="V137" s="95"/>
      <c r="W137" s="66"/>
      <c r="X137" s="97" t="s">
        <v>2628</v>
      </c>
      <c r="Y137" s="404" t="s">
        <v>2629</v>
      </c>
      <c r="Z137" s="96">
        <f>(1487*12000)+(1120*13000)</f>
        <v>32404000</v>
      </c>
      <c r="AA137" s="66"/>
      <c r="AB137" s="97"/>
      <c r="AC137" s="95"/>
      <c r="AD137" s="95"/>
      <c r="AE137" s="95"/>
      <c r="AF137" s="95"/>
      <c r="AG137" s="96"/>
      <c r="AH137" s="66"/>
      <c r="AI137" s="66"/>
    </row>
    <row r="138" spans="1:35" s="98" customFormat="1" ht="13.5" customHeight="1">
      <c r="A138" s="5"/>
      <c r="B138" s="74">
        <f t="shared" si="99"/>
        <v>45</v>
      </c>
      <c r="C138" s="514" t="s">
        <v>66</v>
      </c>
      <c r="D138" s="75" t="str">
        <f>D137</f>
        <v>㈜두영이앤씨</v>
      </c>
      <c r="E138" s="99" t="str">
        <f>E137</f>
        <v>그린빌7단지아파트</v>
      </c>
      <c r="F138" s="102"/>
      <c r="G138" s="88">
        <f>-AG136</f>
        <v>0</v>
      </c>
      <c r="H138" s="103">
        <f>(G136*40%)-AG136</f>
        <v>55306400</v>
      </c>
      <c r="I138" s="104" t="s">
        <v>71</v>
      </c>
      <c r="J138" s="251">
        <f>J137</f>
        <v>46140</v>
      </c>
      <c r="K138" s="462">
        <f>K137</f>
        <v>46154</v>
      </c>
      <c r="L138" s="252"/>
      <c r="M138" s="91"/>
      <c r="N138" s="90"/>
      <c r="O138" s="371"/>
      <c r="P138" s="80">
        <f t="shared" si="100"/>
        <v>0</v>
      </c>
      <c r="Q138" s="465" t="s">
        <v>2186</v>
      </c>
      <c r="R138" s="93"/>
      <c r="S138" s="81" t="str">
        <f t="shared" ca="1" si="101"/>
        <v/>
      </c>
      <c r="T138" s="97"/>
      <c r="U138" s="95"/>
      <c r="V138" s="95"/>
      <c r="W138" s="66"/>
      <c r="X138" s="97"/>
      <c r="Y138" s="95"/>
      <c r="Z138" s="96"/>
      <c r="AA138" s="66"/>
      <c r="AB138" s="97"/>
      <c r="AC138" s="95"/>
      <c r="AD138" s="95"/>
      <c r="AE138" s="95"/>
      <c r="AF138" s="95"/>
      <c r="AG138" s="96"/>
      <c r="AH138" s="66"/>
      <c r="AI138" s="66"/>
    </row>
    <row r="139" spans="1:35" s="98" customFormat="1" ht="13.5" customHeight="1">
      <c r="A139" s="5"/>
      <c r="B139" s="74">
        <f t="shared" si="99"/>
        <v>46</v>
      </c>
      <c r="C139" s="453" t="s">
        <v>756</v>
      </c>
      <c r="D139" s="449" t="s">
        <v>1246</v>
      </c>
      <c r="E139" s="461" t="s">
        <v>2178</v>
      </c>
      <c r="F139" s="77">
        <v>176600000</v>
      </c>
      <c r="G139" s="77">
        <f>F139-Z139-Z140</f>
        <v>136690000</v>
      </c>
      <c r="H139" s="77">
        <f>G139*20%</f>
        <v>27338000</v>
      </c>
      <c r="I139" s="89" t="s">
        <v>69</v>
      </c>
      <c r="J139" s="420">
        <v>46140</v>
      </c>
      <c r="K139" s="475" t="s">
        <v>2181</v>
      </c>
      <c r="L139" s="250"/>
      <c r="M139" s="91" t="str">
        <f>IF(L139&lt;&gt;"", L139+20, "")</f>
        <v/>
      </c>
      <c r="N139" s="91"/>
      <c r="O139" s="371"/>
      <c r="P139" s="80">
        <f t="shared" si="100"/>
        <v>0</v>
      </c>
      <c r="Q139" s="462" t="str">
        <f>Q141</f>
        <v>(예)2026-08-31</v>
      </c>
      <c r="R139" s="93"/>
      <c r="S139" s="81" t="str">
        <f t="shared" ca="1" si="101"/>
        <v/>
      </c>
      <c r="T139" s="97"/>
      <c r="U139" s="95"/>
      <c r="V139" s="95"/>
      <c r="W139" s="66"/>
      <c r="X139" s="97"/>
      <c r="Y139" s="404"/>
      <c r="Z139" s="96">
        <v>39910000</v>
      </c>
      <c r="AA139" s="66"/>
      <c r="AB139" s="97"/>
      <c r="AC139" s="95"/>
      <c r="AD139" s="95"/>
      <c r="AE139" s="95"/>
      <c r="AF139" s="95"/>
      <c r="AG139" s="84">
        <f>SUM(AB139:AF139)</f>
        <v>0</v>
      </c>
      <c r="AH139" s="66"/>
      <c r="AI139" s="66"/>
    </row>
    <row r="140" spans="1:35" s="98" customFormat="1" ht="13.5" customHeight="1">
      <c r="A140" s="5"/>
      <c r="B140" s="74">
        <f t="shared" si="99"/>
        <v>46</v>
      </c>
      <c r="C140" s="513" t="s">
        <v>66</v>
      </c>
      <c r="D140" s="75" t="str">
        <f>D139</f>
        <v>코지건설㈜</v>
      </c>
      <c r="E140" s="75" t="str">
        <f>E139</f>
        <v>평택비전지웰푸르지오</v>
      </c>
      <c r="F140" s="88"/>
      <c r="G140" s="88"/>
      <c r="H140" s="77">
        <f>G139*40%</f>
        <v>54676000</v>
      </c>
      <c r="I140" s="92" t="s">
        <v>536</v>
      </c>
      <c r="J140" s="251">
        <f>J139</f>
        <v>46140</v>
      </c>
      <c r="K140" s="462" t="str">
        <f>K139</f>
        <v>(예)2026-06-30</v>
      </c>
      <c r="L140" s="252"/>
      <c r="M140" s="91" t="str">
        <f>IF(L140&lt;&gt;"", L140+30, "")</f>
        <v/>
      </c>
      <c r="N140" s="90"/>
      <c r="O140" s="371"/>
      <c r="P140" s="80">
        <f t="shared" si="100"/>
        <v>0</v>
      </c>
      <c r="Q140" s="462" t="str">
        <f>Q141</f>
        <v>(예)2026-08-31</v>
      </c>
      <c r="R140" s="93"/>
      <c r="S140" s="81" t="str">
        <f t="shared" ca="1" si="101"/>
        <v/>
      </c>
      <c r="T140" s="97"/>
      <c r="U140" s="95"/>
      <c r="V140" s="95"/>
      <c r="W140" s="66"/>
      <c r="X140" s="97"/>
      <c r="Y140" s="404"/>
      <c r="Z140" s="96"/>
      <c r="AA140" s="66"/>
      <c r="AB140" s="97"/>
      <c r="AC140" s="95"/>
      <c r="AD140" s="95"/>
      <c r="AE140" s="95"/>
      <c r="AF140" s="95"/>
      <c r="AG140" s="96"/>
      <c r="AH140" s="66"/>
      <c r="AI140" s="66"/>
    </row>
    <row r="141" spans="1:35" s="98" customFormat="1" ht="13.5" customHeight="1">
      <c r="A141" s="5"/>
      <c r="B141" s="74">
        <f t="shared" si="99"/>
        <v>46</v>
      </c>
      <c r="C141" s="514" t="s">
        <v>66</v>
      </c>
      <c r="D141" s="75" t="str">
        <f>D140</f>
        <v>코지건설㈜</v>
      </c>
      <c r="E141" s="99" t="str">
        <f>E140</f>
        <v>평택비전지웰푸르지오</v>
      </c>
      <c r="F141" s="102"/>
      <c r="G141" s="88">
        <f>-AG139</f>
        <v>0</v>
      </c>
      <c r="H141" s="103">
        <f>(G139*40%)-AG139</f>
        <v>54676000</v>
      </c>
      <c r="I141" s="104" t="s">
        <v>71</v>
      </c>
      <c r="J141" s="251">
        <f>J140</f>
        <v>46140</v>
      </c>
      <c r="K141" s="462" t="str">
        <f>K140</f>
        <v>(예)2026-06-30</v>
      </c>
      <c r="L141" s="252"/>
      <c r="M141" s="91"/>
      <c r="N141" s="90"/>
      <c r="O141" s="371"/>
      <c r="P141" s="80">
        <f t="shared" si="100"/>
        <v>0</v>
      </c>
      <c r="Q141" s="465" t="s">
        <v>2187</v>
      </c>
      <c r="R141" s="93"/>
      <c r="S141" s="81" t="str">
        <f t="shared" ca="1" si="101"/>
        <v/>
      </c>
      <c r="T141" s="97"/>
      <c r="U141" s="95"/>
      <c r="V141" s="95"/>
      <c r="W141" s="66"/>
      <c r="X141" s="97"/>
      <c r="Y141" s="95"/>
      <c r="Z141" s="96"/>
      <c r="AA141" s="66"/>
      <c r="AB141" s="97"/>
      <c r="AC141" s="95"/>
      <c r="AD141" s="95"/>
      <c r="AE141" s="95"/>
      <c r="AF141" s="95"/>
      <c r="AG141" s="96"/>
      <c r="AH141" s="66"/>
      <c r="AI141" s="66"/>
    </row>
    <row r="142" spans="1:35" s="98" customFormat="1" ht="13.5" customHeight="1">
      <c r="A142" s="5"/>
      <c r="B142" s="74">
        <f t="shared" ref="B142:B147" si="102">IF(I141="잔금", B141+1, B141)</f>
        <v>47</v>
      </c>
      <c r="C142" s="453" t="s">
        <v>756</v>
      </c>
      <c r="D142" s="450" t="s">
        <v>2130</v>
      </c>
      <c r="E142" s="461" t="s">
        <v>2179</v>
      </c>
      <c r="F142" s="77">
        <v>151700000</v>
      </c>
      <c r="G142" s="77">
        <f>F142-Z142-Z143</f>
        <v>98868000</v>
      </c>
      <c r="H142" s="77">
        <v>15813600</v>
      </c>
      <c r="I142" s="89" t="s">
        <v>69</v>
      </c>
      <c r="J142" s="420">
        <v>46140</v>
      </c>
      <c r="K142" s="475">
        <v>46142</v>
      </c>
      <c r="L142" s="250">
        <v>46142</v>
      </c>
      <c r="M142" s="91">
        <f>IF(L142&lt;&gt;"", L142+20, "")</f>
        <v>46162</v>
      </c>
      <c r="N142" s="91"/>
      <c r="O142" s="371"/>
      <c r="P142" s="80">
        <f t="shared" ref="P142:P147" si="103">IF(L142="", 0, (H142*1.1)-O142)</f>
        <v>17394960</v>
      </c>
      <c r="Q142" s="462" t="str">
        <f>Q144</f>
        <v>(예)2026-06-15</v>
      </c>
      <c r="R142" s="93"/>
      <c r="S142" s="81" t="str">
        <f t="shared" ca="1" si="101"/>
        <v>관리</v>
      </c>
      <c r="T142" s="97"/>
      <c r="U142" s="95"/>
      <c r="V142" s="95"/>
      <c r="W142" s="66"/>
      <c r="X142" s="97" t="s">
        <v>2264</v>
      </c>
      <c r="Y142" s="404">
        <v>16000</v>
      </c>
      <c r="Z142" s="96">
        <f>3302*Y142</f>
        <v>52832000</v>
      </c>
      <c r="AA142" s="66"/>
      <c r="AB142" s="97">
        <v>10500000</v>
      </c>
      <c r="AC142" s="95"/>
      <c r="AD142" s="95"/>
      <c r="AE142" s="95"/>
      <c r="AF142" s="95"/>
      <c r="AG142" s="84">
        <f>SUM(AB142:AF142)</f>
        <v>10500000</v>
      </c>
      <c r="AH142" s="66"/>
      <c r="AI142" s="66"/>
    </row>
    <row r="143" spans="1:35" s="98" customFormat="1" ht="13.5" customHeight="1">
      <c r="A143" s="5"/>
      <c r="B143" s="74">
        <f t="shared" si="102"/>
        <v>47</v>
      </c>
      <c r="C143" s="513" t="s">
        <v>66</v>
      </c>
      <c r="D143" s="75" t="str">
        <f>D142</f>
        <v>(주)이음건설</v>
      </c>
      <c r="E143" s="75" t="str">
        <f>E142</f>
        <v>오산대역 엘크루 아파트</v>
      </c>
      <c r="F143" s="88"/>
      <c r="G143" s="88"/>
      <c r="H143" s="77">
        <v>31627200</v>
      </c>
      <c r="I143" s="92" t="s">
        <v>536</v>
      </c>
      <c r="J143" s="251">
        <f>J142</f>
        <v>46140</v>
      </c>
      <c r="K143" s="462">
        <f>K142</f>
        <v>46142</v>
      </c>
      <c r="L143" s="252">
        <v>46160</v>
      </c>
      <c r="M143" s="91">
        <f>IF(L143&lt;&gt;"", L143+30, "")</f>
        <v>46190</v>
      </c>
      <c r="N143" s="90"/>
      <c r="O143" s="371"/>
      <c r="P143" s="80">
        <f t="shared" si="103"/>
        <v>34789920</v>
      </c>
      <c r="Q143" s="462" t="str">
        <f>Q144</f>
        <v>(예)2026-06-15</v>
      </c>
      <c r="R143" s="93"/>
      <c r="S143" s="81" t="str">
        <f t="shared" ca="1" si="101"/>
        <v/>
      </c>
      <c r="T143" s="97"/>
      <c r="U143" s="95"/>
      <c r="V143" s="95"/>
      <c r="W143" s="66"/>
      <c r="X143" s="97"/>
      <c r="Y143" s="404"/>
      <c r="Z143" s="96"/>
      <c r="AA143" s="66"/>
      <c r="AB143" s="97"/>
      <c r="AC143" s="95"/>
      <c r="AD143" s="95"/>
      <c r="AE143" s="95"/>
      <c r="AF143" s="95"/>
      <c r="AG143" s="96"/>
      <c r="AH143" s="66"/>
      <c r="AI143" s="66"/>
    </row>
    <row r="144" spans="1:35" s="98" customFormat="1" ht="13.5" customHeight="1">
      <c r="A144" s="5"/>
      <c r="B144" s="74">
        <f t="shared" si="102"/>
        <v>47</v>
      </c>
      <c r="C144" s="514" t="s">
        <v>66</v>
      </c>
      <c r="D144" s="75" t="str">
        <f>D143</f>
        <v>(주)이음건설</v>
      </c>
      <c r="E144" s="99" t="str">
        <f>E143</f>
        <v>오산대역 엘크루 아파트</v>
      </c>
      <c r="F144" s="102"/>
      <c r="G144" s="88">
        <f>-AG142</f>
        <v>-10500000</v>
      </c>
      <c r="H144" s="103">
        <f>(G142-H142-H143)-AG142</f>
        <v>40927200</v>
      </c>
      <c r="I144" s="104" t="s">
        <v>71</v>
      </c>
      <c r="J144" s="251">
        <f>J143</f>
        <v>46140</v>
      </c>
      <c r="K144" s="462">
        <f>K143</f>
        <v>46142</v>
      </c>
      <c r="L144" s="252"/>
      <c r="M144" s="91"/>
      <c r="N144" s="90"/>
      <c r="O144" s="371"/>
      <c r="P144" s="80">
        <f t="shared" si="103"/>
        <v>0</v>
      </c>
      <c r="Q144" s="463" t="s">
        <v>1948</v>
      </c>
      <c r="R144" s="93"/>
      <c r="S144" s="81" t="str">
        <f t="shared" ca="1" si="101"/>
        <v/>
      </c>
      <c r="T144" s="97"/>
      <c r="U144" s="95"/>
      <c r="V144" s="95"/>
      <c r="W144" s="66"/>
      <c r="X144" s="97"/>
      <c r="Y144" s="95"/>
      <c r="Z144" s="96"/>
      <c r="AA144" s="66"/>
      <c r="AB144" s="97"/>
      <c r="AC144" s="95"/>
      <c r="AD144" s="95"/>
      <c r="AE144" s="95"/>
      <c r="AF144" s="95"/>
      <c r="AG144" s="96"/>
      <c r="AH144" s="66"/>
      <c r="AI144" s="66"/>
    </row>
    <row r="145" spans="1:35" s="98" customFormat="1" ht="13.5" customHeight="1">
      <c r="A145" s="5"/>
      <c r="B145" s="74">
        <f t="shared" si="102"/>
        <v>48</v>
      </c>
      <c r="C145" s="453" t="s">
        <v>756</v>
      </c>
      <c r="D145" s="491" t="s">
        <v>2313</v>
      </c>
      <c r="E145" s="461" t="s">
        <v>2314</v>
      </c>
      <c r="F145" s="77">
        <v>7900000</v>
      </c>
      <c r="G145" s="77">
        <f>F145-Z145-Z146</f>
        <v>5910000</v>
      </c>
      <c r="H145" s="77">
        <f>G145*30%</f>
        <v>1773000</v>
      </c>
      <c r="I145" s="89" t="s">
        <v>69</v>
      </c>
      <c r="J145" s="420">
        <v>46140</v>
      </c>
      <c r="K145" s="475">
        <v>46142</v>
      </c>
      <c r="L145" s="250">
        <v>46146</v>
      </c>
      <c r="M145" s="91">
        <f>IF(L145&lt;&gt;"", L145+20, "")</f>
        <v>46166</v>
      </c>
      <c r="N145" s="91">
        <v>46149</v>
      </c>
      <c r="O145" s="371">
        <f>H145*1.1</f>
        <v>1950300.0000000002</v>
      </c>
      <c r="P145" s="80">
        <f t="shared" si="103"/>
        <v>0</v>
      </c>
      <c r="Q145" s="462">
        <f>Q147</f>
        <v>46147</v>
      </c>
      <c r="R145" s="93"/>
      <c r="S145" s="81" t="str">
        <f t="shared" ca="1" si="101"/>
        <v/>
      </c>
      <c r="T145" s="97"/>
      <c r="U145" s="95"/>
      <c r="V145" s="95"/>
      <c r="W145" s="66"/>
      <c r="X145" s="97" t="s">
        <v>1214</v>
      </c>
      <c r="Y145" s="404"/>
      <c r="Z145" s="96">
        <v>1990000</v>
      </c>
      <c r="AA145" s="66"/>
      <c r="AB145" s="97">
        <v>385000</v>
      </c>
      <c r="AC145" s="95"/>
      <c r="AD145" s="95"/>
      <c r="AE145" s="95"/>
      <c r="AF145" s="95"/>
      <c r="AG145" s="84">
        <f>SUM(AB145:AF145)</f>
        <v>385000</v>
      </c>
      <c r="AH145" s="66"/>
      <c r="AI145" s="66"/>
    </row>
    <row r="146" spans="1:35" s="98" customFormat="1" ht="13.5" customHeight="1">
      <c r="A146" s="5"/>
      <c r="B146" s="74">
        <f t="shared" si="102"/>
        <v>48</v>
      </c>
      <c r="C146" s="513" t="s">
        <v>66</v>
      </c>
      <c r="D146" s="75" t="str">
        <f>D145</f>
        <v>초담건설㈜</v>
      </c>
      <c r="E146" s="75" t="str">
        <f>E145</f>
        <v>원다빌2차아파트</v>
      </c>
      <c r="F146" s="88"/>
      <c r="G146" s="88"/>
      <c r="H146" s="77"/>
      <c r="I146" s="92" t="s">
        <v>536</v>
      </c>
      <c r="J146" s="251">
        <f>J145</f>
        <v>46140</v>
      </c>
      <c r="K146" s="462">
        <f>K145</f>
        <v>46142</v>
      </c>
      <c r="L146" s="252"/>
      <c r="M146" s="91" t="str">
        <f>IF(L146&lt;&gt;"", L146+30, "")</f>
        <v/>
      </c>
      <c r="N146" s="90"/>
      <c r="O146" s="371"/>
      <c r="P146" s="80">
        <f t="shared" si="103"/>
        <v>0</v>
      </c>
      <c r="Q146" s="462">
        <f>Q147</f>
        <v>46147</v>
      </c>
      <c r="R146" s="93"/>
      <c r="S146" s="81" t="str">
        <f t="shared" ca="1" si="101"/>
        <v/>
      </c>
      <c r="T146" s="97"/>
      <c r="U146" s="95"/>
      <c r="V146" s="95"/>
      <c r="W146" s="66"/>
      <c r="X146" s="97"/>
      <c r="Y146" s="404"/>
      <c r="Z146" s="96"/>
      <c r="AA146" s="66"/>
      <c r="AB146" s="97"/>
      <c r="AC146" s="95"/>
      <c r="AD146" s="95"/>
      <c r="AE146" s="95"/>
      <c r="AF146" s="95"/>
      <c r="AG146" s="96"/>
      <c r="AH146" s="66"/>
      <c r="AI146" s="66"/>
    </row>
    <row r="147" spans="1:35" s="98" customFormat="1" ht="13.5" customHeight="1">
      <c r="A147" s="5"/>
      <c r="B147" s="74">
        <f t="shared" si="102"/>
        <v>48</v>
      </c>
      <c r="C147" s="514" t="s">
        <v>66</v>
      </c>
      <c r="D147" s="75" t="str">
        <f>D146</f>
        <v>초담건설㈜</v>
      </c>
      <c r="E147" s="99" t="str">
        <f>E146</f>
        <v>원다빌2차아파트</v>
      </c>
      <c r="F147" s="102"/>
      <c r="G147" s="88">
        <f>-AG145</f>
        <v>-385000</v>
      </c>
      <c r="H147" s="103">
        <f>(G145*70%)-AG145</f>
        <v>3751999.9999999995</v>
      </c>
      <c r="I147" s="104" t="s">
        <v>71</v>
      </c>
      <c r="J147" s="251">
        <f>J146</f>
        <v>46140</v>
      </c>
      <c r="K147" s="462">
        <f>K146</f>
        <v>46142</v>
      </c>
      <c r="L147" s="252">
        <v>46161</v>
      </c>
      <c r="M147" s="91">
        <f>IF(L147&lt;&gt;"", L147+30, "")</f>
        <v>46191</v>
      </c>
      <c r="N147" s="90"/>
      <c r="O147" s="371"/>
      <c r="P147" s="80">
        <f t="shared" si="103"/>
        <v>4127200</v>
      </c>
      <c r="Q147" s="463">
        <v>46147</v>
      </c>
      <c r="R147" s="93"/>
      <c r="S147" s="81" t="str">
        <f t="shared" ca="1" si="101"/>
        <v/>
      </c>
      <c r="T147" s="97"/>
      <c r="U147" s="95"/>
      <c r="V147" s="95"/>
      <c r="W147" s="66"/>
      <c r="X147" s="97"/>
      <c r="Y147" s="95"/>
      <c r="Z147" s="96"/>
      <c r="AA147" s="66"/>
      <c r="AB147" s="97"/>
      <c r="AC147" s="95"/>
      <c r="AD147" s="95"/>
      <c r="AE147" s="95"/>
      <c r="AF147" s="95"/>
      <c r="AG147" s="96"/>
      <c r="AH147" s="66"/>
      <c r="AI147" s="66"/>
    </row>
    <row r="148" spans="1:35" s="98" customFormat="1" ht="13.5" customHeight="1">
      <c r="A148" s="5"/>
      <c r="B148" s="74">
        <f t="shared" ref="B148:B150" si="104">IF(I147="잔금", B147+1, B147)</f>
        <v>49</v>
      </c>
      <c r="C148" s="453" t="s">
        <v>756</v>
      </c>
      <c r="D148" s="449" t="s">
        <v>1215</v>
      </c>
      <c r="E148" s="461" t="s">
        <v>2316</v>
      </c>
      <c r="F148" s="77">
        <v>102200000</v>
      </c>
      <c r="G148" s="77">
        <f>F148-Z148-Z149</f>
        <v>63057000</v>
      </c>
      <c r="H148" s="77">
        <f>G148*20%</f>
        <v>12611400</v>
      </c>
      <c r="I148" s="89" t="s">
        <v>69</v>
      </c>
      <c r="J148" s="420">
        <v>46142</v>
      </c>
      <c r="K148" s="475">
        <v>46149</v>
      </c>
      <c r="L148" s="250">
        <v>46149</v>
      </c>
      <c r="M148" s="91">
        <f>IF(L148&lt;&gt;"", L148+20, "")</f>
        <v>46169</v>
      </c>
      <c r="N148" s="91">
        <v>46160</v>
      </c>
      <c r="O148" s="371">
        <f>H148*1.1</f>
        <v>13872540.000000002</v>
      </c>
      <c r="P148" s="80">
        <f t="shared" ref="P148:P150" si="105">IF(L148="", 0, (H148*1.1)-O148)</f>
        <v>0</v>
      </c>
      <c r="Q148" s="462" t="str">
        <f>Q150</f>
        <v>(예)2026-06-30</v>
      </c>
      <c r="R148" s="93"/>
      <c r="S148" s="81" t="str">
        <f t="shared" ref="S148:S150" ca="1" si="106">IF(OR(L148="",P148=0),"",IF(I148="선금",IF(TODAY()-L148&gt;=91,"장기미수",IF(TODAY()-L148&gt;=21,"관리","")),IF(TODAY()-L148&gt;=91,"장기미수",IF(TODAY()-L148&gt;=31,"관리",""))))</f>
        <v/>
      </c>
      <c r="T148" s="97"/>
      <c r="U148" s="95"/>
      <c r="V148" s="95"/>
      <c r="W148" s="66"/>
      <c r="X148" s="97" t="s">
        <v>2317</v>
      </c>
      <c r="Y148" s="404">
        <v>13000</v>
      </c>
      <c r="Z148" s="96">
        <f>3011*Y148</f>
        <v>39143000</v>
      </c>
      <c r="AA148" s="66"/>
      <c r="AB148" s="97"/>
      <c r="AC148" s="95"/>
      <c r="AD148" s="95"/>
      <c r="AE148" s="95"/>
      <c r="AF148" s="95"/>
      <c r="AG148" s="84">
        <f>SUM(AB148:AF148)</f>
        <v>0</v>
      </c>
      <c r="AH148" s="66"/>
      <c r="AI148" s="66"/>
    </row>
    <row r="149" spans="1:35" s="98" customFormat="1" ht="13.5" customHeight="1">
      <c r="A149" s="5"/>
      <c r="B149" s="74">
        <f t="shared" si="104"/>
        <v>49</v>
      </c>
      <c r="C149" s="513" t="s">
        <v>66</v>
      </c>
      <c r="D149" s="75" t="str">
        <f>D148</f>
        <v>㈜적산건설</v>
      </c>
      <c r="E149" s="75" t="str">
        <f>E148</f>
        <v>다솜아파트</v>
      </c>
      <c r="F149" s="88"/>
      <c r="G149" s="88"/>
      <c r="H149" s="77">
        <f>G148*40%</f>
        <v>25222800</v>
      </c>
      <c r="I149" s="92" t="s">
        <v>536</v>
      </c>
      <c r="J149" s="251">
        <f>J148</f>
        <v>46142</v>
      </c>
      <c r="K149" s="462">
        <f>K148</f>
        <v>46149</v>
      </c>
      <c r="L149" s="252">
        <v>46162</v>
      </c>
      <c r="M149" s="91">
        <f>IF(L149&lt;&gt;"", L149+30, "")</f>
        <v>46192</v>
      </c>
      <c r="N149" s="90"/>
      <c r="O149" s="371"/>
      <c r="P149" s="80">
        <f t="shared" si="105"/>
        <v>27745080.000000004</v>
      </c>
      <c r="Q149" s="462" t="str">
        <f>Q150</f>
        <v>(예)2026-06-30</v>
      </c>
      <c r="R149" s="93"/>
      <c r="S149" s="81" t="str">
        <f t="shared" ca="1" si="106"/>
        <v/>
      </c>
      <c r="T149" s="97"/>
      <c r="U149" s="95"/>
      <c r="V149" s="95"/>
      <c r="W149" s="66"/>
      <c r="X149" s="97"/>
      <c r="Y149" s="404"/>
      <c r="Z149" s="96"/>
      <c r="AA149" s="66"/>
      <c r="AB149" s="97"/>
      <c r="AC149" s="95"/>
      <c r="AD149" s="95"/>
      <c r="AE149" s="95"/>
      <c r="AF149" s="95"/>
      <c r="AG149" s="96"/>
      <c r="AH149" s="66"/>
      <c r="AI149" s="66"/>
    </row>
    <row r="150" spans="1:35" s="98" customFormat="1" ht="13.5" customHeight="1">
      <c r="A150" s="5"/>
      <c r="B150" s="74">
        <f t="shared" si="104"/>
        <v>49</v>
      </c>
      <c r="C150" s="514" t="s">
        <v>66</v>
      </c>
      <c r="D150" s="75" t="str">
        <f>D149</f>
        <v>㈜적산건설</v>
      </c>
      <c r="E150" s="99" t="str">
        <f>E149</f>
        <v>다솜아파트</v>
      </c>
      <c r="F150" s="102"/>
      <c r="G150" s="88">
        <f>-AG148</f>
        <v>0</v>
      </c>
      <c r="H150" s="103">
        <f>(G148*40%)-AG148</f>
        <v>25222800</v>
      </c>
      <c r="I150" s="104" t="s">
        <v>71</v>
      </c>
      <c r="J150" s="251">
        <f>J149</f>
        <v>46142</v>
      </c>
      <c r="K150" s="462">
        <f>K149</f>
        <v>46149</v>
      </c>
      <c r="L150" s="252"/>
      <c r="M150" s="91"/>
      <c r="N150" s="90"/>
      <c r="O150" s="371"/>
      <c r="P150" s="80">
        <f t="shared" si="105"/>
        <v>0</v>
      </c>
      <c r="Q150" s="465" t="s">
        <v>1944</v>
      </c>
      <c r="R150" s="93"/>
      <c r="S150" s="81" t="str">
        <f t="shared" ca="1" si="106"/>
        <v/>
      </c>
      <c r="T150" s="97"/>
      <c r="U150" s="95"/>
      <c r="V150" s="95"/>
      <c r="W150" s="66"/>
      <c r="X150" s="97"/>
      <c r="Y150" s="95"/>
      <c r="Z150" s="96"/>
      <c r="AA150" s="66"/>
      <c r="AB150" s="97"/>
      <c r="AC150" s="95"/>
      <c r="AD150" s="95"/>
      <c r="AE150" s="95"/>
      <c r="AF150" s="95"/>
      <c r="AG150" s="96"/>
      <c r="AH150" s="66"/>
      <c r="AI150" s="66"/>
    </row>
    <row r="151" spans="1:35" s="98" customFormat="1" ht="13.5" customHeight="1">
      <c r="A151" s="5"/>
      <c r="B151" s="74">
        <f t="shared" ref="B151:B153" si="107">IF(I150="잔금", B150+1, B150)</f>
        <v>50</v>
      </c>
      <c r="C151" s="453" t="s">
        <v>756</v>
      </c>
      <c r="D151" s="449" t="s">
        <v>1246</v>
      </c>
      <c r="E151" s="461" t="s">
        <v>2433</v>
      </c>
      <c r="F151" s="77">
        <v>169900000</v>
      </c>
      <c r="G151" s="77">
        <f>F151-Z151-Z152</f>
        <v>117026000</v>
      </c>
      <c r="H151" s="77">
        <f>G151*20%</f>
        <v>23405200</v>
      </c>
      <c r="I151" s="89" t="s">
        <v>69</v>
      </c>
      <c r="J151" s="420">
        <v>46146</v>
      </c>
      <c r="K151" s="475">
        <v>46150</v>
      </c>
      <c r="L151" s="250">
        <v>46153</v>
      </c>
      <c r="M151" s="91">
        <f>IF(L151&lt;&gt;"", L151+20, "")</f>
        <v>46173</v>
      </c>
      <c r="N151" s="91"/>
      <c r="O151" s="371"/>
      <c r="P151" s="80">
        <f t="shared" ref="P151:P153" si="108">IF(L151="", 0, (H151*1.1)-O151)</f>
        <v>25745720.000000004</v>
      </c>
      <c r="Q151" s="462" t="str">
        <f>Q153</f>
        <v>(예)2026-06-29</v>
      </c>
      <c r="R151" s="93"/>
      <c r="S151" s="81" t="str">
        <f t="shared" ref="S151:S153" ca="1" si="109">IF(OR(L151="",P151=0),"",IF(I151="선금",IF(TODAY()-L151&gt;=91,"장기미수",IF(TODAY()-L151&gt;=21,"관리","")),IF(TODAY()-L151&gt;=91,"장기미수",IF(TODAY()-L151&gt;=31,"관리",""))))</f>
        <v>관리</v>
      </c>
      <c r="T151" s="97"/>
      <c r="U151" s="95"/>
      <c r="V151" s="95"/>
      <c r="W151" s="66"/>
      <c r="X151" s="97" t="s">
        <v>546</v>
      </c>
      <c r="Y151" s="404" t="s">
        <v>2434</v>
      </c>
      <c r="Z151" s="96">
        <f>(2304*14000)+(1586*13000)</f>
        <v>52874000</v>
      </c>
      <c r="AA151" s="66"/>
      <c r="AB151" s="97"/>
      <c r="AC151" s="95"/>
      <c r="AD151" s="95"/>
      <c r="AE151" s="95"/>
      <c r="AF151" s="95"/>
      <c r="AG151" s="84">
        <f>SUM(AB151:AF151)</f>
        <v>0</v>
      </c>
      <c r="AH151" s="66"/>
      <c r="AI151" s="66"/>
    </row>
    <row r="152" spans="1:35" s="98" customFormat="1" ht="13.5" customHeight="1">
      <c r="A152" s="5"/>
      <c r="B152" s="74">
        <f t="shared" si="107"/>
        <v>50</v>
      </c>
      <c r="C152" s="513" t="s">
        <v>66</v>
      </c>
      <c r="D152" s="75" t="str">
        <f>D151</f>
        <v>코지건설㈜</v>
      </c>
      <c r="E152" s="75" t="str">
        <f>E151</f>
        <v>서강쌍용예가아파트</v>
      </c>
      <c r="F152" s="88"/>
      <c r="G152" s="88"/>
      <c r="H152" s="77">
        <f>G151*40%</f>
        <v>46810400</v>
      </c>
      <c r="I152" s="92" t="s">
        <v>536</v>
      </c>
      <c r="J152" s="251">
        <f>J151</f>
        <v>46146</v>
      </c>
      <c r="K152" s="462">
        <f>K151</f>
        <v>46150</v>
      </c>
      <c r="L152" s="252"/>
      <c r="M152" s="91" t="str">
        <f>IF(L152&lt;&gt;"", L152+30, "")</f>
        <v/>
      </c>
      <c r="N152" s="90"/>
      <c r="O152" s="371"/>
      <c r="P152" s="80">
        <f t="shared" si="108"/>
        <v>0</v>
      </c>
      <c r="Q152" s="462" t="str">
        <f>Q153</f>
        <v>(예)2026-06-29</v>
      </c>
      <c r="R152" s="93"/>
      <c r="S152" s="81" t="str">
        <f t="shared" ca="1" si="109"/>
        <v/>
      </c>
      <c r="T152" s="97"/>
      <c r="U152" s="95"/>
      <c r="V152" s="95"/>
      <c r="W152" s="66"/>
      <c r="X152" s="97"/>
      <c r="Y152" s="404"/>
      <c r="Z152" s="96"/>
      <c r="AA152" s="66"/>
      <c r="AB152" s="97"/>
      <c r="AC152" s="95"/>
      <c r="AD152" s="95"/>
      <c r="AE152" s="95"/>
      <c r="AF152" s="95"/>
      <c r="AG152" s="96"/>
      <c r="AH152" s="66"/>
      <c r="AI152" s="66"/>
    </row>
    <row r="153" spans="1:35" s="98" customFormat="1" ht="13.5" customHeight="1">
      <c r="A153" s="5"/>
      <c r="B153" s="74">
        <f t="shared" si="107"/>
        <v>50</v>
      </c>
      <c r="C153" s="514" t="s">
        <v>66</v>
      </c>
      <c r="D153" s="75" t="str">
        <f>D152</f>
        <v>코지건설㈜</v>
      </c>
      <c r="E153" s="99" t="str">
        <f>E152</f>
        <v>서강쌍용예가아파트</v>
      </c>
      <c r="F153" s="102"/>
      <c r="G153" s="88">
        <f>-AG151</f>
        <v>0</v>
      </c>
      <c r="H153" s="103">
        <f>(G151*40%)-AG151</f>
        <v>46810400</v>
      </c>
      <c r="I153" s="104" t="s">
        <v>71</v>
      </c>
      <c r="J153" s="251">
        <f>J152</f>
        <v>46146</v>
      </c>
      <c r="K153" s="462">
        <f>K152</f>
        <v>46150</v>
      </c>
      <c r="L153" s="252"/>
      <c r="M153" s="91"/>
      <c r="N153" s="90"/>
      <c r="O153" s="371"/>
      <c r="P153" s="80">
        <f t="shared" si="108"/>
        <v>0</v>
      </c>
      <c r="Q153" s="465" t="s">
        <v>2435</v>
      </c>
      <c r="R153" s="93"/>
      <c r="S153" s="81" t="str">
        <f t="shared" ca="1" si="109"/>
        <v/>
      </c>
      <c r="T153" s="97"/>
      <c r="U153" s="95"/>
      <c r="V153" s="95"/>
      <c r="W153" s="66"/>
      <c r="X153" s="97"/>
      <c r="Y153" s="95"/>
      <c r="Z153" s="96"/>
      <c r="AA153" s="66"/>
      <c r="AB153" s="97"/>
      <c r="AC153" s="95"/>
      <c r="AD153" s="95"/>
      <c r="AE153" s="95"/>
      <c r="AF153" s="95"/>
      <c r="AG153" s="96"/>
      <c r="AH153" s="66"/>
      <c r="AI153" s="66"/>
    </row>
    <row r="154" spans="1:35" s="98" customFormat="1" ht="13.5" customHeight="1">
      <c r="A154" s="5"/>
      <c r="B154" s="74">
        <f t="shared" ref="B154:B156" si="110">IF(I153="잔금", B153+1, B153)</f>
        <v>51</v>
      </c>
      <c r="C154" s="453" t="s">
        <v>756</v>
      </c>
      <c r="D154" s="450" t="s">
        <v>2114</v>
      </c>
      <c r="E154" s="461" t="s">
        <v>2436</v>
      </c>
      <c r="F154" s="77">
        <v>107700000</v>
      </c>
      <c r="G154" s="77">
        <f>F154-Z154-Z155</f>
        <v>68260000</v>
      </c>
      <c r="H154" s="77">
        <f>G154*20%</f>
        <v>13652000</v>
      </c>
      <c r="I154" s="89" t="s">
        <v>69</v>
      </c>
      <c r="J154" s="420">
        <v>46142</v>
      </c>
      <c r="K154" s="475">
        <v>46149</v>
      </c>
      <c r="L154" s="250">
        <v>46153</v>
      </c>
      <c r="M154" s="91">
        <f>IF(L154&lt;&gt;"", L154+20, "")</f>
        <v>46173</v>
      </c>
      <c r="N154" s="91">
        <v>46157</v>
      </c>
      <c r="O154" s="371">
        <f>H154*1.1</f>
        <v>15017200.000000002</v>
      </c>
      <c r="P154" s="80">
        <f t="shared" ref="P154:P156" si="111">IF(L154="", 0, (H154*1.1)-O154)</f>
        <v>0</v>
      </c>
      <c r="Q154" s="462">
        <f>Q156</f>
        <v>0</v>
      </c>
      <c r="R154" s="93"/>
      <c r="S154" s="81" t="str">
        <f t="shared" ref="S154:S156" ca="1" si="112">IF(OR(L154="",P154=0),"",IF(I154="선금",IF(TODAY()-L154&gt;=91,"장기미수",IF(TODAY()-L154&gt;=21,"관리","")),IF(TODAY()-L154&gt;=91,"장기미수",IF(TODAY()-L154&gt;=31,"관리",""))))</f>
        <v/>
      </c>
      <c r="T154" s="97"/>
      <c r="U154" s="95"/>
      <c r="V154" s="95"/>
      <c r="W154" s="66"/>
      <c r="X154" s="97" t="s">
        <v>1038</v>
      </c>
      <c r="Y154" s="404" t="s">
        <v>2437</v>
      </c>
      <c r="Z154" s="96">
        <f>(1010*16000)+(15000*1342)+(9*350000)</f>
        <v>39440000</v>
      </c>
      <c r="AA154" s="66"/>
      <c r="AB154" s="97"/>
      <c r="AC154" s="95"/>
      <c r="AD154" s="95"/>
      <c r="AE154" s="95"/>
      <c r="AF154" s="95"/>
      <c r="AG154" s="84">
        <f>SUM(AB154:AF154)</f>
        <v>0</v>
      </c>
      <c r="AH154" s="66"/>
      <c r="AI154" s="66"/>
    </row>
    <row r="155" spans="1:35" s="98" customFormat="1" ht="13.5" customHeight="1">
      <c r="A155" s="5"/>
      <c r="B155" s="74">
        <f t="shared" si="110"/>
        <v>51</v>
      </c>
      <c r="C155" s="513" t="s">
        <v>66</v>
      </c>
      <c r="D155" s="75" t="str">
        <f>D154</f>
        <v>(주)석민이앤씨</v>
      </c>
      <c r="E155" s="75" t="str">
        <f>E154</f>
        <v xml:space="preserve">송산푸르지오아파트 </v>
      </c>
      <c r="F155" s="88"/>
      <c r="G155" s="88"/>
      <c r="H155" s="77">
        <f>G154*40%</f>
        <v>27304000</v>
      </c>
      <c r="I155" s="92" t="s">
        <v>536</v>
      </c>
      <c r="J155" s="251">
        <f>J154</f>
        <v>46142</v>
      </c>
      <c r="K155" s="462">
        <f>K154</f>
        <v>46149</v>
      </c>
      <c r="L155" s="252">
        <v>46169</v>
      </c>
      <c r="M155" s="91">
        <f>IF(L155&lt;&gt;"", L155+30, "")</f>
        <v>46199</v>
      </c>
      <c r="N155" s="90"/>
      <c r="O155" s="371"/>
      <c r="P155" s="80">
        <f t="shared" si="111"/>
        <v>30034400.000000004</v>
      </c>
      <c r="Q155" s="462">
        <f>Q156</f>
        <v>0</v>
      </c>
      <c r="R155" s="93"/>
      <c r="S155" s="81" t="str">
        <f t="shared" ca="1" si="112"/>
        <v/>
      </c>
      <c r="T155" s="97"/>
      <c r="U155" s="95"/>
      <c r="V155" s="95"/>
      <c r="W155" s="66"/>
      <c r="X155" s="97"/>
      <c r="Y155" s="404"/>
      <c r="Z155" s="96"/>
      <c r="AA155" s="66"/>
      <c r="AB155" s="97"/>
      <c r="AC155" s="95"/>
      <c r="AD155" s="95"/>
      <c r="AE155" s="95"/>
      <c r="AF155" s="95"/>
      <c r="AG155" s="96"/>
      <c r="AH155" s="66"/>
      <c r="AI155" s="66"/>
    </row>
    <row r="156" spans="1:35" s="98" customFormat="1" ht="13.5" customHeight="1">
      <c r="A156" s="5"/>
      <c r="B156" s="74">
        <f t="shared" si="110"/>
        <v>51</v>
      </c>
      <c r="C156" s="514" t="s">
        <v>66</v>
      </c>
      <c r="D156" s="75" t="str">
        <f>D155</f>
        <v>(주)석민이앤씨</v>
      </c>
      <c r="E156" s="99" t="str">
        <f>E155</f>
        <v xml:space="preserve">송산푸르지오아파트 </v>
      </c>
      <c r="F156" s="102"/>
      <c r="G156" s="88">
        <f>-AG154</f>
        <v>0</v>
      </c>
      <c r="H156" s="103">
        <f>(G154*40%)-AG154</f>
        <v>27304000</v>
      </c>
      <c r="I156" s="104" t="s">
        <v>71</v>
      </c>
      <c r="J156" s="251">
        <f>J155</f>
        <v>46142</v>
      </c>
      <c r="K156" s="462">
        <f>K155</f>
        <v>46149</v>
      </c>
      <c r="L156" s="252"/>
      <c r="M156" s="91"/>
      <c r="N156" s="90"/>
      <c r="O156" s="371"/>
      <c r="P156" s="80">
        <f t="shared" si="111"/>
        <v>0</v>
      </c>
      <c r="Q156" s="465"/>
      <c r="R156" s="93"/>
      <c r="S156" s="81" t="str">
        <f t="shared" ca="1" si="112"/>
        <v/>
      </c>
      <c r="T156" s="97"/>
      <c r="U156" s="95"/>
      <c r="V156" s="95"/>
      <c r="W156" s="66"/>
      <c r="X156" s="97"/>
      <c r="Y156" s="95"/>
      <c r="Z156" s="96"/>
      <c r="AA156" s="66"/>
      <c r="AB156" s="97"/>
      <c r="AC156" s="95"/>
      <c r="AD156" s="95"/>
      <c r="AE156" s="95"/>
      <c r="AF156" s="95"/>
      <c r="AG156" s="96"/>
      <c r="AH156" s="66"/>
      <c r="AI156" s="66"/>
    </row>
    <row r="157" spans="1:35" s="98" customFormat="1" ht="13.5" customHeight="1">
      <c r="A157" s="5"/>
      <c r="B157" s="74">
        <f t="shared" ref="B157:B159" si="113">IF(I156="잔금", B156+1, B156)</f>
        <v>52</v>
      </c>
      <c r="C157" s="453" t="s">
        <v>756</v>
      </c>
      <c r="D157" s="450" t="s">
        <v>2503</v>
      </c>
      <c r="E157" s="461" t="s">
        <v>2504</v>
      </c>
      <c r="F157" s="77">
        <v>80000000</v>
      </c>
      <c r="G157" s="77">
        <f>F157-Z157-Z158</f>
        <v>45490000</v>
      </c>
      <c r="H157" s="77">
        <f>G157*50%</f>
        <v>22745000</v>
      </c>
      <c r="I157" s="89" t="s">
        <v>69</v>
      </c>
      <c r="J157" s="420">
        <v>46153</v>
      </c>
      <c r="K157" s="475">
        <v>46155</v>
      </c>
      <c r="L157" s="250">
        <v>46156</v>
      </c>
      <c r="M157" s="91">
        <f>IF(L157&lt;&gt;"", L157+20, "")</f>
        <v>46176</v>
      </c>
      <c r="N157" s="91">
        <v>46157</v>
      </c>
      <c r="O157" s="371">
        <f>H157*1.1</f>
        <v>25019500.000000004</v>
      </c>
      <c r="P157" s="80">
        <f t="shared" ref="P157:P159" si="114">IF(L157="", 0, (H157*1.1)-O157)</f>
        <v>0</v>
      </c>
      <c r="Q157" s="462" t="str">
        <f>Q159</f>
        <v>(예)2026-06-10</v>
      </c>
      <c r="R157" s="93"/>
      <c r="S157" s="81" t="str">
        <f t="shared" ref="S157:S159" ca="1" si="115">IF(OR(L157="",P157=0),"",IF(I157="선금",IF(TODAY()-L157&gt;=91,"장기미수",IF(TODAY()-L157&gt;=21,"관리","")),IF(TODAY()-L157&gt;=91,"장기미수",IF(TODAY()-L157&gt;=31,"관리",""))))</f>
        <v/>
      </c>
      <c r="T157" s="97"/>
      <c r="U157" s="95"/>
      <c r="V157" s="95"/>
      <c r="W157" s="66"/>
      <c r="X157" s="97" t="s">
        <v>2623</v>
      </c>
      <c r="Y157" s="404">
        <v>17000</v>
      </c>
      <c r="Z157" s="96">
        <f>2030*Y157</f>
        <v>34510000</v>
      </c>
      <c r="AA157" s="66"/>
      <c r="AB157" s="97"/>
      <c r="AC157" s="95"/>
      <c r="AD157" s="95"/>
      <c r="AE157" s="95"/>
      <c r="AF157" s="95"/>
      <c r="AG157" s="84">
        <f>SUM(AB157:AF157)</f>
        <v>0</v>
      </c>
      <c r="AH157" s="66"/>
      <c r="AI157" s="66"/>
    </row>
    <row r="158" spans="1:35" s="98" customFormat="1" ht="13.5" customHeight="1">
      <c r="A158" s="5"/>
      <c r="B158" s="74">
        <f t="shared" si="113"/>
        <v>52</v>
      </c>
      <c r="C158" s="513" t="s">
        <v>66</v>
      </c>
      <c r="D158" s="75" t="str">
        <f>D157</f>
        <v>대표건설㈜</v>
      </c>
      <c r="E158" s="75" t="str">
        <f>E157</f>
        <v>의정부SKVIEW아파트</v>
      </c>
      <c r="F158" s="88"/>
      <c r="G158" s="88"/>
      <c r="H158" s="77"/>
      <c r="I158" s="92" t="s">
        <v>536</v>
      </c>
      <c r="J158" s="251">
        <f>J157</f>
        <v>46153</v>
      </c>
      <c r="K158" s="462">
        <f>K157</f>
        <v>46155</v>
      </c>
      <c r="L158" s="252"/>
      <c r="M158" s="91" t="str">
        <f>IF(L158&lt;&gt;"", L158+30, "")</f>
        <v/>
      </c>
      <c r="N158" s="90"/>
      <c r="O158" s="371"/>
      <c r="P158" s="80">
        <f t="shared" si="114"/>
        <v>0</v>
      </c>
      <c r="Q158" s="462" t="str">
        <f>Q159</f>
        <v>(예)2026-06-10</v>
      </c>
      <c r="R158" s="93"/>
      <c r="S158" s="81" t="str">
        <f t="shared" ca="1" si="115"/>
        <v/>
      </c>
      <c r="T158" s="97"/>
      <c r="U158" s="95"/>
      <c r="V158" s="95"/>
      <c r="W158" s="66"/>
      <c r="X158" s="97"/>
      <c r="Y158" s="404"/>
      <c r="Z158" s="96"/>
      <c r="AA158" s="66"/>
      <c r="AB158" s="97"/>
      <c r="AC158" s="95"/>
      <c r="AD158" s="95"/>
      <c r="AE158" s="95"/>
      <c r="AF158" s="95"/>
      <c r="AG158" s="96"/>
      <c r="AH158" s="66"/>
      <c r="AI158" s="66"/>
    </row>
    <row r="159" spans="1:35" s="98" customFormat="1" ht="13.5" customHeight="1">
      <c r="A159" s="5"/>
      <c r="B159" s="74">
        <f t="shared" si="113"/>
        <v>52</v>
      </c>
      <c r="C159" s="514" t="s">
        <v>66</v>
      </c>
      <c r="D159" s="75" t="str">
        <f>D158</f>
        <v>대표건설㈜</v>
      </c>
      <c r="E159" s="99" t="str">
        <f>E158</f>
        <v>의정부SKVIEW아파트</v>
      </c>
      <c r="F159" s="102"/>
      <c r="G159" s="88">
        <f>-AG157</f>
        <v>0</v>
      </c>
      <c r="H159" s="103">
        <f>(G157*50%)-AG157</f>
        <v>22745000</v>
      </c>
      <c r="I159" s="104" t="s">
        <v>71</v>
      </c>
      <c r="J159" s="251">
        <f>J158</f>
        <v>46153</v>
      </c>
      <c r="K159" s="462">
        <f>K158</f>
        <v>46155</v>
      </c>
      <c r="L159" s="252"/>
      <c r="M159" s="91"/>
      <c r="N159" s="90"/>
      <c r="O159" s="371"/>
      <c r="P159" s="80">
        <f t="shared" si="114"/>
        <v>0</v>
      </c>
      <c r="Q159" s="465" t="s">
        <v>2505</v>
      </c>
      <c r="R159" s="93"/>
      <c r="S159" s="81" t="str">
        <f t="shared" ca="1" si="115"/>
        <v/>
      </c>
      <c r="T159" s="97"/>
      <c r="U159" s="95"/>
      <c r="V159" s="95"/>
      <c r="W159" s="66"/>
      <c r="X159" s="97"/>
      <c r="Y159" s="95"/>
      <c r="Z159" s="96"/>
      <c r="AA159" s="66"/>
      <c r="AB159" s="97"/>
      <c r="AC159" s="95"/>
      <c r="AD159" s="95"/>
      <c r="AE159" s="95"/>
      <c r="AF159" s="95"/>
      <c r="AG159" s="96"/>
      <c r="AH159" s="66"/>
      <c r="AI159" s="66"/>
    </row>
    <row r="160" spans="1:35" s="98" customFormat="1" ht="13.5" customHeight="1">
      <c r="A160" s="5"/>
      <c r="B160" s="74">
        <f t="shared" ref="B160:B162" si="116">IF(I159="잔금", B159+1, B159)</f>
        <v>53</v>
      </c>
      <c r="C160" s="453" t="s">
        <v>756</v>
      </c>
      <c r="D160" s="449" t="s">
        <v>1246</v>
      </c>
      <c r="E160" s="461" t="s">
        <v>2506</v>
      </c>
      <c r="F160" s="77">
        <v>22100000</v>
      </c>
      <c r="G160" s="77">
        <f>F160-Z160-Z161</f>
        <v>12500000</v>
      </c>
      <c r="H160" s="77">
        <f>G160*20%</f>
        <v>2500000</v>
      </c>
      <c r="I160" s="89" t="s">
        <v>69</v>
      </c>
      <c r="J160" s="420">
        <v>46153</v>
      </c>
      <c r="K160" s="475">
        <v>46154</v>
      </c>
      <c r="L160" s="250">
        <v>46156</v>
      </c>
      <c r="M160" s="91">
        <f>IF(L160&lt;&gt;"", L160+20, "")</f>
        <v>46176</v>
      </c>
      <c r="N160" s="91"/>
      <c r="O160" s="371"/>
      <c r="P160" s="80">
        <f t="shared" ref="P160:P162" si="117">IF(L160="", 0, (H160*1.1)-O160)</f>
        <v>2750000</v>
      </c>
      <c r="Q160" s="462" t="str">
        <f>Q162</f>
        <v>(예)2026-05-23</v>
      </c>
      <c r="R160" s="93"/>
      <c r="S160" s="81" t="str">
        <f t="shared" ref="S160:S162" ca="1" si="118">IF(OR(L160="",P160=0),"",IF(I160="선금",IF(TODAY()-L160&gt;=91,"장기미수",IF(TODAY()-L160&gt;=21,"관리","")),IF(TODAY()-L160&gt;=91,"장기미수",IF(TODAY()-L160&gt;=31,"관리",""))))</f>
        <v/>
      </c>
      <c r="T160" s="97"/>
      <c r="U160" s="95"/>
      <c r="V160" s="95"/>
      <c r="W160" s="66"/>
      <c r="X160" s="97" t="s">
        <v>2624</v>
      </c>
      <c r="Y160" s="404" t="s">
        <v>2625</v>
      </c>
      <c r="Z160" s="96">
        <f>800000*12</f>
        <v>9600000</v>
      </c>
      <c r="AA160" s="66"/>
      <c r="AB160" s="97"/>
      <c r="AC160" s="95"/>
      <c r="AD160" s="95"/>
      <c r="AE160" s="95"/>
      <c r="AF160" s="95"/>
      <c r="AG160" s="84">
        <f>SUM(AB160:AF160)</f>
        <v>0</v>
      </c>
      <c r="AH160" s="66"/>
      <c r="AI160" s="66"/>
    </row>
    <row r="161" spans="1:35" s="98" customFormat="1" ht="13.5" customHeight="1">
      <c r="A161" s="5"/>
      <c r="B161" s="74">
        <f t="shared" si="116"/>
        <v>53</v>
      </c>
      <c r="C161" s="513" t="s">
        <v>66</v>
      </c>
      <c r="D161" s="75" t="str">
        <f>D160</f>
        <v>코지건설㈜</v>
      </c>
      <c r="E161" s="75" t="str">
        <f>E160</f>
        <v>효양아파트</v>
      </c>
      <c r="F161" s="88"/>
      <c r="G161" s="88"/>
      <c r="H161" s="77">
        <f>G160*40%</f>
        <v>5000000</v>
      </c>
      <c r="I161" s="92" t="s">
        <v>536</v>
      </c>
      <c r="J161" s="251">
        <f>J160</f>
        <v>46153</v>
      </c>
      <c r="K161" s="462">
        <f>K160</f>
        <v>46154</v>
      </c>
      <c r="L161" s="252">
        <v>46160</v>
      </c>
      <c r="M161" s="91">
        <f>IF(L161&lt;&gt;"", L161+30, "")</f>
        <v>46190</v>
      </c>
      <c r="N161" s="90"/>
      <c r="O161" s="371"/>
      <c r="P161" s="80">
        <f t="shared" si="117"/>
        <v>5500000</v>
      </c>
      <c r="Q161" s="462" t="str">
        <f>Q162</f>
        <v>(예)2026-05-23</v>
      </c>
      <c r="R161" s="93"/>
      <c r="S161" s="81" t="str">
        <f t="shared" ca="1" si="118"/>
        <v/>
      </c>
      <c r="T161" s="97"/>
      <c r="U161" s="95"/>
      <c r="V161" s="95"/>
      <c r="W161" s="66"/>
      <c r="X161" s="97"/>
      <c r="Y161" s="404"/>
      <c r="Z161" s="96"/>
      <c r="AA161" s="66"/>
      <c r="AB161" s="97"/>
      <c r="AC161" s="95"/>
      <c r="AD161" s="95"/>
      <c r="AE161" s="95"/>
      <c r="AF161" s="95"/>
      <c r="AG161" s="96"/>
      <c r="AH161" s="66"/>
      <c r="AI161" s="66"/>
    </row>
    <row r="162" spans="1:35" s="98" customFormat="1" ht="13.5" customHeight="1">
      <c r="A162" s="5"/>
      <c r="B162" s="74">
        <f t="shared" si="116"/>
        <v>53</v>
      </c>
      <c r="C162" s="514" t="s">
        <v>66</v>
      </c>
      <c r="D162" s="75" t="str">
        <f>D161</f>
        <v>코지건설㈜</v>
      </c>
      <c r="E162" s="99" t="str">
        <f>E161</f>
        <v>효양아파트</v>
      </c>
      <c r="F162" s="102"/>
      <c r="G162" s="88">
        <f>-AG160</f>
        <v>0</v>
      </c>
      <c r="H162" s="103">
        <f>(G160*40%)-AG160</f>
        <v>5000000</v>
      </c>
      <c r="I162" s="104" t="s">
        <v>71</v>
      </c>
      <c r="J162" s="251">
        <f>J161</f>
        <v>46153</v>
      </c>
      <c r="K162" s="462">
        <f>K161</f>
        <v>46154</v>
      </c>
      <c r="L162" s="252"/>
      <c r="M162" s="91"/>
      <c r="N162" s="90"/>
      <c r="O162" s="371"/>
      <c r="P162" s="80">
        <f t="shared" si="117"/>
        <v>0</v>
      </c>
      <c r="Q162" s="465" t="s">
        <v>2507</v>
      </c>
      <c r="R162" s="93"/>
      <c r="S162" s="81" t="str">
        <f t="shared" ca="1" si="118"/>
        <v/>
      </c>
      <c r="T162" s="97"/>
      <c r="U162" s="95"/>
      <c r="V162" s="95"/>
      <c r="W162" s="66"/>
      <c r="X162" s="97"/>
      <c r="Y162" s="95"/>
      <c r="Z162" s="96"/>
      <c r="AA162" s="66"/>
      <c r="AB162" s="97"/>
      <c r="AC162" s="95"/>
      <c r="AD162" s="95"/>
      <c r="AE162" s="95"/>
      <c r="AF162" s="95"/>
      <c r="AG162" s="96"/>
      <c r="AH162" s="66"/>
      <c r="AI162" s="66"/>
    </row>
    <row r="163" spans="1:35" s="98" customFormat="1" ht="13.5" customHeight="1">
      <c r="A163" s="5"/>
      <c r="B163" s="74">
        <f t="shared" ref="B163:B165" si="119">IF(I162="잔금", B162+1, B162)</f>
        <v>54</v>
      </c>
      <c r="C163" s="453" t="s">
        <v>756</v>
      </c>
      <c r="D163" s="449" t="s">
        <v>2558</v>
      </c>
      <c r="E163" s="461" t="s">
        <v>2556</v>
      </c>
      <c r="F163" s="77">
        <v>33100000</v>
      </c>
      <c r="G163" s="77">
        <f>F163-Z163-Z164</f>
        <v>20800000</v>
      </c>
      <c r="H163" s="77">
        <f>G163*20%</f>
        <v>4160000</v>
      </c>
      <c r="I163" s="89" t="s">
        <v>69</v>
      </c>
      <c r="J163" s="420">
        <v>46153</v>
      </c>
      <c r="K163" s="475">
        <v>46154</v>
      </c>
      <c r="L163" s="250">
        <v>46155</v>
      </c>
      <c r="M163" s="91">
        <f>IF(L163&lt;&gt;"", L163+20, "")</f>
        <v>46175</v>
      </c>
      <c r="N163" s="91">
        <v>46157</v>
      </c>
      <c r="O163" s="371">
        <f>H163*1.1</f>
        <v>4576000</v>
      </c>
      <c r="P163" s="80">
        <f t="shared" ref="P163:P165" si="120">IF(L163="", 0, (H163*1.1)-O163)</f>
        <v>0</v>
      </c>
      <c r="Q163" s="462">
        <f>Q165</f>
        <v>0</v>
      </c>
      <c r="R163" s="93"/>
      <c r="S163" s="81" t="str">
        <f t="shared" ref="S163:S165" ca="1" si="121">IF(OR(L163="",P163=0),"",IF(I163="선금",IF(TODAY()-L163&gt;=91,"장기미수",IF(TODAY()-L163&gt;=21,"관리","")),IF(TODAY()-L163&gt;=91,"장기미수",IF(TODAY()-L163&gt;=31,"관리",""))))</f>
        <v/>
      </c>
      <c r="T163" s="97"/>
      <c r="U163" s="95"/>
      <c r="V163" s="95"/>
      <c r="W163" s="66"/>
      <c r="X163" s="97" t="s">
        <v>2557</v>
      </c>
      <c r="Y163" s="404">
        <v>12000</v>
      </c>
      <c r="Z163" s="96">
        <f>1025*Y163</f>
        <v>12300000</v>
      </c>
      <c r="AA163" s="66"/>
      <c r="AB163" s="97"/>
      <c r="AC163" s="95"/>
      <c r="AD163" s="95"/>
      <c r="AE163" s="95"/>
      <c r="AF163" s="95"/>
      <c r="AG163" s="84">
        <f>SUM(AB163:AF163)</f>
        <v>0</v>
      </c>
      <c r="AH163" s="66"/>
      <c r="AI163" s="66"/>
    </row>
    <row r="164" spans="1:35" s="98" customFormat="1" ht="13.5" customHeight="1">
      <c r="A164" s="5"/>
      <c r="B164" s="74">
        <f t="shared" si="119"/>
        <v>54</v>
      </c>
      <c r="C164" s="513" t="s">
        <v>66</v>
      </c>
      <c r="D164" s="75" t="str">
        <f>D163</f>
        <v>에이치디건설㈜</v>
      </c>
      <c r="E164" s="75" t="str">
        <f>E163</f>
        <v xml:space="preserve">벽산첼시빌아파트 </v>
      </c>
      <c r="F164" s="88"/>
      <c r="G164" s="88"/>
      <c r="H164" s="77">
        <f>G163*40%</f>
        <v>8320000</v>
      </c>
      <c r="I164" s="92" t="s">
        <v>536</v>
      </c>
      <c r="J164" s="251">
        <f>J163</f>
        <v>46153</v>
      </c>
      <c r="K164" s="462">
        <f>K163</f>
        <v>46154</v>
      </c>
      <c r="L164" s="252">
        <v>46162</v>
      </c>
      <c r="M164" s="91">
        <f>IF(L164&lt;&gt;"", L164+30, "")</f>
        <v>46192</v>
      </c>
      <c r="N164" s="91">
        <v>46168</v>
      </c>
      <c r="O164" s="371">
        <f>H164*1.1</f>
        <v>9152000</v>
      </c>
      <c r="P164" s="80">
        <f t="shared" si="120"/>
        <v>0</v>
      </c>
      <c r="Q164" s="462">
        <f>Q165</f>
        <v>0</v>
      </c>
      <c r="R164" s="93"/>
      <c r="S164" s="81" t="str">
        <f t="shared" ca="1" si="121"/>
        <v/>
      </c>
      <c r="T164" s="97"/>
      <c r="U164" s="95"/>
      <c r="V164" s="95"/>
      <c r="W164" s="66"/>
      <c r="X164" s="97"/>
      <c r="Y164" s="404"/>
      <c r="Z164" s="96"/>
      <c r="AA164" s="66"/>
      <c r="AB164" s="97"/>
      <c r="AC164" s="95"/>
      <c r="AD164" s="95"/>
      <c r="AE164" s="95"/>
      <c r="AF164" s="95"/>
      <c r="AG164" s="96"/>
      <c r="AH164" s="66"/>
      <c r="AI164" s="66"/>
    </row>
    <row r="165" spans="1:35" s="98" customFormat="1" ht="13.5" customHeight="1">
      <c r="A165" s="5"/>
      <c r="B165" s="74">
        <f t="shared" si="119"/>
        <v>54</v>
      </c>
      <c r="C165" s="514" t="s">
        <v>66</v>
      </c>
      <c r="D165" s="75" t="str">
        <f>D164</f>
        <v>에이치디건설㈜</v>
      </c>
      <c r="E165" s="99" t="str">
        <f>E164</f>
        <v xml:space="preserve">벽산첼시빌아파트 </v>
      </c>
      <c r="F165" s="102"/>
      <c r="G165" s="88">
        <f>-AG163</f>
        <v>0</v>
      </c>
      <c r="H165" s="103">
        <f>(G163*40%)-AG163</f>
        <v>8320000</v>
      </c>
      <c r="I165" s="104" t="s">
        <v>71</v>
      </c>
      <c r="J165" s="251">
        <f>J164</f>
        <v>46153</v>
      </c>
      <c r="K165" s="462">
        <f>K164</f>
        <v>46154</v>
      </c>
      <c r="L165" s="252"/>
      <c r="M165" s="91"/>
      <c r="N165" s="90"/>
      <c r="O165" s="371"/>
      <c r="P165" s="80">
        <f t="shared" si="120"/>
        <v>0</v>
      </c>
      <c r="Q165" s="465"/>
      <c r="R165" s="93"/>
      <c r="S165" s="81" t="str">
        <f t="shared" ca="1" si="121"/>
        <v/>
      </c>
      <c r="T165" s="97"/>
      <c r="U165" s="95"/>
      <c r="V165" s="95"/>
      <c r="W165" s="66"/>
      <c r="X165" s="97"/>
      <c r="Y165" s="95"/>
      <c r="Z165" s="96"/>
      <c r="AA165" s="66"/>
      <c r="AB165" s="97"/>
      <c r="AC165" s="95"/>
      <c r="AD165" s="95"/>
      <c r="AE165" s="95"/>
      <c r="AF165" s="95"/>
      <c r="AG165" s="96"/>
      <c r="AH165" s="66"/>
      <c r="AI165" s="66"/>
    </row>
    <row r="166" spans="1:35" s="98" customFormat="1" ht="13.5" customHeight="1">
      <c r="A166" s="5"/>
      <c r="B166" s="74">
        <f t="shared" ref="B166:B168" si="122">IF(I165="잔금", B165+1, B165)</f>
        <v>55</v>
      </c>
      <c r="C166" s="453" t="s">
        <v>756</v>
      </c>
      <c r="D166" s="450" t="s">
        <v>2114</v>
      </c>
      <c r="E166" s="461" t="s">
        <v>2646</v>
      </c>
      <c r="F166" s="77">
        <v>6210000</v>
      </c>
      <c r="G166" s="77">
        <f>F166-Z166-Z167</f>
        <v>4460000</v>
      </c>
      <c r="H166" s="77"/>
      <c r="I166" s="89" t="s">
        <v>69</v>
      </c>
      <c r="J166" s="420">
        <v>46141</v>
      </c>
      <c r="K166" s="475">
        <v>46142</v>
      </c>
      <c r="L166" s="250"/>
      <c r="M166" s="91"/>
      <c r="N166" s="91"/>
      <c r="O166" s="371"/>
      <c r="P166" s="80">
        <f t="shared" ref="P166:P168" si="123">IF(L166="", 0, (H166*1.1)-O166)</f>
        <v>0</v>
      </c>
      <c r="Q166" s="462">
        <f>Q168</f>
        <v>46144</v>
      </c>
      <c r="R166" s="93"/>
      <c r="S166" s="81" t="str">
        <f t="shared" ref="S166:S168" ca="1" si="124">IF(OR(L166="",P166=0),"",IF(I166="선금",IF(TODAY()-L166&gt;=91,"장기미수",IF(TODAY()-L166&gt;=21,"관리","")),IF(TODAY()-L166&gt;=91,"장기미수",IF(TODAY()-L166&gt;=31,"관리",""))))</f>
        <v/>
      </c>
      <c r="T166" s="97">
        <v>3435600</v>
      </c>
      <c r="U166" s="83">
        <f>G166-T166-AG166</f>
        <v>1024400</v>
      </c>
      <c r="V166" s="85">
        <f>U166/F166</f>
        <v>0.16495974235104671</v>
      </c>
      <c r="W166" s="66"/>
      <c r="X166" s="97" t="s">
        <v>546</v>
      </c>
      <c r="Y166" s="404" t="s">
        <v>2647</v>
      </c>
      <c r="Z166" s="96">
        <f>7*250000</f>
        <v>1750000</v>
      </c>
      <c r="AA166" s="66"/>
      <c r="AB166" s="97"/>
      <c r="AC166" s="95"/>
      <c r="AD166" s="95"/>
      <c r="AE166" s="95"/>
      <c r="AF166" s="95"/>
      <c r="AG166" s="84">
        <f>SUM(AB166:AF166)</f>
        <v>0</v>
      </c>
      <c r="AH166" s="66"/>
      <c r="AI166" s="66"/>
    </row>
    <row r="167" spans="1:35" s="98" customFormat="1" ht="13.5" customHeight="1">
      <c r="A167" s="5"/>
      <c r="B167" s="74">
        <f t="shared" si="122"/>
        <v>55</v>
      </c>
      <c r="C167" s="513" t="s">
        <v>66</v>
      </c>
      <c r="D167" s="75" t="str">
        <f>D166</f>
        <v>(주)석민이앤씨</v>
      </c>
      <c r="E167" s="75" t="str">
        <f>E166</f>
        <v>강서힐스테이트아파트(2)</v>
      </c>
      <c r="F167" s="88"/>
      <c r="G167" s="88"/>
      <c r="H167" s="77"/>
      <c r="I167" s="92" t="s">
        <v>536</v>
      </c>
      <c r="J167" s="251">
        <f>J166</f>
        <v>46141</v>
      </c>
      <c r="K167" s="462">
        <f>K166</f>
        <v>46142</v>
      </c>
      <c r="L167" s="252"/>
      <c r="M167" s="91" t="str">
        <f>IF(L167&lt;&gt;"", L167+30, "")</f>
        <v/>
      </c>
      <c r="N167" s="90"/>
      <c r="O167" s="371"/>
      <c r="P167" s="80">
        <f t="shared" si="123"/>
        <v>0</v>
      </c>
      <c r="Q167" s="462">
        <f>Q168</f>
        <v>46144</v>
      </c>
      <c r="R167" s="93"/>
      <c r="S167" s="81" t="str">
        <f t="shared" ca="1" si="124"/>
        <v/>
      </c>
      <c r="T167" s="97"/>
      <c r="U167" s="95"/>
      <c r="V167" s="95"/>
      <c r="W167" s="66"/>
      <c r="X167" s="97"/>
      <c r="Y167" s="404"/>
      <c r="Z167" s="96"/>
      <c r="AA167" s="66"/>
      <c r="AB167" s="97"/>
      <c r="AC167" s="95"/>
      <c r="AD167" s="95"/>
      <c r="AE167" s="95"/>
      <c r="AF167" s="95"/>
      <c r="AG167" s="96"/>
      <c r="AH167" s="66"/>
      <c r="AI167" s="66"/>
    </row>
    <row r="168" spans="1:35" s="98" customFormat="1" ht="13.5" customHeight="1">
      <c r="A168" s="5"/>
      <c r="B168" s="74">
        <f t="shared" si="122"/>
        <v>55</v>
      </c>
      <c r="C168" s="514" t="s">
        <v>66</v>
      </c>
      <c r="D168" s="75" t="str">
        <f>D167</f>
        <v>(주)석민이앤씨</v>
      </c>
      <c r="E168" s="99" t="str">
        <f>E167</f>
        <v>강서힐스테이트아파트(2)</v>
      </c>
      <c r="F168" s="102"/>
      <c r="G168" s="88">
        <f>-AG166</f>
        <v>0</v>
      </c>
      <c r="H168" s="103">
        <f>(G166)-AG166</f>
        <v>4460000</v>
      </c>
      <c r="I168" s="104" t="s">
        <v>71</v>
      </c>
      <c r="J168" s="251">
        <f>J167</f>
        <v>46141</v>
      </c>
      <c r="K168" s="462">
        <f>K167</f>
        <v>46142</v>
      </c>
      <c r="L168" s="252">
        <v>46157</v>
      </c>
      <c r="M168" s="91">
        <f>IF(L168&lt;&gt;"", L168+30, "")</f>
        <v>46187</v>
      </c>
      <c r="N168" s="90"/>
      <c r="O168" s="371"/>
      <c r="P168" s="80">
        <f t="shared" si="123"/>
        <v>4906000</v>
      </c>
      <c r="Q168" s="465">
        <v>46144</v>
      </c>
      <c r="R168" s="93"/>
      <c r="S168" s="81" t="str">
        <f t="shared" ca="1" si="124"/>
        <v/>
      </c>
      <c r="T168" s="97"/>
      <c r="U168" s="95"/>
      <c r="V168" s="95"/>
      <c r="W168" s="66"/>
      <c r="X168" s="97"/>
      <c r="Y168" s="95"/>
      <c r="Z168" s="96"/>
      <c r="AA168" s="66"/>
      <c r="AB168" s="97"/>
      <c r="AC168" s="95"/>
      <c r="AD168" s="95"/>
      <c r="AE168" s="95"/>
      <c r="AF168" s="95"/>
      <c r="AG168" s="96"/>
      <c r="AH168" s="66"/>
      <c r="AI168" s="66"/>
    </row>
    <row r="169" spans="1:35" s="98" customFormat="1" ht="13.5" customHeight="1">
      <c r="A169" s="5"/>
      <c r="B169" s="74">
        <f t="shared" ref="B169:B171" si="125">IF(I168="잔금", B168+1, B168)</f>
        <v>56</v>
      </c>
      <c r="C169" s="453" t="s">
        <v>756</v>
      </c>
      <c r="D169" s="450" t="s">
        <v>2766</v>
      </c>
      <c r="E169" s="461" t="s">
        <v>2765</v>
      </c>
      <c r="F169" s="77">
        <v>91000000</v>
      </c>
      <c r="G169" s="77">
        <f>F169-Z169-Z170</f>
        <v>53470000</v>
      </c>
      <c r="H169" s="77">
        <f>G169*20%</f>
        <v>10694000</v>
      </c>
      <c r="I169" s="89" t="s">
        <v>69</v>
      </c>
      <c r="J169" s="420">
        <v>46157</v>
      </c>
      <c r="K169" s="475">
        <v>46161</v>
      </c>
      <c r="L169" s="250">
        <v>46162</v>
      </c>
      <c r="M169" s="91">
        <f>IF(L169&lt;&gt;"", L169+20, "")</f>
        <v>46182</v>
      </c>
      <c r="N169" s="91"/>
      <c r="O169" s="371"/>
      <c r="P169" s="80">
        <f t="shared" ref="P169:P171" si="126">IF(L169="", 0, (H169*1.1)-O169)</f>
        <v>11763400.000000002</v>
      </c>
      <c r="Q169" s="462">
        <f>Q171</f>
        <v>0</v>
      </c>
      <c r="R169" s="93"/>
      <c r="S169" s="81" t="str">
        <f t="shared" ref="S169:S171" ca="1" si="127">IF(OR(L169="",P169=0),"",IF(I169="선금",IF(TODAY()-L169&gt;=91,"장기미수",IF(TODAY()-L169&gt;=21,"관리","")),IF(TODAY()-L169&gt;=91,"장기미수",IF(TODAY()-L169&gt;=31,"관리",""))))</f>
        <v/>
      </c>
      <c r="T169" s="97"/>
      <c r="U169" s="83"/>
      <c r="V169" s="85"/>
      <c r="W169" s="66"/>
      <c r="X169" s="97" t="s">
        <v>2767</v>
      </c>
      <c r="Y169" s="404">
        <v>18000</v>
      </c>
      <c r="Z169" s="96">
        <f>(1918+167)*18000</f>
        <v>37530000</v>
      </c>
      <c r="AA169" s="66"/>
      <c r="AB169" s="97"/>
      <c r="AC169" s="95"/>
      <c r="AD169" s="95"/>
      <c r="AE169" s="95"/>
      <c r="AF169" s="95"/>
      <c r="AG169" s="84">
        <f>SUM(AB169:AF169)</f>
        <v>0</v>
      </c>
      <c r="AH169" s="66"/>
      <c r="AI169" s="66"/>
    </row>
    <row r="170" spans="1:35" s="98" customFormat="1" ht="13.5" customHeight="1">
      <c r="A170" s="5"/>
      <c r="B170" s="74">
        <f t="shared" si="125"/>
        <v>56</v>
      </c>
      <c r="C170" s="513" t="s">
        <v>66</v>
      </c>
      <c r="D170" s="75" t="str">
        <f>D169</f>
        <v>진성이엔지㈜</v>
      </c>
      <c r="E170" s="75" t="str">
        <f>E169</f>
        <v xml:space="preserve">경향렉스빌아파트 </v>
      </c>
      <c r="F170" s="88"/>
      <c r="G170" s="88"/>
      <c r="H170" s="77">
        <f>G169*40%</f>
        <v>21388000</v>
      </c>
      <c r="I170" s="92" t="s">
        <v>536</v>
      </c>
      <c r="J170" s="251">
        <f>J169</f>
        <v>46157</v>
      </c>
      <c r="K170" s="462">
        <f>K169</f>
        <v>46161</v>
      </c>
      <c r="L170" s="252">
        <v>46169</v>
      </c>
      <c r="M170" s="91">
        <f>IF(L170&lt;&gt;"", L170+30, "")</f>
        <v>46199</v>
      </c>
      <c r="N170" s="90"/>
      <c r="O170" s="371"/>
      <c r="P170" s="80">
        <f t="shared" si="126"/>
        <v>23526800.000000004</v>
      </c>
      <c r="Q170" s="462">
        <f>Q171</f>
        <v>0</v>
      </c>
      <c r="R170" s="93"/>
      <c r="S170" s="81" t="str">
        <f t="shared" ca="1" si="127"/>
        <v/>
      </c>
      <c r="T170" s="97"/>
      <c r="U170" s="95"/>
      <c r="V170" s="95"/>
      <c r="W170" s="66"/>
      <c r="X170" s="97"/>
      <c r="Y170" s="404"/>
      <c r="Z170" s="96"/>
      <c r="AA170" s="66"/>
      <c r="AB170" s="97"/>
      <c r="AC170" s="95"/>
      <c r="AD170" s="95"/>
      <c r="AE170" s="95"/>
      <c r="AF170" s="95"/>
      <c r="AG170" s="96"/>
      <c r="AH170" s="66"/>
      <c r="AI170" s="66"/>
    </row>
    <row r="171" spans="1:35" s="98" customFormat="1" ht="13.5" customHeight="1">
      <c r="A171" s="5"/>
      <c r="B171" s="74">
        <f t="shared" si="125"/>
        <v>56</v>
      </c>
      <c r="C171" s="514" t="s">
        <v>66</v>
      </c>
      <c r="D171" s="75" t="str">
        <f>D170</f>
        <v>진성이엔지㈜</v>
      </c>
      <c r="E171" s="99" t="str">
        <f>E170</f>
        <v xml:space="preserve">경향렉스빌아파트 </v>
      </c>
      <c r="F171" s="102"/>
      <c r="G171" s="88">
        <f>-AG169</f>
        <v>0</v>
      </c>
      <c r="H171" s="103">
        <f>(G169*40%)-AG169</f>
        <v>21388000</v>
      </c>
      <c r="I171" s="104" t="s">
        <v>71</v>
      </c>
      <c r="J171" s="251">
        <f>J170</f>
        <v>46157</v>
      </c>
      <c r="K171" s="462">
        <f>K170</f>
        <v>46161</v>
      </c>
      <c r="L171" s="252"/>
      <c r="M171" s="91"/>
      <c r="N171" s="90"/>
      <c r="O171" s="371"/>
      <c r="P171" s="80">
        <f t="shared" si="126"/>
        <v>0</v>
      </c>
      <c r="Q171" s="465"/>
      <c r="R171" s="93"/>
      <c r="S171" s="81" t="str">
        <f t="shared" ca="1" si="127"/>
        <v/>
      </c>
      <c r="T171" s="97"/>
      <c r="U171" s="95"/>
      <c r="V171" s="95"/>
      <c r="W171" s="66"/>
      <c r="X171" s="97"/>
      <c r="Y171" s="95"/>
      <c r="Z171" s="96"/>
      <c r="AA171" s="66"/>
      <c r="AB171" s="97"/>
      <c r="AC171" s="95"/>
      <c r="AD171" s="95"/>
      <c r="AE171" s="95"/>
      <c r="AF171" s="95"/>
      <c r="AG171" s="96"/>
      <c r="AH171" s="66"/>
      <c r="AI171" s="66"/>
    </row>
    <row r="172" spans="1:35" s="98" customFormat="1" ht="13.5" customHeight="1">
      <c r="A172" s="5"/>
      <c r="B172" s="74">
        <f t="shared" ref="B172:B174" si="128">IF(I171="잔금", B171+1, B171)</f>
        <v>57</v>
      </c>
      <c r="C172" s="453" t="s">
        <v>756</v>
      </c>
      <c r="D172" s="449" t="s">
        <v>1122</v>
      </c>
      <c r="E172" s="461" t="s">
        <v>2829</v>
      </c>
      <c r="F172" s="77">
        <v>41800000</v>
      </c>
      <c r="G172" s="77">
        <f>F172-Z172-Z173</f>
        <v>27380000</v>
      </c>
      <c r="H172" s="77">
        <f>G172*20%</f>
        <v>5476000</v>
      </c>
      <c r="I172" s="89" t="s">
        <v>69</v>
      </c>
      <c r="J172" s="420">
        <v>46161</v>
      </c>
      <c r="K172" s="475">
        <v>46164</v>
      </c>
      <c r="L172" s="250">
        <v>46168</v>
      </c>
      <c r="M172" s="91">
        <f>IF(L172&lt;&gt;"", L172+20, "")</f>
        <v>46188</v>
      </c>
      <c r="N172" s="91"/>
      <c r="O172" s="371"/>
      <c r="P172" s="80">
        <f t="shared" ref="P172:P174" si="129">IF(L172="", 0, (H172*1.1)-O172)</f>
        <v>6023600.0000000009</v>
      </c>
      <c r="Q172" s="462">
        <f>Q174</f>
        <v>0</v>
      </c>
      <c r="R172" s="93"/>
      <c r="S172" s="81" t="str">
        <f t="shared" ref="S172:S174" ca="1" si="130">IF(OR(L172="",P172=0),"",IF(I172="선금",IF(TODAY()-L172&gt;=91,"장기미수",IF(TODAY()-L172&gt;=21,"관리","")),IF(TODAY()-L172&gt;=91,"장기미수",IF(TODAY()-L172&gt;=31,"관리",""))))</f>
        <v/>
      </c>
      <c r="T172" s="97"/>
      <c r="U172" s="83"/>
      <c r="V172" s="85"/>
      <c r="W172" s="66"/>
      <c r="X172" s="97" t="s">
        <v>2830</v>
      </c>
      <c r="Y172" s="404">
        <v>14000</v>
      </c>
      <c r="Z172" s="96">
        <f>1030*Y172</f>
        <v>14420000</v>
      </c>
      <c r="AA172" s="66"/>
      <c r="AB172" s="97"/>
      <c r="AC172" s="95"/>
      <c r="AD172" s="95"/>
      <c r="AE172" s="95"/>
      <c r="AF172" s="95"/>
      <c r="AG172" s="84">
        <f>SUM(AB172:AF172)</f>
        <v>0</v>
      </c>
      <c r="AH172" s="66"/>
      <c r="AI172" s="66"/>
    </row>
    <row r="173" spans="1:35" s="98" customFormat="1" ht="13.5" customHeight="1">
      <c r="A173" s="5"/>
      <c r="B173" s="74">
        <f t="shared" si="128"/>
        <v>57</v>
      </c>
      <c r="C173" s="513" t="s">
        <v>66</v>
      </c>
      <c r="D173" s="75" t="str">
        <f>D172</f>
        <v>(주)도경</v>
      </c>
      <c r="E173" s="75" t="str">
        <f>E172</f>
        <v>은곡(내수)덕일한마음아파트</v>
      </c>
      <c r="F173" s="88"/>
      <c r="G173" s="88"/>
      <c r="H173" s="77">
        <f>G172*40%</f>
        <v>10952000</v>
      </c>
      <c r="I173" s="92" t="s">
        <v>536</v>
      </c>
      <c r="J173" s="251">
        <f>J172</f>
        <v>46161</v>
      </c>
      <c r="K173" s="462">
        <f>K172</f>
        <v>46164</v>
      </c>
      <c r="L173" s="252"/>
      <c r="M173" s="91" t="str">
        <f>IF(L173&lt;&gt;"", L173+30, "")</f>
        <v/>
      </c>
      <c r="N173" s="90"/>
      <c r="O173" s="371"/>
      <c r="P173" s="80">
        <f t="shared" si="129"/>
        <v>0</v>
      </c>
      <c r="Q173" s="462">
        <f>Q174</f>
        <v>0</v>
      </c>
      <c r="R173" s="93"/>
      <c r="S173" s="81" t="str">
        <f t="shared" ca="1" si="130"/>
        <v/>
      </c>
      <c r="T173" s="97"/>
      <c r="U173" s="95"/>
      <c r="V173" s="95"/>
      <c r="W173" s="66"/>
      <c r="X173" s="97"/>
      <c r="Y173" s="404"/>
      <c r="Z173" s="96"/>
      <c r="AA173" s="66"/>
      <c r="AB173" s="97"/>
      <c r="AC173" s="95"/>
      <c r="AD173" s="95"/>
      <c r="AE173" s="95"/>
      <c r="AF173" s="95"/>
      <c r="AG173" s="96"/>
      <c r="AH173" s="66"/>
      <c r="AI173" s="66"/>
    </row>
    <row r="174" spans="1:35" s="98" customFormat="1" ht="13.5" customHeight="1">
      <c r="A174" s="5"/>
      <c r="B174" s="74">
        <f t="shared" si="128"/>
        <v>57</v>
      </c>
      <c r="C174" s="514" t="s">
        <v>66</v>
      </c>
      <c r="D174" s="75" t="str">
        <f>D173</f>
        <v>(주)도경</v>
      </c>
      <c r="E174" s="99" t="str">
        <f>E173</f>
        <v>은곡(내수)덕일한마음아파트</v>
      </c>
      <c r="F174" s="102"/>
      <c r="G174" s="88">
        <f>-AG172</f>
        <v>0</v>
      </c>
      <c r="H174" s="103">
        <f>(G172*40%)-AG172</f>
        <v>10952000</v>
      </c>
      <c r="I174" s="104" t="s">
        <v>71</v>
      </c>
      <c r="J174" s="251">
        <f>J173</f>
        <v>46161</v>
      </c>
      <c r="K174" s="462">
        <f>K173</f>
        <v>46164</v>
      </c>
      <c r="L174" s="252"/>
      <c r="M174" s="91"/>
      <c r="N174" s="90"/>
      <c r="O174" s="371"/>
      <c r="P174" s="80">
        <f t="shared" si="129"/>
        <v>0</v>
      </c>
      <c r="Q174" s="465"/>
      <c r="R174" s="93"/>
      <c r="S174" s="81" t="str">
        <f t="shared" ca="1" si="130"/>
        <v/>
      </c>
      <c r="T174" s="97"/>
      <c r="U174" s="95"/>
      <c r="V174" s="95"/>
      <c r="W174" s="66"/>
      <c r="X174" s="97"/>
      <c r="Y174" s="95"/>
      <c r="Z174" s="96"/>
      <c r="AA174" s="66"/>
      <c r="AB174" s="97"/>
      <c r="AC174" s="95"/>
      <c r="AD174" s="95"/>
      <c r="AE174" s="95"/>
      <c r="AF174" s="95"/>
      <c r="AG174" s="96"/>
      <c r="AH174" s="66"/>
      <c r="AI174" s="66"/>
    </row>
    <row r="175" spans="1:35" s="98" customFormat="1" ht="13.5" customHeight="1">
      <c r="A175" s="5"/>
      <c r="B175" s="74">
        <f t="shared" ref="B175:B177" si="131">IF(I174="잔금", B174+1, B174)</f>
        <v>58</v>
      </c>
      <c r="C175" s="453" t="s">
        <v>756</v>
      </c>
      <c r="D175" s="449" t="s">
        <v>1246</v>
      </c>
      <c r="E175" s="461" t="s">
        <v>2831</v>
      </c>
      <c r="F175" s="77">
        <v>151020000</v>
      </c>
      <c r="G175" s="77">
        <f>F175-Z175-Z176</f>
        <v>118169000</v>
      </c>
      <c r="H175" s="77">
        <f>G175*20%</f>
        <v>23633800</v>
      </c>
      <c r="I175" s="89" t="s">
        <v>69</v>
      </c>
      <c r="J175" s="420">
        <v>46162</v>
      </c>
      <c r="K175" s="475">
        <v>46164</v>
      </c>
      <c r="L175" s="250">
        <v>46168</v>
      </c>
      <c r="M175" s="91">
        <f>IF(L175&lt;&gt;"", L175+20, "")</f>
        <v>46188</v>
      </c>
      <c r="N175" s="91"/>
      <c r="O175" s="371"/>
      <c r="P175" s="80">
        <f t="shared" ref="P175:P180" si="132">IF(L175="", 0, (H175*1.1)-O175)</f>
        <v>25997180.000000004</v>
      </c>
      <c r="Q175" s="462">
        <f>Q177</f>
        <v>0</v>
      </c>
      <c r="R175" s="93"/>
      <c r="S175" s="81" t="str">
        <f t="shared" ref="S175:S177" ca="1" si="133">IF(OR(L175="",P175=0),"",IF(I175="선금",IF(TODAY()-L175&gt;=91,"장기미수",IF(TODAY()-L175&gt;=21,"관리","")),IF(TODAY()-L175&gt;=91,"장기미수",IF(TODAY()-L175&gt;=31,"관리",""))))</f>
        <v/>
      </c>
      <c r="T175" s="97"/>
      <c r="U175" s="83"/>
      <c r="V175" s="85"/>
      <c r="W175" s="66"/>
      <c r="X175" s="97" t="s">
        <v>2832</v>
      </c>
      <c r="Y175" s="404">
        <v>13000</v>
      </c>
      <c r="Z175" s="96">
        <f>(1914*Y175)+(613*Y175)</f>
        <v>32851000</v>
      </c>
      <c r="AA175" s="66"/>
      <c r="AB175" s="97"/>
      <c r="AC175" s="95"/>
      <c r="AD175" s="95"/>
      <c r="AE175" s="95"/>
      <c r="AF175" s="95"/>
      <c r="AG175" s="84">
        <f>SUM(AB175:AF175)</f>
        <v>0</v>
      </c>
      <c r="AH175" s="66"/>
      <c r="AI175" s="66"/>
    </row>
    <row r="176" spans="1:35" s="98" customFormat="1" ht="13.5" customHeight="1">
      <c r="A176" s="5"/>
      <c r="B176" s="74">
        <f t="shared" si="131"/>
        <v>58</v>
      </c>
      <c r="C176" s="513" t="s">
        <v>66</v>
      </c>
      <c r="D176" s="75" t="str">
        <f>D175</f>
        <v>코지건설㈜</v>
      </c>
      <c r="E176" s="75" t="str">
        <f>E175</f>
        <v xml:space="preserve">산청삼한사랑채아파트 </v>
      </c>
      <c r="F176" s="88"/>
      <c r="G176" s="88"/>
      <c r="H176" s="77">
        <f>G175*40%</f>
        <v>47267600</v>
      </c>
      <c r="I176" s="92" t="s">
        <v>536</v>
      </c>
      <c r="J176" s="251">
        <f>J175</f>
        <v>46162</v>
      </c>
      <c r="K176" s="462">
        <f>K175</f>
        <v>46164</v>
      </c>
      <c r="L176" s="252"/>
      <c r="M176" s="91" t="str">
        <f>IF(L176&lt;&gt;"", L176+30, "")</f>
        <v/>
      </c>
      <c r="N176" s="90"/>
      <c r="O176" s="371"/>
      <c r="P176" s="80">
        <f t="shared" si="132"/>
        <v>0</v>
      </c>
      <c r="Q176" s="462">
        <f>Q177</f>
        <v>0</v>
      </c>
      <c r="R176" s="93"/>
      <c r="S176" s="81" t="str">
        <f t="shared" ca="1" si="133"/>
        <v/>
      </c>
      <c r="T176" s="97"/>
      <c r="U176" s="95"/>
      <c r="V176" s="95"/>
      <c r="W176" s="66"/>
      <c r="X176" s="97"/>
      <c r="Y176" s="404"/>
      <c r="Z176" s="96"/>
      <c r="AA176" s="66"/>
      <c r="AB176" s="97"/>
      <c r="AC176" s="95"/>
      <c r="AD176" s="95"/>
      <c r="AE176" s="95"/>
      <c r="AF176" s="95"/>
      <c r="AG176" s="96"/>
      <c r="AH176" s="66"/>
      <c r="AI176" s="66"/>
    </row>
    <row r="177" spans="1:35" s="98" customFormat="1" ht="13.5" customHeight="1">
      <c r="A177" s="5"/>
      <c r="B177" s="74">
        <f t="shared" si="131"/>
        <v>58</v>
      </c>
      <c r="C177" s="514" t="s">
        <v>66</v>
      </c>
      <c r="D177" s="75" t="str">
        <f>D176</f>
        <v>코지건설㈜</v>
      </c>
      <c r="E177" s="99" t="str">
        <f>E176</f>
        <v xml:space="preserve">산청삼한사랑채아파트 </v>
      </c>
      <c r="F177" s="102"/>
      <c r="G177" s="88">
        <f>-AG175</f>
        <v>0</v>
      </c>
      <c r="H177" s="103">
        <f>(G175*40%)-AG175</f>
        <v>47267600</v>
      </c>
      <c r="I177" s="104" t="s">
        <v>71</v>
      </c>
      <c r="J177" s="251">
        <f>J176</f>
        <v>46162</v>
      </c>
      <c r="K177" s="462">
        <f>K176</f>
        <v>46164</v>
      </c>
      <c r="L177" s="252"/>
      <c r="M177" s="91"/>
      <c r="N177" s="90"/>
      <c r="O177" s="371"/>
      <c r="P177" s="80">
        <f t="shared" si="132"/>
        <v>0</v>
      </c>
      <c r="Q177" s="465"/>
      <c r="R177" s="93"/>
      <c r="S177" s="81" t="str">
        <f t="shared" ca="1" si="133"/>
        <v/>
      </c>
      <c r="T177" s="97"/>
      <c r="U177" s="95"/>
      <c r="V177" s="95"/>
      <c r="W177" s="66"/>
      <c r="X177" s="97"/>
      <c r="Y177" s="95"/>
      <c r="Z177" s="96"/>
      <c r="AA177" s="66"/>
      <c r="AB177" s="97"/>
      <c r="AC177" s="95"/>
      <c r="AD177" s="95"/>
      <c r="AE177" s="95"/>
      <c r="AF177" s="95"/>
      <c r="AG177" s="96"/>
      <c r="AH177" s="66"/>
      <c r="AI177" s="66"/>
    </row>
    <row r="178" spans="1:35" s="98" customFormat="1" ht="13.5" customHeight="1">
      <c r="A178" s="5"/>
      <c r="B178" s="74">
        <f t="shared" ref="B178:B180" si="134">IF(I177="잔금", B177+1, B177)</f>
        <v>59</v>
      </c>
      <c r="C178" s="453" t="s">
        <v>756</v>
      </c>
      <c r="D178" s="449" t="s">
        <v>1246</v>
      </c>
      <c r="E178" s="461" t="s">
        <v>2903</v>
      </c>
      <c r="F178" s="77">
        <v>242100000</v>
      </c>
      <c r="G178" s="77">
        <f>F178-Z178-Z179</f>
        <v>199440000</v>
      </c>
      <c r="H178" s="77">
        <f>G178*20%</f>
        <v>39888000</v>
      </c>
      <c r="I178" s="89" t="s">
        <v>69</v>
      </c>
      <c r="J178" s="420">
        <v>46164</v>
      </c>
      <c r="K178" s="475">
        <v>46169</v>
      </c>
      <c r="L178" s="250">
        <v>46170</v>
      </c>
      <c r="M178" s="91">
        <f>IF(L178&lt;&gt;"", L178+20, "")</f>
        <v>46190</v>
      </c>
      <c r="N178" s="91"/>
      <c r="O178" s="371"/>
      <c r="P178" s="80">
        <f t="shared" si="132"/>
        <v>43876800</v>
      </c>
      <c r="Q178" s="462" t="str">
        <f>Q180</f>
        <v>(예)2026-07-31</v>
      </c>
      <c r="R178" s="93"/>
      <c r="S178" s="81" t="str">
        <f t="shared" ref="S178:S180" ca="1" si="135">IF(OR(L178="",P178=0),"",IF(I178="선금",IF(TODAY()-L178&gt;=91,"장기미수",IF(TODAY()-L178&gt;=21,"관리","")),IF(TODAY()-L178&gt;=91,"장기미수",IF(TODAY()-L178&gt;=31,"관리",""))))</f>
        <v/>
      </c>
      <c r="T178" s="97"/>
      <c r="U178" s="83"/>
      <c r="V178" s="85"/>
      <c r="W178" s="66"/>
      <c r="X178" s="97"/>
      <c r="Y178" s="404"/>
      <c r="Z178" s="96">
        <v>42660000</v>
      </c>
      <c r="AA178" s="66"/>
      <c r="AB178" s="97"/>
      <c r="AC178" s="95"/>
      <c r="AD178" s="95"/>
      <c r="AE178" s="95"/>
      <c r="AF178" s="95"/>
      <c r="AG178" s="84">
        <f>SUM(AB178:AF178)</f>
        <v>0</v>
      </c>
      <c r="AH178" s="66"/>
      <c r="AI178" s="66"/>
    </row>
    <row r="179" spans="1:35" s="98" customFormat="1" ht="13.5" customHeight="1">
      <c r="A179" s="5"/>
      <c r="B179" s="74">
        <f t="shared" si="134"/>
        <v>59</v>
      </c>
      <c r="C179" s="513" t="s">
        <v>66</v>
      </c>
      <c r="D179" s="75" t="str">
        <f>D178</f>
        <v>코지건설㈜</v>
      </c>
      <c r="E179" s="75" t="str">
        <f>E178</f>
        <v>효천마을신안인스빌</v>
      </c>
      <c r="F179" s="88"/>
      <c r="G179" s="88"/>
      <c r="H179" s="77">
        <f>G178*40%</f>
        <v>79776000</v>
      </c>
      <c r="I179" s="92" t="s">
        <v>536</v>
      </c>
      <c r="J179" s="251">
        <f>J178</f>
        <v>46164</v>
      </c>
      <c r="K179" s="462">
        <f>K178</f>
        <v>46169</v>
      </c>
      <c r="L179" s="252"/>
      <c r="M179" s="91" t="str">
        <f>IF(L179&lt;&gt;"", L179+30, "")</f>
        <v/>
      </c>
      <c r="N179" s="91"/>
      <c r="O179" s="371"/>
      <c r="P179" s="80">
        <f t="shared" si="132"/>
        <v>0</v>
      </c>
      <c r="Q179" s="462" t="str">
        <f>Q180</f>
        <v>(예)2026-07-31</v>
      </c>
      <c r="R179" s="93"/>
      <c r="S179" s="81" t="str">
        <f t="shared" ca="1" si="135"/>
        <v/>
      </c>
      <c r="T179" s="97"/>
      <c r="U179" s="95"/>
      <c r="V179" s="95"/>
      <c r="W179" s="66"/>
      <c r="X179" s="97"/>
      <c r="Y179" s="404"/>
      <c r="Z179" s="96"/>
      <c r="AA179" s="66"/>
      <c r="AB179" s="97"/>
      <c r="AC179" s="95"/>
      <c r="AD179" s="95"/>
      <c r="AE179" s="95"/>
      <c r="AF179" s="95"/>
      <c r="AG179" s="96"/>
      <c r="AH179" s="66"/>
      <c r="AI179" s="66"/>
    </row>
    <row r="180" spans="1:35" s="98" customFormat="1" ht="13.5" customHeight="1">
      <c r="A180" s="5"/>
      <c r="B180" s="74">
        <f t="shared" si="134"/>
        <v>59</v>
      </c>
      <c r="C180" s="514" t="s">
        <v>66</v>
      </c>
      <c r="D180" s="75" t="str">
        <f>D179</f>
        <v>코지건설㈜</v>
      </c>
      <c r="E180" s="99" t="str">
        <f>E179</f>
        <v>효천마을신안인스빌</v>
      </c>
      <c r="F180" s="102"/>
      <c r="G180" s="88">
        <f>-AG178</f>
        <v>0</v>
      </c>
      <c r="H180" s="103">
        <f>(G178*40%)-AG178</f>
        <v>79776000</v>
      </c>
      <c r="I180" s="104" t="s">
        <v>71</v>
      </c>
      <c r="J180" s="251">
        <f>J179</f>
        <v>46164</v>
      </c>
      <c r="K180" s="462">
        <f>K179</f>
        <v>46169</v>
      </c>
      <c r="L180" s="252"/>
      <c r="M180" s="91" t="str">
        <f>IF(L180&lt;&gt;"", L180+30, "")</f>
        <v/>
      </c>
      <c r="N180" s="90"/>
      <c r="O180" s="371"/>
      <c r="P180" s="80">
        <f t="shared" si="132"/>
        <v>0</v>
      </c>
      <c r="Q180" s="463" t="s">
        <v>2910</v>
      </c>
      <c r="R180" s="93"/>
      <c r="S180" s="81" t="str">
        <f t="shared" ca="1" si="135"/>
        <v/>
      </c>
      <c r="T180" s="97"/>
      <c r="U180" s="95"/>
      <c r="V180" s="95"/>
      <c r="W180" s="66"/>
      <c r="X180" s="97"/>
      <c r="Y180" s="95"/>
      <c r="Z180" s="96"/>
      <c r="AA180" s="66"/>
      <c r="AB180" s="97"/>
      <c r="AC180" s="95"/>
      <c r="AD180" s="95"/>
      <c r="AE180" s="95"/>
      <c r="AF180" s="95"/>
      <c r="AG180" s="96"/>
      <c r="AH180" s="66"/>
      <c r="AI180" s="66"/>
    </row>
    <row r="181" spans="1:35" s="98" customFormat="1" ht="13.5" customHeight="1">
      <c r="A181" s="5"/>
      <c r="B181" s="74">
        <f t="shared" ref="B181:B183" si="136">IF(I180="잔금", B180+1, B180)</f>
        <v>60</v>
      </c>
      <c r="C181" s="453" t="s">
        <v>756</v>
      </c>
      <c r="D181" s="449" t="s">
        <v>2908</v>
      </c>
      <c r="E181" s="461" t="s">
        <v>2904</v>
      </c>
      <c r="F181" s="77">
        <v>30400000</v>
      </c>
      <c r="G181" s="77">
        <f>F181-Z181-Z182</f>
        <v>22660000</v>
      </c>
      <c r="H181" s="77">
        <f>G181*20%</f>
        <v>4532000</v>
      </c>
      <c r="I181" s="89" t="s">
        <v>69</v>
      </c>
      <c r="J181" s="420">
        <v>46162</v>
      </c>
      <c r="K181" s="475">
        <v>46164</v>
      </c>
      <c r="L181" s="250">
        <v>46174</v>
      </c>
      <c r="M181" s="91">
        <f>IF(L181&lt;&gt;"", L181+20, "")</f>
        <v>46194</v>
      </c>
      <c r="N181" s="91"/>
      <c r="O181" s="371"/>
      <c r="P181" s="80">
        <f t="shared" ref="P181:P183" si="137">IF(L181="", 0, (H181*1.1)-O181)</f>
        <v>4985200</v>
      </c>
      <c r="Q181" s="462" t="str">
        <f>Q183</f>
        <v>(예)2026-06-10</v>
      </c>
      <c r="R181" s="93"/>
      <c r="S181" s="81" t="str">
        <f t="shared" ref="S181:S183" ca="1" si="138">IF(OR(L181="",P181=0),"",IF(I181="선금",IF(TODAY()-L181&gt;=91,"장기미수",IF(TODAY()-L181&gt;=21,"관리","")),IF(TODAY()-L181&gt;=91,"장기미수",IF(TODAY()-L181&gt;=31,"관리",""))))</f>
        <v/>
      </c>
      <c r="T181" s="97"/>
      <c r="U181" s="83"/>
      <c r="V181" s="85"/>
      <c r="W181" s="66"/>
      <c r="X181" s="97" t="s">
        <v>2958</v>
      </c>
      <c r="Y181" s="404">
        <v>12000</v>
      </c>
      <c r="Z181" s="96">
        <f>645*Y181</f>
        <v>7740000</v>
      </c>
      <c r="AA181" s="66"/>
      <c r="AB181" s="97"/>
      <c r="AC181" s="95"/>
      <c r="AD181" s="95"/>
      <c r="AE181" s="95"/>
      <c r="AF181" s="95"/>
      <c r="AG181" s="84">
        <f>SUM(AB181:AF181)</f>
        <v>0</v>
      </c>
      <c r="AH181" s="66"/>
      <c r="AI181" s="66"/>
    </row>
    <row r="182" spans="1:35" s="98" customFormat="1" ht="13.5" customHeight="1">
      <c r="A182" s="5"/>
      <c r="B182" s="74">
        <f t="shared" si="136"/>
        <v>60</v>
      </c>
      <c r="C182" s="513" t="s">
        <v>66</v>
      </c>
      <c r="D182" s="75" t="str">
        <f>D181</f>
        <v>㈜도경</v>
      </c>
      <c r="E182" s="75" t="str">
        <f>E181</f>
        <v>천안백석2차아이파크아파트</v>
      </c>
      <c r="F182" s="88"/>
      <c r="G182" s="88"/>
      <c r="H182" s="77">
        <f>G181*40%</f>
        <v>9064000</v>
      </c>
      <c r="I182" s="92" t="s">
        <v>536</v>
      </c>
      <c r="J182" s="251">
        <f>J181</f>
        <v>46162</v>
      </c>
      <c r="K182" s="462">
        <f>K181</f>
        <v>46164</v>
      </c>
      <c r="L182" s="252"/>
      <c r="M182" s="91" t="str">
        <f>IF(L182&lt;&gt;"", L182+30, "")</f>
        <v/>
      </c>
      <c r="N182" s="91"/>
      <c r="O182" s="371"/>
      <c r="P182" s="80">
        <f t="shared" si="137"/>
        <v>0</v>
      </c>
      <c r="Q182" s="462" t="str">
        <f>Q183</f>
        <v>(예)2026-06-10</v>
      </c>
      <c r="R182" s="93"/>
      <c r="S182" s="81" t="str">
        <f t="shared" ca="1" si="138"/>
        <v/>
      </c>
      <c r="T182" s="97"/>
      <c r="U182" s="95"/>
      <c r="V182" s="95"/>
      <c r="W182" s="66"/>
      <c r="X182" s="97"/>
      <c r="Y182" s="404"/>
      <c r="Z182" s="96"/>
      <c r="AA182" s="66"/>
      <c r="AB182" s="97"/>
      <c r="AC182" s="95"/>
      <c r="AD182" s="95"/>
      <c r="AE182" s="95"/>
      <c r="AF182" s="95"/>
      <c r="AG182" s="96"/>
      <c r="AH182" s="66"/>
      <c r="AI182" s="66"/>
    </row>
    <row r="183" spans="1:35" s="98" customFormat="1" ht="13.5" customHeight="1">
      <c r="A183" s="5"/>
      <c r="B183" s="74">
        <f t="shared" si="136"/>
        <v>60</v>
      </c>
      <c r="C183" s="514" t="s">
        <v>66</v>
      </c>
      <c r="D183" s="75" t="str">
        <f>D182</f>
        <v>㈜도경</v>
      </c>
      <c r="E183" s="99" t="str">
        <f>E182</f>
        <v>천안백석2차아이파크아파트</v>
      </c>
      <c r="F183" s="102"/>
      <c r="G183" s="88">
        <f>-AG181</f>
        <v>0</v>
      </c>
      <c r="H183" s="103">
        <f>(G181*40%)-AG181</f>
        <v>9064000</v>
      </c>
      <c r="I183" s="104" t="s">
        <v>71</v>
      </c>
      <c r="J183" s="251">
        <f>J182</f>
        <v>46162</v>
      </c>
      <c r="K183" s="462">
        <f>K182</f>
        <v>46164</v>
      </c>
      <c r="L183" s="252"/>
      <c r="M183" s="91" t="str">
        <f>IF(L183&lt;&gt;"", L183+30, "")</f>
        <v/>
      </c>
      <c r="N183" s="90"/>
      <c r="O183" s="371"/>
      <c r="P183" s="80">
        <f t="shared" si="137"/>
        <v>0</v>
      </c>
      <c r="Q183" s="463" t="s">
        <v>2911</v>
      </c>
      <c r="R183" s="93"/>
      <c r="S183" s="81" t="str">
        <f t="shared" ca="1" si="138"/>
        <v/>
      </c>
      <c r="T183" s="97"/>
      <c r="U183" s="95"/>
      <c r="V183" s="95"/>
      <c r="W183" s="66"/>
      <c r="X183" s="97"/>
      <c r="Y183" s="95"/>
      <c r="Z183" s="96"/>
      <c r="AA183" s="66"/>
      <c r="AB183" s="97"/>
      <c r="AC183" s="95"/>
      <c r="AD183" s="95"/>
      <c r="AE183" s="95"/>
      <c r="AF183" s="95"/>
      <c r="AG183" s="96"/>
      <c r="AH183" s="66"/>
      <c r="AI183" s="66"/>
    </row>
    <row r="184" spans="1:35" s="98" customFormat="1" ht="13.5" customHeight="1">
      <c r="A184" s="5"/>
      <c r="B184" s="74">
        <f t="shared" ref="B184:B186" si="139">IF(I183="잔금", B183+1, B183)</f>
        <v>61</v>
      </c>
      <c r="C184" s="453" t="s">
        <v>756</v>
      </c>
      <c r="D184" s="449" t="s">
        <v>2909</v>
      </c>
      <c r="E184" s="461" t="s">
        <v>2905</v>
      </c>
      <c r="F184" s="77">
        <v>200000000</v>
      </c>
      <c r="G184" s="77">
        <f>F184-Z184-Z185</f>
        <v>138120000</v>
      </c>
      <c r="H184" s="77">
        <f>G184*20%</f>
        <v>27624000</v>
      </c>
      <c r="I184" s="89" t="s">
        <v>69</v>
      </c>
      <c r="J184" s="420">
        <v>46164</v>
      </c>
      <c r="K184" s="475">
        <v>46169</v>
      </c>
      <c r="L184" s="250"/>
      <c r="M184" s="91" t="str">
        <f>IF(L184&lt;&gt;"", L184+20, "")</f>
        <v/>
      </c>
      <c r="N184" s="91"/>
      <c r="O184" s="371"/>
      <c r="P184" s="80">
        <f t="shared" ref="P184:P186" si="140">IF(L184="", 0, (H184*1.1)-O184)</f>
        <v>0</v>
      </c>
      <c r="Q184" s="462" t="str">
        <f>Q186</f>
        <v>(예)2026-07-31</v>
      </c>
      <c r="R184" s="93"/>
      <c r="S184" s="81" t="str">
        <f t="shared" ref="S184:S186" ca="1" si="141">IF(OR(L184="",P184=0),"",IF(I184="선금",IF(TODAY()-L184&gt;=91,"장기미수",IF(TODAY()-L184&gt;=21,"관리","")),IF(TODAY()-L184&gt;=91,"장기미수",IF(TODAY()-L184&gt;=31,"관리",""))))</f>
        <v/>
      </c>
      <c r="T184" s="97"/>
      <c r="U184" s="83"/>
      <c r="V184" s="85"/>
      <c r="W184" s="66"/>
      <c r="X184" s="97"/>
      <c r="Y184" s="404"/>
      <c r="Z184" s="96">
        <v>61880000</v>
      </c>
      <c r="AA184" s="66"/>
      <c r="AB184" s="97"/>
      <c r="AC184" s="95"/>
      <c r="AD184" s="95"/>
      <c r="AE184" s="95"/>
      <c r="AF184" s="95"/>
      <c r="AG184" s="84">
        <f>SUM(AB184:AF184)</f>
        <v>0</v>
      </c>
      <c r="AH184" s="66"/>
      <c r="AI184" s="66"/>
    </row>
    <row r="185" spans="1:35" s="98" customFormat="1" ht="13.5" customHeight="1">
      <c r="A185" s="5"/>
      <c r="B185" s="74">
        <f t="shared" si="139"/>
        <v>61</v>
      </c>
      <c r="C185" s="513" t="s">
        <v>66</v>
      </c>
      <c r="D185" s="75" t="str">
        <f>D184</f>
        <v>㈜대한진단건설</v>
      </c>
      <c r="E185" s="75" t="str">
        <f>E184</f>
        <v>유승한내들아파트</v>
      </c>
      <c r="F185" s="88"/>
      <c r="G185" s="88"/>
      <c r="H185" s="77">
        <f>G184*40%</f>
        <v>55248000</v>
      </c>
      <c r="I185" s="92" t="s">
        <v>536</v>
      </c>
      <c r="J185" s="251">
        <f>J184</f>
        <v>46164</v>
      </c>
      <c r="K185" s="462">
        <f>K184</f>
        <v>46169</v>
      </c>
      <c r="L185" s="252"/>
      <c r="M185" s="91" t="str">
        <f>IF(L185&lt;&gt;"", L185+30, "")</f>
        <v/>
      </c>
      <c r="N185" s="91"/>
      <c r="O185" s="371"/>
      <c r="P185" s="80">
        <f t="shared" si="140"/>
        <v>0</v>
      </c>
      <c r="Q185" s="462" t="str">
        <f>Q186</f>
        <v>(예)2026-07-31</v>
      </c>
      <c r="R185" s="93"/>
      <c r="S185" s="81" t="str">
        <f t="shared" ca="1" si="141"/>
        <v/>
      </c>
      <c r="T185" s="97"/>
      <c r="U185" s="95"/>
      <c r="V185" s="95"/>
      <c r="W185" s="66"/>
      <c r="X185" s="97"/>
      <c r="Y185" s="404"/>
      <c r="Z185" s="96"/>
      <c r="AA185" s="66"/>
      <c r="AB185" s="97"/>
      <c r="AC185" s="95"/>
      <c r="AD185" s="95"/>
      <c r="AE185" s="95"/>
      <c r="AF185" s="95"/>
      <c r="AG185" s="96"/>
      <c r="AH185" s="66"/>
      <c r="AI185" s="66"/>
    </row>
    <row r="186" spans="1:35" s="98" customFormat="1" ht="13.5" customHeight="1">
      <c r="A186" s="5"/>
      <c r="B186" s="74">
        <f t="shared" si="139"/>
        <v>61</v>
      </c>
      <c r="C186" s="514" t="s">
        <v>66</v>
      </c>
      <c r="D186" s="75" t="str">
        <f>D185</f>
        <v>㈜대한진단건설</v>
      </c>
      <c r="E186" s="99" t="str">
        <f>E185</f>
        <v>유승한내들아파트</v>
      </c>
      <c r="F186" s="102"/>
      <c r="G186" s="88">
        <f>-AG184</f>
        <v>0</v>
      </c>
      <c r="H186" s="103">
        <f>(G184*40%)-AG184</f>
        <v>55248000</v>
      </c>
      <c r="I186" s="104" t="s">
        <v>71</v>
      </c>
      <c r="J186" s="251">
        <f>J185</f>
        <v>46164</v>
      </c>
      <c r="K186" s="462">
        <f>K185</f>
        <v>46169</v>
      </c>
      <c r="L186" s="252"/>
      <c r="M186" s="91" t="str">
        <f>IF(L186&lt;&gt;"", L186+30, "")</f>
        <v/>
      </c>
      <c r="N186" s="90"/>
      <c r="O186" s="371"/>
      <c r="P186" s="80">
        <f t="shared" si="140"/>
        <v>0</v>
      </c>
      <c r="Q186" s="463" t="s">
        <v>2910</v>
      </c>
      <c r="R186" s="93"/>
      <c r="S186" s="81" t="str">
        <f t="shared" ca="1" si="141"/>
        <v/>
      </c>
      <c r="T186" s="97"/>
      <c r="U186" s="95"/>
      <c r="V186" s="95"/>
      <c r="W186" s="66"/>
      <c r="X186" s="97"/>
      <c r="Y186" s="95"/>
      <c r="Z186" s="96"/>
      <c r="AA186" s="66"/>
      <c r="AB186" s="97"/>
      <c r="AC186" s="95"/>
      <c r="AD186" s="95"/>
      <c r="AE186" s="95"/>
      <c r="AF186" s="95"/>
      <c r="AG186" s="96"/>
      <c r="AH186" s="66"/>
      <c r="AI186" s="66"/>
    </row>
    <row r="187" spans="1:35" s="98" customFormat="1" ht="13.5" customHeight="1">
      <c r="A187" s="5"/>
      <c r="B187" s="74">
        <f t="shared" ref="B187:B192" si="142">IF(I186="잔금", B186+1, B186)</f>
        <v>62</v>
      </c>
      <c r="C187" s="453" t="s">
        <v>756</v>
      </c>
      <c r="D187" s="449" t="s">
        <v>1509</v>
      </c>
      <c r="E187" s="461" t="s">
        <v>2906</v>
      </c>
      <c r="F187" s="77">
        <v>59800000</v>
      </c>
      <c r="G187" s="77">
        <f>F187-Z187-Z188</f>
        <v>39850000</v>
      </c>
      <c r="H187" s="77">
        <f>G187*20%</f>
        <v>7970000</v>
      </c>
      <c r="I187" s="89" t="s">
        <v>69</v>
      </c>
      <c r="J187" s="420">
        <v>46164</v>
      </c>
      <c r="K187" s="475">
        <v>46169</v>
      </c>
      <c r="L187" s="250"/>
      <c r="M187" s="91" t="str">
        <f>IF(L187&lt;&gt;"", L187+20, "")</f>
        <v/>
      </c>
      <c r="N187" s="91"/>
      <c r="O187" s="371"/>
      <c r="P187" s="80">
        <f t="shared" ref="P187:P192" si="143">IF(L187="", 0, (H187*1.1)-O187)</f>
        <v>0</v>
      </c>
      <c r="Q187" s="462" t="str">
        <f>Q189</f>
        <v>(예)2026-06-24</v>
      </c>
      <c r="R187" s="93"/>
      <c r="S187" s="81" t="str">
        <f t="shared" ref="S187:S192" ca="1" si="144">IF(OR(L187="",P187=0),"",IF(I187="선금",IF(TODAY()-L187&gt;=91,"장기미수",IF(TODAY()-L187&gt;=21,"관리","")),IF(TODAY()-L187&gt;=91,"장기미수",IF(TODAY()-L187&gt;=31,"관리",""))))</f>
        <v/>
      </c>
      <c r="T187" s="97"/>
      <c r="U187" s="83"/>
      <c r="V187" s="85"/>
      <c r="W187" s="66"/>
      <c r="X187" s="97"/>
      <c r="Y187" s="404"/>
      <c r="Z187" s="96">
        <v>19950000</v>
      </c>
      <c r="AA187" s="66"/>
      <c r="AB187" s="97"/>
      <c r="AC187" s="95"/>
      <c r="AD187" s="95"/>
      <c r="AE187" s="95"/>
      <c r="AF187" s="95"/>
      <c r="AG187" s="84">
        <f>SUM(AB187:AF187)</f>
        <v>0</v>
      </c>
      <c r="AH187" s="66"/>
      <c r="AI187" s="66"/>
    </row>
    <row r="188" spans="1:35" s="98" customFormat="1" ht="13.5" customHeight="1">
      <c r="A188" s="5"/>
      <c r="B188" s="74">
        <f t="shared" si="142"/>
        <v>62</v>
      </c>
      <c r="C188" s="513" t="s">
        <v>66</v>
      </c>
      <c r="D188" s="75" t="str">
        <f>D187</f>
        <v>여름건설㈜</v>
      </c>
      <c r="E188" s="75" t="str">
        <f>E187</f>
        <v>삼산주공미래타운3단지</v>
      </c>
      <c r="F188" s="88"/>
      <c r="G188" s="88"/>
      <c r="H188" s="77">
        <f>G187*40%</f>
        <v>15940000</v>
      </c>
      <c r="I188" s="92" t="s">
        <v>536</v>
      </c>
      <c r="J188" s="251">
        <f>J187</f>
        <v>46164</v>
      </c>
      <c r="K188" s="462">
        <f>K187</f>
        <v>46169</v>
      </c>
      <c r="L188" s="252"/>
      <c r="M188" s="91" t="str">
        <f>IF(L188&lt;&gt;"", L188+30, "")</f>
        <v/>
      </c>
      <c r="N188" s="91"/>
      <c r="O188" s="371"/>
      <c r="P188" s="80">
        <f t="shared" si="143"/>
        <v>0</v>
      </c>
      <c r="Q188" s="462" t="str">
        <f>Q189</f>
        <v>(예)2026-06-24</v>
      </c>
      <c r="R188" s="93"/>
      <c r="S188" s="81" t="str">
        <f t="shared" ca="1" si="144"/>
        <v/>
      </c>
      <c r="T188" s="97"/>
      <c r="U188" s="95"/>
      <c r="V188" s="95"/>
      <c r="W188" s="66"/>
      <c r="X188" s="97"/>
      <c r="Y188" s="404"/>
      <c r="Z188" s="96"/>
      <c r="AA188" s="66"/>
      <c r="AB188" s="97"/>
      <c r="AC188" s="95"/>
      <c r="AD188" s="95"/>
      <c r="AE188" s="95"/>
      <c r="AF188" s="95"/>
      <c r="AG188" s="96"/>
      <c r="AH188" s="66"/>
      <c r="AI188" s="66"/>
    </row>
    <row r="189" spans="1:35" s="98" customFormat="1" ht="13.5" customHeight="1">
      <c r="A189" s="5"/>
      <c r="B189" s="74">
        <f t="shared" si="142"/>
        <v>62</v>
      </c>
      <c r="C189" s="514" t="s">
        <v>66</v>
      </c>
      <c r="D189" s="75" t="str">
        <f>D188</f>
        <v>여름건설㈜</v>
      </c>
      <c r="E189" s="99" t="str">
        <f>E188</f>
        <v>삼산주공미래타운3단지</v>
      </c>
      <c r="F189" s="102"/>
      <c r="G189" s="88">
        <f>-AG187</f>
        <v>0</v>
      </c>
      <c r="H189" s="103">
        <f>(G187*40%)-AG187</f>
        <v>15940000</v>
      </c>
      <c r="I189" s="104" t="s">
        <v>71</v>
      </c>
      <c r="J189" s="251">
        <f>J188</f>
        <v>46164</v>
      </c>
      <c r="K189" s="462">
        <f>K188</f>
        <v>46169</v>
      </c>
      <c r="L189" s="252"/>
      <c r="M189" s="91" t="str">
        <f>IF(L189&lt;&gt;"", L189+30, "")</f>
        <v/>
      </c>
      <c r="N189" s="90"/>
      <c r="O189" s="371"/>
      <c r="P189" s="80">
        <f t="shared" si="143"/>
        <v>0</v>
      </c>
      <c r="Q189" s="463" t="s">
        <v>2912</v>
      </c>
      <c r="R189" s="93"/>
      <c r="S189" s="81" t="str">
        <f t="shared" ca="1" si="144"/>
        <v/>
      </c>
      <c r="T189" s="97"/>
      <c r="U189" s="95"/>
      <c r="V189" s="95"/>
      <c r="W189" s="66"/>
      <c r="X189" s="97"/>
      <c r="Y189" s="95"/>
      <c r="Z189" s="96"/>
      <c r="AA189" s="66"/>
      <c r="AB189" s="97"/>
      <c r="AC189" s="95"/>
      <c r="AD189" s="95"/>
      <c r="AE189" s="95"/>
      <c r="AF189" s="95"/>
      <c r="AG189" s="96"/>
      <c r="AH189" s="66"/>
      <c r="AI189" s="66"/>
    </row>
    <row r="190" spans="1:35" s="98" customFormat="1" ht="13.5" customHeight="1">
      <c r="A190" s="5"/>
      <c r="B190" s="74">
        <f t="shared" si="142"/>
        <v>63</v>
      </c>
      <c r="C190" s="453" t="s">
        <v>756</v>
      </c>
      <c r="D190" s="450" t="s">
        <v>2130</v>
      </c>
      <c r="E190" s="461" t="s">
        <v>2907</v>
      </c>
      <c r="F190" s="77">
        <v>55900000</v>
      </c>
      <c r="G190" s="77">
        <f>F190-Z190-Z191</f>
        <v>45660000</v>
      </c>
      <c r="H190" s="77">
        <f>G190*20%</f>
        <v>9132000</v>
      </c>
      <c r="I190" s="89" t="s">
        <v>69</v>
      </c>
      <c r="J190" s="420">
        <v>46169</v>
      </c>
      <c r="K190" s="475">
        <v>46169</v>
      </c>
      <c r="L190" s="250"/>
      <c r="M190" s="91" t="str">
        <f>IF(L190&lt;&gt;"", L190+20, "")</f>
        <v/>
      </c>
      <c r="N190" s="91"/>
      <c r="O190" s="371"/>
      <c r="P190" s="80">
        <f t="shared" si="143"/>
        <v>0</v>
      </c>
      <c r="Q190" s="462" t="str">
        <f>Q192</f>
        <v>(예)2026-06-19</v>
      </c>
      <c r="R190" s="93"/>
      <c r="S190" s="81" t="str">
        <f t="shared" ca="1" si="144"/>
        <v/>
      </c>
      <c r="T190" s="97"/>
      <c r="U190" s="83"/>
      <c r="V190" s="85"/>
      <c r="W190" s="66"/>
      <c r="X190" s="97"/>
      <c r="Y190" s="404"/>
      <c r="Z190" s="96">
        <v>10240000</v>
      </c>
      <c r="AA190" s="66"/>
      <c r="AB190" s="97"/>
      <c r="AC190" s="95"/>
      <c r="AD190" s="95"/>
      <c r="AE190" s="95"/>
      <c r="AF190" s="95"/>
      <c r="AG190" s="84">
        <f>SUM(AB190:AF190)</f>
        <v>0</v>
      </c>
      <c r="AH190" s="66"/>
      <c r="AI190" s="66"/>
    </row>
    <row r="191" spans="1:35" s="98" customFormat="1" ht="13.5" customHeight="1">
      <c r="A191" s="5"/>
      <c r="B191" s="74">
        <f t="shared" si="142"/>
        <v>63</v>
      </c>
      <c r="C191" s="513" t="s">
        <v>66</v>
      </c>
      <c r="D191" s="75" t="str">
        <f>D190</f>
        <v>(주)이음건설</v>
      </c>
      <c r="E191" s="75" t="str">
        <f>E190</f>
        <v>더샵오산센트럴아파트</v>
      </c>
      <c r="F191" s="88"/>
      <c r="G191" s="88"/>
      <c r="H191" s="77">
        <f>G190*40%</f>
        <v>18264000</v>
      </c>
      <c r="I191" s="92" t="s">
        <v>536</v>
      </c>
      <c r="J191" s="251">
        <f>J190</f>
        <v>46169</v>
      </c>
      <c r="K191" s="462">
        <f>K190</f>
        <v>46169</v>
      </c>
      <c r="L191" s="252"/>
      <c r="M191" s="91" t="str">
        <f>IF(L191&lt;&gt;"", L191+30, "")</f>
        <v/>
      </c>
      <c r="N191" s="91"/>
      <c r="O191" s="371"/>
      <c r="P191" s="80">
        <f t="shared" si="143"/>
        <v>0</v>
      </c>
      <c r="Q191" s="462" t="str">
        <f>Q192</f>
        <v>(예)2026-06-19</v>
      </c>
      <c r="R191" s="93"/>
      <c r="S191" s="81" t="str">
        <f t="shared" ca="1" si="144"/>
        <v/>
      </c>
      <c r="T191" s="97"/>
      <c r="U191" s="95"/>
      <c r="V191" s="95"/>
      <c r="W191" s="66"/>
      <c r="X191" s="97"/>
      <c r="Y191" s="404"/>
      <c r="Z191" s="96"/>
      <c r="AA191" s="66"/>
      <c r="AB191" s="97"/>
      <c r="AC191" s="95"/>
      <c r="AD191" s="95"/>
      <c r="AE191" s="95"/>
      <c r="AF191" s="95"/>
      <c r="AG191" s="96"/>
      <c r="AH191" s="66"/>
      <c r="AI191" s="66"/>
    </row>
    <row r="192" spans="1:35" s="98" customFormat="1" ht="13.5" customHeight="1">
      <c r="A192" s="5"/>
      <c r="B192" s="74">
        <f t="shared" si="142"/>
        <v>63</v>
      </c>
      <c r="C192" s="514" t="s">
        <v>66</v>
      </c>
      <c r="D192" s="75" t="str">
        <f>D191</f>
        <v>(주)이음건설</v>
      </c>
      <c r="E192" s="99" t="str">
        <f>E191</f>
        <v>더샵오산센트럴아파트</v>
      </c>
      <c r="F192" s="102"/>
      <c r="G192" s="88">
        <f>-AG190</f>
        <v>0</v>
      </c>
      <c r="H192" s="103">
        <f>(G190*40%)-AG190</f>
        <v>18264000</v>
      </c>
      <c r="I192" s="104" t="s">
        <v>71</v>
      </c>
      <c r="J192" s="251">
        <f>J191</f>
        <v>46169</v>
      </c>
      <c r="K192" s="462">
        <f>K191</f>
        <v>46169</v>
      </c>
      <c r="L192" s="252"/>
      <c r="M192" s="91" t="str">
        <f>IF(L192&lt;&gt;"", L192+30, "")</f>
        <v/>
      </c>
      <c r="N192" s="90"/>
      <c r="O192" s="371"/>
      <c r="P192" s="80">
        <f t="shared" si="143"/>
        <v>0</v>
      </c>
      <c r="Q192" s="463" t="s">
        <v>2913</v>
      </c>
      <c r="R192" s="93"/>
      <c r="S192" s="81" t="str">
        <f t="shared" ca="1" si="144"/>
        <v/>
      </c>
      <c r="T192" s="97"/>
      <c r="U192" s="95"/>
      <c r="V192" s="95"/>
      <c r="W192" s="66"/>
      <c r="X192" s="97"/>
      <c r="Y192" s="95"/>
      <c r="Z192" s="96"/>
      <c r="AA192" s="66"/>
      <c r="AB192" s="97"/>
      <c r="AC192" s="95"/>
      <c r="AD192" s="95"/>
      <c r="AE192" s="95"/>
      <c r="AF192" s="95"/>
      <c r="AG192" s="96"/>
      <c r="AH192" s="66"/>
      <c r="AI192" s="66"/>
    </row>
    <row r="193" spans="1:35" s="98" customFormat="1" ht="13.5" customHeight="1">
      <c r="A193" s="5"/>
      <c r="B193" s="74">
        <f t="shared" ref="B193:B195" si="145">IF(I192="잔금", B192+1, B192)</f>
        <v>64</v>
      </c>
      <c r="C193" s="453" t="s">
        <v>756</v>
      </c>
      <c r="D193" s="450" t="s">
        <v>2130</v>
      </c>
      <c r="E193" s="461" t="s">
        <v>2956</v>
      </c>
      <c r="F193" s="77">
        <v>275100000</v>
      </c>
      <c r="G193" s="77">
        <f>F193-Z193-Z194</f>
        <v>135700000</v>
      </c>
      <c r="H193" s="77">
        <f>G193*20%</f>
        <v>27140000</v>
      </c>
      <c r="I193" s="89" t="s">
        <v>69</v>
      </c>
      <c r="J193" s="420">
        <v>46170</v>
      </c>
      <c r="K193" s="475">
        <v>46171</v>
      </c>
      <c r="L193" s="250">
        <v>46174</v>
      </c>
      <c r="M193" s="91">
        <f>IF(L193&lt;&gt;"", L193+20, "")</f>
        <v>46194</v>
      </c>
      <c r="N193" s="91"/>
      <c r="O193" s="371"/>
      <c r="P193" s="80">
        <f t="shared" ref="P193:P195" si="146">IF(L193="", 0, (H193*1.1)-O193)</f>
        <v>29854000.000000004</v>
      </c>
      <c r="Q193" s="462">
        <f>Q195</f>
        <v>0</v>
      </c>
      <c r="R193" s="93"/>
      <c r="S193" s="81" t="str">
        <f t="shared" ref="S193:S195" ca="1" si="147">IF(OR(L193="",P193=0),"",IF(I193="선금",IF(TODAY()-L193&gt;=91,"장기미수",IF(TODAY()-L193&gt;=21,"관리","")),IF(TODAY()-L193&gt;=91,"장기미수",IF(TODAY()-L193&gt;=31,"관리",""))))</f>
        <v/>
      </c>
      <c r="T193" s="97"/>
      <c r="U193" s="83"/>
      <c r="V193" s="85"/>
      <c r="W193" s="66"/>
      <c r="X193" s="97" t="s">
        <v>2957</v>
      </c>
      <c r="Y193" s="404">
        <v>17000</v>
      </c>
      <c r="Z193" s="96">
        <f>8200*Y193</f>
        <v>139400000</v>
      </c>
      <c r="AA193" s="66"/>
      <c r="AB193" s="97"/>
      <c r="AC193" s="95"/>
      <c r="AD193" s="95"/>
      <c r="AE193" s="95"/>
      <c r="AF193" s="95"/>
      <c r="AG193" s="84">
        <f>SUM(AB193:AF193)</f>
        <v>0</v>
      </c>
      <c r="AH193" s="66"/>
      <c r="AI193" s="66"/>
    </row>
    <row r="194" spans="1:35" s="98" customFormat="1" ht="13.5" customHeight="1">
      <c r="A194" s="5"/>
      <c r="B194" s="74">
        <f t="shared" si="145"/>
        <v>64</v>
      </c>
      <c r="C194" s="513" t="s">
        <v>66</v>
      </c>
      <c r="D194" s="75" t="str">
        <f>D193</f>
        <v>(주)이음건설</v>
      </c>
      <c r="E194" s="75" t="str">
        <f>E193</f>
        <v xml:space="preserve">민락엘레트아파트 </v>
      </c>
      <c r="F194" s="88"/>
      <c r="G194" s="88"/>
      <c r="H194" s="77">
        <f>G193*40%</f>
        <v>54280000</v>
      </c>
      <c r="I194" s="92" t="s">
        <v>536</v>
      </c>
      <c r="J194" s="251">
        <f>J193</f>
        <v>46170</v>
      </c>
      <c r="K194" s="462">
        <f>K193</f>
        <v>46171</v>
      </c>
      <c r="L194" s="252"/>
      <c r="M194" s="91" t="str">
        <f>IF(L194&lt;&gt;"", L194+30, "")</f>
        <v/>
      </c>
      <c r="N194" s="91"/>
      <c r="O194" s="371"/>
      <c r="P194" s="80">
        <f t="shared" si="146"/>
        <v>0</v>
      </c>
      <c r="Q194" s="462">
        <f>Q195</f>
        <v>0</v>
      </c>
      <c r="R194" s="93"/>
      <c r="S194" s="81" t="str">
        <f t="shared" ca="1" si="147"/>
        <v/>
      </c>
      <c r="T194" s="97"/>
      <c r="U194" s="95"/>
      <c r="V194" s="95"/>
      <c r="W194" s="66"/>
      <c r="X194" s="97"/>
      <c r="Y194" s="404"/>
      <c r="Z194" s="96"/>
      <c r="AA194" s="66"/>
      <c r="AB194" s="97"/>
      <c r="AC194" s="95"/>
      <c r="AD194" s="95"/>
      <c r="AE194" s="95"/>
      <c r="AF194" s="95"/>
      <c r="AG194" s="96"/>
      <c r="AH194" s="66"/>
      <c r="AI194" s="66"/>
    </row>
    <row r="195" spans="1:35" s="98" customFormat="1" ht="13.5" customHeight="1">
      <c r="A195" s="5"/>
      <c r="B195" s="74">
        <f t="shared" si="145"/>
        <v>64</v>
      </c>
      <c r="C195" s="514" t="s">
        <v>66</v>
      </c>
      <c r="D195" s="75" t="str">
        <f>D194</f>
        <v>(주)이음건설</v>
      </c>
      <c r="E195" s="99" t="str">
        <f>E194</f>
        <v xml:space="preserve">민락엘레트아파트 </v>
      </c>
      <c r="F195" s="102"/>
      <c r="G195" s="88">
        <f>-AG193</f>
        <v>0</v>
      </c>
      <c r="H195" s="103">
        <f>(G193*40%)-AG193</f>
        <v>54280000</v>
      </c>
      <c r="I195" s="104" t="s">
        <v>71</v>
      </c>
      <c r="J195" s="251">
        <f>J194</f>
        <v>46170</v>
      </c>
      <c r="K195" s="462">
        <f>K194</f>
        <v>46171</v>
      </c>
      <c r="L195" s="252"/>
      <c r="M195" s="91" t="str">
        <f>IF(L195&lt;&gt;"", L195+30, "")</f>
        <v/>
      </c>
      <c r="N195" s="90"/>
      <c r="O195" s="371"/>
      <c r="P195" s="80">
        <f t="shared" si="146"/>
        <v>0</v>
      </c>
      <c r="Q195" s="463"/>
      <c r="R195" s="93"/>
      <c r="S195" s="81" t="str">
        <f t="shared" ca="1" si="147"/>
        <v/>
      </c>
      <c r="T195" s="97"/>
      <c r="U195" s="95"/>
      <c r="V195" s="95"/>
      <c r="W195" s="66"/>
      <c r="X195" s="97"/>
      <c r="Y195" s="95"/>
      <c r="Z195" s="96"/>
      <c r="AA195" s="66"/>
      <c r="AB195" s="97"/>
      <c r="AC195" s="95"/>
      <c r="AD195" s="95"/>
      <c r="AE195" s="95"/>
      <c r="AF195" s="95"/>
      <c r="AG195" s="96"/>
      <c r="AH195" s="66"/>
      <c r="AI195" s="66"/>
    </row>
  </sheetData>
  <autoFilter ref="A1:AI195"/>
  <phoneticPr fontId="46" type="noConversion"/>
  <conditionalFormatting sqref="B2:C19 F13:H19 I4:I19 J3:J19 K11:O11 AB2:AG43 B20:B43 L19:L21 X2:Z43 K14:O14 K17:O17 L15:O16 L18:O18 L12:L13 N19:O21 S2:S144 T2:V43 N12:O13 P2:R21">
    <cfRule type="expression" dxfId="2729" priority="2343">
      <formula>$I2="잔금"</formula>
    </cfRule>
  </conditionalFormatting>
  <conditionalFormatting sqref="R23:R24 R41:R42 L41:P42 L23:M23 O23:P23 L24:P24 R26:R30 L31:R31 R32:R39 C23:J43 L43:R43 L26:P30 T23:V43 L25:Q25 L32:N32 P32 L33:P39 L40:Q40">
    <cfRule type="expression" dxfId="2728" priority="2193">
      <formula>$I23="잔금"</formula>
    </cfRule>
  </conditionalFormatting>
  <conditionalFormatting sqref="D2:D25 E6:E22">
    <cfRule type="expression" dxfId="2727" priority="2151">
      <formula>$I2="잔금"</formula>
    </cfRule>
    <cfRule type="expression" dxfId="2726" priority="2152">
      <formula>AND($I2&lt;&gt;"선금", $I2&lt;&gt;"")</formula>
    </cfRule>
  </conditionalFormatting>
  <conditionalFormatting sqref="D2:E2">
    <cfRule type="expression" dxfId="2725" priority="2347">
      <formula>AND($I2&lt;&gt;"선금", $I2&lt;&gt;"")</formula>
    </cfRule>
  </conditionalFormatting>
  <conditionalFormatting sqref="D5:E5">
    <cfRule type="expression" dxfId="2724" priority="2188">
      <formula>AND($I5&lt;&gt;"선금", $I5&lt;&gt;"")</formula>
    </cfRule>
  </conditionalFormatting>
  <conditionalFormatting sqref="D23:E43">
    <cfRule type="expression" dxfId="2723" priority="2354">
      <formula>AND($I23&lt;&gt;"선금", $I23&lt;&gt;"")</formula>
    </cfRule>
  </conditionalFormatting>
  <conditionalFormatting sqref="D5:H5">
    <cfRule type="expression" dxfId="2722" priority="2187">
      <formula>$I5="잔금"</formula>
    </cfRule>
  </conditionalFormatting>
  <conditionalFormatting sqref="D2:M2 O2">
    <cfRule type="expression" dxfId="2721" priority="2323">
      <formula>$I2="잔금"</formula>
    </cfRule>
  </conditionalFormatting>
  <conditionalFormatting sqref="E3:E4">
    <cfRule type="expression" dxfId="2720" priority="2328">
      <formula>$I3="잔금"</formula>
    </cfRule>
    <cfRule type="expression" dxfId="2719" priority="2329">
      <formula>AND($I3&lt;&gt;"선금", $I3&lt;&gt;"")</formula>
    </cfRule>
  </conditionalFormatting>
  <conditionalFormatting sqref="F4:H4">
    <cfRule type="expression" dxfId="2718" priority="2259">
      <formula>$I4="잔금"</formula>
    </cfRule>
  </conditionalFormatting>
  <conditionalFormatting sqref="F6:H11 F12:G12">
    <cfRule type="expression" dxfId="2717" priority="2148">
      <formula>$I6="잔금"</formula>
    </cfRule>
  </conditionalFormatting>
  <conditionalFormatting sqref="F3:I3">
    <cfRule type="expression" dxfId="2716" priority="2346">
      <formula>$I3="잔금"</formula>
    </cfRule>
  </conditionalFormatting>
  <conditionalFormatting sqref="C20:D22 F20:J22 L22 T22:V22 N22:R22">
    <cfRule type="expression" dxfId="2715" priority="2353">
      <formula>$I20="잔금"</formula>
    </cfRule>
  </conditionalFormatting>
  <conditionalFormatting sqref="K3:M4 O3:O4 K5:O8 K9:L10 N9:O10">
    <cfRule type="expression" dxfId="2714" priority="2143">
      <formula>$I3="잔금"</formula>
    </cfRule>
  </conditionalFormatting>
  <conditionalFormatting sqref="H12">
    <cfRule type="expression" dxfId="2713" priority="2134">
      <formula>$I12="잔금"</formula>
    </cfRule>
  </conditionalFormatting>
  <conditionalFormatting sqref="K35">
    <cfRule type="expression" dxfId="2712" priority="2129">
      <formula>$I35="잔금"</formula>
    </cfRule>
  </conditionalFormatting>
  <conditionalFormatting sqref="X44:Z44 AB44:AF44 T44">
    <cfRule type="expression" dxfId="2711" priority="2127">
      <formula>$I44="잔금"</formula>
    </cfRule>
  </conditionalFormatting>
  <conditionalFormatting sqref="C44:F44 J44 L44 R44 O44 T44">
    <cfRule type="expression" dxfId="2710" priority="2126">
      <formula>$I44="잔금"</formula>
    </cfRule>
  </conditionalFormatting>
  <conditionalFormatting sqref="D44:E44">
    <cfRule type="expression" dxfId="2709" priority="2128">
      <formula>AND($I44&lt;&gt;"선금", $I44&lt;&gt;"")</formula>
    </cfRule>
  </conditionalFormatting>
  <conditionalFormatting sqref="X45:Z45 AB45:AG45 T45:V45">
    <cfRule type="expression" dxfId="2708" priority="2124">
      <formula>$I45="잔금"</formula>
    </cfRule>
  </conditionalFormatting>
  <conditionalFormatting sqref="F45 R45 L45:O45 T45:V45">
    <cfRule type="expression" dxfId="2707" priority="2123">
      <formula>$I45="잔금"</formula>
    </cfRule>
  </conditionalFormatting>
  <conditionalFormatting sqref="X46:Z46 AB46:AG46 T46:V46">
    <cfRule type="expression" dxfId="2706" priority="2121">
      <formula>$I46="잔금"</formula>
    </cfRule>
  </conditionalFormatting>
  <conditionalFormatting sqref="F46 L46:O46 R46 T46:V46">
    <cfRule type="expression" dxfId="2705" priority="2120">
      <formula>$I46="잔금"</formula>
    </cfRule>
  </conditionalFormatting>
  <conditionalFormatting sqref="B44:B46">
    <cfRule type="expression" dxfId="2704" priority="2119">
      <formula>$I44="잔금"</formula>
    </cfRule>
  </conditionalFormatting>
  <conditionalFormatting sqref="G44:G46">
    <cfRule type="expression" dxfId="2703" priority="2118">
      <formula>$I44="잔금"</formula>
    </cfRule>
  </conditionalFormatting>
  <conditionalFormatting sqref="H44:H46">
    <cfRule type="expression" dxfId="2702" priority="2117">
      <formula>$I44="잔금"</formula>
    </cfRule>
  </conditionalFormatting>
  <conditionalFormatting sqref="I44:I46">
    <cfRule type="expression" dxfId="2701" priority="2116">
      <formula>$I44="잔금"</formula>
    </cfRule>
  </conditionalFormatting>
  <conditionalFormatting sqref="J45">
    <cfRule type="expression" dxfId="2700" priority="2115">
      <formula>$I45="잔금"</formula>
    </cfRule>
  </conditionalFormatting>
  <conditionalFormatting sqref="J46">
    <cfRule type="expression" dxfId="2699" priority="2114">
      <formula>$I46="잔금"</formula>
    </cfRule>
  </conditionalFormatting>
  <conditionalFormatting sqref="K44">
    <cfRule type="expression" dxfId="2698" priority="2113">
      <formula>$I44="잔금"</formula>
    </cfRule>
  </conditionalFormatting>
  <conditionalFormatting sqref="P44:P46">
    <cfRule type="expression" dxfId="2697" priority="2112">
      <formula>$I44="잔금"</formula>
    </cfRule>
  </conditionalFormatting>
  <conditionalFormatting sqref="C45:D46">
    <cfRule type="expression" dxfId="2696" priority="2110">
      <formula>$I45="잔금"</formula>
    </cfRule>
  </conditionalFormatting>
  <conditionalFormatting sqref="D45:D46">
    <cfRule type="expression" dxfId="2695" priority="2111">
      <formula>AND($I45&lt;&gt;"선금", $I45&lt;&gt;"")</formula>
    </cfRule>
  </conditionalFormatting>
  <conditionalFormatting sqref="E45:E46">
    <cfRule type="expression" dxfId="2694" priority="2108">
      <formula>$I45="잔금"</formula>
    </cfRule>
  </conditionalFormatting>
  <conditionalFormatting sqref="E45:E46">
    <cfRule type="expression" dxfId="2693" priority="2109">
      <formula>AND($I45&lt;&gt;"선금", $I45&lt;&gt;"")</formula>
    </cfRule>
  </conditionalFormatting>
  <conditionalFormatting sqref="K20">
    <cfRule type="expression" dxfId="2692" priority="2107">
      <formula>$I20="잔금"</formula>
    </cfRule>
  </conditionalFormatting>
  <conditionalFormatting sqref="M44">
    <cfRule type="expression" dxfId="2691" priority="2106">
      <formula>$I44="잔금"</formula>
    </cfRule>
  </conditionalFormatting>
  <conditionalFormatting sqref="M20">
    <cfRule type="expression" dxfId="2690" priority="2105">
      <formula>$I20="잔금"</formula>
    </cfRule>
  </conditionalFormatting>
  <conditionalFormatting sqref="K41">
    <cfRule type="expression" dxfId="2689" priority="2103">
      <formula>$I41="잔금"</formula>
    </cfRule>
  </conditionalFormatting>
  <conditionalFormatting sqref="N44">
    <cfRule type="expression" dxfId="2688" priority="2082">
      <formula>$I44="잔금"</formula>
    </cfRule>
  </conditionalFormatting>
  <conditionalFormatting sqref="H53:H55">
    <cfRule type="expression" dxfId="2687" priority="2026">
      <formula>$I53="잔금"</formula>
    </cfRule>
  </conditionalFormatting>
  <conditionalFormatting sqref="M19">
    <cfRule type="expression" dxfId="2686" priority="2080">
      <formula>$I19="잔금"</formula>
    </cfRule>
  </conditionalFormatting>
  <conditionalFormatting sqref="X47:Z47 AB47:AF47 T47">
    <cfRule type="expression" dxfId="2685" priority="2078">
      <formula>$I47="잔금"</formula>
    </cfRule>
  </conditionalFormatting>
  <conditionalFormatting sqref="C47:F47 J47 L47 R47 O47 T47">
    <cfRule type="expression" dxfId="2684" priority="2077">
      <formula>$I47="잔금"</formula>
    </cfRule>
  </conditionalFormatting>
  <conditionalFormatting sqref="D47:E47">
    <cfRule type="expression" dxfId="2683" priority="2079">
      <formula>AND($I47&lt;&gt;"선금", $I47&lt;&gt;"")</formula>
    </cfRule>
  </conditionalFormatting>
  <conditionalFormatting sqref="X48:Z48 AB48:AG48 T48:V48">
    <cfRule type="expression" dxfId="2682" priority="2076">
      <formula>$I48="잔금"</formula>
    </cfRule>
  </conditionalFormatting>
  <conditionalFormatting sqref="F48 L48 R48 N48:O48 T48:V48">
    <cfRule type="expression" dxfId="2681" priority="2075">
      <formula>$I48="잔금"</formula>
    </cfRule>
  </conditionalFormatting>
  <conditionalFormatting sqref="X49:Z49 AB49:AG49 T49:V49">
    <cfRule type="expression" dxfId="2680" priority="2074">
      <formula>$I49="잔금"</formula>
    </cfRule>
  </conditionalFormatting>
  <conditionalFormatting sqref="F49 L49:O49 R49 T49:V49">
    <cfRule type="expression" dxfId="2679" priority="2073">
      <formula>$I49="잔금"</formula>
    </cfRule>
  </conditionalFormatting>
  <conditionalFormatting sqref="B47:B49">
    <cfRule type="expression" dxfId="2678" priority="2072">
      <formula>$I47="잔금"</formula>
    </cfRule>
  </conditionalFormatting>
  <conditionalFormatting sqref="G47:G49">
    <cfRule type="expression" dxfId="2677" priority="2071">
      <formula>$I47="잔금"</formula>
    </cfRule>
  </conditionalFormatting>
  <conditionalFormatting sqref="H47:H49">
    <cfRule type="expression" dxfId="2676" priority="2070">
      <formula>$I47="잔금"</formula>
    </cfRule>
  </conditionalFormatting>
  <conditionalFormatting sqref="I47:I49">
    <cfRule type="expression" dxfId="2675" priority="2069">
      <formula>$I47="잔금"</formula>
    </cfRule>
  </conditionalFormatting>
  <conditionalFormatting sqref="J48">
    <cfRule type="expression" dxfId="2674" priority="2068">
      <formula>$I48="잔금"</formula>
    </cfRule>
  </conditionalFormatting>
  <conditionalFormatting sqref="J49">
    <cfRule type="expression" dxfId="2673" priority="2067">
      <formula>$I49="잔금"</formula>
    </cfRule>
  </conditionalFormatting>
  <conditionalFormatting sqref="K47">
    <cfRule type="expression" dxfId="2672" priority="2066">
      <formula>$I47="잔금"</formula>
    </cfRule>
  </conditionalFormatting>
  <conditionalFormatting sqref="P47:P49">
    <cfRule type="expression" dxfId="2671" priority="2065">
      <formula>$I47="잔금"</formula>
    </cfRule>
  </conditionalFormatting>
  <conditionalFormatting sqref="C48:D49">
    <cfRule type="expression" dxfId="2670" priority="2063">
      <formula>$I48="잔금"</formula>
    </cfRule>
  </conditionalFormatting>
  <conditionalFormatting sqref="D48:D49">
    <cfRule type="expression" dxfId="2669" priority="2064">
      <formula>AND($I48&lt;&gt;"선금", $I48&lt;&gt;"")</formula>
    </cfRule>
  </conditionalFormatting>
  <conditionalFormatting sqref="E48:E49">
    <cfRule type="expression" dxfId="2668" priority="2061">
      <formula>$I48="잔금"</formula>
    </cfRule>
  </conditionalFormatting>
  <conditionalFormatting sqref="E48:E49">
    <cfRule type="expression" dxfId="2667" priority="2062">
      <formula>AND($I48&lt;&gt;"선금", $I48&lt;&gt;"")</formula>
    </cfRule>
  </conditionalFormatting>
  <conditionalFormatting sqref="N47">
    <cfRule type="expression" dxfId="2666" priority="2059">
      <formula>$I47="잔금"</formula>
    </cfRule>
  </conditionalFormatting>
  <conditionalFormatting sqref="M47">
    <cfRule type="expression" dxfId="2665" priority="2058">
      <formula>$I47="잔금"</formula>
    </cfRule>
  </conditionalFormatting>
  <conditionalFormatting sqref="X50:Z50 AB50:AF50 T50">
    <cfRule type="expression" dxfId="2664" priority="2056">
      <formula>$I50="잔금"</formula>
    </cfRule>
  </conditionalFormatting>
  <conditionalFormatting sqref="C50:F50 J50 L50 R50 O50 T50">
    <cfRule type="expression" dxfId="2663" priority="2055">
      <formula>$I50="잔금"</formula>
    </cfRule>
  </conditionalFormatting>
  <conditionalFormatting sqref="D50:E50">
    <cfRule type="expression" dxfId="2662" priority="2057">
      <formula>AND($I50&lt;&gt;"선금", $I50&lt;&gt;"")</formula>
    </cfRule>
  </conditionalFormatting>
  <conditionalFormatting sqref="X51:Z51 AB51:AG51 T51:V51">
    <cfRule type="expression" dxfId="2661" priority="2054">
      <formula>$I51="잔금"</formula>
    </cfRule>
  </conditionalFormatting>
  <conditionalFormatting sqref="F51 L51:M51 R51 T51:V51">
    <cfRule type="expression" dxfId="2660" priority="2053">
      <formula>$I51="잔금"</formula>
    </cfRule>
  </conditionalFormatting>
  <conditionalFormatting sqref="X52:Z52 AB52:AG52 T52:V52">
    <cfRule type="expression" dxfId="2659" priority="2052">
      <formula>$I52="잔금"</formula>
    </cfRule>
  </conditionalFormatting>
  <conditionalFormatting sqref="F52 L52:M52 R52 T52:V52 O52">
    <cfRule type="expression" dxfId="2658" priority="2051">
      <formula>$I52="잔금"</formula>
    </cfRule>
  </conditionalFormatting>
  <conditionalFormatting sqref="B50:B52">
    <cfRule type="expression" dxfId="2657" priority="2050">
      <formula>$I50="잔금"</formula>
    </cfRule>
  </conditionalFormatting>
  <conditionalFormatting sqref="G50:G52">
    <cfRule type="expression" dxfId="2656" priority="2049">
      <formula>$I50="잔금"</formula>
    </cfRule>
  </conditionalFormatting>
  <conditionalFormatting sqref="H50:H52">
    <cfRule type="expression" dxfId="2655" priority="2048">
      <formula>$I50="잔금"</formula>
    </cfRule>
  </conditionalFormatting>
  <conditionalFormatting sqref="I50:I52">
    <cfRule type="expression" dxfId="2654" priority="2047">
      <formula>$I50="잔금"</formula>
    </cfRule>
  </conditionalFormatting>
  <conditionalFormatting sqref="J51">
    <cfRule type="expression" dxfId="2653" priority="2046">
      <formula>$I51="잔금"</formula>
    </cfRule>
  </conditionalFormatting>
  <conditionalFormatting sqref="J52">
    <cfRule type="expression" dxfId="2652" priority="2045">
      <formula>$I52="잔금"</formula>
    </cfRule>
  </conditionalFormatting>
  <conditionalFormatting sqref="K50">
    <cfRule type="expression" dxfId="2651" priority="2044">
      <formula>$I50="잔금"</formula>
    </cfRule>
  </conditionalFormatting>
  <conditionalFormatting sqref="P50:P52">
    <cfRule type="expression" dxfId="2650" priority="2043">
      <formula>$I50="잔금"</formula>
    </cfRule>
  </conditionalFormatting>
  <conditionalFormatting sqref="C51:D52">
    <cfRule type="expression" dxfId="2649" priority="2041">
      <formula>$I51="잔금"</formula>
    </cfRule>
  </conditionalFormatting>
  <conditionalFormatting sqref="D51:D52">
    <cfRule type="expression" dxfId="2648" priority="2042">
      <formula>AND($I51&lt;&gt;"선금", $I51&lt;&gt;"")</formula>
    </cfRule>
  </conditionalFormatting>
  <conditionalFormatting sqref="E51:E52">
    <cfRule type="expression" dxfId="2647" priority="2039">
      <formula>$I51="잔금"</formula>
    </cfRule>
  </conditionalFormatting>
  <conditionalFormatting sqref="E51:E52">
    <cfRule type="expression" dxfId="2646" priority="2040">
      <formula>AND($I51&lt;&gt;"선금", $I51&lt;&gt;"")</formula>
    </cfRule>
  </conditionalFormatting>
  <conditionalFormatting sqref="N50">
    <cfRule type="expression" dxfId="2645" priority="2038">
      <formula>$I50="잔금"</formula>
    </cfRule>
  </conditionalFormatting>
  <conditionalFormatting sqref="M50">
    <cfRule type="expression" dxfId="2644" priority="2036">
      <formula>$I50="잔금"</formula>
    </cfRule>
  </conditionalFormatting>
  <conditionalFormatting sqref="X53:Z53 AB53:AF53 T53">
    <cfRule type="expression" dxfId="2643" priority="2034">
      <formula>$I53="잔금"</formula>
    </cfRule>
  </conditionalFormatting>
  <conditionalFormatting sqref="C53:F53 J53 L53 R53 O53 T53">
    <cfRule type="expression" dxfId="2642" priority="2033">
      <formula>$I53="잔금"</formula>
    </cfRule>
  </conditionalFormatting>
  <conditionalFormatting sqref="D53:E53">
    <cfRule type="expression" dxfId="2641" priority="2035">
      <formula>AND($I53&lt;&gt;"선금", $I53&lt;&gt;"")</formula>
    </cfRule>
  </conditionalFormatting>
  <conditionalFormatting sqref="X54:Z54 AB54:AG54 T54:V54">
    <cfRule type="expression" dxfId="2640" priority="2032">
      <formula>$I54="잔금"</formula>
    </cfRule>
  </conditionalFormatting>
  <conditionalFormatting sqref="F54 L54 R54 O54 T54:V54">
    <cfRule type="expression" dxfId="2639" priority="2031">
      <formula>$I54="잔금"</formula>
    </cfRule>
  </conditionalFormatting>
  <conditionalFormatting sqref="X55:Z55 AB55:AG55 T55:V55">
    <cfRule type="expression" dxfId="2638" priority="2030">
      <formula>$I55="잔금"</formula>
    </cfRule>
  </conditionalFormatting>
  <conditionalFormatting sqref="F55 L55:O55 R55 T55:V55">
    <cfRule type="expression" dxfId="2637" priority="2029">
      <formula>$I55="잔금"</formula>
    </cfRule>
  </conditionalFormatting>
  <conditionalFormatting sqref="B53:B55">
    <cfRule type="expression" dxfId="2636" priority="2028">
      <formula>$I53="잔금"</formula>
    </cfRule>
  </conditionalFormatting>
  <conditionalFormatting sqref="G53:G55">
    <cfRule type="expression" dxfId="2635" priority="2027">
      <formula>$I53="잔금"</formula>
    </cfRule>
  </conditionalFormatting>
  <conditionalFormatting sqref="I53:I55">
    <cfRule type="expression" dxfId="2634" priority="2025">
      <formula>$I53="잔금"</formula>
    </cfRule>
  </conditionalFormatting>
  <conditionalFormatting sqref="J54">
    <cfRule type="expression" dxfId="2633" priority="2024">
      <formula>$I54="잔금"</formula>
    </cfRule>
  </conditionalFormatting>
  <conditionalFormatting sqref="J55">
    <cfRule type="expression" dxfId="2632" priority="2023">
      <formula>$I55="잔금"</formula>
    </cfRule>
  </conditionalFormatting>
  <conditionalFormatting sqref="K53">
    <cfRule type="expression" dxfId="2631" priority="2022">
      <formula>$I53="잔금"</formula>
    </cfRule>
  </conditionalFormatting>
  <conditionalFormatting sqref="P53:P55">
    <cfRule type="expression" dxfId="2630" priority="2021">
      <formula>$I53="잔금"</formula>
    </cfRule>
  </conditionalFormatting>
  <conditionalFormatting sqref="C54:D55">
    <cfRule type="expression" dxfId="2629" priority="2019">
      <formula>$I54="잔금"</formula>
    </cfRule>
  </conditionalFormatting>
  <conditionalFormatting sqref="D54:D55">
    <cfRule type="expression" dxfId="2628" priority="2020">
      <formula>AND($I54&lt;&gt;"선금", $I54&lt;&gt;"")</formula>
    </cfRule>
  </conditionalFormatting>
  <conditionalFormatting sqref="E54:E55">
    <cfRule type="expression" dxfId="2627" priority="2017">
      <formula>$I54="잔금"</formula>
    </cfRule>
  </conditionalFormatting>
  <conditionalFormatting sqref="E54:E55">
    <cfRule type="expression" dxfId="2626" priority="2018">
      <formula>AND($I54&lt;&gt;"선금", $I54&lt;&gt;"")</formula>
    </cfRule>
  </conditionalFormatting>
  <conditionalFormatting sqref="N53">
    <cfRule type="expression" dxfId="2625" priority="2016">
      <formula>$I53="잔금"</formula>
    </cfRule>
  </conditionalFormatting>
  <conditionalFormatting sqref="M53">
    <cfRule type="expression" dxfId="2624" priority="2015">
      <formula>$I53="잔금"</formula>
    </cfRule>
  </conditionalFormatting>
  <conditionalFormatting sqref="X56:Z56 AB56:AF56 T56">
    <cfRule type="expression" dxfId="2623" priority="2013">
      <formula>$I56="잔금"</formula>
    </cfRule>
  </conditionalFormatting>
  <conditionalFormatting sqref="C56:F56 J56 L56 R56 O56 T56">
    <cfRule type="expression" dxfId="2622" priority="2012">
      <formula>$I56="잔금"</formula>
    </cfRule>
  </conditionalFormatting>
  <conditionalFormatting sqref="D56:E56">
    <cfRule type="expression" dxfId="2621" priority="2014">
      <formula>AND($I56&lt;&gt;"선금", $I56&lt;&gt;"")</formula>
    </cfRule>
  </conditionalFormatting>
  <conditionalFormatting sqref="X57:Z58 AB57:AG58 T57:V58">
    <cfRule type="expression" dxfId="2620" priority="2011">
      <formula>$I57="잔금"</formula>
    </cfRule>
  </conditionalFormatting>
  <conditionalFormatting sqref="F57:F58 R57:R58 L57:L58 N58:O58 O57 T57:V58">
    <cfRule type="expression" dxfId="2619" priority="2010">
      <formula>$I57="잔금"</formula>
    </cfRule>
  </conditionalFormatting>
  <conditionalFormatting sqref="X59:Z59 AB59:AG59 T59:V59">
    <cfRule type="expression" dxfId="2618" priority="2009">
      <formula>$I59="잔금"</formula>
    </cfRule>
  </conditionalFormatting>
  <conditionalFormatting sqref="F59 L59:O59 R59 T59:V59">
    <cfRule type="expression" dxfId="2617" priority="2008">
      <formula>$I59="잔금"</formula>
    </cfRule>
  </conditionalFormatting>
  <conditionalFormatting sqref="B56:B59">
    <cfRule type="expression" dxfId="2616" priority="2007">
      <formula>$I56="잔금"</formula>
    </cfRule>
  </conditionalFormatting>
  <conditionalFormatting sqref="G56:G59">
    <cfRule type="expression" dxfId="2615" priority="2006">
      <formula>$I56="잔금"</formula>
    </cfRule>
  </conditionalFormatting>
  <conditionalFormatting sqref="H56:H59">
    <cfRule type="expression" dxfId="2614" priority="2005">
      <formula>$I56="잔금"</formula>
    </cfRule>
  </conditionalFormatting>
  <conditionalFormatting sqref="I56:I59">
    <cfRule type="expression" dxfId="2613" priority="2004">
      <formula>$I56="잔금"</formula>
    </cfRule>
  </conditionalFormatting>
  <conditionalFormatting sqref="J57:J58">
    <cfRule type="expression" dxfId="2612" priority="2003">
      <formula>$I57="잔금"</formula>
    </cfRule>
  </conditionalFormatting>
  <conditionalFormatting sqref="J59">
    <cfRule type="expression" dxfId="2611" priority="2002">
      <formula>$I59="잔금"</formula>
    </cfRule>
  </conditionalFormatting>
  <conditionalFormatting sqref="K56">
    <cfRule type="expression" dxfId="2610" priority="2001">
      <formula>$I56="잔금"</formula>
    </cfRule>
  </conditionalFormatting>
  <conditionalFormatting sqref="P56:P59">
    <cfRule type="expression" dxfId="2609" priority="2000">
      <formula>$I56="잔금"</formula>
    </cfRule>
  </conditionalFormatting>
  <conditionalFormatting sqref="C57:D59">
    <cfRule type="expression" dxfId="2608" priority="1998">
      <formula>$I57="잔금"</formula>
    </cfRule>
  </conditionalFormatting>
  <conditionalFormatting sqref="D57:D59">
    <cfRule type="expression" dxfId="2607" priority="1999">
      <formula>AND($I57&lt;&gt;"선금", $I57&lt;&gt;"")</formula>
    </cfRule>
  </conditionalFormatting>
  <conditionalFormatting sqref="E57:E59">
    <cfRule type="expression" dxfId="2606" priority="1996">
      <formula>$I57="잔금"</formula>
    </cfRule>
  </conditionalFormatting>
  <conditionalFormatting sqref="E57:E59">
    <cfRule type="expression" dxfId="2605" priority="1997">
      <formula>AND($I57&lt;&gt;"선금", $I57&lt;&gt;"")</formula>
    </cfRule>
  </conditionalFormatting>
  <conditionalFormatting sqref="N56">
    <cfRule type="expression" dxfId="2604" priority="1995">
      <formula>$I56="잔금"</formula>
    </cfRule>
  </conditionalFormatting>
  <conditionalFormatting sqref="AG44">
    <cfRule type="expression" dxfId="2603" priority="1993">
      <formula>$I44="잔금"</formula>
    </cfRule>
  </conditionalFormatting>
  <conditionalFormatting sqref="AG47">
    <cfRule type="expression" dxfId="2602" priority="1992">
      <formula>$I47="잔금"</formula>
    </cfRule>
  </conditionalFormatting>
  <conditionalFormatting sqref="AG50">
    <cfRule type="expression" dxfId="2601" priority="1991">
      <formula>$I50="잔금"</formula>
    </cfRule>
  </conditionalFormatting>
  <conditionalFormatting sqref="AG53">
    <cfRule type="expression" dxfId="2600" priority="1990">
      <formula>$I53="잔금"</formula>
    </cfRule>
  </conditionalFormatting>
  <conditionalFormatting sqref="AG56">
    <cfRule type="expression" dxfId="2599" priority="1989">
      <formula>$I56="잔금"</formula>
    </cfRule>
  </conditionalFormatting>
  <conditionalFormatting sqref="M56">
    <cfRule type="expression" dxfId="2598" priority="1988">
      <formula>$I56="잔금"</formula>
    </cfRule>
  </conditionalFormatting>
  <conditionalFormatting sqref="K38">
    <cfRule type="expression" dxfId="2597" priority="1965">
      <formula>$I38="잔금"</formula>
    </cfRule>
  </conditionalFormatting>
  <conditionalFormatting sqref="N2:N4">
    <cfRule type="expression" dxfId="2596" priority="1964">
      <formula>$I2="잔금"</formula>
    </cfRule>
  </conditionalFormatting>
  <conditionalFormatting sqref="Q46">
    <cfRule type="expression" dxfId="2595" priority="1963">
      <formula>$I46="잔금"</formula>
    </cfRule>
  </conditionalFormatting>
  <conditionalFormatting sqref="X60:Z60 AB60:AF60 T60:V60">
    <cfRule type="expression" dxfId="2594" priority="1938">
      <formula>$I60="잔금"</formula>
    </cfRule>
  </conditionalFormatting>
  <conditionalFormatting sqref="C60:F60 J60 L60 R60 O60 T60:V60">
    <cfRule type="expression" dxfId="2593" priority="1937">
      <formula>$I60="잔금"</formula>
    </cfRule>
  </conditionalFormatting>
  <conditionalFormatting sqref="D60:E60">
    <cfRule type="expression" dxfId="2592" priority="1939">
      <formula>AND($I60&lt;&gt;"선금", $I60&lt;&gt;"")</formula>
    </cfRule>
  </conditionalFormatting>
  <conditionalFormatting sqref="X61:Z61 AB61:AG61 T61:V61">
    <cfRule type="expression" dxfId="2591" priority="1936">
      <formula>$I61="잔금"</formula>
    </cfRule>
  </conditionalFormatting>
  <conditionalFormatting sqref="F61 L61:O61 R61 T61:V61">
    <cfRule type="expression" dxfId="2590" priority="1935">
      <formula>$I61="잔금"</formula>
    </cfRule>
  </conditionalFormatting>
  <conditionalFormatting sqref="X62:Z62 AB62:AG62 T62:V62">
    <cfRule type="expression" dxfId="2589" priority="1934">
      <formula>$I62="잔금"</formula>
    </cfRule>
  </conditionalFormatting>
  <conditionalFormatting sqref="F62 L62:O62 R62 T62:V62">
    <cfRule type="expression" dxfId="2588" priority="1933">
      <formula>$I62="잔금"</formula>
    </cfRule>
  </conditionalFormatting>
  <conditionalFormatting sqref="B60:B62">
    <cfRule type="expression" dxfId="2587" priority="1932">
      <formula>$I60="잔금"</formula>
    </cfRule>
  </conditionalFormatting>
  <conditionalFormatting sqref="G60:G62">
    <cfRule type="expression" dxfId="2586" priority="1931">
      <formula>$I60="잔금"</formula>
    </cfRule>
  </conditionalFormatting>
  <conditionalFormatting sqref="H60:H62">
    <cfRule type="expression" dxfId="2585" priority="1930">
      <formula>$I60="잔금"</formula>
    </cfRule>
  </conditionalFormatting>
  <conditionalFormatting sqref="I60:I62">
    <cfRule type="expression" dxfId="2584" priority="1929">
      <formula>$I60="잔금"</formula>
    </cfRule>
  </conditionalFormatting>
  <conditionalFormatting sqref="J61">
    <cfRule type="expression" dxfId="2583" priority="1928">
      <formula>$I61="잔금"</formula>
    </cfRule>
  </conditionalFormatting>
  <conditionalFormatting sqref="J62">
    <cfRule type="expression" dxfId="2582" priority="1927">
      <formula>$I62="잔금"</formula>
    </cfRule>
  </conditionalFormatting>
  <conditionalFormatting sqref="K60">
    <cfRule type="expression" dxfId="2581" priority="1926">
      <formula>$I60="잔금"</formula>
    </cfRule>
  </conditionalFormatting>
  <conditionalFormatting sqref="P60:P62">
    <cfRule type="expression" dxfId="2580" priority="1925">
      <formula>$I60="잔금"</formula>
    </cfRule>
  </conditionalFormatting>
  <conditionalFormatting sqref="C61:D62">
    <cfRule type="expression" dxfId="2579" priority="1923">
      <formula>$I61="잔금"</formula>
    </cfRule>
  </conditionalFormatting>
  <conditionalFormatting sqref="D61:D62">
    <cfRule type="expression" dxfId="2578" priority="1924">
      <formula>AND($I61&lt;&gt;"선금", $I61&lt;&gt;"")</formula>
    </cfRule>
  </conditionalFormatting>
  <conditionalFormatting sqref="E61:E62">
    <cfRule type="expression" dxfId="2577" priority="1921">
      <formula>$I61="잔금"</formula>
    </cfRule>
  </conditionalFormatting>
  <conditionalFormatting sqref="E61:E62">
    <cfRule type="expression" dxfId="2576" priority="1922">
      <formula>AND($I61&lt;&gt;"선금", $I61&lt;&gt;"")</formula>
    </cfRule>
  </conditionalFormatting>
  <conditionalFormatting sqref="N60">
    <cfRule type="expression" dxfId="2575" priority="1920">
      <formula>$I60="잔금"</formula>
    </cfRule>
  </conditionalFormatting>
  <conditionalFormatting sqref="M60">
    <cfRule type="expression" dxfId="2574" priority="1919">
      <formula>$I60="잔금"</formula>
    </cfRule>
  </conditionalFormatting>
  <conditionalFormatting sqref="AG60">
    <cfRule type="expression" dxfId="2573" priority="1918">
      <formula>$I60="잔금"</formula>
    </cfRule>
  </conditionalFormatting>
  <conditionalFormatting sqref="X63:Z63 AB63:AF63 T63:V63">
    <cfRule type="expression" dxfId="2572" priority="1916">
      <formula>$I63="잔금"</formula>
    </cfRule>
  </conditionalFormatting>
  <conditionalFormatting sqref="C63:F63 J63 L63 R63 O63 T63:V63">
    <cfRule type="expression" dxfId="2571" priority="1915">
      <formula>$I63="잔금"</formula>
    </cfRule>
  </conditionalFormatting>
  <conditionalFormatting sqref="D63:E63">
    <cfRule type="expression" dxfId="2570" priority="1917">
      <formula>AND($I63&lt;&gt;"선금", $I63&lt;&gt;"")</formula>
    </cfRule>
  </conditionalFormatting>
  <conditionalFormatting sqref="X64:Z64 AB64:AG64 T64:V64">
    <cfRule type="expression" dxfId="2569" priority="1914">
      <formula>$I64="잔금"</formula>
    </cfRule>
  </conditionalFormatting>
  <conditionalFormatting sqref="F64 L64 R64 O64 T64:V64">
    <cfRule type="expression" dxfId="2568" priority="1913">
      <formula>$I64="잔금"</formula>
    </cfRule>
  </conditionalFormatting>
  <conditionalFormatting sqref="X65:Z65 AB65:AG65 T65:V65">
    <cfRule type="expression" dxfId="2567" priority="1912">
      <formula>$I65="잔금"</formula>
    </cfRule>
  </conditionalFormatting>
  <conditionalFormatting sqref="F65 L65:O65 R65 T65:V65">
    <cfRule type="expression" dxfId="2566" priority="1911">
      <formula>$I65="잔금"</formula>
    </cfRule>
  </conditionalFormatting>
  <conditionalFormatting sqref="B63:B65">
    <cfRule type="expression" dxfId="2565" priority="1910">
      <formula>$I63="잔금"</formula>
    </cfRule>
  </conditionalFormatting>
  <conditionalFormatting sqref="G63:G65">
    <cfRule type="expression" dxfId="2564" priority="1909">
      <formula>$I63="잔금"</formula>
    </cfRule>
  </conditionalFormatting>
  <conditionalFormatting sqref="H63:H65">
    <cfRule type="expression" dxfId="2563" priority="1908">
      <formula>$I63="잔금"</formula>
    </cfRule>
  </conditionalFormatting>
  <conditionalFormatting sqref="I63:I65">
    <cfRule type="expression" dxfId="2562" priority="1907">
      <formula>$I63="잔금"</formula>
    </cfRule>
  </conditionalFormatting>
  <conditionalFormatting sqref="J64">
    <cfRule type="expression" dxfId="2561" priority="1906">
      <formula>$I64="잔금"</formula>
    </cfRule>
  </conditionalFormatting>
  <conditionalFormatting sqref="J65">
    <cfRule type="expression" dxfId="2560" priority="1905">
      <formula>$I65="잔금"</formula>
    </cfRule>
  </conditionalFormatting>
  <conditionalFormatting sqref="K63">
    <cfRule type="expression" dxfId="2559" priority="1904">
      <formula>$I63="잔금"</formula>
    </cfRule>
  </conditionalFormatting>
  <conditionalFormatting sqref="P63:P65">
    <cfRule type="expression" dxfId="2558" priority="1903">
      <formula>$I63="잔금"</formula>
    </cfRule>
  </conditionalFormatting>
  <conditionalFormatting sqref="C64:D65">
    <cfRule type="expression" dxfId="2557" priority="1901">
      <formula>$I64="잔금"</formula>
    </cfRule>
  </conditionalFormatting>
  <conditionalFormatting sqref="D64:D65">
    <cfRule type="expression" dxfId="2556" priority="1902">
      <formula>AND($I64&lt;&gt;"선금", $I64&lt;&gt;"")</formula>
    </cfRule>
  </conditionalFormatting>
  <conditionalFormatting sqref="E64:E65">
    <cfRule type="expression" dxfId="2555" priority="1899">
      <formula>$I64="잔금"</formula>
    </cfRule>
  </conditionalFormatting>
  <conditionalFormatting sqref="E64:E65">
    <cfRule type="expression" dxfId="2554" priority="1900">
      <formula>AND($I64&lt;&gt;"선금", $I64&lt;&gt;"")</formula>
    </cfRule>
  </conditionalFormatting>
  <conditionalFormatting sqref="N63">
    <cfRule type="expression" dxfId="2553" priority="1898">
      <formula>$I63="잔금"</formula>
    </cfRule>
  </conditionalFormatting>
  <conditionalFormatting sqref="M63">
    <cfRule type="expression" dxfId="2552" priority="1897">
      <formula>$I63="잔금"</formula>
    </cfRule>
  </conditionalFormatting>
  <conditionalFormatting sqref="AG63">
    <cfRule type="expression" dxfId="2551" priority="1896">
      <formula>$I63="잔금"</formula>
    </cfRule>
  </conditionalFormatting>
  <conditionalFormatting sqref="X66:Z66 AB66:AF66 T66">
    <cfRule type="expression" dxfId="2550" priority="1894">
      <formula>$I66="잔금"</formula>
    </cfRule>
  </conditionalFormatting>
  <conditionalFormatting sqref="C66:F66 J66 L66 R66 O66 T66">
    <cfRule type="expression" dxfId="2549" priority="1893">
      <formula>$I66="잔금"</formula>
    </cfRule>
  </conditionalFormatting>
  <conditionalFormatting sqref="D66:E66">
    <cfRule type="expression" dxfId="2548" priority="1895">
      <formula>AND($I66&lt;&gt;"선금", $I66&lt;&gt;"")</formula>
    </cfRule>
  </conditionalFormatting>
  <conditionalFormatting sqref="X67:Z67 AB67:AG67 T67:V67">
    <cfRule type="expression" dxfId="2547" priority="1892">
      <formula>$I67="잔금"</formula>
    </cfRule>
  </conditionalFormatting>
  <conditionalFormatting sqref="F67 L67 R67 O67 T67:V67">
    <cfRule type="expression" dxfId="2546" priority="1891">
      <formula>$I67="잔금"</formula>
    </cfRule>
  </conditionalFormatting>
  <conditionalFormatting sqref="X68:Z68 AB68:AG68 T68:V68">
    <cfRule type="expression" dxfId="2545" priority="1890">
      <formula>$I68="잔금"</formula>
    </cfRule>
  </conditionalFormatting>
  <conditionalFormatting sqref="F68 L68:O68 R68 T68:V68">
    <cfRule type="expression" dxfId="2544" priority="1889">
      <formula>$I68="잔금"</formula>
    </cfRule>
  </conditionalFormatting>
  <conditionalFormatting sqref="B66:B68">
    <cfRule type="expression" dxfId="2543" priority="1888">
      <formula>$I66="잔금"</formula>
    </cfRule>
  </conditionalFormatting>
  <conditionalFormatting sqref="G66:G68">
    <cfRule type="expression" dxfId="2542" priority="1887">
      <formula>$I66="잔금"</formula>
    </cfRule>
  </conditionalFormatting>
  <conditionalFormatting sqref="H66:H68">
    <cfRule type="expression" dxfId="2541" priority="1886">
      <formula>$I66="잔금"</formula>
    </cfRule>
  </conditionalFormatting>
  <conditionalFormatting sqref="I66:I68">
    <cfRule type="expression" dxfId="2540" priority="1885">
      <formula>$I66="잔금"</formula>
    </cfRule>
  </conditionalFormatting>
  <conditionalFormatting sqref="J67">
    <cfRule type="expression" dxfId="2539" priority="1884">
      <formula>$I67="잔금"</formula>
    </cfRule>
  </conditionalFormatting>
  <conditionalFormatting sqref="J68">
    <cfRule type="expression" dxfId="2538" priority="1883">
      <formula>$I68="잔금"</formula>
    </cfRule>
  </conditionalFormatting>
  <conditionalFormatting sqref="K66">
    <cfRule type="expression" dxfId="2537" priority="1882">
      <formula>$I66="잔금"</formula>
    </cfRule>
  </conditionalFormatting>
  <conditionalFormatting sqref="P66:P68">
    <cfRule type="expression" dxfId="2536" priority="1881">
      <formula>$I66="잔금"</formula>
    </cfRule>
  </conditionalFormatting>
  <conditionalFormatting sqref="C67:D68">
    <cfRule type="expression" dxfId="2535" priority="1879">
      <formula>$I67="잔금"</formula>
    </cfRule>
  </conditionalFormatting>
  <conditionalFormatting sqref="D67:D68">
    <cfRule type="expression" dxfId="2534" priority="1880">
      <formula>AND($I67&lt;&gt;"선금", $I67&lt;&gt;"")</formula>
    </cfRule>
  </conditionalFormatting>
  <conditionalFormatting sqref="E67:E68">
    <cfRule type="expression" dxfId="2533" priority="1877">
      <formula>$I67="잔금"</formula>
    </cfRule>
  </conditionalFormatting>
  <conditionalFormatting sqref="E67:E68">
    <cfRule type="expression" dxfId="2532" priority="1878">
      <formula>AND($I67&lt;&gt;"선금", $I67&lt;&gt;"")</formula>
    </cfRule>
  </conditionalFormatting>
  <conditionalFormatting sqref="N66">
    <cfRule type="expression" dxfId="2531" priority="1876">
      <formula>$I66="잔금"</formula>
    </cfRule>
  </conditionalFormatting>
  <conditionalFormatting sqref="M66">
    <cfRule type="expression" dxfId="2530" priority="1875">
      <formula>$I66="잔금"</formula>
    </cfRule>
  </conditionalFormatting>
  <conditionalFormatting sqref="AG66">
    <cfRule type="expression" dxfId="2529" priority="1874">
      <formula>$I66="잔금"</formula>
    </cfRule>
  </conditionalFormatting>
  <conditionalFormatting sqref="K23">
    <cfRule type="expression" dxfId="2528" priority="1851">
      <formula>$I23="잔금"</formula>
    </cfRule>
  </conditionalFormatting>
  <conditionalFormatting sqref="K12:K13">
    <cfRule type="expression" dxfId="2527" priority="1850">
      <formula>$I12="잔금"</formula>
    </cfRule>
  </conditionalFormatting>
  <conditionalFormatting sqref="K15:K16">
    <cfRule type="expression" dxfId="2526" priority="1849">
      <formula>$I15="잔금"</formula>
    </cfRule>
  </conditionalFormatting>
  <conditionalFormatting sqref="K18:K19">
    <cfRule type="expression" dxfId="2525" priority="1848">
      <formula>$I18="잔금"</formula>
    </cfRule>
  </conditionalFormatting>
  <conditionalFormatting sqref="K21:K22">
    <cfRule type="expression" dxfId="2524" priority="1847">
      <formula>$I21="잔금"</formula>
    </cfRule>
  </conditionalFormatting>
  <conditionalFormatting sqref="K24:K25">
    <cfRule type="expression" dxfId="2523" priority="1846">
      <formula>$I24="잔금"</formula>
    </cfRule>
  </conditionalFormatting>
  <conditionalFormatting sqref="K36:K37">
    <cfRule type="expression" dxfId="2522" priority="1845">
      <formula>$I36="잔금"</formula>
    </cfRule>
  </conditionalFormatting>
  <conditionalFormatting sqref="K39:K40">
    <cfRule type="expression" dxfId="2521" priority="1844">
      <formula>$I39="잔금"</formula>
    </cfRule>
  </conditionalFormatting>
  <conditionalFormatting sqref="K42:K43">
    <cfRule type="expression" dxfId="2520" priority="1843">
      <formula>$I42="잔금"</formula>
    </cfRule>
  </conditionalFormatting>
  <conditionalFormatting sqref="K45:K46">
    <cfRule type="expression" dxfId="2519" priority="1842">
      <formula>$I45="잔금"</formula>
    </cfRule>
  </conditionalFormatting>
  <conditionalFormatting sqref="K48:K49">
    <cfRule type="expression" dxfId="2518" priority="1841">
      <formula>$I48="잔금"</formula>
    </cfRule>
  </conditionalFormatting>
  <conditionalFormatting sqref="K51:K52">
    <cfRule type="expression" dxfId="2517" priority="1840">
      <formula>$I51="잔금"</formula>
    </cfRule>
  </conditionalFormatting>
  <conditionalFormatting sqref="K54:K55">
    <cfRule type="expression" dxfId="2516" priority="1839">
      <formula>$I54="잔금"</formula>
    </cfRule>
  </conditionalFormatting>
  <conditionalFormatting sqref="K57:K59">
    <cfRule type="expression" dxfId="2515" priority="1838">
      <formula>$I57="잔금"</formula>
    </cfRule>
  </conditionalFormatting>
  <conditionalFormatting sqref="K61:K62">
    <cfRule type="expression" dxfId="2514" priority="1837">
      <formula>$I61="잔금"</formula>
    </cfRule>
  </conditionalFormatting>
  <conditionalFormatting sqref="K64:K65">
    <cfRule type="expression" dxfId="2513" priority="1836">
      <formula>$I64="잔금"</formula>
    </cfRule>
  </conditionalFormatting>
  <conditionalFormatting sqref="K67:K68">
    <cfRule type="expression" dxfId="2512" priority="1835">
      <formula>$I67="잔금"</formula>
    </cfRule>
  </conditionalFormatting>
  <conditionalFormatting sqref="Q23:Q24">
    <cfRule type="expression" dxfId="2511" priority="1834">
      <formula>$I23="잔금"</formula>
    </cfRule>
  </conditionalFormatting>
  <conditionalFormatting sqref="Q26:Q27">
    <cfRule type="expression" dxfId="2510" priority="1833">
      <formula>$I26="잔금"</formula>
    </cfRule>
  </conditionalFormatting>
  <conditionalFormatting sqref="Q29:Q30">
    <cfRule type="expression" dxfId="2509" priority="1832">
      <formula>$I29="잔금"</formula>
    </cfRule>
  </conditionalFormatting>
  <conditionalFormatting sqref="Q32:Q33">
    <cfRule type="expression" dxfId="2508" priority="1831">
      <formula>$I32="잔금"</formula>
    </cfRule>
  </conditionalFormatting>
  <conditionalFormatting sqref="Q35:Q36">
    <cfRule type="expression" dxfId="2507" priority="1830">
      <formula>$I35="잔금"</formula>
    </cfRule>
  </conditionalFormatting>
  <conditionalFormatting sqref="Q38:Q39">
    <cfRule type="expression" dxfId="2506" priority="1829">
      <formula>$I38="잔금"</formula>
    </cfRule>
  </conditionalFormatting>
  <conditionalFormatting sqref="Q41:Q42">
    <cfRule type="expression" dxfId="2505" priority="1828">
      <formula>$I41="잔금"</formula>
    </cfRule>
  </conditionalFormatting>
  <conditionalFormatting sqref="Q44:Q45">
    <cfRule type="expression" dxfId="2504" priority="1827">
      <formula>$I44="잔금"</formula>
    </cfRule>
  </conditionalFormatting>
  <conditionalFormatting sqref="Q47:Q48">
    <cfRule type="expression" dxfId="2503" priority="1826">
      <formula>$I47="잔금"</formula>
    </cfRule>
  </conditionalFormatting>
  <conditionalFormatting sqref="Q50:Q51">
    <cfRule type="expression" dxfId="2502" priority="1825">
      <formula>$I50="잔금"</formula>
    </cfRule>
  </conditionalFormatting>
  <conditionalFormatting sqref="Q53:Q54">
    <cfRule type="expression" dxfId="2501" priority="1824">
      <formula>$I53="잔금"</formula>
    </cfRule>
  </conditionalFormatting>
  <conditionalFormatting sqref="Q56:Q58">
    <cfRule type="expression" dxfId="2500" priority="1823">
      <formula>$I56="잔금"</formula>
    </cfRule>
  </conditionalFormatting>
  <conditionalFormatting sqref="Q60:Q61">
    <cfRule type="expression" dxfId="2499" priority="1822">
      <formula>$I60="잔금"</formula>
    </cfRule>
  </conditionalFormatting>
  <conditionalFormatting sqref="Q63:Q64">
    <cfRule type="expression" dxfId="2498" priority="1821">
      <formula>$I63="잔금"</formula>
    </cfRule>
  </conditionalFormatting>
  <conditionalFormatting sqref="Q66:Q67">
    <cfRule type="expression" dxfId="2497" priority="1820">
      <formula>$I66="잔금"</formula>
    </cfRule>
  </conditionalFormatting>
  <conditionalFormatting sqref="X69:Z69 AB69:AF69 T69">
    <cfRule type="expression" dxfId="2496" priority="1818">
      <formula>$I69="잔금"</formula>
    </cfRule>
  </conditionalFormatting>
  <conditionalFormatting sqref="C69:F69 J69 L69 R69 O69 T69">
    <cfRule type="expression" dxfId="2495" priority="1817">
      <formula>$I69="잔금"</formula>
    </cfRule>
  </conditionalFormatting>
  <conditionalFormatting sqref="D69:E69">
    <cfRule type="expression" dxfId="2494" priority="1819">
      <formula>AND($I69&lt;&gt;"선금", $I69&lt;&gt;"")</formula>
    </cfRule>
  </conditionalFormatting>
  <conditionalFormatting sqref="X70:Z70 AB70:AG70 T70:V70">
    <cfRule type="expression" dxfId="2493" priority="1816">
      <formula>$I70="잔금"</formula>
    </cfRule>
  </conditionalFormatting>
  <conditionalFormatting sqref="F70 L70 R70 N70:O70 T70:V70">
    <cfRule type="expression" dxfId="2492" priority="1815">
      <formula>$I70="잔금"</formula>
    </cfRule>
  </conditionalFormatting>
  <conditionalFormatting sqref="X71:Z71 AB71:AG71 T71:V71">
    <cfRule type="expression" dxfId="2491" priority="1814">
      <formula>$I71="잔금"</formula>
    </cfRule>
  </conditionalFormatting>
  <conditionalFormatting sqref="F71 L71:O71 R71 T71:V71">
    <cfRule type="expression" dxfId="2490" priority="1813">
      <formula>$I71="잔금"</formula>
    </cfRule>
  </conditionalFormatting>
  <conditionalFormatting sqref="B69:B71">
    <cfRule type="expression" dxfId="2489" priority="1812">
      <formula>$I69="잔금"</formula>
    </cfRule>
  </conditionalFormatting>
  <conditionalFormatting sqref="G69:G71">
    <cfRule type="expression" dxfId="2488" priority="1811">
      <formula>$I69="잔금"</formula>
    </cfRule>
  </conditionalFormatting>
  <conditionalFormatting sqref="H69:H71">
    <cfRule type="expression" dxfId="2487" priority="1810">
      <formula>$I69="잔금"</formula>
    </cfRule>
  </conditionalFormatting>
  <conditionalFormatting sqref="I69:I71">
    <cfRule type="expression" dxfId="2486" priority="1809">
      <formula>$I69="잔금"</formula>
    </cfRule>
  </conditionalFormatting>
  <conditionalFormatting sqref="J70">
    <cfRule type="expression" dxfId="2485" priority="1808">
      <formula>$I70="잔금"</formula>
    </cfRule>
  </conditionalFormatting>
  <conditionalFormatting sqref="J71">
    <cfRule type="expression" dxfId="2484" priority="1807">
      <formula>$I71="잔금"</formula>
    </cfRule>
  </conditionalFormatting>
  <conditionalFormatting sqref="K69">
    <cfRule type="expression" dxfId="2483" priority="1806">
      <formula>$I69="잔금"</formula>
    </cfRule>
  </conditionalFormatting>
  <conditionalFormatting sqref="P69:P71">
    <cfRule type="expression" dxfId="2482" priority="1805">
      <formula>$I69="잔금"</formula>
    </cfRule>
  </conditionalFormatting>
  <conditionalFormatting sqref="C70:D71">
    <cfRule type="expression" dxfId="2481" priority="1803">
      <formula>$I70="잔금"</formula>
    </cfRule>
  </conditionalFormatting>
  <conditionalFormatting sqref="D70:D71">
    <cfRule type="expression" dxfId="2480" priority="1804">
      <formula>AND($I70&lt;&gt;"선금", $I70&lt;&gt;"")</formula>
    </cfRule>
  </conditionalFormatting>
  <conditionalFormatting sqref="E70:E71">
    <cfRule type="expression" dxfId="2479" priority="1801">
      <formula>$I70="잔금"</formula>
    </cfRule>
  </conditionalFormatting>
  <conditionalFormatting sqref="E70:E71">
    <cfRule type="expression" dxfId="2478" priority="1802">
      <formula>AND($I70&lt;&gt;"선금", $I70&lt;&gt;"")</formula>
    </cfRule>
  </conditionalFormatting>
  <conditionalFormatting sqref="N69">
    <cfRule type="expression" dxfId="2477" priority="1800">
      <formula>$I69="잔금"</formula>
    </cfRule>
  </conditionalFormatting>
  <conditionalFormatting sqref="M69">
    <cfRule type="expression" dxfId="2476" priority="1799">
      <formula>$I69="잔금"</formula>
    </cfRule>
  </conditionalFormatting>
  <conditionalFormatting sqref="AG69">
    <cfRule type="expression" dxfId="2475" priority="1798">
      <formula>$I69="잔금"</formula>
    </cfRule>
  </conditionalFormatting>
  <conditionalFormatting sqref="K70:K71">
    <cfRule type="expression" dxfId="2474" priority="1797">
      <formula>$I70="잔금"</formula>
    </cfRule>
  </conditionalFormatting>
  <conditionalFormatting sqref="Q69:Q70">
    <cfRule type="expression" dxfId="2473" priority="1796">
      <formula>$I69="잔금"</formula>
    </cfRule>
  </conditionalFormatting>
  <conditionalFormatting sqref="X72:Z72 AB72:AF72 T72">
    <cfRule type="expression" dxfId="2472" priority="1794">
      <formula>$I72="잔금"</formula>
    </cfRule>
  </conditionalFormatting>
  <conditionalFormatting sqref="C72:F72 J72 L72 R72 O72 T72">
    <cfRule type="expression" dxfId="2471" priority="1793">
      <formula>$I72="잔금"</formula>
    </cfRule>
  </conditionalFormatting>
  <conditionalFormatting sqref="D72:E72">
    <cfRule type="expression" dxfId="2470" priority="1795">
      <formula>AND($I72&lt;&gt;"선금", $I72&lt;&gt;"")</formula>
    </cfRule>
  </conditionalFormatting>
  <conditionalFormatting sqref="X73:Z73 AB73:AG73 T73:V73">
    <cfRule type="expression" dxfId="2469" priority="1792">
      <formula>$I73="잔금"</formula>
    </cfRule>
  </conditionalFormatting>
  <conditionalFormatting sqref="F73 L73 R73 O73 T73:V73">
    <cfRule type="expression" dxfId="2468" priority="1791">
      <formula>$I73="잔금"</formula>
    </cfRule>
  </conditionalFormatting>
  <conditionalFormatting sqref="X74:Z74 AB74:AG74 T74:V74">
    <cfRule type="expression" dxfId="2467" priority="1790">
      <formula>$I74="잔금"</formula>
    </cfRule>
  </conditionalFormatting>
  <conditionalFormatting sqref="F74 L74:M74 Q74:R74 T74:V74">
    <cfRule type="expression" dxfId="2466" priority="1789">
      <formula>$I74="잔금"</formula>
    </cfRule>
  </conditionalFormatting>
  <conditionalFormatting sqref="B72:B74">
    <cfRule type="expression" dxfId="2465" priority="1788">
      <formula>$I72="잔금"</formula>
    </cfRule>
  </conditionalFormatting>
  <conditionalFormatting sqref="G72:G74">
    <cfRule type="expression" dxfId="2464" priority="1787">
      <formula>$I72="잔금"</formula>
    </cfRule>
  </conditionalFormatting>
  <conditionalFormatting sqref="H72:H74">
    <cfRule type="expression" dxfId="2463" priority="1786">
      <formula>$I72="잔금"</formula>
    </cfRule>
  </conditionalFormatting>
  <conditionalFormatting sqref="I72:I74">
    <cfRule type="expression" dxfId="2462" priority="1785">
      <formula>$I72="잔금"</formula>
    </cfRule>
  </conditionalFormatting>
  <conditionalFormatting sqref="J73">
    <cfRule type="expression" dxfId="2461" priority="1784">
      <formula>$I73="잔금"</formula>
    </cfRule>
  </conditionalFormatting>
  <conditionalFormatting sqref="J74">
    <cfRule type="expression" dxfId="2460" priority="1783">
      <formula>$I74="잔금"</formula>
    </cfRule>
  </conditionalFormatting>
  <conditionalFormatting sqref="K72">
    <cfRule type="expression" dxfId="2459" priority="1782">
      <formula>$I72="잔금"</formula>
    </cfRule>
  </conditionalFormatting>
  <conditionalFormatting sqref="P72:P74">
    <cfRule type="expression" dxfId="2458" priority="1781">
      <formula>$I72="잔금"</formula>
    </cfRule>
  </conditionalFormatting>
  <conditionalFormatting sqref="C73:D74">
    <cfRule type="expression" dxfId="2457" priority="1779">
      <formula>$I73="잔금"</formula>
    </cfRule>
  </conditionalFormatting>
  <conditionalFormatting sqref="D73:D74">
    <cfRule type="expression" dxfId="2456" priority="1780">
      <formula>AND($I73&lt;&gt;"선금", $I73&lt;&gt;"")</formula>
    </cfRule>
  </conditionalFormatting>
  <conditionalFormatting sqref="E73:E74">
    <cfRule type="expression" dxfId="2455" priority="1777">
      <formula>$I73="잔금"</formula>
    </cfRule>
  </conditionalFormatting>
  <conditionalFormatting sqref="E73:E74">
    <cfRule type="expression" dxfId="2454" priority="1778">
      <formula>AND($I73&lt;&gt;"선금", $I73&lt;&gt;"")</formula>
    </cfRule>
  </conditionalFormatting>
  <conditionalFormatting sqref="N72">
    <cfRule type="expression" dxfId="2453" priority="1776">
      <formula>$I72="잔금"</formula>
    </cfRule>
  </conditionalFormatting>
  <conditionalFormatting sqref="M72">
    <cfRule type="expression" dxfId="2452" priority="1775">
      <formula>$I72="잔금"</formula>
    </cfRule>
  </conditionalFormatting>
  <conditionalFormatting sqref="AG72">
    <cfRule type="expression" dxfId="2451" priority="1774">
      <formula>$I72="잔금"</formula>
    </cfRule>
  </conditionalFormatting>
  <conditionalFormatting sqref="K73:K74">
    <cfRule type="expression" dxfId="2450" priority="1773">
      <formula>$I73="잔금"</formula>
    </cfRule>
  </conditionalFormatting>
  <conditionalFormatting sqref="Q72:Q73">
    <cfRule type="expression" dxfId="2449" priority="1772">
      <formula>$I72="잔금"</formula>
    </cfRule>
  </conditionalFormatting>
  <conditionalFormatting sqref="X75:Z75 AB75:AF75 T75:V75">
    <cfRule type="expression" dxfId="2448" priority="1770">
      <formula>$I75="잔금"</formula>
    </cfRule>
  </conditionalFormatting>
  <conditionalFormatting sqref="C75:F75 J75 L75 R75 O75 T75:V75">
    <cfRule type="expression" dxfId="2447" priority="1769">
      <formula>$I75="잔금"</formula>
    </cfRule>
  </conditionalFormatting>
  <conditionalFormatting sqref="D75:E75">
    <cfRule type="expression" dxfId="2446" priority="1771">
      <formula>AND($I75&lt;&gt;"선금", $I75&lt;&gt;"")</formula>
    </cfRule>
  </conditionalFormatting>
  <conditionalFormatting sqref="X76:Z76 AB76:AG76 T76:V76">
    <cfRule type="expression" dxfId="2445" priority="1768">
      <formula>$I76="잔금"</formula>
    </cfRule>
  </conditionalFormatting>
  <conditionalFormatting sqref="F76 L76 R76 O76 T76:V76">
    <cfRule type="expression" dxfId="2444" priority="1767">
      <formula>$I76="잔금"</formula>
    </cfRule>
  </conditionalFormatting>
  <conditionalFormatting sqref="X77:Z77 AB77:AG77 T77:V77">
    <cfRule type="expression" dxfId="2443" priority="1766">
      <formula>$I77="잔금"</formula>
    </cfRule>
  </conditionalFormatting>
  <conditionalFormatting sqref="F77 L77:O77 R77 T77:V77">
    <cfRule type="expression" dxfId="2442" priority="1765">
      <formula>$I77="잔금"</formula>
    </cfRule>
  </conditionalFormatting>
  <conditionalFormatting sqref="B75:B77">
    <cfRule type="expression" dxfId="2441" priority="1764">
      <formula>$I75="잔금"</formula>
    </cfRule>
  </conditionalFormatting>
  <conditionalFormatting sqref="G75:G77">
    <cfRule type="expression" dxfId="2440" priority="1763">
      <formula>$I75="잔금"</formula>
    </cfRule>
  </conditionalFormatting>
  <conditionalFormatting sqref="H75:H77">
    <cfRule type="expression" dxfId="2439" priority="1762">
      <formula>$I75="잔금"</formula>
    </cfRule>
  </conditionalFormatting>
  <conditionalFormatting sqref="I75:I77">
    <cfRule type="expression" dxfId="2438" priority="1761">
      <formula>$I75="잔금"</formula>
    </cfRule>
  </conditionalFormatting>
  <conditionalFormatting sqref="J76">
    <cfRule type="expression" dxfId="2437" priority="1760">
      <formula>$I76="잔금"</formula>
    </cfRule>
  </conditionalFormatting>
  <conditionalFormatting sqref="J77">
    <cfRule type="expression" dxfId="2436" priority="1759">
      <formula>$I77="잔금"</formula>
    </cfRule>
  </conditionalFormatting>
  <conditionalFormatting sqref="K75">
    <cfRule type="expression" dxfId="2435" priority="1758">
      <formula>$I75="잔금"</formula>
    </cfRule>
  </conditionalFormatting>
  <conditionalFormatting sqref="P75:P77">
    <cfRule type="expression" dxfId="2434" priority="1757">
      <formula>$I75="잔금"</formula>
    </cfRule>
  </conditionalFormatting>
  <conditionalFormatting sqref="C76:D77">
    <cfRule type="expression" dxfId="2433" priority="1755">
      <formula>$I76="잔금"</formula>
    </cfRule>
  </conditionalFormatting>
  <conditionalFormatting sqref="D76:D77">
    <cfRule type="expression" dxfId="2432" priority="1756">
      <formula>AND($I76&lt;&gt;"선금", $I76&lt;&gt;"")</formula>
    </cfRule>
  </conditionalFormatting>
  <conditionalFormatting sqref="E76:E77">
    <cfRule type="expression" dxfId="2431" priority="1753">
      <formula>$I76="잔금"</formula>
    </cfRule>
  </conditionalFormatting>
  <conditionalFormatting sqref="E76:E77">
    <cfRule type="expression" dxfId="2430" priority="1754">
      <formula>AND($I76&lt;&gt;"선금", $I76&lt;&gt;"")</formula>
    </cfRule>
  </conditionalFormatting>
  <conditionalFormatting sqref="N75">
    <cfRule type="expression" dxfId="2429" priority="1752">
      <formula>$I75="잔금"</formula>
    </cfRule>
  </conditionalFormatting>
  <conditionalFormatting sqref="M75">
    <cfRule type="expression" dxfId="2428" priority="1751">
      <formula>$I75="잔금"</formula>
    </cfRule>
  </conditionalFormatting>
  <conditionalFormatting sqref="AG75">
    <cfRule type="expression" dxfId="2427" priority="1750">
      <formula>$I75="잔금"</formula>
    </cfRule>
  </conditionalFormatting>
  <conditionalFormatting sqref="K76:K77">
    <cfRule type="expression" dxfId="2426" priority="1749">
      <formula>$I76="잔금"</formula>
    </cfRule>
  </conditionalFormatting>
  <conditionalFormatting sqref="Q75:Q76">
    <cfRule type="expression" dxfId="2425" priority="1748">
      <formula>$I75="잔금"</formula>
    </cfRule>
  </conditionalFormatting>
  <conditionalFormatting sqref="M12">
    <cfRule type="expression" dxfId="2424" priority="1747">
      <formula>$I12="잔금"</formula>
    </cfRule>
  </conditionalFormatting>
  <conditionalFormatting sqref="X78:Z78 AB78:AF78 T78:V78">
    <cfRule type="expression" dxfId="2423" priority="1745">
      <formula>$I78="잔금"</formula>
    </cfRule>
  </conditionalFormatting>
  <conditionalFormatting sqref="C78:F78 J78 L78 R78 O78 T78:V78">
    <cfRule type="expression" dxfId="2422" priority="1744">
      <formula>$I78="잔금"</formula>
    </cfRule>
  </conditionalFormatting>
  <conditionalFormatting sqref="D78:E78">
    <cfRule type="expression" dxfId="2421" priority="1746">
      <formula>AND($I78&lt;&gt;"선금", $I78&lt;&gt;"")</formula>
    </cfRule>
  </conditionalFormatting>
  <conditionalFormatting sqref="X79:Z79 AB79:AG79 T79:V79">
    <cfRule type="expression" dxfId="2420" priority="1743">
      <formula>$I79="잔금"</formula>
    </cfRule>
  </conditionalFormatting>
  <conditionalFormatting sqref="F79 L79:O79 R79 T79:V79">
    <cfRule type="expression" dxfId="2419" priority="1742">
      <formula>$I79="잔금"</formula>
    </cfRule>
  </conditionalFormatting>
  <conditionalFormatting sqref="X80:Z80 AB80:AG80 T80:V80">
    <cfRule type="expression" dxfId="2418" priority="1741">
      <formula>$I80="잔금"</formula>
    </cfRule>
  </conditionalFormatting>
  <conditionalFormatting sqref="F80 L80 R80 T80:V80 N80:O80">
    <cfRule type="expression" dxfId="2417" priority="1740">
      <formula>$I80="잔금"</formula>
    </cfRule>
  </conditionalFormatting>
  <conditionalFormatting sqref="B78:B80">
    <cfRule type="expression" dxfId="2416" priority="1739">
      <formula>$I78="잔금"</formula>
    </cfRule>
  </conditionalFormatting>
  <conditionalFormatting sqref="G78:G80">
    <cfRule type="expression" dxfId="2415" priority="1738">
      <formula>$I78="잔금"</formula>
    </cfRule>
  </conditionalFormatting>
  <conditionalFormatting sqref="H78:H80">
    <cfRule type="expression" dxfId="2414" priority="1737">
      <formula>$I78="잔금"</formula>
    </cfRule>
  </conditionalFormatting>
  <conditionalFormatting sqref="I78:I80">
    <cfRule type="expression" dxfId="2413" priority="1736">
      <formula>$I78="잔금"</formula>
    </cfRule>
  </conditionalFormatting>
  <conditionalFormatting sqref="J79">
    <cfRule type="expression" dxfId="2412" priority="1735">
      <formula>$I79="잔금"</formula>
    </cfRule>
  </conditionalFormatting>
  <conditionalFormatting sqref="J80">
    <cfRule type="expression" dxfId="2411" priority="1734">
      <formula>$I80="잔금"</formula>
    </cfRule>
  </conditionalFormatting>
  <conditionalFormatting sqref="K78">
    <cfRule type="expression" dxfId="2410" priority="1733">
      <formula>$I78="잔금"</formula>
    </cfRule>
  </conditionalFormatting>
  <conditionalFormatting sqref="P78:P80">
    <cfRule type="expression" dxfId="2409" priority="1732">
      <formula>$I78="잔금"</formula>
    </cfRule>
  </conditionalFormatting>
  <conditionalFormatting sqref="C79:C80">
    <cfRule type="expression" dxfId="2408" priority="1730">
      <formula>$I79="잔금"</formula>
    </cfRule>
  </conditionalFormatting>
  <conditionalFormatting sqref="E79:E80">
    <cfRule type="expression" dxfId="2407" priority="1728">
      <formula>$I79="잔금"</formula>
    </cfRule>
  </conditionalFormatting>
  <conditionalFormatting sqref="E79:E80">
    <cfRule type="expression" dxfId="2406" priority="1729">
      <formula>AND($I79&lt;&gt;"선금", $I79&lt;&gt;"")</formula>
    </cfRule>
  </conditionalFormatting>
  <conditionalFormatting sqref="N78">
    <cfRule type="expression" dxfId="2405" priority="1727">
      <formula>$I78="잔금"</formula>
    </cfRule>
  </conditionalFormatting>
  <conditionalFormatting sqref="M78">
    <cfRule type="expression" dxfId="2404" priority="1726">
      <formula>$I78="잔금"</formula>
    </cfRule>
  </conditionalFormatting>
  <conditionalFormatting sqref="AG78">
    <cfRule type="expression" dxfId="2403" priority="1725">
      <formula>$I78="잔금"</formula>
    </cfRule>
  </conditionalFormatting>
  <conditionalFormatting sqref="K79:K80">
    <cfRule type="expression" dxfId="2402" priority="1724">
      <formula>$I79="잔금"</formula>
    </cfRule>
  </conditionalFormatting>
  <conditionalFormatting sqref="Q78:Q79">
    <cfRule type="expression" dxfId="2401" priority="1723">
      <formula>$I78="잔금"</formula>
    </cfRule>
  </conditionalFormatting>
  <conditionalFormatting sqref="D79">
    <cfRule type="expression" dxfId="2400" priority="1721">
      <formula>$I79="잔금"</formula>
    </cfRule>
  </conditionalFormatting>
  <conditionalFormatting sqref="D79">
    <cfRule type="expression" dxfId="2399" priority="1722">
      <formula>AND($I79&lt;&gt;"선금", $I79&lt;&gt;"")</formula>
    </cfRule>
  </conditionalFormatting>
  <conditionalFormatting sqref="D80">
    <cfRule type="expression" dxfId="2398" priority="1719">
      <formula>$I80="잔금"</formula>
    </cfRule>
  </conditionalFormatting>
  <conditionalFormatting sqref="D80">
    <cfRule type="expression" dxfId="2397" priority="1720">
      <formula>AND($I80&lt;&gt;"선금", $I80&lt;&gt;"")</formula>
    </cfRule>
  </conditionalFormatting>
  <conditionalFormatting sqref="X81:Z81 AB81:AF81 T81">
    <cfRule type="expression" dxfId="2396" priority="1717">
      <formula>$I81="잔금"</formula>
    </cfRule>
  </conditionalFormatting>
  <conditionalFormatting sqref="C81:F81 J81 L81 R81 O81 T81">
    <cfRule type="expression" dxfId="2395" priority="1716">
      <formula>$I81="잔금"</formula>
    </cfRule>
  </conditionalFormatting>
  <conditionalFormatting sqref="D81:E81">
    <cfRule type="expression" dxfId="2394" priority="1718">
      <formula>AND($I81&lt;&gt;"선금", $I81&lt;&gt;"")</formula>
    </cfRule>
  </conditionalFormatting>
  <conditionalFormatting sqref="X82:Z82 AB82:AG82 T82:V82">
    <cfRule type="expression" dxfId="2393" priority="1715">
      <formula>$I82="잔금"</formula>
    </cfRule>
  </conditionalFormatting>
  <conditionalFormatting sqref="F82 L82 R82 O82 T82:V82">
    <cfRule type="expression" dxfId="2392" priority="1714">
      <formula>$I82="잔금"</formula>
    </cfRule>
  </conditionalFormatting>
  <conditionalFormatting sqref="X83:Z83 AB83:AG83 T83:V83">
    <cfRule type="expression" dxfId="2391" priority="1713">
      <formula>$I83="잔금"</formula>
    </cfRule>
  </conditionalFormatting>
  <conditionalFormatting sqref="F83 L83:M83 R83 T83:V83">
    <cfRule type="expression" dxfId="2390" priority="1712">
      <formula>$I83="잔금"</formula>
    </cfRule>
  </conditionalFormatting>
  <conditionalFormatting sqref="B81:B83">
    <cfRule type="expression" dxfId="2389" priority="1711">
      <formula>$I81="잔금"</formula>
    </cfRule>
  </conditionalFormatting>
  <conditionalFormatting sqref="G81:G83">
    <cfRule type="expression" dxfId="2388" priority="1710">
      <formula>$I81="잔금"</formula>
    </cfRule>
  </conditionalFormatting>
  <conditionalFormatting sqref="H81:H83">
    <cfRule type="expression" dxfId="2387" priority="1709">
      <formula>$I81="잔금"</formula>
    </cfRule>
  </conditionalFormatting>
  <conditionalFormatting sqref="I81:I83">
    <cfRule type="expression" dxfId="2386" priority="1708">
      <formula>$I81="잔금"</formula>
    </cfRule>
  </conditionalFormatting>
  <conditionalFormatting sqref="J82">
    <cfRule type="expression" dxfId="2385" priority="1707">
      <formula>$I82="잔금"</formula>
    </cfRule>
  </conditionalFormatting>
  <conditionalFormatting sqref="J83">
    <cfRule type="expression" dxfId="2384" priority="1706">
      <formula>$I83="잔금"</formula>
    </cfRule>
  </conditionalFormatting>
  <conditionalFormatting sqref="K81">
    <cfRule type="expression" dxfId="2383" priority="1705">
      <formula>$I81="잔금"</formula>
    </cfRule>
  </conditionalFormatting>
  <conditionalFormatting sqref="P81:P83">
    <cfRule type="expression" dxfId="2382" priority="1704">
      <formula>$I81="잔금"</formula>
    </cfRule>
  </conditionalFormatting>
  <conditionalFormatting sqref="C82:C83">
    <cfRule type="expression" dxfId="2381" priority="1703">
      <formula>$I82="잔금"</formula>
    </cfRule>
  </conditionalFormatting>
  <conditionalFormatting sqref="E82:E83">
    <cfRule type="expression" dxfId="2380" priority="1701">
      <formula>$I82="잔금"</formula>
    </cfRule>
  </conditionalFormatting>
  <conditionalFormatting sqref="E82:E83">
    <cfRule type="expression" dxfId="2379" priority="1702">
      <formula>AND($I82&lt;&gt;"선금", $I82&lt;&gt;"")</formula>
    </cfRule>
  </conditionalFormatting>
  <conditionalFormatting sqref="N81">
    <cfRule type="expression" dxfId="2378" priority="1700">
      <formula>$I81="잔금"</formula>
    </cfRule>
  </conditionalFormatting>
  <conditionalFormatting sqref="M81">
    <cfRule type="expression" dxfId="2377" priority="1699">
      <formula>$I81="잔금"</formula>
    </cfRule>
  </conditionalFormatting>
  <conditionalFormatting sqref="AG81">
    <cfRule type="expression" dxfId="2376" priority="1698">
      <formula>$I81="잔금"</formula>
    </cfRule>
  </conditionalFormatting>
  <conditionalFormatting sqref="K82:K83">
    <cfRule type="expression" dxfId="2375" priority="1697">
      <formula>$I82="잔금"</formula>
    </cfRule>
  </conditionalFormatting>
  <conditionalFormatting sqref="Q81:Q82">
    <cfRule type="expression" dxfId="2374" priority="1696">
      <formula>$I81="잔금"</formula>
    </cfRule>
  </conditionalFormatting>
  <conditionalFormatting sqref="D82">
    <cfRule type="expression" dxfId="2373" priority="1694">
      <formula>$I82="잔금"</formula>
    </cfRule>
  </conditionalFormatting>
  <conditionalFormatting sqref="D82">
    <cfRule type="expression" dxfId="2372" priority="1695">
      <formula>AND($I82&lt;&gt;"선금", $I82&lt;&gt;"")</formula>
    </cfRule>
  </conditionalFormatting>
  <conditionalFormatting sqref="D83">
    <cfRule type="expression" dxfId="2371" priority="1692">
      <formula>$I83="잔금"</formula>
    </cfRule>
  </conditionalFormatting>
  <conditionalFormatting sqref="D83">
    <cfRule type="expression" dxfId="2370" priority="1693">
      <formula>AND($I83&lt;&gt;"선금", $I83&lt;&gt;"")</formula>
    </cfRule>
  </conditionalFormatting>
  <conditionalFormatting sqref="X84:Z84 AB84:AF84 T84">
    <cfRule type="expression" dxfId="2369" priority="1690">
      <formula>$I84="잔금"</formula>
    </cfRule>
  </conditionalFormatting>
  <conditionalFormatting sqref="C84:F84 J84 L84 R84 O84 T84">
    <cfRule type="expression" dxfId="2368" priority="1689">
      <formula>$I84="잔금"</formula>
    </cfRule>
  </conditionalFormatting>
  <conditionalFormatting sqref="D84:E84">
    <cfRule type="expression" dxfId="2367" priority="1691">
      <formula>AND($I84&lt;&gt;"선금", $I84&lt;&gt;"")</formula>
    </cfRule>
  </conditionalFormatting>
  <conditionalFormatting sqref="X85:Z85 AB85:AG85 T85:V85">
    <cfRule type="expression" dxfId="2366" priority="1688">
      <formula>$I85="잔금"</formula>
    </cfRule>
  </conditionalFormatting>
  <conditionalFormatting sqref="F85 L85 R85 T85:V85">
    <cfRule type="expression" dxfId="2365" priority="1687">
      <formula>$I85="잔금"</formula>
    </cfRule>
  </conditionalFormatting>
  <conditionalFormatting sqref="X86:Z86 AB86:AG86 T86:V86">
    <cfRule type="expression" dxfId="2364" priority="1686">
      <formula>$I86="잔금"</formula>
    </cfRule>
  </conditionalFormatting>
  <conditionalFormatting sqref="F86 L86:M86 R86 T86:V86 O86">
    <cfRule type="expression" dxfId="2363" priority="1685">
      <formula>$I86="잔금"</formula>
    </cfRule>
  </conditionalFormatting>
  <conditionalFormatting sqref="B84:B86">
    <cfRule type="expression" dxfId="2362" priority="1684">
      <formula>$I84="잔금"</formula>
    </cfRule>
  </conditionalFormatting>
  <conditionalFormatting sqref="G84:G86">
    <cfRule type="expression" dxfId="2361" priority="1683">
      <formula>$I84="잔금"</formula>
    </cfRule>
  </conditionalFormatting>
  <conditionalFormatting sqref="H84:H86">
    <cfRule type="expression" dxfId="2360" priority="1682">
      <formula>$I84="잔금"</formula>
    </cfRule>
  </conditionalFormatting>
  <conditionalFormatting sqref="I84:I86">
    <cfRule type="expression" dxfId="2359" priority="1681">
      <formula>$I84="잔금"</formula>
    </cfRule>
  </conditionalFormatting>
  <conditionalFormatting sqref="J85">
    <cfRule type="expression" dxfId="2358" priority="1680">
      <formula>$I85="잔금"</formula>
    </cfRule>
  </conditionalFormatting>
  <conditionalFormatting sqref="J86">
    <cfRule type="expression" dxfId="2357" priority="1679">
      <formula>$I86="잔금"</formula>
    </cfRule>
  </conditionalFormatting>
  <conditionalFormatting sqref="K84">
    <cfRule type="expression" dxfId="2356" priority="1678">
      <formula>$I84="잔금"</formula>
    </cfRule>
  </conditionalFormatting>
  <conditionalFormatting sqref="P84:P86">
    <cfRule type="expression" dxfId="2355" priority="1677">
      <formula>$I84="잔금"</formula>
    </cfRule>
  </conditionalFormatting>
  <conditionalFormatting sqref="C85:C86">
    <cfRule type="expression" dxfId="2354" priority="1676">
      <formula>$I85="잔금"</formula>
    </cfRule>
  </conditionalFormatting>
  <conditionalFormatting sqref="E85:E86">
    <cfRule type="expression" dxfId="2353" priority="1674">
      <formula>$I85="잔금"</formula>
    </cfRule>
  </conditionalFormatting>
  <conditionalFormatting sqref="E85:E86">
    <cfRule type="expression" dxfId="2352" priority="1675">
      <formula>AND($I85&lt;&gt;"선금", $I85&lt;&gt;"")</formula>
    </cfRule>
  </conditionalFormatting>
  <conditionalFormatting sqref="AG84">
    <cfRule type="expression" dxfId="2351" priority="1671">
      <formula>$I84="잔금"</formula>
    </cfRule>
  </conditionalFormatting>
  <conditionalFormatting sqref="K85:K86">
    <cfRule type="expression" dxfId="2350" priority="1670">
      <formula>$I85="잔금"</formula>
    </cfRule>
  </conditionalFormatting>
  <conditionalFormatting sqref="Q84:Q85">
    <cfRule type="expression" dxfId="2349" priority="1669">
      <formula>$I84="잔금"</formula>
    </cfRule>
  </conditionalFormatting>
  <conditionalFormatting sqref="D85">
    <cfRule type="expression" dxfId="2348" priority="1667">
      <formula>$I85="잔금"</formula>
    </cfRule>
  </conditionalFormatting>
  <conditionalFormatting sqref="D85">
    <cfRule type="expression" dxfId="2347" priority="1668">
      <formula>AND($I85&lt;&gt;"선금", $I85&lt;&gt;"")</formula>
    </cfRule>
  </conditionalFormatting>
  <conditionalFormatting sqref="D86">
    <cfRule type="expression" dxfId="2346" priority="1665">
      <formula>$I86="잔금"</formula>
    </cfRule>
  </conditionalFormatting>
  <conditionalFormatting sqref="D86">
    <cfRule type="expression" dxfId="2345" priority="1666">
      <formula>AND($I86&lt;&gt;"선금", $I86&lt;&gt;"")</formula>
    </cfRule>
  </conditionalFormatting>
  <conditionalFormatting sqref="M84">
    <cfRule type="expression" dxfId="2344" priority="1664">
      <formula>$I84="잔금"</formula>
    </cfRule>
  </conditionalFormatting>
  <conditionalFormatting sqref="M48">
    <cfRule type="expression" dxfId="2343" priority="1636">
      <formula>$I48="잔금"</formula>
    </cfRule>
  </conditionalFormatting>
  <conditionalFormatting sqref="X87:Z87 AB87:AF87 T87">
    <cfRule type="expression" dxfId="2342" priority="1634">
      <formula>$I87="잔금"</formula>
    </cfRule>
  </conditionalFormatting>
  <conditionalFormatting sqref="C87 J87 L87 R87 E87:F87 T87">
    <cfRule type="expression" dxfId="2341" priority="1633">
      <formula>$I87="잔금"</formula>
    </cfRule>
  </conditionalFormatting>
  <conditionalFormatting sqref="E87">
    <cfRule type="expression" dxfId="2340" priority="1635">
      <formula>AND($I87&lt;&gt;"선금", $I87&lt;&gt;"")</formula>
    </cfRule>
  </conditionalFormatting>
  <conditionalFormatting sqref="X88:Z88 AB88:AG88 T88:V88">
    <cfRule type="expression" dxfId="2339" priority="1632">
      <formula>$I88="잔금"</formula>
    </cfRule>
  </conditionalFormatting>
  <conditionalFormatting sqref="F88 L88 R88 T88:V88">
    <cfRule type="expression" dxfId="2338" priority="1631">
      <formula>$I88="잔금"</formula>
    </cfRule>
  </conditionalFormatting>
  <conditionalFormatting sqref="X89:Z89 AB89:AG89 T89:V89">
    <cfRule type="expression" dxfId="2337" priority="1630">
      <formula>$I89="잔금"</formula>
    </cfRule>
  </conditionalFormatting>
  <conditionalFormatting sqref="F89 L89:M89 T89:V89">
    <cfRule type="expression" dxfId="2336" priority="1629">
      <formula>$I89="잔금"</formula>
    </cfRule>
  </conditionalFormatting>
  <conditionalFormatting sqref="B87:B89">
    <cfRule type="expression" dxfId="2335" priority="1628">
      <formula>$I87="잔금"</formula>
    </cfRule>
  </conditionalFormatting>
  <conditionalFormatting sqref="G87:G89">
    <cfRule type="expression" dxfId="2334" priority="1627">
      <formula>$I87="잔금"</formula>
    </cfRule>
  </conditionalFormatting>
  <conditionalFormatting sqref="H87:H89">
    <cfRule type="expression" dxfId="2333" priority="1626">
      <formula>$I87="잔금"</formula>
    </cfRule>
  </conditionalFormatting>
  <conditionalFormatting sqref="I87:I89">
    <cfRule type="expression" dxfId="2332" priority="1625">
      <formula>$I87="잔금"</formula>
    </cfRule>
  </conditionalFormatting>
  <conditionalFormatting sqref="J88">
    <cfRule type="expression" dxfId="2331" priority="1624">
      <formula>$I88="잔금"</formula>
    </cfRule>
  </conditionalFormatting>
  <conditionalFormatting sqref="J89">
    <cfRule type="expression" dxfId="2330" priority="1623">
      <formula>$I89="잔금"</formula>
    </cfRule>
  </conditionalFormatting>
  <conditionalFormatting sqref="K87">
    <cfRule type="expression" dxfId="2329" priority="1622">
      <formula>$I87="잔금"</formula>
    </cfRule>
  </conditionalFormatting>
  <conditionalFormatting sqref="P87:P89">
    <cfRule type="expression" dxfId="2328" priority="1621">
      <formula>$I87="잔금"</formula>
    </cfRule>
  </conditionalFormatting>
  <conditionalFormatting sqref="C88:C89">
    <cfRule type="expression" dxfId="2327" priority="1620">
      <formula>$I88="잔금"</formula>
    </cfRule>
  </conditionalFormatting>
  <conditionalFormatting sqref="E88:E89">
    <cfRule type="expression" dxfId="2326" priority="1618">
      <formula>$I88="잔금"</formula>
    </cfRule>
  </conditionalFormatting>
  <conditionalFormatting sqref="E88:E89">
    <cfRule type="expression" dxfId="2325" priority="1619">
      <formula>AND($I88&lt;&gt;"선금", $I88&lt;&gt;"")</formula>
    </cfRule>
  </conditionalFormatting>
  <conditionalFormatting sqref="AG87">
    <cfRule type="expression" dxfId="2324" priority="1616">
      <formula>$I87="잔금"</formula>
    </cfRule>
  </conditionalFormatting>
  <conditionalFormatting sqref="K88:K89">
    <cfRule type="expression" dxfId="2323" priority="1615">
      <formula>$I88="잔금"</formula>
    </cfRule>
  </conditionalFormatting>
  <conditionalFormatting sqref="Q87:Q88">
    <cfRule type="expression" dxfId="2322" priority="1614">
      <formula>$I87="잔금"</formula>
    </cfRule>
  </conditionalFormatting>
  <conditionalFormatting sqref="D88">
    <cfRule type="expression" dxfId="2321" priority="1612">
      <formula>$I88="잔금"</formula>
    </cfRule>
  </conditionalFormatting>
  <conditionalFormatting sqref="D88">
    <cfRule type="expression" dxfId="2320" priority="1613">
      <formula>AND($I88&lt;&gt;"선금", $I88&lt;&gt;"")</formula>
    </cfRule>
  </conditionalFormatting>
  <conditionalFormatting sqref="D89">
    <cfRule type="expression" dxfId="2319" priority="1610">
      <formula>$I89="잔금"</formula>
    </cfRule>
  </conditionalFormatting>
  <conditionalFormatting sqref="D89">
    <cfRule type="expression" dxfId="2318" priority="1611">
      <formula>AND($I89&lt;&gt;"선금", $I89&lt;&gt;"")</formula>
    </cfRule>
  </conditionalFormatting>
  <conditionalFormatting sqref="M87">
    <cfRule type="expression" dxfId="2317" priority="1609">
      <formula>$I87="잔금"</formula>
    </cfRule>
  </conditionalFormatting>
  <conditionalFormatting sqref="D87">
    <cfRule type="expression" dxfId="2316" priority="1607">
      <formula>$I87="잔금"</formula>
    </cfRule>
  </conditionalFormatting>
  <conditionalFormatting sqref="D87">
    <cfRule type="expression" dxfId="2315" priority="1605">
      <formula>$I87="잔금"</formula>
    </cfRule>
    <cfRule type="expression" dxfId="2314" priority="1606">
      <formula>AND($I87&lt;&gt;"선금", $I87&lt;&gt;"")</formula>
    </cfRule>
  </conditionalFormatting>
  <conditionalFormatting sqref="D87">
    <cfRule type="expression" dxfId="2313" priority="1608">
      <formula>AND($I87&lt;&gt;"선금", $I87&lt;&gt;"")</formula>
    </cfRule>
  </conditionalFormatting>
  <conditionalFormatting sqref="M9">
    <cfRule type="expression" dxfId="2312" priority="1604">
      <formula>$I9="잔금"</formula>
    </cfRule>
  </conditionalFormatting>
  <conditionalFormatting sqref="X90:Z90 AB90:AF90 T90:V90">
    <cfRule type="expression" dxfId="2311" priority="1602">
      <formula>$I90="잔금"</formula>
    </cfRule>
  </conditionalFormatting>
  <conditionalFormatting sqref="C90 J90 L90 R90 O90 E90:F90 T90:V90">
    <cfRule type="expression" dxfId="2310" priority="1601">
      <formula>$I90="잔금"</formula>
    </cfRule>
  </conditionalFormatting>
  <conditionalFormatting sqref="E90">
    <cfRule type="expression" dxfId="2309" priority="1603">
      <formula>AND($I90&lt;&gt;"선금", $I90&lt;&gt;"")</formula>
    </cfRule>
  </conditionalFormatting>
  <conditionalFormatting sqref="X91:Z91 AB91:AG91 T91:V91">
    <cfRule type="expression" dxfId="2308" priority="1600">
      <formula>$I91="잔금"</formula>
    </cfRule>
  </conditionalFormatting>
  <conditionalFormatting sqref="F91 L91 R91 O91 T91:V91">
    <cfRule type="expression" dxfId="2307" priority="1599">
      <formula>$I91="잔금"</formula>
    </cfRule>
  </conditionalFormatting>
  <conditionalFormatting sqref="X92:Z92 AB92:AG92 T92:V92">
    <cfRule type="expression" dxfId="2306" priority="1598">
      <formula>$I92="잔금"</formula>
    </cfRule>
  </conditionalFormatting>
  <conditionalFormatting sqref="F92 L92:M92 R92 T92:V92 O92">
    <cfRule type="expression" dxfId="2305" priority="1597">
      <formula>$I92="잔금"</formula>
    </cfRule>
  </conditionalFormatting>
  <conditionalFormatting sqref="B90:B92">
    <cfRule type="expression" dxfId="2304" priority="1596">
      <formula>$I90="잔금"</formula>
    </cfRule>
  </conditionalFormatting>
  <conditionalFormatting sqref="G90:G92">
    <cfRule type="expression" dxfId="2303" priority="1595">
      <formula>$I90="잔금"</formula>
    </cfRule>
  </conditionalFormatting>
  <conditionalFormatting sqref="H90:H92">
    <cfRule type="expression" dxfId="2302" priority="1594">
      <formula>$I90="잔금"</formula>
    </cfRule>
  </conditionalFormatting>
  <conditionalFormatting sqref="I90:I92">
    <cfRule type="expression" dxfId="2301" priority="1593">
      <formula>$I90="잔금"</formula>
    </cfRule>
  </conditionalFormatting>
  <conditionalFormatting sqref="J91">
    <cfRule type="expression" dxfId="2300" priority="1592">
      <formula>$I91="잔금"</formula>
    </cfRule>
  </conditionalFormatting>
  <conditionalFormatting sqref="J92">
    <cfRule type="expression" dxfId="2299" priority="1591">
      <formula>$I92="잔금"</formula>
    </cfRule>
  </conditionalFormatting>
  <conditionalFormatting sqref="K90">
    <cfRule type="expression" dxfId="2298" priority="1590">
      <formula>$I90="잔금"</formula>
    </cfRule>
  </conditionalFormatting>
  <conditionalFormatting sqref="P90:P92">
    <cfRule type="expression" dxfId="2297" priority="1589">
      <formula>$I90="잔금"</formula>
    </cfRule>
  </conditionalFormatting>
  <conditionalFormatting sqref="C91:C92">
    <cfRule type="expression" dxfId="2296" priority="1588">
      <formula>$I91="잔금"</formula>
    </cfRule>
  </conditionalFormatting>
  <conditionalFormatting sqref="E91:E92">
    <cfRule type="expression" dxfId="2295" priority="1586">
      <formula>$I91="잔금"</formula>
    </cfRule>
  </conditionalFormatting>
  <conditionalFormatting sqref="E91:E92">
    <cfRule type="expression" dxfId="2294" priority="1587">
      <formula>AND($I91&lt;&gt;"선금", $I91&lt;&gt;"")</formula>
    </cfRule>
  </conditionalFormatting>
  <conditionalFormatting sqref="AG90">
    <cfRule type="expression" dxfId="2293" priority="1584">
      <formula>$I90="잔금"</formula>
    </cfRule>
  </conditionalFormatting>
  <conditionalFormatting sqref="K91:K92">
    <cfRule type="expression" dxfId="2292" priority="1583">
      <formula>$I91="잔금"</formula>
    </cfRule>
  </conditionalFormatting>
  <conditionalFormatting sqref="Q90:Q91">
    <cfRule type="expression" dxfId="2291" priority="1582">
      <formula>$I90="잔금"</formula>
    </cfRule>
  </conditionalFormatting>
  <conditionalFormatting sqref="D91">
    <cfRule type="expression" dxfId="2290" priority="1580">
      <formula>$I91="잔금"</formula>
    </cfRule>
  </conditionalFormatting>
  <conditionalFormatting sqref="D91">
    <cfRule type="expression" dxfId="2289" priority="1581">
      <formula>AND($I91&lt;&gt;"선금", $I91&lt;&gt;"")</formula>
    </cfRule>
  </conditionalFormatting>
  <conditionalFormatting sqref="D92">
    <cfRule type="expression" dxfId="2288" priority="1578">
      <formula>$I92="잔금"</formula>
    </cfRule>
  </conditionalFormatting>
  <conditionalFormatting sqref="D92">
    <cfRule type="expression" dxfId="2287" priority="1579">
      <formula>AND($I92&lt;&gt;"선금", $I92&lt;&gt;"")</formula>
    </cfRule>
  </conditionalFormatting>
  <conditionalFormatting sqref="M90">
    <cfRule type="expression" dxfId="2286" priority="1577">
      <formula>$I90="잔금"</formula>
    </cfRule>
  </conditionalFormatting>
  <conditionalFormatting sqref="D90">
    <cfRule type="expression" dxfId="2285" priority="1575">
      <formula>$I90="잔금"</formula>
    </cfRule>
  </conditionalFormatting>
  <conditionalFormatting sqref="D90">
    <cfRule type="expression" dxfId="2284" priority="1573">
      <formula>$I90="잔금"</formula>
    </cfRule>
    <cfRule type="expression" dxfId="2283" priority="1574">
      <formula>AND($I90&lt;&gt;"선금", $I90&lt;&gt;"")</formula>
    </cfRule>
  </conditionalFormatting>
  <conditionalFormatting sqref="D90">
    <cfRule type="expression" dxfId="2282" priority="1576">
      <formula>AND($I90&lt;&gt;"선금", $I90&lt;&gt;"")</formula>
    </cfRule>
  </conditionalFormatting>
  <conditionalFormatting sqref="N51">
    <cfRule type="expression" dxfId="2281" priority="1572">
      <formula>$I51="잔금"</formula>
    </cfRule>
  </conditionalFormatting>
  <conditionalFormatting sqref="O51">
    <cfRule type="expression" dxfId="2280" priority="1571">
      <formula>$I51="잔금"</formula>
    </cfRule>
  </conditionalFormatting>
  <conditionalFormatting sqref="X93:Z93 AB93:AF93 T93:V93">
    <cfRule type="expression" dxfId="2279" priority="1569">
      <formula>$I93="잔금"</formula>
    </cfRule>
  </conditionalFormatting>
  <conditionalFormatting sqref="C93 J93 L93 R93 O93 E93:F93 T93:V93">
    <cfRule type="expression" dxfId="2278" priority="1568">
      <formula>$I93="잔금"</formula>
    </cfRule>
  </conditionalFormatting>
  <conditionalFormatting sqref="E93">
    <cfRule type="expression" dxfId="2277" priority="1570">
      <formula>AND($I93&lt;&gt;"선금", $I93&lt;&gt;"")</formula>
    </cfRule>
  </conditionalFormatting>
  <conditionalFormatting sqref="X94:Z94 AB94:AG94 T94:V94">
    <cfRule type="expression" dxfId="2276" priority="1567">
      <formula>$I94="잔금"</formula>
    </cfRule>
  </conditionalFormatting>
  <conditionalFormatting sqref="F94 L94 R94 T94:V94">
    <cfRule type="expression" dxfId="2275" priority="1566">
      <formula>$I94="잔금"</formula>
    </cfRule>
  </conditionalFormatting>
  <conditionalFormatting sqref="X95:Z95 AB95:AG95 T95:V95">
    <cfRule type="expression" dxfId="2274" priority="1565">
      <formula>$I95="잔금"</formula>
    </cfRule>
  </conditionalFormatting>
  <conditionalFormatting sqref="F95 L95:M95 R95 T95:V95 O95">
    <cfRule type="expression" dxfId="2273" priority="1564">
      <formula>$I95="잔금"</formula>
    </cfRule>
  </conditionalFormatting>
  <conditionalFormatting sqref="B93:B95">
    <cfRule type="expression" dxfId="2272" priority="1563">
      <formula>$I93="잔금"</formula>
    </cfRule>
  </conditionalFormatting>
  <conditionalFormatting sqref="G93:G95">
    <cfRule type="expression" dxfId="2271" priority="1562">
      <formula>$I93="잔금"</formula>
    </cfRule>
  </conditionalFormatting>
  <conditionalFormatting sqref="H93:H95">
    <cfRule type="expression" dxfId="2270" priority="1561">
      <formula>$I93="잔금"</formula>
    </cfRule>
  </conditionalFormatting>
  <conditionalFormatting sqref="I93:I95">
    <cfRule type="expression" dxfId="2269" priority="1560">
      <formula>$I93="잔금"</formula>
    </cfRule>
  </conditionalFormatting>
  <conditionalFormatting sqref="J94">
    <cfRule type="expression" dxfId="2268" priority="1559">
      <formula>$I94="잔금"</formula>
    </cfRule>
  </conditionalFormatting>
  <conditionalFormatting sqref="J95">
    <cfRule type="expression" dxfId="2267" priority="1558">
      <formula>$I95="잔금"</formula>
    </cfRule>
  </conditionalFormatting>
  <conditionalFormatting sqref="K93">
    <cfRule type="expression" dxfId="2266" priority="1557">
      <formula>$I93="잔금"</formula>
    </cfRule>
  </conditionalFormatting>
  <conditionalFormatting sqref="P93:P95">
    <cfRule type="expression" dxfId="2265" priority="1556">
      <formula>$I93="잔금"</formula>
    </cfRule>
  </conditionalFormatting>
  <conditionalFormatting sqref="C94:C95">
    <cfRule type="expression" dxfId="2264" priority="1555">
      <formula>$I94="잔금"</formula>
    </cfRule>
  </conditionalFormatting>
  <conditionalFormatting sqref="E94:E95">
    <cfRule type="expression" dxfId="2263" priority="1553">
      <formula>$I94="잔금"</formula>
    </cfRule>
  </conditionalFormatting>
  <conditionalFormatting sqref="E94:E95">
    <cfRule type="expression" dxfId="2262" priority="1554">
      <formula>AND($I94&lt;&gt;"선금", $I94&lt;&gt;"")</formula>
    </cfRule>
  </conditionalFormatting>
  <conditionalFormatting sqref="AG93">
    <cfRule type="expression" dxfId="2261" priority="1551">
      <formula>$I93="잔금"</formula>
    </cfRule>
  </conditionalFormatting>
  <conditionalFormatting sqref="K94:K95">
    <cfRule type="expression" dxfId="2260" priority="1550">
      <formula>$I94="잔금"</formula>
    </cfRule>
  </conditionalFormatting>
  <conditionalFormatting sqref="Q93:Q94">
    <cfRule type="expression" dxfId="2259" priority="1549">
      <formula>$I93="잔금"</formula>
    </cfRule>
  </conditionalFormatting>
  <conditionalFormatting sqref="D94">
    <cfRule type="expression" dxfId="2258" priority="1547">
      <formula>$I94="잔금"</formula>
    </cfRule>
  </conditionalFormatting>
  <conditionalFormatting sqref="D94">
    <cfRule type="expression" dxfId="2257" priority="1548">
      <formula>AND($I94&lt;&gt;"선금", $I94&lt;&gt;"")</formula>
    </cfRule>
  </conditionalFormatting>
  <conditionalFormatting sqref="D95">
    <cfRule type="expression" dxfId="2256" priority="1545">
      <formula>$I95="잔금"</formula>
    </cfRule>
  </conditionalFormatting>
  <conditionalFormatting sqref="D95">
    <cfRule type="expression" dxfId="2255" priority="1546">
      <formula>AND($I95&lt;&gt;"선금", $I95&lt;&gt;"")</formula>
    </cfRule>
  </conditionalFormatting>
  <conditionalFormatting sqref="D93">
    <cfRule type="expression" dxfId="2254" priority="1542">
      <formula>$I93="잔금"</formula>
    </cfRule>
  </conditionalFormatting>
  <conditionalFormatting sqref="D93">
    <cfRule type="expression" dxfId="2253" priority="1540">
      <formula>$I93="잔금"</formula>
    </cfRule>
    <cfRule type="expression" dxfId="2252" priority="1541">
      <formula>AND($I93&lt;&gt;"선금", $I93&lt;&gt;"")</formula>
    </cfRule>
  </conditionalFormatting>
  <conditionalFormatting sqref="D93">
    <cfRule type="expression" dxfId="2251" priority="1543">
      <formula>AND($I93&lt;&gt;"선금", $I93&lt;&gt;"")</formula>
    </cfRule>
  </conditionalFormatting>
  <conditionalFormatting sqref="X96:Z96 AB96:AF96 T96:V96">
    <cfRule type="expression" dxfId="2250" priority="1538">
      <formula>$I96="잔금"</formula>
    </cfRule>
  </conditionalFormatting>
  <conditionalFormatting sqref="C96 J96 L96 R96 O96 E96:F96 T96:V96">
    <cfRule type="expression" dxfId="2249" priority="1537">
      <formula>$I96="잔금"</formula>
    </cfRule>
  </conditionalFormatting>
  <conditionalFormatting sqref="E96">
    <cfRule type="expression" dxfId="2248" priority="1539">
      <formula>AND($I96&lt;&gt;"선금", $I96&lt;&gt;"")</formula>
    </cfRule>
  </conditionalFormatting>
  <conditionalFormatting sqref="X97:Z97 AB97:AG97 T97:V97">
    <cfRule type="expression" dxfId="2247" priority="1536">
      <formula>$I97="잔금"</formula>
    </cfRule>
  </conditionalFormatting>
  <conditionalFormatting sqref="F97 L97 R97 T97:V97">
    <cfRule type="expression" dxfId="2246" priority="1535">
      <formula>$I97="잔금"</formula>
    </cfRule>
  </conditionalFormatting>
  <conditionalFormatting sqref="X98:Z98 AB98:AG98 T98:V98">
    <cfRule type="expression" dxfId="2245" priority="1534">
      <formula>$I98="잔금"</formula>
    </cfRule>
  </conditionalFormatting>
  <conditionalFormatting sqref="F98 L98:M98 R98 T98:V98 O98">
    <cfRule type="expression" dxfId="2244" priority="1533">
      <formula>$I98="잔금"</formula>
    </cfRule>
  </conditionalFormatting>
  <conditionalFormatting sqref="B96:B98">
    <cfRule type="expression" dxfId="2243" priority="1532">
      <formula>$I96="잔금"</formula>
    </cfRule>
  </conditionalFormatting>
  <conditionalFormatting sqref="G96:G98">
    <cfRule type="expression" dxfId="2242" priority="1531">
      <formula>$I96="잔금"</formula>
    </cfRule>
  </conditionalFormatting>
  <conditionalFormatting sqref="H96:H98">
    <cfRule type="expression" dxfId="2241" priority="1530">
      <formula>$I96="잔금"</formula>
    </cfRule>
  </conditionalFormatting>
  <conditionalFormatting sqref="I96:I98">
    <cfRule type="expression" dxfId="2240" priority="1529">
      <formula>$I96="잔금"</formula>
    </cfRule>
  </conditionalFormatting>
  <conditionalFormatting sqref="J97">
    <cfRule type="expression" dxfId="2239" priority="1528">
      <formula>$I97="잔금"</formula>
    </cfRule>
  </conditionalFormatting>
  <conditionalFormatting sqref="J98">
    <cfRule type="expression" dxfId="2238" priority="1527">
      <formula>$I98="잔금"</formula>
    </cfRule>
  </conditionalFormatting>
  <conditionalFormatting sqref="K96">
    <cfRule type="expression" dxfId="2237" priority="1526">
      <formula>$I96="잔금"</formula>
    </cfRule>
  </conditionalFormatting>
  <conditionalFormatting sqref="P96:P98">
    <cfRule type="expression" dxfId="2236" priority="1525">
      <formula>$I96="잔금"</formula>
    </cfRule>
  </conditionalFormatting>
  <conditionalFormatting sqref="C97:C98">
    <cfRule type="expression" dxfId="2235" priority="1524">
      <formula>$I97="잔금"</formula>
    </cfRule>
  </conditionalFormatting>
  <conditionalFormatting sqref="E97:E98">
    <cfRule type="expression" dxfId="2234" priority="1522">
      <formula>$I97="잔금"</formula>
    </cfRule>
  </conditionalFormatting>
  <conditionalFormatting sqref="E97:E98">
    <cfRule type="expression" dxfId="2233" priority="1523">
      <formula>AND($I97&lt;&gt;"선금", $I97&lt;&gt;"")</formula>
    </cfRule>
  </conditionalFormatting>
  <conditionalFormatting sqref="AG96">
    <cfRule type="expression" dxfId="2232" priority="1520">
      <formula>$I96="잔금"</formula>
    </cfRule>
  </conditionalFormatting>
  <conditionalFormatting sqref="K97:K98">
    <cfRule type="expression" dxfId="2231" priority="1519">
      <formula>$I97="잔금"</formula>
    </cfRule>
  </conditionalFormatting>
  <conditionalFormatting sqref="Q96:Q97">
    <cfRule type="expression" dxfId="2230" priority="1518">
      <formula>$I96="잔금"</formula>
    </cfRule>
  </conditionalFormatting>
  <conditionalFormatting sqref="D97">
    <cfRule type="expression" dxfId="2229" priority="1516">
      <formula>$I97="잔금"</formula>
    </cfRule>
  </conditionalFormatting>
  <conditionalFormatting sqref="D97">
    <cfRule type="expression" dxfId="2228" priority="1517">
      <formula>AND($I97&lt;&gt;"선금", $I97&lt;&gt;"")</formula>
    </cfRule>
  </conditionalFormatting>
  <conditionalFormatting sqref="D98">
    <cfRule type="expression" dxfId="2227" priority="1514">
      <formula>$I98="잔금"</formula>
    </cfRule>
  </conditionalFormatting>
  <conditionalFormatting sqref="D98">
    <cfRule type="expression" dxfId="2226" priority="1515">
      <formula>AND($I98&lt;&gt;"선금", $I98&lt;&gt;"")</formula>
    </cfRule>
  </conditionalFormatting>
  <conditionalFormatting sqref="D96">
    <cfRule type="expression" dxfId="2225" priority="1511">
      <formula>$I96="잔금"</formula>
    </cfRule>
  </conditionalFormatting>
  <conditionalFormatting sqref="D96">
    <cfRule type="expression" dxfId="2224" priority="1509">
      <formula>$I96="잔금"</formula>
    </cfRule>
    <cfRule type="expression" dxfId="2223" priority="1510">
      <formula>AND($I96&lt;&gt;"선금", $I96&lt;&gt;"")</formula>
    </cfRule>
  </conditionalFormatting>
  <conditionalFormatting sqref="D96">
    <cfRule type="expression" dxfId="2222" priority="1512">
      <formula>AND($I96&lt;&gt;"선금", $I96&lt;&gt;"")</formula>
    </cfRule>
  </conditionalFormatting>
  <conditionalFormatting sqref="X99:Z99 AB99:AF99 T99:V99">
    <cfRule type="expression" dxfId="2221" priority="1507">
      <formula>$I99="잔금"</formula>
    </cfRule>
  </conditionalFormatting>
  <conditionalFormatting sqref="C99 J99 L99 R99 O99 E99:F99 T99:V99">
    <cfRule type="expression" dxfId="2220" priority="1506">
      <formula>$I99="잔금"</formula>
    </cfRule>
  </conditionalFormatting>
  <conditionalFormatting sqref="E99">
    <cfRule type="expression" dxfId="2219" priority="1508">
      <formula>AND($I99&lt;&gt;"선금", $I99&lt;&gt;"")</formula>
    </cfRule>
  </conditionalFormatting>
  <conditionalFormatting sqref="X100:Z100 AB100:AG100 T100:V100">
    <cfRule type="expression" dxfId="2218" priority="1505">
      <formula>$I100="잔금"</formula>
    </cfRule>
  </conditionalFormatting>
  <conditionalFormatting sqref="F100 L100 R100 T100:V100">
    <cfRule type="expression" dxfId="2217" priority="1504">
      <formula>$I100="잔금"</formula>
    </cfRule>
  </conditionalFormatting>
  <conditionalFormatting sqref="X101:Z101 AB101:AG101 T101:V101">
    <cfRule type="expression" dxfId="2216" priority="1503">
      <formula>$I101="잔금"</formula>
    </cfRule>
  </conditionalFormatting>
  <conditionalFormatting sqref="F101 L101:M101 R101 T101:V101 O101">
    <cfRule type="expression" dxfId="2215" priority="1502">
      <formula>$I101="잔금"</formula>
    </cfRule>
  </conditionalFormatting>
  <conditionalFormatting sqref="B99:B101">
    <cfRule type="expression" dxfId="2214" priority="1501">
      <formula>$I99="잔금"</formula>
    </cfRule>
  </conditionalFormatting>
  <conditionalFormatting sqref="G99:G101">
    <cfRule type="expression" dxfId="2213" priority="1500">
      <formula>$I99="잔금"</formula>
    </cfRule>
  </conditionalFormatting>
  <conditionalFormatting sqref="H99:H101">
    <cfRule type="expression" dxfId="2212" priority="1499">
      <formula>$I99="잔금"</formula>
    </cfRule>
  </conditionalFormatting>
  <conditionalFormatting sqref="I99:I101">
    <cfRule type="expression" dxfId="2211" priority="1498">
      <formula>$I99="잔금"</formula>
    </cfRule>
  </conditionalFormatting>
  <conditionalFormatting sqref="J100">
    <cfRule type="expression" dxfId="2210" priority="1497">
      <formula>$I100="잔금"</formula>
    </cfRule>
  </conditionalFormatting>
  <conditionalFormatting sqref="J101">
    <cfRule type="expression" dxfId="2209" priority="1496">
      <formula>$I101="잔금"</formula>
    </cfRule>
  </conditionalFormatting>
  <conditionalFormatting sqref="K99">
    <cfRule type="expression" dxfId="2208" priority="1495">
      <formula>$I99="잔금"</formula>
    </cfRule>
  </conditionalFormatting>
  <conditionalFormatting sqref="P99:P101">
    <cfRule type="expression" dxfId="2207" priority="1494">
      <formula>$I99="잔금"</formula>
    </cfRule>
  </conditionalFormatting>
  <conditionalFormatting sqref="C100:C101">
    <cfRule type="expression" dxfId="2206" priority="1493">
      <formula>$I100="잔금"</formula>
    </cfRule>
  </conditionalFormatting>
  <conditionalFormatting sqref="E100:E101">
    <cfRule type="expression" dxfId="2205" priority="1491">
      <formula>$I100="잔금"</formula>
    </cfRule>
  </conditionalFormatting>
  <conditionalFormatting sqref="E100:E101">
    <cfRule type="expression" dxfId="2204" priority="1492">
      <formula>AND($I100&lt;&gt;"선금", $I100&lt;&gt;"")</formula>
    </cfRule>
  </conditionalFormatting>
  <conditionalFormatting sqref="AG99">
    <cfRule type="expression" dxfId="2203" priority="1489">
      <formula>$I99="잔금"</formula>
    </cfRule>
  </conditionalFormatting>
  <conditionalFormatting sqref="K100:K101">
    <cfRule type="expression" dxfId="2202" priority="1488">
      <formula>$I100="잔금"</formula>
    </cfRule>
  </conditionalFormatting>
  <conditionalFormatting sqref="Q99:Q100">
    <cfRule type="expression" dxfId="2201" priority="1487">
      <formula>$I99="잔금"</formula>
    </cfRule>
  </conditionalFormatting>
  <conditionalFormatting sqref="D100">
    <cfRule type="expression" dxfId="2200" priority="1485">
      <formula>$I100="잔금"</formula>
    </cfRule>
  </conditionalFormatting>
  <conditionalFormatting sqref="D100">
    <cfRule type="expression" dxfId="2199" priority="1486">
      <formula>AND($I100&lt;&gt;"선금", $I100&lt;&gt;"")</formula>
    </cfRule>
  </conditionalFormatting>
  <conditionalFormatting sqref="D101">
    <cfRule type="expression" dxfId="2198" priority="1483">
      <formula>$I101="잔금"</formula>
    </cfRule>
  </conditionalFormatting>
  <conditionalFormatting sqref="D101">
    <cfRule type="expression" dxfId="2197" priority="1484">
      <formula>AND($I101&lt;&gt;"선금", $I101&lt;&gt;"")</formula>
    </cfRule>
  </conditionalFormatting>
  <conditionalFormatting sqref="D99">
    <cfRule type="expression" dxfId="2196" priority="1480">
      <formula>$I99="잔금"</formula>
    </cfRule>
  </conditionalFormatting>
  <conditionalFormatting sqref="D99">
    <cfRule type="expression" dxfId="2195" priority="1478">
      <formula>$I99="잔금"</formula>
    </cfRule>
    <cfRule type="expression" dxfId="2194" priority="1479">
      <formula>AND($I99&lt;&gt;"선금", $I99&lt;&gt;"")</formula>
    </cfRule>
  </conditionalFormatting>
  <conditionalFormatting sqref="D99">
    <cfRule type="expression" dxfId="2193" priority="1481">
      <formula>AND($I99&lt;&gt;"선금", $I99&lt;&gt;"")</formula>
    </cfRule>
  </conditionalFormatting>
  <conditionalFormatting sqref="M93">
    <cfRule type="expression" dxfId="2192" priority="1477">
      <formula>$I93="잔금"</formula>
    </cfRule>
  </conditionalFormatting>
  <conditionalFormatting sqref="M96">
    <cfRule type="expression" dxfId="2191" priority="1476">
      <formula>$I96="잔금"</formula>
    </cfRule>
  </conditionalFormatting>
  <conditionalFormatting sqref="M99">
    <cfRule type="expression" dxfId="2190" priority="1475">
      <formula>$I99="잔금"</formula>
    </cfRule>
  </conditionalFormatting>
  <conditionalFormatting sqref="M67">
    <cfRule type="expression" dxfId="2189" priority="1474">
      <formula>$I67="잔금"</formula>
    </cfRule>
  </conditionalFormatting>
  <conditionalFormatting sqref="M70">
    <cfRule type="expression" dxfId="2188" priority="1473">
      <formula>$I70="잔금"</formula>
    </cfRule>
  </conditionalFormatting>
  <conditionalFormatting sqref="M57">
    <cfRule type="expression" dxfId="2187" priority="1472">
      <formula>$I57="잔금"</formula>
    </cfRule>
  </conditionalFormatting>
  <conditionalFormatting sqref="M21">
    <cfRule type="expression" dxfId="2186" priority="1471">
      <formula>$I21="잔금"</formula>
    </cfRule>
  </conditionalFormatting>
  <conditionalFormatting sqref="M88">
    <cfRule type="expression" dxfId="2185" priority="1439">
      <formula>$I88="잔금"</formula>
    </cfRule>
  </conditionalFormatting>
  <conditionalFormatting sqref="M85">
    <cfRule type="expression" dxfId="2184" priority="1438">
      <formula>$I85="잔금"</formula>
    </cfRule>
  </conditionalFormatting>
  <conditionalFormatting sqref="X102:Z102 AB102:AF102 T102">
    <cfRule type="expression" dxfId="2183" priority="1435">
      <formula>$I102="잔금"</formula>
    </cfRule>
  </conditionalFormatting>
  <conditionalFormatting sqref="C102 J102 L102 R102 O102 E102:F102 T102">
    <cfRule type="expression" dxfId="2182" priority="1434">
      <formula>$I102="잔금"</formula>
    </cfRule>
  </conditionalFormatting>
  <conditionalFormatting sqref="E102">
    <cfRule type="expression" dxfId="2181" priority="1436">
      <formula>AND($I102&lt;&gt;"선금", $I102&lt;&gt;"")</formula>
    </cfRule>
  </conditionalFormatting>
  <conditionalFormatting sqref="X103:Z103 AB103:AG103 T103:V103">
    <cfRule type="expression" dxfId="2180" priority="1433">
      <formula>$I103="잔금"</formula>
    </cfRule>
  </conditionalFormatting>
  <conditionalFormatting sqref="F103 L103 R103 T103:V103">
    <cfRule type="expression" dxfId="2179" priority="1432">
      <formula>$I103="잔금"</formula>
    </cfRule>
  </conditionalFormatting>
  <conditionalFormatting sqref="X104:Z104 AB104:AG104 T104:V104">
    <cfRule type="expression" dxfId="2178" priority="1431">
      <formula>$I104="잔금"</formula>
    </cfRule>
  </conditionalFormatting>
  <conditionalFormatting sqref="F104 L104:M104 R104 T104:V104">
    <cfRule type="expression" dxfId="2177" priority="1430">
      <formula>$I104="잔금"</formula>
    </cfRule>
  </conditionalFormatting>
  <conditionalFormatting sqref="B102:B104">
    <cfRule type="expression" dxfId="2176" priority="1429">
      <formula>$I102="잔금"</formula>
    </cfRule>
  </conditionalFormatting>
  <conditionalFormatting sqref="G102:G104">
    <cfRule type="expression" dxfId="2175" priority="1428">
      <formula>$I102="잔금"</formula>
    </cfRule>
  </conditionalFormatting>
  <conditionalFormatting sqref="H102:H104">
    <cfRule type="expression" dxfId="2174" priority="1427">
      <formula>$I102="잔금"</formula>
    </cfRule>
  </conditionalFormatting>
  <conditionalFormatting sqref="I102:I104">
    <cfRule type="expression" dxfId="2173" priority="1426">
      <formula>$I102="잔금"</formula>
    </cfRule>
  </conditionalFormatting>
  <conditionalFormatting sqref="J103">
    <cfRule type="expression" dxfId="2172" priority="1425">
      <formula>$I103="잔금"</formula>
    </cfRule>
  </conditionalFormatting>
  <conditionalFormatting sqref="J104">
    <cfRule type="expression" dxfId="2171" priority="1424">
      <formula>$I104="잔금"</formula>
    </cfRule>
  </conditionalFormatting>
  <conditionalFormatting sqref="K102">
    <cfRule type="expression" dxfId="2170" priority="1423">
      <formula>$I102="잔금"</formula>
    </cfRule>
  </conditionalFormatting>
  <conditionalFormatting sqref="P102:P104">
    <cfRule type="expression" dxfId="2169" priority="1422">
      <formula>$I102="잔금"</formula>
    </cfRule>
  </conditionalFormatting>
  <conditionalFormatting sqref="C103:C104">
    <cfRule type="expression" dxfId="2168" priority="1421">
      <formula>$I103="잔금"</formula>
    </cfRule>
  </conditionalFormatting>
  <conditionalFormatting sqref="E103:E104">
    <cfRule type="expression" dxfId="2167" priority="1419">
      <formula>$I103="잔금"</formula>
    </cfRule>
  </conditionalFormatting>
  <conditionalFormatting sqref="E103:E104">
    <cfRule type="expression" dxfId="2166" priority="1420">
      <formula>AND($I103&lt;&gt;"선금", $I103&lt;&gt;"")</formula>
    </cfRule>
  </conditionalFormatting>
  <conditionalFormatting sqref="AG102">
    <cfRule type="expression" dxfId="2165" priority="1417">
      <formula>$I102="잔금"</formula>
    </cfRule>
  </conditionalFormatting>
  <conditionalFormatting sqref="K103:K104">
    <cfRule type="expression" dxfId="2164" priority="1416">
      <formula>$I103="잔금"</formula>
    </cfRule>
  </conditionalFormatting>
  <conditionalFormatting sqref="Q102:Q103">
    <cfRule type="expression" dxfId="2163" priority="1415">
      <formula>$I102="잔금"</formula>
    </cfRule>
  </conditionalFormatting>
  <conditionalFormatting sqref="M102">
    <cfRule type="expression" dxfId="2162" priority="1405">
      <formula>$I102="잔금"</formula>
    </cfRule>
  </conditionalFormatting>
  <conditionalFormatting sqref="X105:Z105 AB105:AF105 T105">
    <cfRule type="expression" dxfId="2161" priority="1403">
      <formula>$I105="잔금"</formula>
    </cfRule>
  </conditionalFormatting>
  <conditionalFormatting sqref="C105 J105 L105 R105 O105 E105:F105 T105">
    <cfRule type="expression" dxfId="2160" priority="1402">
      <formula>$I105="잔금"</formula>
    </cfRule>
  </conditionalFormatting>
  <conditionalFormatting sqref="E105">
    <cfRule type="expression" dxfId="2159" priority="1404">
      <formula>AND($I105&lt;&gt;"선금", $I105&lt;&gt;"")</formula>
    </cfRule>
  </conditionalFormatting>
  <conditionalFormatting sqref="X106:Z106 AB106:AG106 T106:V106">
    <cfRule type="expression" dxfId="2158" priority="1401">
      <formula>$I106="잔금"</formula>
    </cfRule>
  </conditionalFormatting>
  <conditionalFormatting sqref="F106 L106 R106 N106:O106 T106:V106">
    <cfRule type="expression" dxfId="2157" priority="1400">
      <formula>$I106="잔금"</formula>
    </cfRule>
  </conditionalFormatting>
  <conditionalFormatting sqref="X107:Z107 AB107:AG107 T107:V107">
    <cfRule type="expression" dxfId="2156" priority="1399">
      <formula>$I107="잔금"</formula>
    </cfRule>
  </conditionalFormatting>
  <conditionalFormatting sqref="F107 L107:O107 R107 T107:V107">
    <cfRule type="expression" dxfId="2155" priority="1398">
      <formula>$I107="잔금"</formula>
    </cfRule>
  </conditionalFormatting>
  <conditionalFormatting sqref="B105:B107">
    <cfRule type="expression" dxfId="2154" priority="1397">
      <formula>$I105="잔금"</formula>
    </cfRule>
  </conditionalFormatting>
  <conditionalFormatting sqref="G105:G107">
    <cfRule type="expression" dxfId="2153" priority="1396">
      <formula>$I105="잔금"</formula>
    </cfRule>
  </conditionalFormatting>
  <conditionalFormatting sqref="H105:H107">
    <cfRule type="expression" dxfId="2152" priority="1395">
      <formula>$I105="잔금"</formula>
    </cfRule>
  </conditionalFormatting>
  <conditionalFormatting sqref="I105:I107">
    <cfRule type="expression" dxfId="2151" priority="1394">
      <formula>$I105="잔금"</formula>
    </cfRule>
  </conditionalFormatting>
  <conditionalFormatting sqref="J106">
    <cfRule type="expression" dxfId="2150" priority="1393">
      <formula>$I106="잔금"</formula>
    </cfRule>
  </conditionalFormatting>
  <conditionalFormatting sqref="J107">
    <cfRule type="expression" dxfId="2149" priority="1392">
      <formula>$I107="잔금"</formula>
    </cfRule>
  </conditionalFormatting>
  <conditionalFormatting sqref="K105">
    <cfRule type="expression" dxfId="2148" priority="1391">
      <formula>$I105="잔금"</formula>
    </cfRule>
  </conditionalFormatting>
  <conditionalFormatting sqref="P105:P107">
    <cfRule type="expression" dxfId="2147" priority="1390">
      <formula>$I105="잔금"</formula>
    </cfRule>
  </conditionalFormatting>
  <conditionalFormatting sqref="C106:C107">
    <cfRule type="expression" dxfId="2146" priority="1389">
      <formula>$I106="잔금"</formula>
    </cfRule>
  </conditionalFormatting>
  <conditionalFormatting sqref="E106:E107">
    <cfRule type="expression" dxfId="2145" priority="1387">
      <formula>$I106="잔금"</formula>
    </cfRule>
  </conditionalFormatting>
  <conditionalFormatting sqref="E106:E107">
    <cfRule type="expression" dxfId="2144" priority="1388">
      <formula>AND($I106&lt;&gt;"선금", $I106&lt;&gt;"")</formula>
    </cfRule>
  </conditionalFormatting>
  <conditionalFormatting sqref="N105">
    <cfRule type="expression" dxfId="2143" priority="1386">
      <formula>$I105="잔금"</formula>
    </cfRule>
  </conditionalFormatting>
  <conditionalFormatting sqref="AG105">
    <cfRule type="expression" dxfId="2142" priority="1385">
      <formula>$I105="잔금"</formula>
    </cfRule>
  </conditionalFormatting>
  <conditionalFormatting sqref="K106:K107">
    <cfRule type="expression" dxfId="2141" priority="1384">
      <formula>$I106="잔금"</formula>
    </cfRule>
  </conditionalFormatting>
  <conditionalFormatting sqref="Q105:Q106">
    <cfRule type="expression" dxfId="2140" priority="1383">
      <formula>$I105="잔금"</formula>
    </cfRule>
  </conditionalFormatting>
  <conditionalFormatting sqref="D106">
    <cfRule type="expression" dxfId="2139" priority="1381">
      <formula>$I106="잔금"</formula>
    </cfRule>
  </conditionalFormatting>
  <conditionalFormatting sqref="D106">
    <cfRule type="expression" dxfId="2138" priority="1382">
      <formula>AND($I106&lt;&gt;"선금", $I106&lt;&gt;"")</formula>
    </cfRule>
  </conditionalFormatting>
  <conditionalFormatting sqref="D107">
    <cfRule type="expression" dxfId="2137" priority="1379">
      <formula>$I107="잔금"</formula>
    </cfRule>
  </conditionalFormatting>
  <conditionalFormatting sqref="D107">
    <cfRule type="expression" dxfId="2136" priority="1380">
      <formula>AND($I107&lt;&gt;"선금", $I107&lt;&gt;"")</formula>
    </cfRule>
  </conditionalFormatting>
  <conditionalFormatting sqref="D105">
    <cfRule type="expression" dxfId="2135" priority="1377">
      <formula>$I105="잔금"</formula>
    </cfRule>
  </conditionalFormatting>
  <conditionalFormatting sqref="D105">
    <cfRule type="expression" dxfId="2134" priority="1375">
      <formula>$I105="잔금"</formula>
    </cfRule>
    <cfRule type="expression" dxfId="2133" priority="1376">
      <formula>AND($I105&lt;&gt;"선금", $I105&lt;&gt;"")</formula>
    </cfRule>
  </conditionalFormatting>
  <conditionalFormatting sqref="D105">
    <cfRule type="expression" dxfId="2132" priority="1378">
      <formula>AND($I105&lt;&gt;"선금", $I105&lt;&gt;"")</formula>
    </cfRule>
  </conditionalFormatting>
  <conditionalFormatting sqref="M105">
    <cfRule type="expression" dxfId="2131" priority="1374">
      <formula>$I105="잔금"</formula>
    </cfRule>
  </conditionalFormatting>
  <conditionalFormatting sqref="M13">
    <cfRule type="expression" dxfId="2130" priority="1373">
      <formula>$I13="잔금"</formula>
    </cfRule>
  </conditionalFormatting>
  <conditionalFormatting sqref="Q52">
    <cfRule type="expression" dxfId="2129" priority="1372">
      <formula>$I52="잔금"</formula>
    </cfRule>
  </conditionalFormatting>
  <conditionalFormatting sqref="Q83">
    <cfRule type="expression" dxfId="2128" priority="1371">
      <formula>$I83="잔금"</formula>
    </cfRule>
  </conditionalFormatting>
  <conditionalFormatting sqref="M54">
    <cfRule type="expression" dxfId="2127" priority="1370">
      <formula>$I54="잔금"</formula>
    </cfRule>
  </conditionalFormatting>
  <conditionalFormatting sqref="X108:Z108 AB108:AF108 T108">
    <cfRule type="expression" dxfId="2126" priority="1368">
      <formula>$I108="잔금"</formula>
    </cfRule>
  </conditionalFormatting>
  <conditionalFormatting sqref="C108 J108 L108 R108 O108 E108:F108 T108">
    <cfRule type="expression" dxfId="2125" priority="1367">
      <formula>$I108="잔금"</formula>
    </cfRule>
  </conditionalFormatting>
  <conditionalFormatting sqref="E108">
    <cfRule type="expression" dxfId="2124" priority="1369">
      <formula>AND($I108&lt;&gt;"선금", $I108&lt;&gt;"")</formula>
    </cfRule>
  </conditionalFormatting>
  <conditionalFormatting sqref="X109:Z109 AB109:AG109 T109:V109">
    <cfRule type="expression" dxfId="2123" priority="1366">
      <formula>$I109="잔금"</formula>
    </cfRule>
  </conditionalFormatting>
  <conditionalFormatting sqref="F109 L109:O109 R109 T109:V109">
    <cfRule type="expression" dxfId="2122" priority="1365">
      <formula>$I109="잔금"</formula>
    </cfRule>
  </conditionalFormatting>
  <conditionalFormatting sqref="X110:Z110 AB110:AG110 T110:V110">
    <cfRule type="expression" dxfId="2121" priority="1364">
      <formula>$I110="잔금"</formula>
    </cfRule>
  </conditionalFormatting>
  <conditionalFormatting sqref="F110 L110:O110 T110:V110">
    <cfRule type="expression" dxfId="2120" priority="1363">
      <formula>$I110="잔금"</formula>
    </cfRule>
  </conditionalFormatting>
  <conditionalFormatting sqref="B108:B110">
    <cfRule type="expression" dxfId="2119" priority="1362">
      <formula>$I108="잔금"</formula>
    </cfRule>
  </conditionalFormatting>
  <conditionalFormatting sqref="G108:G110">
    <cfRule type="expression" dxfId="2118" priority="1361">
      <formula>$I108="잔금"</formula>
    </cfRule>
  </conditionalFormatting>
  <conditionalFormatting sqref="H108:H110">
    <cfRule type="expression" dxfId="2117" priority="1360">
      <formula>$I108="잔금"</formula>
    </cfRule>
  </conditionalFormatting>
  <conditionalFormatting sqref="I108:I110">
    <cfRule type="expression" dxfId="2116" priority="1359">
      <formula>$I108="잔금"</formula>
    </cfRule>
  </conditionalFormatting>
  <conditionalFormatting sqref="J109">
    <cfRule type="expression" dxfId="2115" priority="1358">
      <formula>$I109="잔금"</formula>
    </cfRule>
  </conditionalFormatting>
  <conditionalFormatting sqref="J110">
    <cfRule type="expression" dxfId="2114" priority="1357">
      <formula>$I110="잔금"</formula>
    </cfRule>
  </conditionalFormatting>
  <conditionalFormatting sqref="K108">
    <cfRule type="expression" dxfId="2113" priority="1356">
      <formula>$I108="잔금"</formula>
    </cfRule>
  </conditionalFormatting>
  <conditionalFormatting sqref="P108:P110">
    <cfRule type="expression" dxfId="2112" priority="1355">
      <formula>$I108="잔금"</formula>
    </cfRule>
  </conditionalFormatting>
  <conditionalFormatting sqref="C109:C110">
    <cfRule type="expression" dxfId="2111" priority="1354">
      <formula>$I109="잔금"</formula>
    </cfRule>
  </conditionalFormatting>
  <conditionalFormatting sqref="E109:E110">
    <cfRule type="expression" dxfId="2110" priority="1352">
      <formula>$I109="잔금"</formula>
    </cfRule>
  </conditionalFormatting>
  <conditionalFormatting sqref="E109:E110">
    <cfRule type="expression" dxfId="2109" priority="1353">
      <formula>AND($I109&lt;&gt;"선금", $I109&lt;&gt;"")</formula>
    </cfRule>
  </conditionalFormatting>
  <conditionalFormatting sqref="N108">
    <cfRule type="expression" dxfId="2108" priority="1351">
      <formula>$I108="잔금"</formula>
    </cfRule>
  </conditionalFormatting>
  <conditionalFormatting sqref="AG108">
    <cfRule type="expression" dxfId="2107" priority="1350">
      <formula>$I108="잔금"</formula>
    </cfRule>
  </conditionalFormatting>
  <conditionalFormatting sqref="K109:K110">
    <cfRule type="expression" dxfId="2106" priority="1349">
      <formula>$I109="잔금"</formula>
    </cfRule>
  </conditionalFormatting>
  <conditionalFormatting sqref="Q108:Q109">
    <cfRule type="expression" dxfId="2105" priority="1348">
      <formula>$I108="잔금"</formula>
    </cfRule>
  </conditionalFormatting>
  <conditionalFormatting sqref="D109">
    <cfRule type="expression" dxfId="2104" priority="1346">
      <formula>$I109="잔금"</formula>
    </cfRule>
  </conditionalFormatting>
  <conditionalFormatting sqref="D109">
    <cfRule type="expression" dxfId="2103" priority="1347">
      <formula>AND($I109&lt;&gt;"선금", $I109&lt;&gt;"")</formula>
    </cfRule>
  </conditionalFormatting>
  <conditionalFormatting sqref="D110">
    <cfRule type="expression" dxfId="2102" priority="1344">
      <formula>$I110="잔금"</formula>
    </cfRule>
  </conditionalFormatting>
  <conditionalFormatting sqref="D110">
    <cfRule type="expression" dxfId="2101" priority="1345">
      <formula>AND($I110&lt;&gt;"선금", $I110&lt;&gt;"")</formula>
    </cfRule>
  </conditionalFormatting>
  <conditionalFormatting sqref="D108">
    <cfRule type="expression" dxfId="2100" priority="1342">
      <formula>$I108="잔금"</formula>
    </cfRule>
  </conditionalFormatting>
  <conditionalFormatting sqref="D108">
    <cfRule type="expression" dxfId="2099" priority="1340">
      <formula>$I108="잔금"</formula>
    </cfRule>
    <cfRule type="expression" dxfId="2098" priority="1341">
      <formula>AND($I108&lt;&gt;"선금", $I108&lt;&gt;"")</formula>
    </cfRule>
  </conditionalFormatting>
  <conditionalFormatting sqref="D108">
    <cfRule type="expression" dxfId="2097" priority="1343">
      <formula>AND($I108&lt;&gt;"선금", $I108&lt;&gt;"")</formula>
    </cfRule>
  </conditionalFormatting>
  <conditionalFormatting sqref="M108">
    <cfRule type="expression" dxfId="2096" priority="1339">
      <formula>$I108="잔금"</formula>
    </cfRule>
  </conditionalFormatting>
  <conditionalFormatting sqref="Q110">
    <cfRule type="expression" dxfId="2095" priority="1338">
      <formula>$I110="잔금"</formula>
    </cfRule>
  </conditionalFormatting>
  <conditionalFormatting sqref="Q86">
    <cfRule type="expression" dxfId="2094" priority="1337">
      <formula>$I86="잔금"</formula>
    </cfRule>
  </conditionalFormatting>
  <conditionalFormatting sqref="X111:Z111 AB111:AF111 T111">
    <cfRule type="expression" dxfId="2093" priority="1335">
      <formula>$I111="잔금"</formula>
    </cfRule>
  </conditionalFormatting>
  <conditionalFormatting sqref="C111 J111 L111 R111 O111 E111:F111 T111">
    <cfRule type="expression" dxfId="2092" priority="1334">
      <formula>$I111="잔금"</formula>
    </cfRule>
  </conditionalFormatting>
  <conditionalFormatting sqref="E111">
    <cfRule type="expression" dxfId="2091" priority="1336">
      <formula>AND($I111&lt;&gt;"선금", $I111&lt;&gt;"")</formula>
    </cfRule>
  </conditionalFormatting>
  <conditionalFormatting sqref="X112:Z112 AB112:AG112 T112:V112">
    <cfRule type="expression" dxfId="2090" priority="1333">
      <formula>$I112="잔금"</formula>
    </cfRule>
  </conditionalFormatting>
  <conditionalFormatting sqref="F112 L112 R112 T112:V112">
    <cfRule type="expression" dxfId="2089" priority="1332">
      <formula>$I112="잔금"</formula>
    </cfRule>
  </conditionalFormatting>
  <conditionalFormatting sqref="X113:Z113 AB113:AG113 T113:V113">
    <cfRule type="expression" dxfId="2088" priority="1331">
      <formula>$I113="잔금"</formula>
    </cfRule>
  </conditionalFormatting>
  <conditionalFormatting sqref="F113 L113 R113 T113:V113">
    <cfRule type="expression" dxfId="2087" priority="1330">
      <formula>$I113="잔금"</formula>
    </cfRule>
  </conditionalFormatting>
  <conditionalFormatting sqref="B111:B113">
    <cfRule type="expression" dxfId="2086" priority="1329">
      <formula>$I111="잔금"</formula>
    </cfRule>
  </conditionalFormatting>
  <conditionalFormatting sqref="G111:G113">
    <cfRule type="expression" dxfId="2085" priority="1328">
      <formula>$I111="잔금"</formula>
    </cfRule>
  </conditionalFormatting>
  <conditionalFormatting sqref="I111:I113">
    <cfRule type="expression" dxfId="2084" priority="1326">
      <formula>$I111="잔금"</formula>
    </cfRule>
  </conditionalFormatting>
  <conditionalFormatting sqref="J112">
    <cfRule type="expression" dxfId="2083" priority="1325">
      <formula>$I112="잔금"</formula>
    </cfRule>
  </conditionalFormatting>
  <conditionalFormatting sqref="J113">
    <cfRule type="expression" dxfId="2082" priority="1324">
      <formula>$I113="잔금"</formula>
    </cfRule>
  </conditionalFormatting>
  <conditionalFormatting sqref="K111">
    <cfRule type="expression" dxfId="2081" priority="1323">
      <formula>$I111="잔금"</formula>
    </cfRule>
  </conditionalFormatting>
  <conditionalFormatting sqref="P111:P113">
    <cfRule type="expression" dxfId="2080" priority="1322">
      <formula>$I111="잔금"</formula>
    </cfRule>
  </conditionalFormatting>
  <conditionalFormatting sqref="C112:C113">
    <cfRule type="expression" dxfId="2079" priority="1321">
      <formula>$I112="잔금"</formula>
    </cfRule>
  </conditionalFormatting>
  <conditionalFormatting sqref="E112:E113">
    <cfRule type="expression" dxfId="2078" priority="1319">
      <formula>$I112="잔금"</formula>
    </cfRule>
  </conditionalFormatting>
  <conditionalFormatting sqref="E112:E113">
    <cfRule type="expression" dxfId="2077" priority="1320">
      <formula>AND($I112&lt;&gt;"선금", $I112&lt;&gt;"")</formula>
    </cfRule>
  </conditionalFormatting>
  <conditionalFormatting sqref="N111">
    <cfRule type="expression" dxfId="2076" priority="1318">
      <formula>$I111="잔금"</formula>
    </cfRule>
  </conditionalFormatting>
  <conditionalFormatting sqref="AG111">
    <cfRule type="expression" dxfId="2075" priority="1317">
      <formula>$I111="잔금"</formula>
    </cfRule>
  </conditionalFormatting>
  <conditionalFormatting sqref="K112:K113">
    <cfRule type="expression" dxfId="2074" priority="1316">
      <formula>$I112="잔금"</formula>
    </cfRule>
  </conditionalFormatting>
  <conditionalFormatting sqref="Q111:Q112">
    <cfRule type="expression" dxfId="2073" priority="1315">
      <formula>$I111="잔금"</formula>
    </cfRule>
  </conditionalFormatting>
  <conditionalFormatting sqref="D112">
    <cfRule type="expression" dxfId="2072" priority="1313">
      <formula>$I112="잔금"</formula>
    </cfRule>
  </conditionalFormatting>
  <conditionalFormatting sqref="D112">
    <cfRule type="expression" dxfId="2071" priority="1314">
      <formula>AND($I112&lt;&gt;"선금", $I112&lt;&gt;"")</formula>
    </cfRule>
  </conditionalFormatting>
  <conditionalFormatting sqref="D113">
    <cfRule type="expression" dxfId="2070" priority="1311">
      <formula>$I113="잔금"</formula>
    </cfRule>
  </conditionalFormatting>
  <conditionalFormatting sqref="D113">
    <cfRule type="expression" dxfId="2069" priority="1312">
      <formula>AND($I113&lt;&gt;"선금", $I113&lt;&gt;"")</formula>
    </cfRule>
  </conditionalFormatting>
  <conditionalFormatting sqref="D111">
    <cfRule type="expression" dxfId="2068" priority="1309">
      <formula>$I111="잔금"</formula>
    </cfRule>
  </conditionalFormatting>
  <conditionalFormatting sqref="D111">
    <cfRule type="expression" dxfId="2067" priority="1307">
      <formula>$I111="잔금"</formula>
    </cfRule>
    <cfRule type="expression" dxfId="2066" priority="1308">
      <formula>AND($I111&lt;&gt;"선금", $I111&lt;&gt;"")</formula>
    </cfRule>
  </conditionalFormatting>
  <conditionalFormatting sqref="D111">
    <cfRule type="expression" dxfId="2065" priority="1310">
      <formula>AND($I111&lt;&gt;"선금", $I111&lt;&gt;"")</formula>
    </cfRule>
  </conditionalFormatting>
  <conditionalFormatting sqref="M111">
    <cfRule type="expression" dxfId="2064" priority="1306">
      <formula>$I111="잔금"</formula>
    </cfRule>
  </conditionalFormatting>
  <conditionalFormatting sqref="Q113">
    <cfRule type="expression" dxfId="2063" priority="1305">
      <formula>$I113="잔금"</formula>
    </cfRule>
  </conditionalFormatting>
  <conditionalFormatting sqref="H111:H113">
    <cfRule type="expression" dxfId="2062" priority="1304">
      <formula>$I111="잔금"</formula>
    </cfRule>
  </conditionalFormatting>
  <conditionalFormatting sqref="M73">
    <cfRule type="expression" dxfId="2061" priority="1303">
      <formula>$I73="잔금"</formula>
    </cfRule>
  </conditionalFormatting>
  <conditionalFormatting sqref="M106">
    <cfRule type="expression" dxfId="2060" priority="1302">
      <formula>$I106="잔금"</formula>
    </cfRule>
  </conditionalFormatting>
  <conditionalFormatting sqref="M58">
    <cfRule type="expression" dxfId="2059" priority="1301">
      <formula>$I58="잔금"</formula>
    </cfRule>
  </conditionalFormatting>
  <conditionalFormatting sqref="D102">
    <cfRule type="expression" dxfId="2058" priority="1299">
      <formula>$I102="잔금"</formula>
    </cfRule>
  </conditionalFormatting>
  <conditionalFormatting sqref="D102">
    <cfRule type="expression" dxfId="2057" priority="1297">
      <formula>$I102="잔금"</formula>
    </cfRule>
    <cfRule type="expression" dxfId="2056" priority="1298">
      <formula>AND($I102&lt;&gt;"선금", $I102&lt;&gt;"")</formula>
    </cfRule>
  </conditionalFormatting>
  <conditionalFormatting sqref="D102">
    <cfRule type="expression" dxfId="2055" priority="1300">
      <formula>AND($I102&lt;&gt;"선금", $I102&lt;&gt;"")</formula>
    </cfRule>
  </conditionalFormatting>
  <conditionalFormatting sqref="D103">
    <cfRule type="expression" dxfId="2054" priority="1295">
      <formula>$I103="잔금"</formula>
    </cfRule>
  </conditionalFormatting>
  <conditionalFormatting sqref="D103">
    <cfRule type="expression" dxfId="2053" priority="1296">
      <formula>AND($I103&lt;&gt;"선금", $I103&lt;&gt;"")</formula>
    </cfRule>
  </conditionalFormatting>
  <conditionalFormatting sqref="D104">
    <cfRule type="expression" dxfId="2052" priority="1293">
      <formula>$I104="잔금"</formula>
    </cfRule>
  </conditionalFormatting>
  <conditionalFormatting sqref="D104">
    <cfRule type="expression" dxfId="2051" priority="1294">
      <formula>AND($I104&lt;&gt;"선금", $I104&lt;&gt;"")</formula>
    </cfRule>
  </conditionalFormatting>
  <conditionalFormatting sqref="M103">
    <cfRule type="expression" dxfId="2050" priority="1292">
      <formula>$I103="잔금"</formula>
    </cfRule>
  </conditionalFormatting>
  <conditionalFormatting sqref="Q89">
    <cfRule type="expression" dxfId="2049" priority="1291">
      <formula>$I89="잔금"</formula>
    </cfRule>
  </conditionalFormatting>
  <conditionalFormatting sqref="M76">
    <cfRule type="expression" dxfId="2048" priority="1290">
      <formula>$I76="잔금"</formula>
    </cfRule>
  </conditionalFormatting>
  <conditionalFormatting sqref="N23">
    <cfRule type="expression" dxfId="2047" priority="1289">
      <formula>$I23="잔금"</formula>
    </cfRule>
  </conditionalFormatting>
  <conditionalFormatting sqref="M82">
    <cfRule type="expression" dxfId="2046" priority="1288">
      <formula>$I82="잔금"</formula>
    </cfRule>
  </conditionalFormatting>
  <conditionalFormatting sqref="N82">
    <cfRule type="expression" dxfId="2045" priority="1287">
      <formula>$I82="잔금"</formula>
    </cfRule>
  </conditionalFormatting>
  <conditionalFormatting sqref="N54">
    <cfRule type="expression" dxfId="2044" priority="1286">
      <formula>$I54="잔금"</formula>
    </cfRule>
  </conditionalFormatting>
  <conditionalFormatting sqref="N57">
    <cfRule type="expression" dxfId="2043" priority="1285">
      <formula>$I57="잔금"</formula>
    </cfRule>
  </conditionalFormatting>
  <conditionalFormatting sqref="N73">
    <cfRule type="expression" dxfId="2042" priority="1284">
      <formula>$I73="잔금"</formula>
    </cfRule>
  </conditionalFormatting>
  <conditionalFormatting sqref="M64">
    <cfRule type="expression" dxfId="2041" priority="1283">
      <formula>$I64="잔금"</formula>
    </cfRule>
  </conditionalFormatting>
  <conditionalFormatting sqref="X114:Z114 AB114:AF114 T114:V114">
    <cfRule type="expression" dxfId="2040" priority="1281">
      <formula>$I114="잔금"</formula>
    </cfRule>
  </conditionalFormatting>
  <conditionalFormatting sqref="C114 J114 L114 R114 O114 E114:F114 T114:V114">
    <cfRule type="expression" dxfId="2039" priority="1280">
      <formula>$I114="잔금"</formula>
    </cfRule>
  </conditionalFormatting>
  <conditionalFormatting sqref="E114">
    <cfRule type="expression" dxfId="2038" priority="1282">
      <formula>AND($I114&lt;&gt;"선금", $I114&lt;&gt;"")</formula>
    </cfRule>
  </conditionalFormatting>
  <conditionalFormatting sqref="AB115:AG116 T115:V116 X115:Y116">
    <cfRule type="expression" dxfId="2037" priority="1279">
      <formula>$I115="잔금"</formula>
    </cfRule>
  </conditionalFormatting>
  <conditionalFormatting sqref="F115:F116 R115:R116 T115:V116 L115:L116 N115:O116">
    <cfRule type="expression" dxfId="2036" priority="1278">
      <formula>$I115="잔금"</formula>
    </cfRule>
  </conditionalFormatting>
  <conditionalFormatting sqref="X117:Z117 AB117:AG117 T117:V117">
    <cfRule type="expression" dxfId="2035" priority="1277">
      <formula>$I117="잔금"</formula>
    </cfRule>
  </conditionalFormatting>
  <conditionalFormatting sqref="F117 L117:O117 R117 T117:V117">
    <cfRule type="expression" dxfId="2034" priority="1276">
      <formula>$I117="잔금"</formula>
    </cfRule>
  </conditionalFormatting>
  <conditionalFormatting sqref="B114:B117">
    <cfRule type="expression" dxfId="2033" priority="1275">
      <formula>$I114="잔금"</formula>
    </cfRule>
  </conditionalFormatting>
  <conditionalFormatting sqref="G114:G117">
    <cfRule type="expression" dxfId="2032" priority="1274">
      <formula>$I114="잔금"</formula>
    </cfRule>
  </conditionalFormatting>
  <conditionalFormatting sqref="I114:I117">
    <cfRule type="expression" dxfId="2031" priority="1273">
      <formula>$I114="잔금"</formula>
    </cfRule>
  </conditionalFormatting>
  <conditionalFormatting sqref="J115:J116">
    <cfRule type="expression" dxfId="2030" priority="1272">
      <formula>$I115="잔금"</formula>
    </cfRule>
  </conditionalFormatting>
  <conditionalFormatting sqref="J117">
    <cfRule type="expression" dxfId="2029" priority="1271">
      <formula>$I117="잔금"</formula>
    </cfRule>
  </conditionalFormatting>
  <conditionalFormatting sqref="K114">
    <cfRule type="expression" dxfId="2028" priority="1270">
      <formula>$I114="잔금"</formula>
    </cfRule>
  </conditionalFormatting>
  <conditionalFormatting sqref="P114:P117">
    <cfRule type="expression" dxfId="2027" priority="1269">
      <formula>$I114="잔금"</formula>
    </cfRule>
  </conditionalFormatting>
  <conditionalFormatting sqref="C115:C117">
    <cfRule type="expression" dxfId="2026" priority="1268">
      <formula>$I115="잔금"</formula>
    </cfRule>
  </conditionalFormatting>
  <conditionalFormatting sqref="E115:E117">
    <cfRule type="expression" dxfId="2025" priority="1266">
      <formula>$I115="잔금"</formula>
    </cfRule>
  </conditionalFormatting>
  <conditionalFormatting sqref="E115:E117">
    <cfRule type="expression" dxfId="2024" priority="1267">
      <formula>AND($I115&lt;&gt;"선금", $I115&lt;&gt;"")</formula>
    </cfRule>
  </conditionalFormatting>
  <conditionalFormatting sqref="N114">
    <cfRule type="expression" dxfId="2023" priority="1265">
      <formula>$I114="잔금"</formula>
    </cfRule>
  </conditionalFormatting>
  <conditionalFormatting sqref="AG114">
    <cfRule type="expression" dxfId="2022" priority="1264">
      <formula>$I114="잔금"</formula>
    </cfRule>
  </conditionalFormatting>
  <conditionalFormatting sqref="K115:K117">
    <cfRule type="expression" dxfId="2021" priority="1263">
      <formula>$I115="잔금"</formula>
    </cfRule>
  </conditionalFormatting>
  <conditionalFormatting sqref="Q114:Q116">
    <cfRule type="expression" dxfId="2020" priority="1262">
      <formula>$I114="잔금"</formula>
    </cfRule>
  </conditionalFormatting>
  <conditionalFormatting sqref="D115:D116">
    <cfRule type="expression" dxfId="2019" priority="1260">
      <formula>$I115="잔금"</formula>
    </cfRule>
  </conditionalFormatting>
  <conditionalFormatting sqref="D115:D116">
    <cfRule type="expression" dxfId="2018" priority="1261">
      <formula>AND($I115&lt;&gt;"선금", $I115&lt;&gt;"")</formula>
    </cfRule>
  </conditionalFormatting>
  <conditionalFormatting sqref="D117">
    <cfRule type="expression" dxfId="2017" priority="1258">
      <formula>$I117="잔금"</formula>
    </cfRule>
  </conditionalFormatting>
  <conditionalFormatting sqref="D117">
    <cfRule type="expression" dxfId="2016" priority="1259">
      <formula>AND($I117&lt;&gt;"선금", $I117&lt;&gt;"")</formula>
    </cfRule>
  </conditionalFormatting>
  <conditionalFormatting sqref="D114">
    <cfRule type="expression" dxfId="2015" priority="1256">
      <formula>$I114="잔금"</formula>
    </cfRule>
  </conditionalFormatting>
  <conditionalFormatting sqref="D114">
    <cfRule type="expression" dxfId="2014" priority="1254">
      <formula>$I114="잔금"</formula>
    </cfRule>
    <cfRule type="expression" dxfId="2013" priority="1255">
      <formula>AND($I114&lt;&gt;"선금", $I114&lt;&gt;"")</formula>
    </cfRule>
  </conditionalFormatting>
  <conditionalFormatting sqref="D114">
    <cfRule type="expression" dxfId="2012" priority="1257">
      <formula>AND($I114&lt;&gt;"선금", $I114&lt;&gt;"")</formula>
    </cfRule>
  </conditionalFormatting>
  <conditionalFormatting sqref="M114">
    <cfRule type="expression" dxfId="2011" priority="1253">
      <formula>$I114="잔금"</formula>
    </cfRule>
  </conditionalFormatting>
  <conditionalFormatting sqref="H114:H117">
    <cfRule type="expression" dxfId="2010" priority="1251">
      <formula>$I114="잔금"</formula>
    </cfRule>
  </conditionalFormatting>
  <conditionalFormatting sqref="Z115">
    <cfRule type="expression" dxfId="2009" priority="1250">
      <formula>$I115="잔금"</formula>
    </cfRule>
  </conditionalFormatting>
  <conditionalFormatting sqref="Z116">
    <cfRule type="expression" dxfId="2008" priority="1249">
      <formula>$I116="잔금"</formula>
    </cfRule>
  </conditionalFormatting>
  <conditionalFormatting sqref="Q71">
    <cfRule type="expression" dxfId="2007" priority="1248">
      <formula>$I71="잔금"</formula>
    </cfRule>
  </conditionalFormatting>
  <conditionalFormatting sqref="M91">
    <cfRule type="expression" dxfId="2006" priority="1247">
      <formula>$I91="잔금"</formula>
    </cfRule>
  </conditionalFormatting>
  <conditionalFormatting sqref="M112">
    <cfRule type="expression" dxfId="2005" priority="1246">
      <formula>$I112="잔금"</formula>
    </cfRule>
  </conditionalFormatting>
  <conditionalFormatting sqref="X118:Z118 AB118:AF118 T118:V118">
    <cfRule type="expression" dxfId="2004" priority="1244">
      <formula>$I118="잔금"</formula>
    </cfRule>
  </conditionalFormatting>
  <conditionalFormatting sqref="C118 J118 L118 R118 E118:F118 T118:V118">
    <cfRule type="expression" dxfId="2003" priority="1243">
      <formula>$I118="잔금"</formula>
    </cfRule>
  </conditionalFormatting>
  <conditionalFormatting sqref="E118">
    <cfRule type="expression" dxfId="2002" priority="1245">
      <formula>AND($I118&lt;&gt;"선금", $I118&lt;&gt;"")</formula>
    </cfRule>
  </conditionalFormatting>
  <conditionalFormatting sqref="X119:Z119 AB119:AG119 T119:V119">
    <cfRule type="expression" dxfId="2001" priority="1242">
      <formula>$I119="잔금"</formula>
    </cfRule>
  </conditionalFormatting>
  <conditionalFormatting sqref="F119 L119 R119 O119 T119:V119">
    <cfRule type="expression" dxfId="2000" priority="1241">
      <formula>$I119="잔금"</formula>
    </cfRule>
  </conditionalFormatting>
  <conditionalFormatting sqref="X120:Z120 AB120:AG120 T120:V120">
    <cfRule type="expression" dxfId="1999" priority="1240">
      <formula>$I120="잔금"</formula>
    </cfRule>
  </conditionalFormatting>
  <conditionalFormatting sqref="F120 L120 R120 T120:V120 N120:O120">
    <cfRule type="expression" dxfId="1998" priority="1239">
      <formula>$I120="잔금"</formula>
    </cfRule>
  </conditionalFormatting>
  <conditionalFormatting sqref="B118:B120">
    <cfRule type="expression" dxfId="1997" priority="1238">
      <formula>$I118="잔금"</formula>
    </cfRule>
  </conditionalFormatting>
  <conditionalFormatting sqref="G118:G120">
    <cfRule type="expression" dxfId="1996" priority="1237">
      <formula>$I118="잔금"</formula>
    </cfRule>
  </conditionalFormatting>
  <conditionalFormatting sqref="I118:I120">
    <cfRule type="expression" dxfId="1995" priority="1236">
      <formula>$I118="잔금"</formula>
    </cfRule>
  </conditionalFormatting>
  <conditionalFormatting sqref="J119">
    <cfRule type="expression" dxfId="1994" priority="1235">
      <formula>$I119="잔금"</formula>
    </cfRule>
  </conditionalFormatting>
  <conditionalFormatting sqref="J120">
    <cfRule type="expression" dxfId="1993" priority="1234">
      <formula>$I120="잔금"</formula>
    </cfRule>
  </conditionalFormatting>
  <conditionalFormatting sqref="K118">
    <cfRule type="expression" dxfId="1992" priority="1233">
      <formula>$I118="잔금"</formula>
    </cfRule>
  </conditionalFormatting>
  <conditionalFormatting sqref="P118:P120">
    <cfRule type="expression" dxfId="1991" priority="1232">
      <formula>$I118="잔금"</formula>
    </cfRule>
  </conditionalFormatting>
  <conditionalFormatting sqref="C119:C120">
    <cfRule type="expression" dxfId="1990" priority="1231">
      <formula>$I119="잔금"</formula>
    </cfRule>
  </conditionalFormatting>
  <conditionalFormatting sqref="E119:E120">
    <cfRule type="expression" dxfId="1989" priority="1229">
      <formula>$I119="잔금"</formula>
    </cfRule>
  </conditionalFormatting>
  <conditionalFormatting sqref="E119:E120">
    <cfRule type="expression" dxfId="1988" priority="1230">
      <formula>AND($I119&lt;&gt;"선금", $I119&lt;&gt;"")</formula>
    </cfRule>
  </conditionalFormatting>
  <conditionalFormatting sqref="N118">
    <cfRule type="expression" dxfId="1987" priority="1228">
      <formula>$I118="잔금"</formula>
    </cfRule>
  </conditionalFormatting>
  <conditionalFormatting sqref="AG118">
    <cfRule type="expression" dxfId="1986" priority="1227">
      <formula>$I118="잔금"</formula>
    </cfRule>
  </conditionalFormatting>
  <conditionalFormatting sqref="K119:K120">
    <cfRule type="expression" dxfId="1985" priority="1226">
      <formula>$I119="잔금"</formula>
    </cfRule>
  </conditionalFormatting>
  <conditionalFormatting sqref="Q118:Q119">
    <cfRule type="expression" dxfId="1984" priority="1225">
      <formula>$I118="잔금"</formula>
    </cfRule>
  </conditionalFormatting>
  <conditionalFormatting sqref="D119">
    <cfRule type="expression" dxfId="1983" priority="1223">
      <formula>$I119="잔금"</formula>
    </cfRule>
  </conditionalFormatting>
  <conditionalFormatting sqref="D119">
    <cfRule type="expression" dxfId="1982" priority="1224">
      <formula>AND($I119&lt;&gt;"선금", $I119&lt;&gt;"")</formula>
    </cfRule>
  </conditionalFormatting>
  <conditionalFormatting sqref="D120">
    <cfRule type="expression" dxfId="1981" priority="1221">
      <formula>$I120="잔금"</formula>
    </cfRule>
  </conditionalFormatting>
  <conditionalFormatting sqref="D120">
    <cfRule type="expression" dxfId="1980" priority="1222">
      <formula>AND($I120&lt;&gt;"선금", $I120&lt;&gt;"")</formula>
    </cfRule>
  </conditionalFormatting>
  <conditionalFormatting sqref="M118">
    <cfRule type="expression" dxfId="1979" priority="1216">
      <formula>$I118="잔금"</formula>
    </cfRule>
  </conditionalFormatting>
  <conditionalFormatting sqref="H118:H120">
    <cfRule type="expression" dxfId="1978" priority="1214">
      <formula>$I118="잔금"</formula>
    </cfRule>
  </conditionalFormatting>
  <conditionalFormatting sqref="M119">
    <cfRule type="expression" dxfId="1977" priority="1213">
      <formula>$I119="잔금"</formula>
    </cfRule>
  </conditionalFormatting>
  <conditionalFormatting sqref="X121:Z121 AB121:AF121 T121:V121">
    <cfRule type="expression" dxfId="1976" priority="1207">
      <formula>$I121="잔금"</formula>
    </cfRule>
  </conditionalFormatting>
  <conditionalFormatting sqref="C121 J121 L121 R121 O121 E121:F121 T121:V121">
    <cfRule type="expression" dxfId="1975" priority="1206">
      <formula>$I121="잔금"</formula>
    </cfRule>
  </conditionalFormatting>
  <conditionalFormatting sqref="E121">
    <cfRule type="expression" dxfId="1974" priority="1208">
      <formula>AND($I121&lt;&gt;"선금", $I121&lt;&gt;"")</formula>
    </cfRule>
  </conditionalFormatting>
  <conditionalFormatting sqref="X122:Z122 AB122:AG122 T122:V122">
    <cfRule type="expression" dxfId="1973" priority="1205">
      <formula>$I122="잔금"</formula>
    </cfRule>
  </conditionalFormatting>
  <conditionalFormatting sqref="F122 L122 R122 T122:V122">
    <cfRule type="expression" dxfId="1972" priority="1204">
      <formula>$I122="잔금"</formula>
    </cfRule>
  </conditionalFormatting>
  <conditionalFormatting sqref="X123:Z123 AB123:AG123 T123:V123">
    <cfRule type="expression" dxfId="1971" priority="1203">
      <formula>$I123="잔금"</formula>
    </cfRule>
  </conditionalFormatting>
  <conditionalFormatting sqref="F123 L123 R123 T123:V123 N123:O123">
    <cfRule type="expression" dxfId="1970" priority="1202">
      <formula>$I123="잔금"</formula>
    </cfRule>
  </conditionalFormatting>
  <conditionalFormatting sqref="B121:B123">
    <cfRule type="expression" dxfId="1969" priority="1201">
      <formula>$I121="잔금"</formula>
    </cfRule>
  </conditionalFormatting>
  <conditionalFormatting sqref="G121:G123">
    <cfRule type="expression" dxfId="1968" priority="1200">
      <formula>$I121="잔금"</formula>
    </cfRule>
  </conditionalFormatting>
  <conditionalFormatting sqref="I121:I123">
    <cfRule type="expression" dxfId="1967" priority="1199">
      <formula>$I121="잔금"</formula>
    </cfRule>
  </conditionalFormatting>
  <conditionalFormatting sqref="J122">
    <cfRule type="expression" dxfId="1966" priority="1198">
      <formula>$I122="잔금"</formula>
    </cfRule>
  </conditionalFormatting>
  <conditionalFormatting sqref="J123">
    <cfRule type="expression" dxfId="1965" priority="1197">
      <formula>$I123="잔금"</formula>
    </cfRule>
  </conditionalFormatting>
  <conditionalFormatting sqref="K121">
    <cfRule type="expression" dxfId="1964" priority="1196">
      <formula>$I121="잔금"</formula>
    </cfRule>
  </conditionalFormatting>
  <conditionalFormatting sqref="P121:P123">
    <cfRule type="expression" dxfId="1963" priority="1195">
      <formula>$I121="잔금"</formula>
    </cfRule>
  </conditionalFormatting>
  <conditionalFormatting sqref="C122:C123">
    <cfRule type="expression" dxfId="1962" priority="1194">
      <formula>$I122="잔금"</formula>
    </cfRule>
  </conditionalFormatting>
  <conditionalFormatting sqref="E122:E123">
    <cfRule type="expression" dxfId="1961" priority="1192">
      <formula>$I122="잔금"</formula>
    </cfRule>
  </conditionalFormatting>
  <conditionalFormatting sqref="E122:E123">
    <cfRule type="expression" dxfId="1960" priority="1193">
      <formula>AND($I122&lt;&gt;"선금", $I122&lt;&gt;"")</formula>
    </cfRule>
  </conditionalFormatting>
  <conditionalFormatting sqref="N121">
    <cfRule type="expression" dxfId="1959" priority="1191">
      <formula>$I121="잔금"</formula>
    </cfRule>
  </conditionalFormatting>
  <conditionalFormatting sqref="AG121">
    <cfRule type="expression" dxfId="1958" priority="1190">
      <formula>$I121="잔금"</formula>
    </cfRule>
  </conditionalFormatting>
  <conditionalFormatting sqref="K122:K123">
    <cfRule type="expression" dxfId="1957" priority="1189">
      <formula>$I122="잔금"</formula>
    </cfRule>
  </conditionalFormatting>
  <conditionalFormatting sqref="Q121:Q122">
    <cfRule type="expression" dxfId="1956" priority="1188">
      <formula>$I121="잔금"</formula>
    </cfRule>
  </conditionalFormatting>
  <conditionalFormatting sqref="D122">
    <cfRule type="expression" dxfId="1955" priority="1186">
      <formula>$I122="잔금"</formula>
    </cfRule>
  </conditionalFormatting>
  <conditionalFormatting sqref="D122">
    <cfRule type="expression" dxfId="1954" priority="1187">
      <formula>AND($I122&lt;&gt;"선금", $I122&lt;&gt;"")</formula>
    </cfRule>
  </conditionalFormatting>
  <conditionalFormatting sqref="D123">
    <cfRule type="expression" dxfId="1953" priority="1184">
      <formula>$I123="잔금"</formula>
    </cfRule>
  </conditionalFormatting>
  <conditionalFormatting sqref="D123">
    <cfRule type="expression" dxfId="1952" priority="1185">
      <formula>AND($I123&lt;&gt;"선금", $I123&lt;&gt;"")</formula>
    </cfRule>
  </conditionalFormatting>
  <conditionalFormatting sqref="M121">
    <cfRule type="expression" dxfId="1951" priority="1183">
      <formula>$I121="잔금"</formula>
    </cfRule>
  </conditionalFormatting>
  <conditionalFormatting sqref="H121:H123">
    <cfRule type="expression" dxfId="1950" priority="1181">
      <formula>$I121="잔금"</formula>
    </cfRule>
  </conditionalFormatting>
  <conditionalFormatting sqref="M122">
    <cfRule type="expression" dxfId="1949" priority="1180">
      <formula>$I122="잔금"</formula>
    </cfRule>
  </conditionalFormatting>
  <conditionalFormatting sqref="D121">
    <cfRule type="expression" dxfId="1948" priority="1172">
      <formula>$I121="잔금"</formula>
    </cfRule>
    <cfRule type="expression" dxfId="1947" priority="1173">
      <formula>AND($I121&lt;&gt;"선금", $I121&lt;&gt;"")</formula>
    </cfRule>
  </conditionalFormatting>
  <conditionalFormatting sqref="D121">
    <cfRule type="expression" dxfId="1946" priority="1175">
      <formula>AND($I121&lt;&gt;"선금", $I121&lt;&gt;"")</formula>
    </cfRule>
  </conditionalFormatting>
  <conditionalFormatting sqref="D121">
    <cfRule type="expression" dxfId="1945" priority="1174">
      <formula>$I121="잔금"</formula>
    </cfRule>
  </conditionalFormatting>
  <conditionalFormatting sqref="D118">
    <cfRule type="expression" dxfId="1944" priority="1168">
      <formula>$I118="잔금"</formula>
    </cfRule>
    <cfRule type="expression" dxfId="1943" priority="1169">
      <formula>AND($I118&lt;&gt;"선금", $I118&lt;&gt;"")</formula>
    </cfRule>
  </conditionalFormatting>
  <conditionalFormatting sqref="D118">
    <cfRule type="expression" dxfId="1942" priority="1171">
      <formula>AND($I118&lt;&gt;"선금", $I118&lt;&gt;"")</formula>
    </cfRule>
  </conditionalFormatting>
  <conditionalFormatting sqref="D118">
    <cfRule type="expression" dxfId="1941" priority="1170">
      <formula>$I118="잔금"</formula>
    </cfRule>
  </conditionalFormatting>
  <conditionalFormatting sqref="X124 AB124:AF124 T124:V124">
    <cfRule type="expression" dxfId="1940" priority="1166">
      <formula>$I124="잔금"</formula>
    </cfRule>
  </conditionalFormatting>
  <conditionalFormatting sqref="C124 J124 L124 R124 E124:F124 T124:V124">
    <cfRule type="expression" dxfId="1939" priority="1165">
      <formula>$I124="잔금"</formula>
    </cfRule>
  </conditionalFormatting>
  <conditionalFormatting sqref="E124">
    <cfRule type="expression" dxfId="1938" priority="1167">
      <formula>AND($I124&lt;&gt;"선금", $I124&lt;&gt;"")</formula>
    </cfRule>
  </conditionalFormatting>
  <conditionalFormatting sqref="X125:Z125 AB125:AG125 T125:V125">
    <cfRule type="expression" dxfId="1937" priority="1164">
      <formula>$I125="잔금"</formula>
    </cfRule>
  </conditionalFormatting>
  <conditionalFormatting sqref="F125 L125 R125 N125:O125 T125:V125">
    <cfRule type="expression" dxfId="1936" priority="1163">
      <formula>$I125="잔금"</formula>
    </cfRule>
  </conditionalFormatting>
  <conditionalFormatting sqref="X126:Z126 AB126:AG126 T126:V126">
    <cfRule type="expression" dxfId="1935" priority="1162">
      <formula>$I126="잔금"</formula>
    </cfRule>
  </conditionalFormatting>
  <conditionalFormatting sqref="F126 L126:O126 R126 T126:V126">
    <cfRule type="expression" dxfId="1934" priority="1161">
      <formula>$I126="잔금"</formula>
    </cfRule>
  </conditionalFormatting>
  <conditionalFormatting sqref="B124:B126">
    <cfRule type="expression" dxfId="1933" priority="1160">
      <formula>$I124="잔금"</formula>
    </cfRule>
  </conditionalFormatting>
  <conditionalFormatting sqref="G124:G126">
    <cfRule type="expression" dxfId="1932" priority="1159">
      <formula>$I124="잔금"</formula>
    </cfRule>
  </conditionalFormatting>
  <conditionalFormatting sqref="I124:I126">
    <cfRule type="expression" dxfId="1931" priority="1158">
      <formula>$I124="잔금"</formula>
    </cfRule>
  </conditionalFormatting>
  <conditionalFormatting sqref="J125">
    <cfRule type="expression" dxfId="1930" priority="1157">
      <formula>$I125="잔금"</formula>
    </cfRule>
  </conditionalFormatting>
  <conditionalFormatting sqref="J126">
    <cfRule type="expression" dxfId="1929" priority="1156">
      <formula>$I126="잔금"</formula>
    </cfRule>
  </conditionalFormatting>
  <conditionalFormatting sqref="K124">
    <cfRule type="expression" dxfId="1928" priority="1155">
      <formula>$I124="잔금"</formula>
    </cfRule>
  </conditionalFormatting>
  <conditionalFormatting sqref="P124:P126">
    <cfRule type="expression" dxfId="1927" priority="1154">
      <formula>$I124="잔금"</formula>
    </cfRule>
  </conditionalFormatting>
  <conditionalFormatting sqref="C125:C126">
    <cfRule type="expression" dxfId="1926" priority="1153">
      <formula>$I125="잔금"</formula>
    </cfRule>
  </conditionalFormatting>
  <conditionalFormatting sqref="E125:E126">
    <cfRule type="expression" dxfId="1925" priority="1151">
      <formula>$I125="잔금"</formula>
    </cfRule>
  </conditionalFormatting>
  <conditionalFormatting sqref="E125:E126">
    <cfRule type="expression" dxfId="1924" priority="1152">
      <formula>AND($I125&lt;&gt;"선금", $I125&lt;&gt;"")</formula>
    </cfRule>
  </conditionalFormatting>
  <conditionalFormatting sqref="N124">
    <cfRule type="expression" dxfId="1923" priority="1150">
      <formula>$I124="잔금"</formula>
    </cfRule>
  </conditionalFormatting>
  <conditionalFormatting sqref="AG124">
    <cfRule type="expression" dxfId="1922" priority="1149">
      <formula>$I124="잔금"</formula>
    </cfRule>
  </conditionalFormatting>
  <conditionalFormatting sqref="K125:K126">
    <cfRule type="expression" dxfId="1921" priority="1148">
      <formula>$I125="잔금"</formula>
    </cfRule>
  </conditionalFormatting>
  <conditionalFormatting sqref="Q124:Q125">
    <cfRule type="expression" dxfId="1920" priority="1147">
      <formula>$I124="잔금"</formula>
    </cfRule>
  </conditionalFormatting>
  <conditionalFormatting sqref="D125">
    <cfRule type="expression" dxfId="1919" priority="1145">
      <formula>$I125="잔금"</formula>
    </cfRule>
  </conditionalFormatting>
  <conditionalFormatting sqref="D125">
    <cfRule type="expression" dxfId="1918" priority="1146">
      <formula>AND($I125&lt;&gt;"선금", $I125&lt;&gt;"")</formula>
    </cfRule>
  </conditionalFormatting>
  <conditionalFormatting sqref="D126">
    <cfRule type="expression" dxfId="1917" priority="1143">
      <formula>$I126="잔금"</formula>
    </cfRule>
  </conditionalFormatting>
  <conditionalFormatting sqref="D126">
    <cfRule type="expression" dxfId="1916" priority="1144">
      <formula>AND($I126&lt;&gt;"선금", $I126&lt;&gt;"")</formula>
    </cfRule>
  </conditionalFormatting>
  <conditionalFormatting sqref="M124">
    <cfRule type="expression" dxfId="1915" priority="1142">
      <formula>$I124="잔금"</formula>
    </cfRule>
  </conditionalFormatting>
  <conditionalFormatting sqref="H124:H126">
    <cfRule type="expression" dxfId="1914" priority="1140">
      <formula>$I124="잔금"</formula>
    </cfRule>
  </conditionalFormatting>
  <conditionalFormatting sqref="M125">
    <cfRule type="expression" dxfId="1913" priority="1139">
      <formula>$I125="잔금"</formula>
    </cfRule>
  </conditionalFormatting>
  <conditionalFormatting sqref="D124">
    <cfRule type="expression" dxfId="1912" priority="1131">
      <formula>$I124="잔금"</formula>
    </cfRule>
    <cfRule type="expression" dxfId="1911" priority="1132">
      <formula>AND($I124&lt;&gt;"선금", $I124&lt;&gt;"")</formula>
    </cfRule>
  </conditionalFormatting>
  <conditionalFormatting sqref="D124">
    <cfRule type="expression" dxfId="1910" priority="1134">
      <formula>AND($I124&lt;&gt;"선금", $I124&lt;&gt;"")</formula>
    </cfRule>
  </conditionalFormatting>
  <conditionalFormatting sqref="D124">
    <cfRule type="expression" dxfId="1909" priority="1133">
      <formula>$I124="잔금"</formula>
    </cfRule>
  </conditionalFormatting>
  <conditionalFormatting sqref="K29">
    <cfRule type="expression" dxfId="1908" priority="1129">
      <formula>$I29="잔금"</formula>
    </cfRule>
  </conditionalFormatting>
  <conditionalFormatting sqref="K30:K31">
    <cfRule type="expression" dxfId="1907" priority="1128">
      <formula>$I30="잔금"</formula>
    </cfRule>
  </conditionalFormatting>
  <conditionalFormatting sqref="Q55">
    <cfRule type="expression" dxfId="1906" priority="1125">
      <formula>$I55="잔금"</formula>
    </cfRule>
  </conditionalFormatting>
  <conditionalFormatting sqref="Q49">
    <cfRule type="expression" dxfId="1905" priority="1124">
      <formula>$I49="잔금"</formula>
    </cfRule>
  </conditionalFormatting>
  <conditionalFormatting sqref="Q68">
    <cfRule type="expression" dxfId="1904" priority="1120">
      <formula>$I68="잔금"</formula>
    </cfRule>
  </conditionalFormatting>
  <conditionalFormatting sqref="Q104">
    <cfRule type="expression" dxfId="1903" priority="1113">
      <formula>$I104="잔금"</formula>
    </cfRule>
  </conditionalFormatting>
  <conditionalFormatting sqref="Q107">
    <cfRule type="expression" dxfId="1902" priority="1112">
      <formula>$I107="잔금"</formula>
    </cfRule>
  </conditionalFormatting>
  <conditionalFormatting sqref="Q117">
    <cfRule type="expression" dxfId="1901" priority="1111">
      <formula>$I117="잔금"</formula>
    </cfRule>
  </conditionalFormatting>
  <conditionalFormatting sqref="K32">
    <cfRule type="expression" dxfId="1900" priority="1109">
      <formula>$I32="잔금"</formula>
    </cfRule>
  </conditionalFormatting>
  <conditionalFormatting sqref="K33:K34">
    <cfRule type="expression" dxfId="1899" priority="1108">
      <formula>$I33="잔금"</formula>
    </cfRule>
  </conditionalFormatting>
  <conditionalFormatting sqref="Q59">
    <cfRule type="expression" dxfId="1898" priority="1105">
      <formula>$I59="잔금"</formula>
    </cfRule>
  </conditionalFormatting>
  <conditionalFormatting sqref="Q92">
    <cfRule type="expression" dxfId="1897" priority="1103">
      <formula>$I92="잔금"</formula>
    </cfRule>
  </conditionalFormatting>
  <conditionalFormatting sqref="Q28">
    <cfRule type="expression" dxfId="1896" priority="1102">
      <formula>$I28="잔금"</formula>
    </cfRule>
  </conditionalFormatting>
  <conditionalFormatting sqref="Q34">
    <cfRule type="expression" dxfId="1895" priority="1101">
      <formula>$I34="잔금"</formula>
    </cfRule>
  </conditionalFormatting>
  <conditionalFormatting sqref="Q37">
    <cfRule type="expression" dxfId="1894" priority="1100">
      <formula>$I37="잔금"</formula>
    </cfRule>
  </conditionalFormatting>
  <conditionalFormatting sqref="Q65">
    <cfRule type="expression" dxfId="1893" priority="1099">
      <formula>$I65="잔금"</formula>
    </cfRule>
  </conditionalFormatting>
  <conditionalFormatting sqref="Q77">
    <cfRule type="expression" dxfId="1892" priority="1098">
      <formula>$I77="잔금"</formula>
    </cfRule>
  </conditionalFormatting>
  <conditionalFormatting sqref="Q80">
    <cfRule type="expression" dxfId="1891" priority="1097">
      <formula>$I80="잔금"</formula>
    </cfRule>
  </conditionalFormatting>
  <conditionalFormatting sqref="Q95">
    <cfRule type="expression" dxfId="1890" priority="1096">
      <formula>$I95="잔금"</formula>
    </cfRule>
  </conditionalFormatting>
  <conditionalFormatting sqref="Q98">
    <cfRule type="expression" dxfId="1889" priority="1095">
      <formula>$I98="잔금"</formula>
    </cfRule>
  </conditionalFormatting>
  <conditionalFormatting sqref="Q101">
    <cfRule type="expression" dxfId="1888" priority="1094">
      <formula>$I101="잔금"</formula>
    </cfRule>
  </conditionalFormatting>
  <conditionalFormatting sqref="Q120">
    <cfRule type="expression" dxfId="1887" priority="1093">
      <formula>$I120="잔금"</formula>
    </cfRule>
  </conditionalFormatting>
  <conditionalFormatting sqref="Q123">
    <cfRule type="expression" dxfId="1886" priority="1092">
      <formula>$I123="잔금"</formula>
    </cfRule>
  </conditionalFormatting>
  <conditionalFormatting sqref="Q126">
    <cfRule type="expression" dxfId="1885" priority="1090">
      <formula>$I126="잔금"</formula>
    </cfRule>
  </conditionalFormatting>
  <conditionalFormatting sqref="M100">
    <cfRule type="expression" dxfId="1884" priority="1089">
      <formula>$I100="잔금"</formula>
    </cfRule>
  </conditionalFormatting>
  <conditionalFormatting sqref="M113">
    <cfRule type="expression" dxfId="1883" priority="1088">
      <formula>$I113="잔금"</formula>
    </cfRule>
  </conditionalFormatting>
  <conditionalFormatting sqref="K26">
    <cfRule type="expression" dxfId="1882" priority="1087">
      <formula>$I26="잔금"</formula>
    </cfRule>
  </conditionalFormatting>
  <conditionalFormatting sqref="K27:K28">
    <cfRule type="expression" dxfId="1881" priority="1086">
      <formula>$I27="잔금"</formula>
    </cfRule>
  </conditionalFormatting>
  <conditionalFormatting sqref="X127:Z127 AB127:AF127 T127:V127">
    <cfRule type="expression" dxfId="1880" priority="1084">
      <formula>$I127="잔금"</formula>
    </cfRule>
  </conditionalFormatting>
  <conditionalFormatting sqref="C127 J127 L127 R127 O127 E127:F127 T127:V127">
    <cfRule type="expression" dxfId="1879" priority="1083">
      <formula>$I127="잔금"</formula>
    </cfRule>
  </conditionalFormatting>
  <conditionalFormatting sqref="E127">
    <cfRule type="expression" dxfId="1878" priority="1085">
      <formula>AND($I127&lt;&gt;"선금", $I127&lt;&gt;"")</formula>
    </cfRule>
  </conditionalFormatting>
  <conditionalFormatting sqref="X128:Z128 AB128:AG128 T128:V128">
    <cfRule type="expression" dxfId="1877" priority="1082">
      <formula>$I128="잔금"</formula>
    </cfRule>
  </conditionalFormatting>
  <conditionalFormatting sqref="F128 L128 R128 N128:O128 T128:V128">
    <cfRule type="expression" dxfId="1876" priority="1081">
      <formula>$I128="잔금"</formula>
    </cfRule>
  </conditionalFormatting>
  <conditionalFormatting sqref="X129:Z129 AB129:AG129 T129:V129">
    <cfRule type="expression" dxfId="1875" priority="1080">
      <formula>$I129="잔금"</formula>
    </cfRule>
  </conditionalFormatting>
  <conditionalFormatting sqref="F129 L129:O129 R129 T129:V129">
    <cfRule type="expression" dxfId="1874" priority="1079">
      <formula>$I129="잔금"</formula>
    </cfRule>
  </conditionalFormatting>
  <conditionalFormatting sqref="B127:B129">
    <cfRule type="expression" dxfId="1873" priority="1078">
      <formula>$I127="잔금"</formula>
    </cfRule>
  </conditionalFormatting>
  <conditionalFormatting sqref="G127:G129">
    <cfRule type="expression" dxfId="1872" priority="1077">
      <formula>$I127="잔금"</formula>
    </cfRule>
  </conditionalFormatting>
  <conditionalFormatting sqref="I127:I129">
    <cfRule type="expression" dxfId="1871" priority="1076">
      <formula>$I127="잔금"</formula>
    </cfRule>
  </conditionalFormatting>
  <conditionalFormatting sqref="J128">
    <cfRule type="expression" dxfId="1870" priority="1075">
      <formula>$I128="잔금"</formula>
    </cfRule>
  </conditionalFormatting>
  <conditionalFormatting sqref="J129">
    <cfRule type="expression" dxfId="1869" priority="1074">
      <formula>$I129="잔금"</formula>
    </cfRule>
  </conditionalFormatting>
  <conditionalFormatting sqref="K127">
    <cfRule type="expression" dxfId="1868" priority="1073">
      <formula>$I127="잔금"</formula>
    </cfRule>
  </conditionalFormatting>
  <conditionalFormatting sqref="P127:P129">
    <cfRule type="expression" dxfId="1867" priority="1072">
      <formula>$I127="잔금"</formula>
    </cfRule>
  </conditionalFormatting>
  <conditionalFormatting sqref="C128:C129">
    <cfRule type="expression" dxfId="1866" priority="1071">
      <formula>$I128="잔금"</formula>
    </cfRule>
  </conditionalFormatting>
  <conditionalFormatting sqref="E128:E129">
    <cfRule type="expression" dxfId="1865" priority="1069">
      <formula>$I128="잔금"</formula>
    </cfRule>
  </conditionalFormatting>
  <conditionalFormatting sqref="E128:E129">
    <cfRule type="expression" dxfId="1864" priority="1070">
      <formula>AND($I128&lt;&gt;"선금", $I128&lt;&gt;"")</formula>
    </cfRule>
  </conditionalFormatting>
  <conditionalFormatting sqref="N127">
    <cfRule type="expression" dxfId="1863" priority="1068">
      <formula>$I127="잔금"</formula>
    </cfRule>
  </conditionalFormatting>
  <conditionalFormatting sqref="AG127">
    <cfRule type="expression" dxfId="1862" priority="1067">
      <formula>$I127="잔금"</formula>
    </cfRule>
  </conditionalFormatting>
  <conditionalFormatting sqref="K128:K129">
    <cfRule type="expression" dxfId="1861" priority="1066">
      <formula>$I128="잔금"</formula>
    </cfRule>
  </conditionalFormatting>
  <conditionalFormatting sqref="Q127:Q128">
    <cfRule type="expression" dxfId="1860" priority="1065">
      <formula>$I127="잔금"</formula>
    </cfRule>
  </conditionalFormatting>
  <conditionalFormatting sqref="D128">
    <cfRule type="expression" dxfId="1859" priority="1063">
      <formula>$I128="잔금"</formula>
    </cfRule>
  </conditionalFormatting>
  <conditionalFormatting sqref="D128">
    <cfRule type="expression" dxfId="1858" priority="1064">
      <formula>AND($I128&lt;&gt;"선금", $I128&lt;&gt;"")</formula>
    </cfRule>
  </conditionalFormatting>
  <conditionalFormatting sqref="D129">
    <cfRule type="expression" dxfId="1857" priority="1061">
      <formula>$I129="잔금"</formula>
    </cfRule>
  </conditionalFormatting>
  <conditionalFormatting sqref="D129">
    <cfRule type="expression" dxfId="1856" priority="1062">
      <formula>AND($I129&lt;&gt;"선금", $I129&lt;&gt;"")</formula>
    </cfRule>
  </conditionalFormatting>
  <conditionalFormatting sqref="M127">
    <cfRule type="expression" dxfId="1855" priority="1060">
      <formula>$I127="잔금"</formula>
    </cfRule>
  </conditionalFormatting>
  <conditionalFormatting sqref="H127:H129">
    <cfRule type="expression" dxfId="1854" priority="1059">
      <formula>$I127="잔금"</formula>
    </cfRule>
  </conditionalFormatting>
  <conditionalFormatting sqref="M128">
    <cfRule type="expression" dxfId="1853" priority="1058">
      <formula>$I128="잔금"</formula>
    </cfRule>
  </conditionalFormatting>
  <conditionalFormatting sqref="Q129">
    <cfRule type="expression" dxfId="1852" priority="1053">
      <formula>$I129="잔금"</formula>
    </cfRule>
  </conditionalFormatting>
  <conditionalFormatting sqref="D127">
    <cfRule type="expression" dxfId="1851" priority="1051">
      <formula>$I127="잔금"</formula>
    </cfRule>
  </conditionalFormatting>
  <conditionalFormatting sqref="D127">
    <cfRule type="expression" dxfId="1850" priority="1049">
      <formula>$I127="잔금"</formula>
    </cfRule>
    <cfRule type="expression" dxfId="1849" priority="1050">
      <formula>AND($I127&lt;&gt;"선금", $I127&lt;&gt;"")</formula>
    </cfRule>
  </conditionalFormatting>
  <conditionalFormatting sqref="D127">
    <cfRule type="expression" dxfId="1848" priority="1052">
      <formula>AND($I127&lt;&gt;"선금", $I127&lt;&gt;"")</formula>
    </cfRule>
  </conditionalFormatting>
  <conditionalFormatting sqref="X130:Z130 AB130:AF130 T130:V130">
    <cfRule type="expression" dxfId="1847" priority="1047">
      <formula>$I130="잔금"</formula>
    </cfRule>
  </conditionalFormatting>
  <conditionalFormatting sqref="C130 J130 L130 R130 O130 E130:F130 T130:V130">
    <cfRule type="expression" dxfId="1846" priority="1046">
      <formula>$I130="잔금"</formula>
    </cfRule>
  </conditionalFormatting>
  <conditionalFormatting sqref="E130">
    <cfRule type="expression" dxfId="1845" priority="1048">
      <formula>AND($I130&lt;&gt;"선금", $I130&lt;&gt;"")</formula>
    </cfRule>
  </conditionalFormatting>
  <conditionalFormatting sqref="X131:Z131 AB131:AG131 T131:V131">
    <cfRule type="expression" dxfId="1844" priority="1045">
      <formula>$I131="잔금"</formula>
    </cfRule>
  </conditionalFormatting>
  <conditionalFormatting sqref="F131 L131 R131 N131:O131 T131:V131">
    <cfRule type="expression" dxfId="1843" priority="1044">
      <formula>$I131="잔금"</formula>
    </cfRule>
  </conditionalFormatting>
  <conditionalFormatting sqref="X132:Z132 AB132:AG132 T132:V132">
    <cfRule type="expression" dxfId="1842" priority="1043">
      <formula>$I132="잔금"</formula>
    </cfRule>
  </conditionalFormatting>
  <conditionalFormatting sqref="F132 L132:O132 R132 T132:V132">
    <cfRule type="expression" dxfId="1841" priority="1042">
      <formula>$I132="잔금"</formula>
    </cfRule>
  </conditionalFormatting>
  <conditionalFormatting sqref="B130:B132">
    <cfRule type="expression" dxfId="1840" priority="1041">
      <formula>$I130="잔금"</formula>
    </cfRule>
  </conditionalFormatting>
  <conditionalFormatting sqref="G130:G132">
    <cfRule type="expression" dxfId="1839" priority="1040">
      <formula>$I130="잔금"</formula>
    </cfRule>
  </conditionalFormatting>
  <conditionalFormatting sqref="I130:I132">
    <cfRule type="expression" dxfId="1838" priority="1039">
      <formula>$I130="잔금"</formula>
    </cfRule>
  </conditionalFormatting>
  <conditionalFormatting sqref="J131">
    <cfRule type="expression" dxfId="1837" priority="1038">
      <formula>$I131="잔금"</formula>
    </cfRule>
  </conditionalFormatting>
  <conditionalFormatting sqref="J132">
    <cfRule type="expression" dxfId="1836" priority="1037">
      <formula>$I132="잔금"</formula>
    </cfRule>
  </conditionalFormatting>
  <conditionalFormatting sqref="K130">
    <cfRule type="expression" dxfId="1835" priority="1036">
      <formula>$I130="잔금"</formula>
    </cfRule>
  </conditionalFormatting>
  <conditionalFormatting sqref="P130:P132">
    <cfRule type="expression" dxfId="1834" priority="1035">
      <formula>$I130="잔금"</formula>
    </cfRule>
  </conditionalFormatting>
  <conditionalFormatting sqref="C131:C132">
    <cfRule type="expression" dxfId="1833" priority="1034">
      <formula>$I131="잔금"</formula>
    </cfRule>
  </conditionalFormatting>
  <conditionalFormatting sqref="E131:E132">
    <cfRule type="expression" dxfId="1832" priority="1032">
      <formula>$I131="잔금"</formula>
    </cfRule>
  </conditionalFormatting>
  <conditionalFormatting sqref="E131:E132">
    <cfRule type="expression" dxfId="1831" priority="1033">
      <formula>AND($I131&lt;&gt;"선금", $I131&lt;&gt;"")</formula>
    </cfRule>
  </conditionalFormatting>
  <conditionalFormatting sqref="N130">
    <cfRule type="expression" dxfId="1830" priority="1031">
      <formula>$I130="잔금"</formula>
    </cfRule>
  </conditionalFormatting>
  <conditionalFormatting sqref="AG130">
    <cfRule type="expression" dxfId="1829" priority="1030">
      <formula>$I130="잔금"</formula>
    </cfRule>
  </conditionalFormatting>
  <conditionalFormatting sqref="K131:K132">
    <cfRule type="expression" dxfId="1828" priority="1029">
      <formula>$I131="잔금"</formula>
    </cfRule>
  </conditionalFormatting>
  <conditionalFormatting sqref="Q130:Q131">
    <cfRule type="expression" dxfId="1827" priority="1028">
      <formula>$I130="잔금"</formula>
    </cfRule>
  </conditionalFormatting>
  <conditionalFormatting sqref="D131">
    <cfRule type="expression" dxfId="1826" priority="1026">
      <formula>$I131="잔금"</formula>
    </cfRule>
  </conditionalFormatting>
  <conditionalFormatting sqref="D131">
    <cfRule type="expression" dxfId="1825" priority="1027">
      <formula>AND($I131&lt;&gt;"선금", $I131&lt;&gt;"")</formula>
    </cfRule>
  </conditionalFormatting>
  <conditionalFormatting sqref="D132">
    <cfRule type="expression" dxfId="1824" priority="1024">
      <formula>$I132="잔금"</formula>
    </cfRule>
  </conditionalFormatting>
  <conditionalFormatting sqref="D132">
    <cfRule type="expression" dxfId="1823" priority="1025">
      <formula>AND($I132&lt;&gt;"선금", $I132&lt;&gt;"")</formula>
    </cfRule>
  </conditionalFormatting>
  <conditionalFormatting sqref="M130">
    <cfRule type="expression" dxfId="1822" priority="1023">
      <formula>$I130="잔금"</formula>
    </cfRule>
  </conditionalFormatting>
  <conditionalFormatting sqref="H130:H132">
    <cfRule type="expression" dxfId="1821" priority="1022">
      <formula>$I130="잔금"</formula>
    </cfRule>
  </conditionalFormatting>
  <conditionalFormatting sqref="M131">
    <cfRule type="expression" dxfId="1820" priority="1021">
      <formula>$I131="잔금"</formula>
    </cfRule>
  </conditionalFormatting>
  <conditionalFormatting sqref="Q132">
    <cfRule type="expression" dxfId="1819" priority="1020">
      <formula>$I132="잔금"</formula>
    </cfRule>
  </conditionalFormatting>
  <conditionalFormatting sqref="D130">
    <cfRule type="expression" dxfId="1818" priority="1018">
      <formula>$I130="잔금"</formula>
    </cfRule>
  </conditionalFormatting>
  <conditionalFormatting sqref="D130">
    <cfRule type="expression" dxfId="1817" priority="1016">
      <formula>$I130="잔금"</formula>
    </cfRule>
    <cfRule type="expression" dxfId="1816" priority="1017">
      <formula>AND($I130&lt;&gt;"선금", $I130&lt;&gt;"")</formula>
    </cfRule>
  </conditionalFormatting>
  <conditionalFormatting sqref="D130">
    <cfRule type="expression" dxfId="1815" priority="1019">
      <formula>AND($I130&lt;&gt;"선금", $I130&lt;&gt;"")</formula>
    </cfRule>
  </conditionalFormatting>
  <conditionalFormatting sqref="X133:Z133 AB133:AF133 T133:V133">
    <cfRule type="expression" dxfId="1814" priority="1014">
      <formula>$I133="잔금"</formula>
    </cfRule>
  </conditionalFormatting>
  <conditionalFormatting sqref="C133 J133 L133 R133 O133 E133:F133 T133:V133">
    <cfRule type="expression" dxfId="1813" priority="1013">
      <formula>$I133="잔금"</formula>
    </cfRule>
  </conditionalFormatting>
  <conditionalFormatting sqref="E133">
    <cfRule type="expression" dxfId="1812" priority="1015">
      <formula>AND($I133&lt;&gt;"선금", $I133&lt;&gt;"")</formula>
    </cfRule>
  </conditionalFormatting>
  <conditionalFormatting sqref="X134:Z134 AB134:AG134 T134:V134">
    <cfRule type="expression" dxfId="1811" priority="1012">
      <formula>$I134="잔금"</formula>
    </cfRule>
  </conditionalFormatting>
  <conditionalFormatting sqref="F134 L134 R134 N134:O134 T134:V134">
    <cfRule type="expression" dxfId="1810" priority="1011">
      <formula>$I134="잔금"</formula>
    </cfRule>
  </conditionalFormatting>
  <conditionalFormatting sqref="X135:Z135 AB135:AG135 T135:V135">
    <cfRule type="expression" dxfId="1809" priority="1010">
      <formula>$I135="잔금"</formula>
    </cfRule>
  </conditionalFormatting>
  <conditionalFormatting sqref="F135 L135:O135 R135 T135:V135">
    <cfRule type="expression" dxfId="1808" priority="1009">
      <formula>$I135="잔금"</formula>
    </cfRule>
  </conditionalFormatting>
  <conditionalFormatting sqref="B133:B135">
    <cfRule type="expression" dxfId="1807" priority="1008">
      <formula>$I133="잔금"</formula>
    </cfRule>
  </conditionalFormatting>
  <conditionalFormatting sqref="G133:G135">
    <cfRule type="expression" dxfId="1806" priority="1007">
      <formula>$I133="잔금"</formula>
    </cfRule>
  </conditionalFormatting>
  <conditionalFormatting sqref="I133:I135">
    <cfRule type="expression" dxfId="1805" priority="1006">
      <formula>$I133="잔금"</formula>
    </cfRule>
  </conditionalFormatting>
  <conditionalFormatting sqref="J134">
    <cfRule type="expression" dxfId="1804" priority="1005">
      <formula>$I134="잔금"</formula>
    </cfRule>
  </conditionalFormatting>
  <conditionalFormatting sqref="J135">
    <cfRule type="expression" dxfId="1803" priority="1004">
      <formula>$I135="잔금"</formula>
    </cfRule>
  </conditionalFormatting>
  <conditionalFormatting sqref="K133">
    <cfRule type="expression" dxfId="1802" priority="1003">
      <formula>$I133="잔금"</formula>
    </cfRule>
  </conditionalFormatting>
  <conditionalFormatting sqref="P133:P135">
    <cfRule type="expression" dxfId="1801" priority="1002">
      <formula>$I133="잔금"</formula>
    </cfRule>
  </conditionalFormatting>
  <conditionalFormatting sqref="C134:C135">
    <cfRule type="expression" dxfId="1800" priority="1001">
      <formula>$I134="잔금"</formula>
    </cfRule>
  </conditionalFormatting>
  <conditionalFormatting sqref="E134:E135">
    <cfRule type="expression" dxfId="1799" priority="999">
      <formula>$I134="잔금"</formula>
    </cfRule>
  </conditionalFormatting>
  <conditionalFormatting sqref="E134:E135">
    <cfRule type="expression" dxfId="1798" priority="1000">
      <formula>AND($I134&lt;&gt;"선금", $I134&lt;&gt;"")</formula>
    </cfRule>
  </conditionalFormatting>
  <conditionalFormatting sqref="N133">
    <cfRule type="expression" dxfId="1797" priority="998">
      <formula>$I133="잔금"</formula>
    </cfRule>
  </conditionalFormatting>
  <conditionalFormatting sqref="AG133">
    <cfRule type="expression" dxfId="1796" priority="997">
      <formula>$I133="잔금"</formula>
    </cfRule>
  </conditionalFormatting>
  <conditionalFormatting sqref="K134:K135">
    <cfRule type="expression" dxfId="1795" priority="996">
      <formula>$I134="잔금"</formula>
    </cfRule>
  </conditionalFormatting>
  <conditionalFormatting sqref="Q133:Q134">
    <cfRule type="expression" dxfId="1794" priority="995">
      <formula>$I133="잔금"</formula>
    </cfRule>
  </conditionalFormatting>
  <conditionalFormatting sqref="D134">
    <cfRule type="expression" dxfId="1793" priority="993">
      <formula>$I134="잔금"</formula>
    </cfRule>
  </conditionalFormatting>
  <conditionalFormatting sqref="D134">
    <cfRule type="expression" dxfId="1792" priority="994">
      <formula>AND($I134&lt;&gt;"선금", $I134&lt;&gt;"")</formula>
    </cfRule>
  </conditionalFormatting>
  <conditionalFormatting sqref="D135">
    <cfRule type="expression" dxfId="1791" priority="991">
      <formula>$I135="잔금"</formula>
    </cfRule>
  </conditionalFormatting>
  <conditionalFormatting sqref="D135">
    <cfRule type="expression" dxfId="1790" priority="992">
      <formula>AND($I135&lt;&gt;"선금", $I135&lt;&gt;"")</formula>
    </cfRule>
  </conditionalFormatting>
  <conditionalFormatting sqref="M133">
    <cfRule type="expression" dxfId="1789" priority="990">
      <formula>$I133="잔금"</formula>
    </cfRule>
  </conditionalFormatting>
  <conditionalFormatting sqref="H133:H135">
    <cfRule type="expression" dxfId="1788" priority="989">
      <formula>$I133="잔금"</formula>
    </cfRule>
  </conditionalFormatting>
  <conditionalFormatting sqref="M134">
    <cfRule type="expression" dxfId="1787" priority="988">
      <formula>$I134="잔금"</formula>
    </cfRule>
  </conditionalFormatting>
  <conditionalFormatting sqref="Q135">
    <cfRule type="expression" dxfId="1786" priority="987">
      <formula>$I135="잔금"</formula>
    </cfRule>
  </conditionalFormatting>
  <conditionalFormatting sqref="D133">
    <cfRule type="expression" dxfId="1785" priority="985">
      <formula>$I133="잔금"</formula>
    </cfRule>
  </conditionalFormatting>
  <conditionalFormatting sqref="D133">
    <cfRule type="expression" dxfId="1784" priority="983">
      <formula>$I133="잔금"</formula>
    </cfRule>
    <cfRule type="expression" dxfId="1783" priority="984">
      <formula>AND($I133&lt;&gt;"선금", $I133&lt;&gt;"")</formula>
    </cfRule>
  </conditionalFormatting>
  <conditionalFormatting sqref="D133">
    <cfRule type="expression" dxfId="1782" priority="986">
      <formula>AND($I133&lt;&gt;"선금", $I133&lt;&gt;"")</formula>
    </cfRule>
  </conditionalFormatting>
  <conditionalFormatting sqref="X136:Z136 AB136:AF136 T136:V136">
    <cfRule type="expression" dxfId="1781" priority="981">
      <formula>$I136="잔금"</formula>
    </cfRule>
  </conditionalFormatting>
  <conditionalFormatting sqref="C136 J136 L136 R136 O136 E136:F136 T136:V136">
    <cfRule type="expression" dxfId="1780" priority="980">
      <formula>$I136="잔금"</formula>
    </cfRule>
  </conditionalFormatting>
  <conditionalFormatting sqref="E136">
    <cfRule type="expression" dxfId="1779" priority="982">
      <formula>AND($I136&lt;&gt;"선금", $I136&lt;&gt;"")</formula>
    </cfRule>
  </conditionalFormatting>
  <conditionalFormatting sqref="X137 AB137:AG137 T137:V137 Z137">
    <cfRule type="expression" dxfId="1778" priority="979">
      <formula>$I137="잔금"</formula>
    </cfRule>
  </conditionalFormatting>
  <conditionalFormatting sqref="F137 L137 R137 N137:O137 T137:V137">
    <cfRule type="expression" dxfId="1777" priority="978">
      <formula>$I137="잔금"</formula>
    </cfRule>
  </conditionalFormatting>
  <conditionalFormatting sqref="X138:Z138 AB138:AG138 T138:V138">
    <cfRule type="expression" dxfId="1776" priority="977">
      <formula>$I138="잔금"</formula>
    </cfRule>
  </conditionalFormatting>
  <conditionalFormatting sqref="F138 L138:O138 R138 T138:V138">
    <cfRule type="expression" dxfId="1775" priority="976">
      <formula>$I138="잔금"</formula>
    </cfRule>
  </conditionalFormatting>
  <conditionalFormatting sqref="B136:B138">
    <cfRule type="expression" dxfId="1774" priority="975">
      <formula>$I136="잔금"</formula>
    </cfRule>
  </conditionalFormatting>
  <conditionalFormatting sqref="G136:G138">
    <cfRule type="expression" dxfId="1773" priority="974">
      <formula>$I136="잔금"</formula>
    </cfRule>
  </conditionalFormatting>
  <conditionalFormatting sqref="I136:I138">
    <cfRule type="expression" dxfId="1772" priority="973">
      <formula>$I136="잔금"</formula>
    </cfRule>
  </conditionalFormatting>
  <conditionalFormatting sqref="J137">
    <cfRule type="expression" dxfId="1771" priority="972">
      <formula>$I137="잔금"</formula>
    </cfRule>
  </conditionalFormatting>
  <conditionalFormatting sqref="J138">
    <cfRule type="expression" dxfId="1770" priority="971">
      <formula>$I138="잔금"</formula>
    </cfRule>
  </conditionalFormatting>
  <conditionalFormatting sqref="P136:P138">
    <cfRule type="expression" dxfId="1769" priority="969">
      <formula>$I136="잔금"</formula>
    </cfRule>
  </conditionalFormatting>
  <conditionalFormatting sqref="C137:C138">
    <cfRule type="expression" dxfId="1768" priority="968">
      <formula>$I137="잔금"</formula>
    </cfRule>
  </conditionalFormatting>
  <conditionalFormatting sqref="E137:E138">
    <cfRule type="expression" dxfId="1767" priority="966">
      <formula>$I137="잔금"</formula>
    </cfRule>
  </conditionalFormatting>
  <conditionalFormatting sqref="E137:E138">
    <cfRule type="expression" dxfId="1766" priority="967">
      <formula>AND($I137&lt;&gt;"선금", $I137&lt;&gt;"")</formula>
    </cfRule>
  </conditionalFormatting>
  <conditionalFormatting sqref="N136">
    <cfRule type="expression" dxfId="1765" priority="965">
      <formula>$I136="잔금"</formula>
    </cfRule>
  </conditionalFormatting>
  <conditionalFormatting sqref="AG136">
    <cfRule type="expression" dxfId="1764" priority="964">
      <formula>$I136="잔금"</formula>
    </cfRule>
  </conditionalFormatting>
  <conditionalFormatting sqref="K137:K138">
    <cfRule type="expression" dxfId="1763" priority="963">
      <formula>$I137="잔금"</formula>
    </cfRule>
  </conditionalFormatting>
  <conditionalFormatting sqref="Q136:Q137">
    <cfRule type="expression" dxfId="1762" priority="962">
      <formula>$I136="잔금"</formula>
    </cfRule>
  </conditionalFormatting>
  <conditionalFormatting sqref="D137">
    <cfRule type="expression" dxfId="1761" priority="960">
      <formula>$I137="잔금"</formula>
    </cfRule>
  </conditionalFormatting>
  <conditionalFormatting sqref="D137">
    <cfRule type="expression" dxfId="1760" priority="961">
      <formula>AND($I137&lt;&gt;"선금", $I137&lt;&gt;"")</formula>
    </cfRule>
  </conditionalFormatting>
  <conditionalFormatting sqref="D138">
    <cfRule type="expression" dxfId="1759" priority="958">
      <formula>$I138="잔금"</formula>
    </cfRule>
  </conditionalFormatting>
  <conditionalFormatting sqref="D138">
    <cfRule type="expression" dxfId="1758" priority="959">
      <formula>AND($I138&lt;&gt;"선금", $I138&lt;&gt;"")</formula>
    </cfRule>
  </conditionalFormatting>
  <conditionalFormatting sqref="M136">
    <cfRule type="expression" dxfId="1757" priority="957">
      <formula>$I136="잔금"</formula>
    </cfRule>
  </conditionalFormatting>
  <conditionalFormatting sqref="H136:H138">
    <cfRule type="expression" dxfId="1756" priority="956">
      <formula>$I136="잔금"</formula>
    </cfRule>
  </conditionalFormatting>
  <conditionalFormatting sqref="M137">
    <cfRule type="expression" dxfId="1755" priority="955">
      <formula>$I137="잔금"</formula>
    </cfRule>
  </conditionalFormatting>
  <conditionalFormatting sqref="D136">
    <cfRule type="expression" dxfId="1754" priority="952">
      <formula>$I136="잔금"</formula>
    </cfRule>
  </conditionalFormatting>
  <conditionalFormatting sqref="D136">
    <cfRule type="expression" dxfId="1753" priority="950">
      <formula>$I136="잔금"</formula>
    </cfRule>
    <cfRule type="expression" dxfId="1752" priority="951">
      <formula>AND($I136&lt;&gt;"선금", $I136&lt;&gt;"")</formula>
    </cfRule>
  </conditionalFormatting>
  <conditionalFormatting sqref="D136">
    <cfRule type="expression" dxfId="1751" priority="953">
      <formula>AND($I136&lt;&gt;"선금", $I136&lt;&gt;"")</formula>
    </cfRule>
  </conditionalFormatting>
  <conditionalFormatting sqref="X139:Z139 AB139:AF139 T139:V139">
    <cfRule type="expression" dxfId="1750" priority="948">
      <formula>$I139="잔금"</formula>
    </cfRule>
  </conditionalFormatting>
  <conditionalFormatting sqref="C139 J139 L139 R139 O139 E139:F139 T139:V139">
    <cfRule type="expression" dxfId="1749" priority="947">
      <formula>$I139="잔금"</formula>
    </cfRule>
  </conditionalFormatting>
  <conditionalFormatting sqref="E139">
    <cfRule type="expression" dxfId="1748" priority="949">
      <formula>AND($I139&lt;&gt;"선금", $I139&lt;&gt;"")</formula>
    </cfRule>
  </conditionalFormatting>
  <conditionalFormatting sqref="X140:Z140 AB140:AG140 T140:V140">
    <cfRule type="expression" dxfId="1747" priority="946">
      <formula>$I140="잔금"</formula>
    </cfRule>
  </conditionalFormatting>
  <conditionalFormatting sqref="F140 L140 R140 N140:O140 T140:V140">
    <cfRule type="expression" dxfId="1746" priority="945">
      <formula>$I140="잔금"</formula>
    </cfRule>
  </conditionalFormatting>
  <conditionalFormatting sqref="X141:Z141 AB141:AG141 T141:V141">
    <cfRule type="expression" dxfId="1745" priority="944">
      <formula>$I141="잔금"</formula>
    </cfRule>
  </conditionalFormatting>
  <conditionalFormatting sqref="F141 L141:O141 R141 T141:V141">
    <cfRule type="expression" dxfId="1744" priority="943">
      <formula>$I141="잔금"</formula>
    </cfRule>
  </conditionalFormatting>
  <conditionalFormatting sqref="B139:B141">
    <cfRule type="expression" dxfId="1743" priority="942">
      <formula>$I139="잔금"</formula>
    </cfRule>
  </conditionalFormatting>
  <conditionalFormatting sqref="G139:G141">
    <cfRule type="expression" dxfId="1742" priority="941">
      <formula>$I139="잔금"</formula>
    </cfRule>
  </conditionalFormatting>
  <conditionalFormatting sqref="I139:I141">
    <cfRule type="expression" dxfId="1741" priority="940">
      <formula>$I139="잔금"</formula>
    </cfRule>
  </conditionalFormatting>
  <conditionalFormatting sqref="J140">
    <cfRule type="expression" dxfId="1740" priority="939">
      <formula>$I140="잔금"</formula>
    </cfRule>
  </conditionalFormatting>
  <conditionalFormatting sqref="J141">
    <cfRule type="expression" dxfId="1739" priority="938">
      <formula>$I141="잔금"</formula>
    </cfRule>
  </conditionalFormatting>
  <conditionalFormatting sqref="P139:P141">
    <cfRule type="expression" dxfId="1738" priority="936">
      <formula>$I139="잔금"</formula>
    </cfRule>
  </conditionalFormatting>
  <conditionalFormatting sqref="C140:C141">
    <cfRule type="expression" dxfId="1737" priority="935">
      <formula>$I140="잔금"</formula>
    </cfRule>
  </conditionalFormatting>
  <conditionalFormatting sqref="E140:E141">
    <cfRule type="expression" dxfId="1736" priority="933">
      <formula>$I140="잔금"</formula>
    </cfRule>
  </conditionalFormatting>
  <conditionalFormatting sqref="E140:E141">
    <cfRule type="expression" dxfId="1735" priority="934">
      <formula>AND($I140&lt;&gt;"선금", $I140&lt;&gt;"")</formula>
    </cfRule>
  </conditionalFormatting>
  <conditionalFormatting sqref="N139">
    <cfRule type="expression" dxfId="1734" priority="932">
      <formula>$I139="잔금"</formula>
    </cfRule>
  </conditionalFormatting>
  <conditionalFormatting sqref="AG139">
    <cfRule type="expression" dxfId="1733" priority="931">
      <formula>$I139="잔금"</formula>
    </cfRule>
  </conditionalFormatting>
  <conditionalFormatting sqref="K140:K141">
    <cfRule type="expression" dxfId="1732" priority="930">
      <formula>$I140="잔금"</formula>
    </cfRule>
  </conditionalFormatting>
  <conditionalFormatting sqref="Q139:Q140">
    <cfRule type="expression" dxfId="1731" priority="929">
      <formula>$I139="잔금"</formula>
    </cfRule>
  </conditionalFormatting>
  <conditionalFormatting sqref="D140">
    <cfRule type="expression" dxfId="1730" priority="927">
      <formula>$I140="잔금"</formula>
    </cfRule>
  </conditionalFormatting>
  <conditionalFormatting sqref="D140">
    <cfRule type="expression" dxfId="1729" priority="928">
      <formula>AND($I140&lt;&gt;"선금", $I140&lt;&gt;"")</formula>
    </cfRule>
  </conditionalFormatting>
  <conditionalFormatting sqref="D141">
    <cfRule type="expression" dxfId="1728" priority="925">
      <formula>$I141="잔금"</formula>
    </cfRule>
  </conditionalFormatting>
  <conditionalFormatting sqref="D141">
    <cfRule type="expression" dxfId="1727" priority="926">
      <formula>AND($I141&lt;&gt;"선금", $I141&lt;&gt;"")</formula>
    </cfRule>
  </conditionalFormatting>
  <conditionalFormatting sqref="M139">
    <cfRule type="expression" dxfId="1726" priority="924">
      <formula>$I139="잔금"</formula>
    </cfRule>
  </conditionalFormatting>
  <conditionalFormatting sqref="H139:H141">
    <cfRule type="expression" dxfId="1725" priority="923">
      <formula>$I139="잔금"</formula>
    </cfRule>
  </conditionalFormatting>
  <conditionalFormatting sqref="M140">
    <cfRule type="expression" dxfId="1724" priority="922">
      <formula>$I140="잔금"</formula>
    </cfRule>
  </conditionalFormatting>
  <conditionalFormatting sqref="X142:Z142 AB142:AF142 T142:V142">
    <cfRule type="expression" dxfId="1723" priority="915">
      <formula>$I142="잔금"</formula>
    </cfRule>
  </conditionalFormatting>
  <conditionalFormatting sqref="C142 J142 L142 R142 O142 E142:F142 T142:V142">
    <cfRule type="expression" dxfId="1722" priority="914">
      <formula>$I142="잔금"</formula>
    </cfRule>
  </conditionalFormatting>
  <conditionalFormatting sqref="E142">
    <cfRule type="expression" dxfId="1721" priority="916">
      <formula>AND($I142&lt;&gt;"선금", $I142&lt;&gt;"")</formula>
    </cfRule>
  </conditionalFormatting>
  <conditionalFormatting sqref="X143:Z143 AB143:AG143 T143:V143">
    <cfRule type="expression" dxfId="1720" priority="913">
      <formula>$I143="잔금"</formula>
    </cfRule>
  </conditionalFormatting>
  <conditionalFormatting sqref="F143 L143 R143 N143:O143 T143:V143">
    <cfRule type="expression" dxfId="1719" priority="912">
      <formula>$I143="잔금"</formula>
    </cfRule>
  </conditionalFormatting>
  <conditionalFormatting sqref="X144:Z144 AB144:AG144 T144:V144">
    <cfRule type="expression" dxfId="1718" priority="911">
      <formula>$I144="잔금"</formula>
    </cfRule>
  </conditionalFormatting>
  <conditionalFormatting sqref="F144 L144:O144 R144 T144:V144">
    <cfRule type="expression" dxfId="1717" priority="910">
      <formula>$I144="잔금"</formula>
    </cfRule>
  </conditionalFormatting>
  <conditionalFormatting sqref="B142:B144">
    <cfRule type="expression" dxfId="1716" priority="909">
      <formula>$I142="잔금"</formula>
    </cfRule>
  </conditionalFormatting>
  <conditionalFormatting sqref="G142:G144">
    <cfRule type="expression" dxfId="1715" priority="908">
      <formula>$I142="잔금"</formula>
    </cfRule>
  </conditionalFormatting>
  <conditionalFormatting sqref="I142:I144">
    <cfRule type="expression" dxfId="1714" priority="907">
      <formula>$I142="잔금"</formula>
    </cfRule>
  </conditionalFormatting>
  <conditionalFormatting sqref="J143">
    <cfRule type="expression" dxfId="1713" priority="906">
      <formula>$I143="잔금"</formula>
    </cfRule>
  </conditionalFormatting>
  <conditionalFormatting sqref="J144">
    <cfRule type="expression" dxfId="1712" priority="905">
      <formula>$I144="잔금"</formula>
    </cfRule>
  </conditionalFormatting>
  <conditionalFormatting sqref="K142">
    <cfRule type="expression" dxfId="1711" priority="904">
      <formula>$I142="잔금"</formula>
    </cfRule>
  </conditionalFormatting>
  <conditionalFormatting sqref="P142:P144">
    <cfRule type="expression" dxfId="1710" priority="903">
      <formula>$I142="잔금"</formula>
    </cfRule>
  </conditionalFormatting>
  <conditionalFormatting sqref="C143:C144">
    <cfRule type="expression" dxfId="1709" priority="902">
      <formula>$I143="잔금"</formula>
    </cfRule>
  </conditionalFormatting>
  <conditionalFormatting sqref="E143:E144">
    <cfRule type="expression" dxfId="1708" priority="900">
      <formula>$I143="잔금"</formula>
    </cfRule>
  </conditionalFormatting>
  <conditionalFormatting sqref="E143:E144">
    <cfRule type="expression" dxfId="1707" priority="901">
      <formula>AND($I143&lt;&gt;"선금", $I143&lt;&gt;"")</formula>
    </cfRule>
  </conditionalFormatting>
  <conditionalFormatting sqref="N142">
    <cfRule type="expression" dxfId="1706" priority="899">
      <formula>$I142="잔금"</formula>
    </cfRule>
  </conditionalFormatting>
  <conditionalFormatting sqref="AG142">
    <cfRule type="expression" dxfId="1705" priority="898">
      <formula>$I142="잔금"</formula>
    </cfRule>
  </conditionalFormatting>
  <conditionalFormatting sqref="K143:K144">
    <cfRule type="expression" dxfId="1704" priority="897">
      <formula>$I143="잔금"</formula>
    </cfRule>
  </conditionalFormatting>
  <conditionalFormatting sqref="Q142:Q143">
    <cfRule type="expression" dxfId="1703" priority="896">
      <formula>$I142="잔금"</formula>
    </cfRule>
  </conditionalFormatting>
  <conditionalFormatting sqref="D143">
    <cfRule type="expression" dxfId="1702" priority="894">
      <formula>$I143="잔금"</formula>
    </cfRule>
  </conditionalFormatting>
  <conditionalFormatting sqref="D143">
    <cfRule type="expression" dxfId="1701" priority="895">
      <formula>AND($I143&lt;&gt;"선금", $I143&lt;&gt;"")</formula>
    </cfRule>
  </conditionalFormatting>
  <conditionalFormatting sqref="D144">
    <cfRule type="expression" dxfId="1700" priority="892">
      <formula>$I144="잔금"</formula>
    </cfRule>
  </conditionalFormatting>
  <conditionalFormatting sqref="D144">
    <cfRule type="expression" dxfId="1699" priority="893">
      <formula>AND($I144&lt;&gt;"선금", $I144&lt;&gt;"")</formula>
    </cfRule>
  </conditionalFormatting>
  <conditionalFormatting sqref="M142">
    <cfRule type="expression" dxfId="1698" priority="891">
      <formula>$I142="잔금"</formula>
    </cfRule>
  </conditionalFormatting>
  <conditionalFormatting sqref="H142:H144">
    <cfRule type="expression" dxfId="1697" priority="890">
      <formula>$I142="잔금"</formula>
    </cfRule>
  </conditionalFormatting>
  <conditionalFormatting sqref="M143">
    <cfRule type="expression" dxfId="1696" priority="889">
      <formula>$I143="잔금"</formula>
    </cfRule>
  </conditionalFormatting>
  <conditionalFormatting sqref="K136">
    <cfRule type="expression" dxfId="1695" priority="883">
      <formula>$I136="잔금"</formula>
    </cfRule>
  </conditionalFormatting>
  <conditionalFormatting sqref="Q138">
    <cfRule type="expression" dxfId="1694" priority="882">
      <formula>$I138="잔금"</formula>
    </cfRule>
  </conditionalFormatting>
  <conditionalFormatting sqref="K139">
    <cfRule type="expression" dxfId="1693" priority="881">
      <formula>$I139="잔금"</formula>
    </cfRule>
  </conditionalFormatting>
  <conditionalFormatting sqref="Q141">
    <cfRule type="expression" dxfId="1692" priority="880">
      <formula>$I141="잔금"</formula>
    </cfRule>
  </conditionalFormatting>
  <conditionalFormatting sqref="D139">
    <cfRule type="expression" dxfId="1691" priority="878">
      <formula>$I139="잔금"</formula>
    </cfRule>
  </conditionalFormatting>
  <conditionalFormatting sqref="D139">
    <cfRule type="expression" dxfId="1690" priority="879">
      <formula>AND($I139&lt;&gt;"선금", $I139&lt;&gt;"")</formula>
    </cfRule>
  </conditionalFormatting>
  <conditionalFormatting sqref="D142">
    <cfRule type="expression" dxfId="1689" priority="876">
      <formula>$I142="잔금"</formula>
    </cfRule>
    <cfRule type="expression" dxfId="1688" priority="877">
      <formula>AND($I142&lt;&gt;"선금", $I142&lt;&gt;"")</formula>
    </cfRule>
  </conditionalFormatting>
  <conditionalFormatting sqref="N64">
    <cfRule type="expression" dxfId="1687" priority="875">
      <formula>$I64="잔금"</formula>
    </cfRule>
  </conditionalFormatting>
  <conditionalFormatting sqref="M94">
    <cfRule type="expression" dxfId="1686" priority="874">
      <formula>$I94="잔금"</formula>
    </cfRule>
  </conditionalFormatting>
  <conditionalFormatting sqref="M10">
    <cfRule type="expression" dxfId="1685" priority="873">
      <formula>$I10="잔금"</formula>
    </cfRule>
  </conditionalFormatting>
  <conditionalFormatting sqref="N67">
    <cfRule type="expression" dxfId="1684" priority="840">
      <formula>$I67="잔금"</formula>
    </cfRule>
  </conditionalFormatting>
  <conditionalFormatting sqref="S145:S147">
    <cfRule type="expression" dxfId="1683" priority="839">
      <formula>$I145="잔금"</formula>
    </cfRule>
  </conditionalFormatting>
  <conditionalFormatting sqref="X145:Z145 AB145:AF145 T145:V145">
    <cfRule type="expression" dxfId="1682" priority="837">
      <formula>$I145="잔금"</formula>
    </cfRule>
  </conditionalFormatting>
  <conditionalFormatting sqref="C145 L145 R145 O145 E145:F145 T145:V145">
    <cfRule type="expression" dxfId="1681" priority="836">
      <formula>$I145="잔금"</formula>
    </cfRule>
  </conditionalFormatting>
  <conditionalFormatting sqref="E145">
    <cfRule type="expression" dxfId="1680" priority="838">
      <formula>AND($I145&lt;&gt;"선금", $I145&lt;&gt;"")</formula>
    </cfRule>
  </conditionalFormatting>
  <conditionalFormatting sqref="X146:Z146 AB146:AG146 T146:V146">
    <cfRule type="expression" dxfId="1679" priority="835">
      <formula>$I146="잔금"</formula>
    </cfRule>
  </conditionalFormatting>
  <conditionalFormatting sqref="F146 L146 R146 N146:O146 T146:V146">
    <cfRule type="expression" dxfId="1678" priority="834">
      <formula>$I146="잔금"</formula>
    </cfRule>
  </conditionalFormatting>
  <conditionalFormatting sqref="X147:Z147 AB147:AG147 T147:V147">
    <cfRule type="expression" dxfId="1677" priority="833">
      <formula>$I147="잔금"</formula>
    </cfRule>
  </conditionalFormatting>
  <conditionalFormatting sqref="F147 L147 R147 T147:V147 N147:O147">
    <cfRule type="expression" dxfId="1676" priority="832">
      <formula>$I147="잔금"</formula>
    </cfRule>
  </conditionalFormatting>
  <conditionalFormatting sqref="B145:B147">
    <cfRule type="expression" dxfId="1675" priority="831">
      <formula>$I145="잔금"</formula>
    </cfRule>
  </conditionalFormatting>
  <conditionalFormatting sqref="G146:G147">
    <cfRule type="expression" dxfId="1674" priority="830">
      <formula>$I146="잔금"</formula>
    </cfRule>
  </conditionalFormatting>
  <conditionalFormatting sqref="I145:I147">
    <cfRule type="expression" dxfId="1673" priority="829">
      <formula>$I145="잔금"</formula>
    </cfRule>
  </conditionalFormatting>
  <conditionalFormatting sqref="J146">
    <cfRule type="expression" dxfId="1672" priority="828">
      <formula>$I146="잔금"</formula>
    </cfRule>
  </conditionalFormatting>
  <conditionalFormatting sqref="J147">
    <cfRule type="expression" dxfId="1671" priority="827">
      <formula>$I147="잔금"</formula>
    </cfRule>
  </conditionalFormatting>
  <conditionalFormatting sqref="K145">
    <cfRule type="expression" dxfId="1670" priority="826">
      <formula>$I145="잔금"</formula>
    </cfRule>
  </conditionalFormatting>
  <conditionalFormatting sqref="P145:P147">
    <cfRule type="expression" dxfId="1669" priority="825">
      <formula>$I145="잔금"</formula>
    </cfRule>
  </conditionalFormatting>
  <conditionalFormatting sqref="C146:C147">
    <cfRule type="expression" dxfId="1668" priority="824">
      <formula>$I146="잔금"</formula>
    </cfRule>
  </conditionalFormatting>
  <conditionalFormatting sqref="E146:E147">
    <cfRule type="expression" dxfId="1667" priority="822">
      <formula>$I146="잔금"</formula>
    </cfRule>
  </conditionalFormatting>
  <conditionalFormatting sqref="E146:E147">
    <cfRule type="expression" dxfId="1666" priority="823">
      <formula>AND($I146&lt;&gt;"선금", $I146&lt;&gt;"")</formula>
    </cfRule>
  </conditionalFormatting>
  <conditionalFormatting sqref="N145">
    <cfRule type="expression" dxfId="1665" priority="821">
      <formula>$I145="잔금"</formula>
    </cfRule>
  </conditionalFormatting>
  <conditionalFormatting sqref="AG145">
    <cfRule type="expression" dxfId="1664" priority="820">
      <formula>$I145="잔금"</formula>
    </cfRule>
  </conditionalFormatting>
  <conditionalFormatting sqref="K146:K147">
    <cfRule type="expression" dxfId="1663" priority="819">
      <formula>$I146="잔금"</formula>
    </cfRule>
  </conditionalFormatting>
  <conditionalFormatting sqref="Q145:Q146">
    <cfRule type="expression" dxfId="1662" priority="818">
      <formula>$I145="잔금"</formula>
    </cfRule>
  </conditionalFormatting>
  <conditionalFormatting sqref="D146">
    <cfRule type="expression" dxfId="1661" priority="816">
      <formula>$I146="잔금"</formula>
    </cfRule>
  </conditionalFormatting>
  <conditionalFormatting sqref="D146">
    <cfRule type="expression" dxfId="1660" priority="817">
      <formula>AND($I146&lt;&gt;"선금", $I146&lt;&gt;"")</formula>
    </cfRule>
  </conditionalFormatting>
  <conditionalFormatting sqref="D147">
    <cfRule type="expression" dxfId="1659" priority="814">
      <formula>$I147="잔금"</formula>
    </cfRule>
  </conditionalFormatting>
  <conditionalFormatting sqref="D147">
    <cfRule type="expression" dxfId="1658" priority="815">
      <formula>AND($I147&lt;&gt;"선금", $I147&lt;&gt;"")</formula>
    </cfRule>
  </conditionalFormatting>
  <conditionalFormatting sqref="M145">
    <cfRule type="expression" dxfId="1657" priority="813">
      <formula>$I145="잔금"</formula>
    </cfRule>
  </conditionalFormatting>
  <conditionalFormatting sqref="H145:H147">
    <cfRule type="expression" dxfId="1656" priority="812">
      <formula>$I145="잔금"</formula>
    </cfRule>
  </conditionalFormatting>
  <conditionalFormatting sqref="M146">
    <cfRule type="expression" dxfId="1655" priority="811">
      <formula>$I146="잔금"</formula>
    </cfRule>
  </conditionalFormatting>
  <conditionalFormatting sqref="D145">
    <cfRule type="expression" dxfId="1654" priority="808">
      <formula>$I145="잔금"</formula>
    </cfRule>
    <cfRule type="expression" dxfId="1653" priority="809">
      <formula>AND($I145&lt;&gt;"선금", $I145&lt;&gt;"")</formula>
    </cfRule>
  </conditionalFormatting>
  <conditionalFormatting sqref="G145">
    <cfRule type="expression" dxfId="1652" priority="807">
      <formula>$I145="잔금"</formula>
    </cfRule>
  </conditionalFormatting>
  <conditionalFormatting sqref="Y124:Z124">
    <cfRule type="expression" dxfId="1651" priority="806">
      <formula>$I124="잔금"</formula>
    </cfRule>
  </conditionalFormatting>
  <conditionalFormatting sqref="N76">
    <cfRule type="expression" dxfId="1650" priority="805">
      <formula>$I76="잔금"</formula>
    </cfRule>
  </conditionalFormatting>
  <conditionalFormatting sqref="M97">
    <cfRule type="expression" dxfId="1649" priority="763">
      <formula>$I97="잔금"</formula>
    </cfRule>
  </conditionalFormatting>
  <conditionalFormatting sqref="J145">
    <cfRule type="expression" dxfId="1648" priority="804">
      <formula>$I145="잔금"</formula>
    </cfRule>
  </conditionalFormatting>
  <conditionalFormatting sqref="S148:S150">
    <cfRule type="expression" dxfId="1647" priority="803">
      <formula>$I148="잔금"</formula>
    </cfRule>
  </conditionalFormatting>
  <conditionalFormatting sqref="X148:Z148 AB148:AF148 T148:V148">
    <cfRule type="expression" dxfId="1646" priority="801">
      <formula>$I148="잔금"</formula>
    </cfRule>
  </conditionalFormatting>
  <conditionalFormatting sqref="C148 L148 R148 E148:F148 T148:V148">
    <cfRule type="expression" dxfId="1645" priority="800">
      <formula>$I148="잔금"</formula>
    </cfRule>
  </conditionalFormatting>
  <conditionalFormatting sqref="E148">
    <cfRule type="expression" dxfId="1644" priority="802">
      <formula>AND($I148&lt;&gt;"선금", $I148&lt;&gt;"")</formula>
    </cfRule>
  </conditionalFormatting>
  <conditionalFormatting sqref="X149:Z149 AB149:AG149 T149:V149">
    <cfRule type="expression" dxfId="1643" priority="799">
      <formula>$I149="잔금"</formula>
    </cfRule>
  </conditionalFormatting>
  <conditionalFormatting sqref="F149 L149 R149 N149:O149 T149:V149">
    <cfRule type="expression" dxfId="1642" priority="798">
      <formula>$I149="잔금"</formula>
    </cfRule>
  </conditionalFormatting>
  <conditionalFormatting sqref="X150:Z150 AB150:AG150 T150:V150">
    <cfRule type="expression" dxfId="1641" priority="797">
      <formula>$I150="잔금"</formula>
    </cfRule>
  </conditionalFormatting>
  <conditionalFormatting sqref="F150 L150:O150 R150 T150:V150">
    <cfRule type="expression" dxfId="1640" priority="796">
      <formula>$I150="잔금"</formula>
    </cfRule>
  </conditionalFormatting>
  <conditionalFormatting sqref="B148:B150">
    <cfRule type="expression" dxfId="1639" priority="795">
      <formula>$I148="잔금"</formula>
    </cfRule>
  </conditionalFormatting>
  <conditionalFormatting sqref="G149:G150">
    <cfRule type="expression" dxfId="1638" priority="794">
      <formula>$I149="잔금"</formula>
    </cfRule>
  </conditionalFormatting>
  <conditionalFormatting sqref="I148:I150">
    <cfRule type="expression" dxfId="1637" priority="793">
      <formula>$I148="잔금"</formula>
    </cfRule>
  </conditionalFormatting>
  <conditionalFormatting sqref="J149">
    <cfRule type="expression" dxfId="1636" priority="792">
      <formula>$I149="잔금"</formula>
    </cfRule>
  </conditionalFormatting>
  <conditionalFormatting sqref="J150">
    <cfRule type="expression" dxfId="1635" priority="791">
      <formula>$I150="잔금"</formula>
    </cfRule>
  </conditionalFormatting>
  <conditionalFormatting sqref="K148">
    <cfRule type="expression" dxfId="1634" priority="790">
      <formula>$I148="잔금"</formula>
    </cfRule>
  </conditionalFormatting>
  <conditionalFormatting sqref="P148:P150">
    <cfRule type="expression" dxfId="1633" priority="789">
      <formula>$I148="잔금"</formula>
    </cfRule>
  </conditionalFormatting>
  <conditionalFormatting sqref="C149:C150">
    <cfRule type="expression" dxfId="1632" priority="788">
      <formula>$I149="잔금"</formula>
    </cfRule>
  </conditionalFormatting>
  <conditionalFormatting sqref="E149:E150">
    <cfRule type="expression" dxfId="1631" priority="786">
      <formula>$I149="잔금"</formula>
    </cfRule>
  </conditionalFormatting>
  <conditionalFormatting sqref="E149:E150">
    <cfRule type="expression" dxfId="1630" priority="787">
      <formula>AND($I149&lt;&gt;"선금", $I149&lt;&gt;"")</formula>
    </cfRule>
  </conditionalFormatting>
  <conditionalFormatting sqref="N148">
    <cfRule type="expression" dxfId="1629" priority="785">
      <formula>$I148="잔금"</formula>
    </cfRule>
  </conditionalFormatting>
  <conditionalFormatting sqref="AG148">
    <cfRule type="expression" dxfId="1628" priority="784">
      <formula>$I148="잔금"</formula>
    </cfRule>
  </conditionalFormatting>
  <conditionalFormatting sqref="K149:K150">
    <cfRule type="expression" dxfId="1627" priority="783">
      <formula>$I149="잔금"</formula>
    </cfRule>
  </conditionalFormatting>
  <conditionalFormatting sqref="Q148:Q149">
    <cfRule type="expression" dxfId="1626" priority="782">
      <formula>$I148="잔금"</formula>
    </cfRule>
  </conditionalFormatting>
  <conditionalFormatting sqref="D149">
    <cfRule type="expression" dxfId="1625" priority="780">
      <formula>$I149="잔금"</formula>
    </cfRule>
  </conditionalFormatting>
  <conditionalFormatting sqref="D149">
    <cfRule type="expression" dxfId="1624" priority="781">
      <formula>AND($I149&lt;&gt;"선금", $I149&lt;&gt;"")</formula>
    </cfRule>
  </conditionalFormatting>
  <conditionalFormatting sqref="D150">
    <cfRule type="expression" dxfId="1623" priority="778">
      <formula>$I150="잔금"</formula>
    </cfRule>
  </conditionalFormatting>
  <conditionalFormatting sqref="D150">
    <cfRule type="expression" dxfId="1622" priority="779">
      <formula>AND($I150&lt;&gt;"선금", $I150&lt;&gt;"")</formula>
    </cfRule>
  </conditionalFormatting>
  <conditionalFormatting sqref="M148">
    <cfRule type="expression" dxfId="1621" priority="777">
      <formula>$I148="잔금"</formula>
    </cfRule>
  </conditionalFormatting>
  <conditionalFormatting sqref="H148:H150">
    <cfRule type="expression" dxfId="1620" priority="769">
      <formula>$I148="잔금"</formula>
    </cfRule>
  </conditionalFormatting>
  <conditionalFormatting sqref="M149">
    <cfRule type="expression" dxfId="1619" priority="775">
      <formula>$I149="잔금"</formula>
    </cfRule>
  </conditionalFormatting>
  <conditionalFormatting sqref="D148">
    <cfRule type="expression" dxfId="1618" priority="767">
      <formula>$I148="잔금"</formula>
    </cfRule>
  </conditionalFormatting>
  <conditionalFormatting sqref="J148">
    <cfRule type="expression" dxfId="1617" priority="770">
      <formula>$I148="잔금"</formula>
    </cfRule>
  </conditionalFormatting>
  <conditionalFormatting sqref="D148">
    <cfRule type="expression" dxfId="1616" priority="768">
      <formula>AND($I148&lt;&gt;"선금", $I148&lt;&gt;"")</formula>
    </cfRule>
  </conditionalFormatting>
  <conditionalFormatting sqref="G148">
    <cfRule type="expression" dxfId="1615" priority="766">
      <formula>$I148="잔금"</formula>
    </cfRule>
  </conditionalFormatting>
  <conditionalFormatting sqref="Q150">
    <cfRule type="expression" dxfId="1614" priority="765">
      <formula>$I150="잔금"</formula>
    </cfRule>
  </conditionalFormatting>
  <conditionalFormatting sqref="Q147">
    <cfRule type="expression" dxfId="1613" priority="764">
      <formula>$I147="잔금"</formula>
    </cfRule>
  </conditionalFormatting>
  <conditionalFormatting sqref="O97">
    <cfRule type="expression" dxfId="1612" priority="761">
      <formula>$I97="잔금"</formula>
    </cfRule>
  </conditionalFormatting>
  <conditionalFormatting sqref="O85">
    <cfRule type="expression" dxfId="1611" priority="760">
      <formula>$I85="잔금"</formula>
    </cfRule>
  </conditionalFormatting>
  <conditionalFormatting sqref="S151:S153">
    <cfRule type="expression" dxfId="1610" priority="758">
      <formula>$I151="잔금"</formula>
    </cfRule>
  </conditionalFormatting>
  <conditionalFormatting sqref="X151:Z151 AB151:AF151 T151:V151">
    <cfRule type="expression" dxfId="1609" priority="756">
      <formula>$I151="잔금"</formula>
    </cfRule>
  </conditionalFormatting>
  <conditionalFormatting sqref="C151 L151 R151 O151 E151:F151 T151:V151">
    <cfRule type="expression" dxfId="1608" priority="755">
      <formula>$I151="잔금"</formula>
    </cfRule>
  </conditionalFormatting>
  <conditionalFormatting sqref="E151">
    <cfRule type="expression" dxfId="1607" priority="757">
      <formula>AND($I151&lt;&gt;"선금", $I151&lt;&gt;"")</formula>
    </cfRule>
  </conditionalFormatting>
  <conditionalFormatting sqref="X152:Z152 AB152:AG152 T152:V152">
    <cfRule type="expression" dxfId="1606" priority="754">
      <formula>$I152="잔금"</formula>
    </cfRule>
  </conditionalFormatting>
  <conditionalFormatting sqref="F152 L152 R152 N152:O152 T152:V152">
    <cfRule type="expression" dxfId="1605" priority="753">
      <formula>$I152="잔금"</formula>
    </cfRule>
  </conditionalFormatting>
  <conditionalFormatting sqref="X153:Z153 AB153:AG153 T153:V153">
    <cfRule type="expression" dxfId="1604" priority="752">
      <formula>$I153="잔금"</formula>
    </cfRule>
  </conditionalFormatting>
  <conditionalFormatting sqref="F153 L153:O153 R153 T153:V153">
    <cfRule type="expression" dxfId="1603" priority="751">
      <formula>$I153="잔금"</formula>
    </cfRule>
  </conditionalFormatting>
  <conditionalFormatting sqref="B151:B153">
    <cfRule type="expression" dxfId="1602" priority="750">
      <formula>$I151="잔금"</formula>
    </cfRule>
  </conditionalFormatting>
  <conditionalFormatting sqref="G152:G153">
    <cfRule type="expression" dxfId="1601" priority="749">
      <formula>$I152="잔금"</formula>
    </cfRule>
  </conditionalFormatting>
  <conditionalFormatting sqref="I151:I153">
    <cfRule type="expression" dxfId="1600" priority="748">
      <formula>$I151="잔금"</formula>
    </cfRule>
  </conditionalFormatting>
  <conditionalFormatting sqref="J152">
    <cfRule type="expression" dxfId="1599" priority="747">
      <formula>$I152="잔금"</formula>
    </cfRule>
  </conditionalFormatting>
  <conditionalFormatting sqref="J153">
    <cfRule type="expression" dxfId="1598" priority="746">
      <formula>$I153="잔금"</formula>
    </cfRule>
  </conditionalFormatting>
  <conditionalFormatting sqref="K151">
    <cfRule type="expression" dxfId="1597" priority="745">
      <formula>$I151="잔금"</formula>
    </cfRule>
  </conditionalFormatting>
  <conditionalFormatting sqref="P151:P153">
    <cfRule type="expression" dxfId="1596" priority="744">
      <formula>$I151="잔금"</formula>
    </cfRule>
  </conditionalFormatting>
  <conditionalFormatting sqref="C152:C153">
    <cfRule type="expression" dxfId="1595" priority="743">
      <formula>$I152="잔금"</formula>
    </cfRule>
  </conditionalFormatting>
  <conditionalFormatting sqref="E152:E153">
    <cfRule type="expression" dxfId="1594" priority="741">
      <formula>$I152="잔금"</formula>
    </cfRule>
  </conditionalFormatting>
  <conditionalFormatting sqref="E152:E153">
    <cfRule type="expression" dxfId="1593" priority="742">
      <formula>AND($I152&lt;&gt;"선금", $I152&lt;&gt;"")</formula>
    </cfRule>
  </conditionalFormatting>
  <conditionalFormatting sqref="N151">
    <cfRule type="expression" dxfId="1592" priority="740">
      <formula>$I151="잔금"</formula>
    </cfRule>
  </conditionalFormatting>
  <conditionalFormatting sqref="AG151">
    <cfRule type="expression" dxfId="1591" priority="739">
      <formula>$I151="잔금"</formula>
    </cfRule>
  </conditionalFormatting>
  <conditionalFormatting sqref="K152:K153">
    <cfRule type="expression" dxfId="1590" priority="738">
      <formula>$I152="잔금"</formula>
    </cfRule>
  </conditionalFormatting>
  <conditionalFormatting sqref="Q151:Q152">
    <cfRule type="expression" dxfId="1589" priority="737">
      <formula>$I151="잔금"</formula>
    </cfRule>
  </conditionalFormatting>
  <conditionalFormatting sqref="D152">
    <cfRule type="expression" dxfId="1588" priority="735">
      <formula>$I152="잔금"</formula>
    </cfRule>
  </conditionalFormatting>
  <conditionalFormatting sqref="D152">
    <cfRule type="expression" dxfId="1587" priority="736">
      <formula>AND($I152&lt;&gt;"선금", $I152&lt;&gt;"")</formula>
    </cfRule>
  </conditionalFormatting>
  <conditionalFormatting sqref="D153">
    <cfRule type="expression" dxfId="1586" priority="733">
      <formula>$I153="잔금"</formula>
    </cfRule>
  </conditionalFormatting>
  <conditionalFormatting sqref="D153">
    <cfRule type="expression" dxfId="1585" priority="734">
      <formula>AND($I153&lt;&gt;"선금", $I153&lt;&gt;"")</formula>
    </cfRule>
  </conditionalFormatting>
  <conditionalFormatting sqref="M151">
    <cfRule type="expression" dxfId="1584" priority="732">
      <formula>$I151="잔금"</formula>
    </cfRule>
  </conditionalFormatting>
  <conditionalFormatting sqref="H151:H153">
    <cfRule type="expression" dxfId="1583" priority="729">
      <formula>$I151="잔금"</formula>
    </cfRule>
  </conditionalFormatting>
  <conditionalFormatting sqref="M152">
    <cfRule type="expression" dxfId="1582" priority="731">
      <formula>$I152="잔금"</formula>
    </cfRule>
  </conditionalFormatting>
  <conditionalFormatting sqref="D151">
    <cfRule type="expression" dxfId="1581" priority="727">
      <formula>$I151="잔금"</formula>
    </cfRule>
  </conditionalFormatting>
  <conditionalFormatting sqref="J151">
    <cfRule type="expression" dxfId="1580" priority="730">
      <formula>$I151="잔금"</formula>
    </cfRule>
  </conditionalFormatting>
  <conditionalFormatting sqref="D151">
    <cfRule type="expression" dxfId="1579" priority="728">
      <formula>AND($I151&lt;&gt;"선금", $I151&lt;&gt;"")</formula>
    </cfRule>
  </conditionalFormatting>
  <conditionalFormatting sqref="G151">
    <cfRule type="expression" dxfId="1578" priority="726">
      <formula>$I151="잔금"</formula>
    </cfRule>
  </conditionalFormatting>
  <conditionalFormatting sqref="Q153">
    <cfRule type="expression" dxfId="1577" priority="724">
      <formula>$I153="잔금"</formula>
    </cfRule>
  </conditionalFormatting>
  <conditionalFormatting sqref="S154:S156">
    <cfRule type="expression" dxfId="1576" priority="723">
      <formula>$I154="잔금"</formula>
    </cfRule>
  </conditionalFormatting>
  <conditionalFormatting sqref="X154:Z154 AB154:AF154 T154:V154">
    <cfRule type="expression" dxfId="1575" priority="721">
      <formula>$I154="잔금"</formula>
    </cfRule>
  </conditionalFormatting>
  <conditionalFormatting sqref="C154 L154 R154 E154:F154 T154:V154">
    <cfRule type="expression" dxfId="1574" priority="720">
      <formula>$I154="잔금"</formula>
    </cfRule>
  </conditionalFormatting>
  <conditionalFormatting sqref="E154">
    <cfRule type="expression" dxfId="1573" priority="722">
      <formula>AND($I154&lt;&gt;"선금", $I154&lt;&gt;"")</formula>
    </cfRule>
  </conditionalFormatting>
  <conditionalFormatting sqref="X155:Z155 AB155:AG155 T155:V155">
    <cfRule type="expression" dxfId="1572" priority="719">
      <formula>$I155="잔금"</formula>
    </cfRule>
  </conditionalFormatting>
  <conditionalFormatting sqref="F155 L155 R155 N155:O155 T155:V155">
    <cfRule type="expression" dxfId="1571" priority="718">
      <formula>$I155="잔금"</formula>
    </cfRule>
  </conditionalFormatting>
  <conditionalFormatting sqref="X156:Z156 AB156:AG156 T156:V156">
    <cfRule type="expression" dxfId="1570" priority="717">
      <formula>$I156="잔금"</formula>
    </cfRule>
  </conditionalFormatting>
  <conditionalFormatting sqref="F156 L156:O156 R156 T156:V156">
    <cfRule type="expression" dxfId="1569" priority="716">
      <formula>$I156="잔금"</formula>
    </cfRule>
  </conditionalFormatting>
  <conditionalFormatting sqref="B154:B156">
    <cfRule type="expression" dxfId="1568" priority="715">
      <formula>$I154="잔금"</formula>
    </cfRule>
  </conditionalFormatting>
  <conditionalFormatting sqref="G155:G156">
    <cfRule type="expression" dxfId="1567" priority="714">
      <formula>$I155="잔금"</formula>
    </cfRule>
  </conditionalFormatting>
  <conditionalFormatting sqref="I154:I156">
    <cfRule type="expression" dxfId="1566" priority="713">
      <formula>$I154="잔금"</formula>
    </cfRule>
  </conditionalFormatting>
  <conditionalFormatting sqref="J155">
    <cfRule type="expression" dxfId="1565" priority="712">
      <formula>$I155="잔금"</formula>
    </cfRule>
  </conditionalFormatting>
  <conditionalFormatting sqref="J156">
    <cfRule type="expression" dxfId="1564" priority="711">
      <formula>$I156="잔금"</formula>
    </cfRule>
  </conditionalFormatting>
  <conditionalFormatting sqref="K154">
    <cfRule type="expression" dxfId="1563" priority="710">
      <formula>$I154="잔금"</formula>
    </cfRule>
  </conditionalFormatting>
  <conditionalFormatting sqref="P154:P156">
    <cfRule type="expression" dxfId="1562" priority="709">
      <formula>$I154="잔금"</formula>
    </cfRule>
  </conditionalFormatting>
  <conditionalFormatting sqref="C155:C156">
    <cfRule type="expression" dxfId="1561" priority="708">
      <formula>$I155="잔금"</formula>
    </cfRule>
  </conditionalFormatting>
  <conditionalFormatting sqref="E155:E156">
    <cfRule type="expression" dxfId="1560" priority="706">
      <formula>$I155="잔금"</formula>
    </cfRule>
  </conditionalFormatting>
  <conditionalFormatting sqref="E155:E156">
    <cfRule type="expression" dxfId="1559" priority="707">
      <formula>AND($I155&lt;&gt;"선금", $I155&lt;&gt;"")</formula>
    </cfRule>
  </conditionalFormatting>
  <conditionalFormatting sqref="N154">
    <cfRule type="expression" dxfId="1558" priority="705">
      <formula>$I154="잔금"</formula>
    </cfRule>
  </conditionalFormatting>
  <conditionalFormatting sqref="AG154">
    <cfRule type="expression" dxfId="1557" priority="704">
      <formula>$I154="잔금"</formula>
    </cfRule>
  </conditionalFormatting>
  <conditionalFormatting sqref="K155:K156">
    <cfRule type="expression" dxfId="1556" priority="703">
      <formula>$I155="잔금"</formula>
    </cfRule>
  </conditionalFormatting>
  <conditionalFormatting sqref="Q154:Q155">
    <cfRule type="expression" dxfId="1555" priority="702">
      <formula>$I154="잔금"</formula>
    </cfRule>
  </conditionalFormatting>
  <conditionalFormatting sqref="D155">
    <cfRule type="expression" dxfId="1554" priority="700">
      <formula>$I155="잔금"</formula>
    </cfRule>
  </conditionalFormatting>
  <conditionalFormatting sqref="D155">
    <cfRule type="expression" dxfId="1553" priority="701">
      <formula>AND($I155&lt;&gt;"선금", $I155&lt;&gt;"")</formula>
    </cfRule>
  </conditionalFormatting>
  <conditionalFormatting sqref="D156">
    <cfRule type="expression" dxfId="1552" priority="698">
      <formula>$I156="잔금"</formula>
    </cfRule>
  </conditionalFormatting>
  <conditionalFormatting sqref="D156">
    <cfRule type="expression" dxfId="1551" priority="699">
      <formula>AND($I156&lt;&gt;"선금", $I156&lt;&gt;"")</formula>
    </cfRule>
  </conditionalFormatting>
  <conditionalFormatting sqref="M154">
    <cfRule type="expression" dxfId="1550" priority="697">
      <formula>$I154="잔금"</formula>
    </cfRule>
  </conditionalFormatting>
  <conditionalFormatting sqref="H154:H156">
    <cfRule type="expression" dxfId="1549" priority="694">
      <formula>$I154="잔금"</formula>
    </cfRule>
  </conditionalFormatting>
  <conditionalFormatting sqref="M155">
    <cfRule type="expression" dxfId="1548" priority="696">
      <formula>$I155="잔금"</formula>
    </cfRule>
  </conditionalFormatting>
  <conditionalFormatting sqref="D154">
    <cfRule type="expression" dxfId="1547" priority="688">
      <formula>$I154="잔금"</formula>
    </cfRule>
  </conditionalFormatting>
  <conditionalFormatting sqref="J154">
    <cfRule type="expression" dxfId="1546" priority="695">
      <formula>$I154="잔금"</formula>
    </cfRule>
  </conditionalFormatting>
  <conditionalFormatting sqref="D154">
    <cfRule type="expression" dxfId="1545" priority="689">
      <formula>AND($I154&lt;&gt;"선금", $I154&lt;&gt;"")</formula>
    </cfRule>
  </conditionalFormatting>
  <conditionalFormatting sqref="G154">
    <cfRule type="expression" dxfId="1544" priority="691">
      <formula>$I154="잔금"</formula>
    </cfRule>
  </conditionalFormatting>
  <conditionalFormatting sqref="Q156">
    <cfRule type="expression" dxfId="1543" priority="690">
      <formula>$I156="잔금"</formula>
    </cfRule>
  </conditionalFormatting>
  <conditionalFormatting sqref="D154">
    <cfRule type="expression" dxfId="1542" priority="686">
      <formula>$I154="잔금"</formula>
    </cfRule>
    <cfRule type="expression" dxfId="1541" priority="687">
      <formula>AND($I154&lt;&gt;"선금", $I154&lt;&gt;"")</formula>
    </cfRule>
  </conditionalFormatting>
  <conditionalFormatting sqref="S157:S159">
    <cfRule type="expression" dxfId="1540" priority="685">
      <formula>$I157="잔금"</formula>
    </cfRule>
  </conditionalFormatting>
  <conditionalFormatting sqref="X157:Z157 AB157:AF157 T157:V157">
    <cfRule type="expression" dxfId="1539" priority="683">
      <formula>$I157="잔금"</formula>
    </cfRule>
  </conditionalFormatting>
  <conditionalFormatting sqref="C157 L157 R157 O157 E157:F157 T157:V157">
    <cfRule type="expression" dxfId="1538" priority="682">
      <formula>$I157="잔금"</formula>
    </cfRule>
  </conditionalFormatting>
  <conditionalFormatting sqref="E157">
    <cfRule type="expression" dxfId="1537" priority="684">
      <formula>AND($I157&lt;&gt;"선금", $I157&lt;&gt;"")</formula>
    </cfRule>
  </conditionalFormatting>
  <conditionalFormatting sqref="X158:Z158 AB158:AG158 T158:V158">
    <cfRule type="expression" dxfId="1536" priority="681">
      <formula>$I158="잔금"</formula>
    </cfRule>
  </conditionalFormatting>
  <conditionalFormatting sqref="F158 L158 R158 N158:O158 T158:V158">
    <cfRule type="expression" dxfId="1535" priority="680">
      <formula>$I158="잔금"</formula>
    </cfRule>
  </conditionalFormatting>
  <conditionalFormatting sqref="X159:Z159 AB159:AG159 T159:V159">
    <cfRule type="expression" dxfId="1534" priority="679">
      <formula>$I159="잔금"</formula>
    </cfRule>
  </conditionalFormatting>
  <conditionalFormatting sqref="F159 L159:O159 R159 T159:V159">
    <cfRule type="expression" dxfId="1533" priority="678">
      <formula>$I159="잔금"</formula>
    </cfRule>
  </conditionalFormatting>
  <conditionalFormatting sqref="B157:B159">
    <cfRule type="expression" dxfId="1532" priority="677">
      <formula>$I157="잔금"</formula>
    </cfRule>
  </conditionalFormatting>
  <conditionalFormatting sqref="G158:G159">
    <cfRule type="expression" dxfId="1531" priority="676">
      <formula>$I158="잔금"</formula>
    </cfRule>
  </conditionalFormatting>
  <conditionalFormatting sqref="I157:I159">
    <cfRule type="expression" dxfId="1530" priority="675">
      <formula>$I157="잔금"</formula>
    </cfRule>
  </conditionalFormatting>
  <conditionalFormatting sqref="J158">
    <cfRule type="expression" dxfId="1529" priority="674">
      <formula>$I158="잔금"</formula>
    </cfRule>
  </conditionalFormatting>
  <conditionalFormatting sqref="J159">
    <cfRule type="expression" dxfId="1528" priority="673">
      <formula>$I159="잔금"</formula>
    </cfRule>
  </conditionalFormatting>
  <conditionalFormatting sqref="K157">
    <cfRule type="expression" dxfId="1527" priority="672">
      <formula>$I157="잔금"</formula>
    </cfRule>
  </conditionalFormatting>
  <conditionalFormatting sqref="P157:P159">
    <cfRule type="expression" dxfId="1526" priority="671">
      <formula>$I157="잔금"</formula>
    </cfRule>
  </conditionalFormatting>
  <conditionalFormatting sqref="C158:C159">
    <cfRule type="expression" dxfId="1525" priority="670">
      <formula>$I158="잔금"</formula>
    </cfRule>
  </conditionalFormatting>
  <conditionalFormatting sqref="E158:E159">
    <cfRule type="expression" dxfId="1524" priority="668">
      <formula>$I158="잔금"</formula>
    </cfRule>
  </conditionalFormatting>
  <conditionalFormatting sqref="E158:E159">
    <cfRule type="expression" dxfId="1523" priority="669">
      <formula>AND($I158&lt;&gt;"선금", $I158&lt;&gt;"")</formula>
    </cfRule>
  </conditionalFormatting>
  <conditionalFormatting sqref="N157">
    <cfRule type="expression" dxfId="1522" priority="667">
      <formula>$I157="잔금"</formula>
    </cfRule>
  </conditionalFormatting>
  <conditionalFormatting sqref="AG157">
    <cfRule type="expression" dxfId="1521" priority="666">
      <formula>$I157="잔금"</formula>
    </cfRule>
  </conditionalFormatting>
  <conditionalFormatting sqref="K158:K159">
    <cfRule type="expression" dxfId="1520" priority="665">
      <formula>$I158="잔금"</formula>
    </cfRule>
  </conditionalFormatting>
  <conditionalFormatting sqref="Q157:Q158">
    <cfRule type="expression" dxfId="1519" priority="664">
      <formula>$I157="잔금"</formula>
    </cfRule>
  </conditionalFormatting>
  <conditionalFormatting sqref="D158">
    <cfRule type="expression" dxfId="1518" priority="662">
      <formula>$I158="잔금"</formula>
    </cfRule>
  </conditionalFormatting>
  <conditionalFormatting sqref="D158">
    <cfRule type="expression" dxfId="1517" priority="663">
      <formula>AND($I158&lt;&gt;"선금", $I158&lt;&gt;"")</formula>
    </cfRule>
  </conditionalFormatting>
  <conditionalFormatting sqref="D159">
    <cfRule type="expression" dxfId="1516" priority="660">
      <formula>$I159="잔금"</formula>
    </cfRule>
  </conditionalFormatting>
  <conditionalFormatting sqref="D159">
    <cfRule type="expression" dxfId="1515" priority="661">
      <formula>AND($I159&lt;&gt;"선금", $I159&lt;&gt;"")</formula>
    </cfRule>
  </conditionalFormatting>
  <conditionalFormatting sqref="M157">
    <cfRule type="expression" dxfId="1514" priority="659">
      <formula>$I157="잔금"</formula>
    </cfRule>
  </conditionalFormatting>
  <conditionalFormatting sqref="H157:H159">
    <cfRule type="expression" dxfId="1513" priority="656">
      <formula>$I157="잔금"</formula>
    </cfRule>
  </conditionalFormatting>
  <conditionalFormatting sqref="M158">
    <cfRule type="expression" dxfId="1512" priority="658">
      <formula>$I158="잔금"</formula>
    </cfRule>
  </conditionalFormatting>
  <conditionalFormatting sqref="D157">
    <cfRule type="expression" dxfId="1511" priority="652">
      <formula>$I157="잔금"</formula>
    </cfRule>
  </conditionalFormatting>
  <conditionalFormatting sqref="J157">
    <cfRule type="expression" dxfId="1510" priority="657">
      <formula>$I157="잔금"</formula>
    </cfRule>
  </conditionalFormatting>
  <conditionalFormatting sqref="D157">
    <cfRule type="expression" dxfId="1509" priority="653">
      <formula>AND($I157&lt;&gt;"선금", $I157&lt;&gt;"")</formula>
    </cfRule>
  </conditionalFormatting>
  <conditionalFormatting sqref="G157">
    <cfRule type="expression" dxfId="1508" priority="655">
      <formula>$I157="잔금"</formula>
    </cfRule>
  </conditionalFormatting>
  <conditionalFormatting sqref="Q159">
    <cfRule type="expression" dxfId="1507" priority="654">
      <formula>$I159="잔금"</formula>
    </cfRule>
  </conditionalFormatting>
  <conditionalFormatting sqref="D157">
    <cfRule type="expression" dxfId="1506" priority="650">
      <formula>$I157="잔금"</formula>
    </cfRule>
    <cfRule type="expression" dxfId="1505" priority="651">
      <formula>AND($I157&lt;&gt;"선금", $I157&lt;&gt;"")</formula>
    </cfRule>
  </conditionalFormatting>
  <conditionalFormatting sqref="S160:S162">
    <cfRule type="expression" dxfId="1504" priority="649">
      <formula>$I160="잔금"</formula>
    </cfRule>
  </conditionalFormatting>
  <conditionalFormatting sqref="X160:Z160 AB160:AF160 T160:V160">
    <cfRule type="expression" dxfId="1503" priority="647">
      <formula>$I160="잔금"</formula>
    </cfRule>
  </conditionalFormatting>
  <conditionalFormatting sqref="C160 L160 R160 O160 E160:F160 T160:V160">
    <cfRule type="expression" dxfId="1502" priority="646">
      <formula>$I160="잔금"</formula>
    </cfRule>
  </conditionalFormatting>
  <conditionalFormatting sqref="E160">
    <cfRule type="expression" dxfId="1501" priority="648">
      <formula>AND($I160&lt;&gt;"선금", $I160&lt;&gt;"")</formula>
    </cfRule>
  </conditionalFormatting>
  <conditionalFormatting sqref="X161:Z161 AB161:AG161 T161:V161">
    <cfRule type="expression" dxfId="1500" priority="645">
      <formula>$I161="잔금"</formula>
    </cfRule>
  </conditionalFormatting>
  <conditionalFormatting sqref="F161 L161 R161 N161:O161 T161:V161">
    <cfRule type="expression" dxfId="1499" priority="644">
      <formula>$I161="잔금"</formula>
    </cfRule>
  </conditionalFormatting>
  <conditionalFormatting sqref="X162:Z162 AB162:AG162 T162:V162">
    <cfRule type="expression" dxfId="1498" priority="643">
      <formula>$I162="잔금"</formula>
    </cfRule>
  </conditionalFormatting>
  <conditionalFormatting sqref="F162 L162:O162 R162 T162:V162">
    <cfRule type="expression" dxfId="1497" priority="642">
      <formula>$I162="잔금"</formula>
    </cfRule>
  </conditionalFormatting>
  <conditionalFormatting sqref="B160:B162">
    <cfRule type="expression" dxfId="1496" priority="641">
      <formula>$I160="잔금"</formula>
    </cfRule>
  </conditionalFormatting>
  <conditionalFormatting sqref="G161:G162">
    <cfRule type="expression" dxfId="1495" priority="640">
      <formula>$I161="잔금"</formula>
    </cfRule>
  </conditionalFormatting>
  <conditionalFormatting sqref="I160:I162">
    <cfRule type="expression" dxfId="1494" priority="639">
      <formula>$I160="잔금"</formula>
    </cfRule>
  </conditionalFormatting>
  <conditionalFormatting sqref="J161">
    <cfRule type="expression" dxfId="1493" priority="638">
      <formula>$I161="잔금"</formula>
    </cfRule>
  </conditionalFormatting>
  <conditionalFormatting sqref="J162">
    <cfRule type="expression" dxfId="1492" priority="637">
      <formula>$I162="잔금"</formula>
    </cfRule>
  </conditionalFormatting>
  <conditionalFormatting sqref="K160">
    <cfRule type="expression" dxfId="1491" priority="636">
      <formula>$I160="잔금"</formula>
    </cfRule>
  </conditionalFormatting>
  <conditionalFormatting sqref="P160:P162">
    <cfRule type="expression" dxfId="1490" priority="635">
      <formula>$I160="잔금"</formula>
    </cfRule>
  </conditionalFormatting>
  <conditionalFormatting sqref="C161:C162">
    <cfRule type="expression" dxfId="1489" priority="634">
      <formula>$I161="잔금"</formula>
    </cfRule>
  </conditionalFormatting>
  <conditionalFormatting sqref="E161:E162">
    <cfRule type="expression" dxfId="1488" priority="632">
      <formula>$I161="잔금"</formula>
    </cfRule>
  </conditionalFormatting>
  <conditionalFormatting sqref="E161:E162">
    <cfRule type="expression" dxfId="1487" priority="633">
      <formula>AND($I161&lt;&gt;"선금", $I161&lt;&gt;"")</formula>
    </cfRule>
  </conditionalFormatting>
  <conditionalFormatting sqref="N160">
    <cfRule type="expression" dxfId="1486" priority="631">
      <formula>$I160="잔금"</formula>
    </cfRule>
  </conditionalFormatting>
  <conditionalFormatting sqref="AG160">
    <cfRule type="expression" dxfId="1485" priority="630">
      <formula>$I160="잔금"</formula>
    </cfRule>
  </conditionalFormatting>
  <conditionalFormatting sqref="K161:K162">
    <cfRule type="expression" dxfId="1484" priority="629">
      <formula>$I161="잔금"</formula>
    </cfRule>
  </conditionalFormatting>
  <conditionalFormatting sqref="Q160:Q161">
    <cfRule type="expression" dxfId="1483" priority="628">
      <formula>$I160="잔금"</formula>
    </cfRule>
  </conditionalFormatting>
  <conditionalFormatting sqref="D161">
    <cfRule type="expression" dxfId="1482" priority="626">
      <formula>$I161="잔금"</formula>
    </cfRule>
  </conditionalFormatting>
  <conditionalFormatting sqref="D161">
    <cfRule type="expression" dxfId="1481" priority="627">
      <formula>AND($I161&lt;&gt;"선금", $I161&lt;&gt;"")</formula>
    </cfRule>
  </conditionalFormatting>
  <conditionalFormatting sqref="D162">
    <cfRule type="expression" dxfId="1480" priority="624">
      <formula>$I162="잔금"</formula>
    </cfRule>
  </conditionalFormatting>
  <conditionalFormatting sqref="D162">
    <cfRule type="expression" dxfId="1479" priority="625">
      <formula>AND($I162&lt;&gt;"선금", $I162&lt;&gt;"")</formula>
    </cfRule>
  </conditionalFormatting>
  <conditionalFormatting sqref="M160">
    <cfRule type="expression" dxfId="1478" priority="623">
      <formula>$I160="잔금"</formula>
    </cfRule>
  </conditionalFormatting>
  <conditionalFormatting sqref="H160:H162">
    <cfRule type="expression" dxfId="1477" priority="620">
      <formula>$I160="잔금"</formula>
    </cfRule>
  </conditionalFormatting>
  <conditionalFormatting sqref="M161">
    <cfRule type="expression" dxfId="1476" priority="622">
      <formula>$I161="잔금"</formula>
    </cfRule>
  </conditionalFormatting>
  <conditionalFormatting sqref="J160">
    <cfRule type="expression" dxfId="1475" priority="621">
      <formula>$I160="잔금"</formula>
    </cfRule>
  </conditionalFormatting>
  <conditionalFormatting sqref="G160">
    <cfRule type="expression" dxfId="1474" priority="619">
      <formula>$I160="잔금"</formula>
    </cfRule>
  </conditionalFormatting>
  <conditionalFormatting sqref="Q162">
    <cfRule type="expression" dxfId="1473" priority="618">
      <formula>$I162="잔금"</formula>
    </cfRule>
  </conditionalFormatting>
  <conditionalFormatting sqref="D160">
    <cfRule type="expression" dxfId="1472" priority="612">
      <formula>$I160="잔금"</formula>
    </cfRule>
  </conditionalFormatting>
  <conditionalFormatting sqref="D160">
    <cfRule type="expression" dxfId="1471" priority="613">
      <formula>AND($I160&lt;&gt;"선금", $I160&lt;&gt;"")</formula>
    </cfRule>
  </conditionalFormatting>
  <conditionalFormatting sqref="U44:V44">
    <cfRule type="expression" dxfId="1470" priority="611">
      <formula>$I44="잔금"</formula>
    </cfRule>
  </conditionalFormatting>
  <conditionalFormatting sqref="U44:V44">
    <cfRule type="expression" dxfId="1469" priority="610">
      <formula>$I44="잔금"</formula>
    </cfRule>
  </conditionalFormatting>
  <conditionalFormatting sqref="U47:V47">
    <cfRule type="expression" dxfId="1468" priority="609">
      <formula>$I47="잔금"</formula>
    </cfRule>
  </conditionalFormatting>
  <conditionalFormatting sqref="U47:V47">
    <cfRule type="expression" dxfId="1467" priority="608">
      <formula>$I47="잔금"</formula>
    </cfRule>
  </conditionalFormatting>
  <conditionalFormatting sqref="U50:V50">
    <cfRule type="expression" dxfId="1466" priority="607">
      <formula>$I50="잔금"</formula>
    </cfRule>
  </conditionalFormatting>
  <conditionalFormatting sqref="U50:V50">
    <cfRule type="expression" dxfId="1465" priority="606">
      <formula>$I50="잔금"</formula>
    </cfRule>
  </conditionalFormatting>
  <conditionalFormatting sqref="U53:V53">
    <cfRule type="expression" dxfId="1464" priority="605">
      <formula>$I53="잔금"</formula>
    </cfRule>
  </conditionalFormatting>
  <conditionalFormatting sqref="U53:V53">
    <cfRule type="expression" dxfId="1463" priority="604">
      <formula>$I53="잔금"</formula>
    </cfRule>
  </conditionalFormatting>
  <conditionalFormatting sqref="U56:V56">
    <cfRule type="expression" dxfId="1462" priority="603">
      <formula>$I56="잔금"</formula>
    </cfRule>
  </conditionalFormatting>
  <conditionalFormatting sqref="U56:V56">
    <cfRule type="expression" dxfId="1461" priority="602">
      <formula>$I56="잔금"</formula>
    </cfRule>
  </conditionalFormatting>
  <conditionalFormatting sqref="U66:V66">
    <cfRule type="expression" dxfId="1460" priority="601">
      <formula>$I66="잔금"</formula>
    </cfRule>
  </conditionalFormatting>
  <conditionalFormatting sqref="U66:V66">
    <cfRule type="expression" dxfId="1459" priority="600">
      <formula>$I66="잔금"</formula>
    </cfRule>
  </conditionalFormatting>
  <conditionalFormatting sqref="U69:V69">
    <cfRule type="expression" dxfId="1458" priority="599">
      <formula>$I69="잔금"</formula>
    </cfRule>
  </conditionalFormatting>
  <conditionalFormatting sqref="U69:V69">
    <cfRule type="expression" dxfId="1457" priority="598">
      <formula>$I69="잔금"</formula>
    </cfRule>
  </conditionalFormatting>
  <conditionalFormatting sqref="U72:V72">
    <cfRule type="expression" dxfId="1456" priority="597">
      <formula>$I72="잔금"</formula>
    </cfRule>
  </conditionalFormatting>
  <conditionalFormatting sqref="U72:V72">
    <cfRule type="expression" dxfId="1455" priority="596">
      <formula>$I72="잔금"</formula>
    </cfRule>
  </conditionalFormatting>
  <conditionalFormatting sqref="U81:V81">
    <cfRule type="expression" dxfId="1454" priority="595">
      <formula>$I81="잔금"</formula>
    </cfRule>
  </conditionalFormatting>
  <conditionalFormatting sqref="U81:V81">
    <cfRule type="expression" dxfId="1453" priority="594">
      <formula>$I81="잔금"</formula>
    </cfRule>
  </conditionalFormatting>
  <conditionalFormatting sqref="U84:V84">
    <cfRule type="expression" dxfId="1452" priority="593">
      <formula>$I84="잔금"</formula>
    </cfRule>
  </conditionalFormatting>
  <conditionalFormatting sqref="U84:V84">
    <cfRule type="expression" dxfId="1451" priority="592">
      <formula>$I84="잔금"</formula>
    </cfRule>
  </conditionalFormatting>
  <conditionalFormatting sqref="U87:V87">
    <cfRule type="expression" dxfId="1450" priority="591">
      <formula>$I87="잔금"</formula>
    </cfRule>
  </conditionalFormatting>
  <conditionalFormatting sqref="U87:V87">
    <cfRule type="expression" dxfId="1449" priority="590">
      <formula>$I87="잔금"</formula>
    </cfRule>
  </conditionalFormatting>
  <conditionalFormatting sqref="U102:V102">
    <cfRule type="expression" dxfId="1448" priority="589">
      <formula>$I102="잔금"</formula>
    </cfRule>
  </conditionalFormatting>
  <conditionalFormatting sqref="U102:V102">
    <cfRule type="expression" dxfId="1447" priority="588">
      <formula>$I102="잔금"</formula>
    </cfRule>
  </conditionalFormatting>
  <conditionalFormatting sqref="U105:V105">
    <cfRule type="expression" dxfId="1446" priority="587">
      <formula>$I105="잔금"</formula>
    </cfRule>
  </conditionalFormatting>
  <conditionalFormatting sqref="U105:V105">
    <cfRule type="expression" dxfId="1445" priority="586">
      <formula>$I105="잔금"</formula>
    </cfRule>
  </conditionalFormatting>
  <conditionalFormatting sqref="U108:V108">
    <cfRule type="expression" dxfId="1444" priority="585">
      <formula>$I108="잔금"</formula>
    </cfRule>
  </conditionalFormatting>
  <conditionalFormatting sqref="U108:V108">
    <cfRule type="expression" dxfId="1443" priority="584">
      <formula>$I108="잔금"</formula>
    </cfRule>
  </conditionalFormatting>
  <conditionalFormatting sqref="U111:V111">
    <cfRule type="expression" dxfId="1442" priority="583">
      <formula>$I111="잔금"</formula>
    </cfRule>
  </conditionalFormatting>
  <conditionalFormatting sqref="U111:V111">
    <cfRule type="expression" dxfId="1441" priority="582">
      <formula>$I111="잔금"</formula>
    </cfRule>
  </conditionalFormatting>
  <conditionalFormatting sqref="R110">
    <cfRule type="expression" dxfId="1440" priority="581">
      <formula>$I110="잔금"</formula>
    </cfRule>
  </conditionalFormatting>
  <conditionalFormatting sqref="O87:O89">
    <cfRule type="expression" dxfId="1439" priority="578">
      <formula>$I87="잔금"</formula>
    </cfRule>
  </conditionalFormatting>
  <conditionalFormatting sqref="S163:S165">
    <cfRule type="expression" dxfId="1438" priority="577">
      <formula>$I163="잔금"</formula>
    </cfRule>
  </conditionalFormatting>
  <conditionalFormatting sqref="X163:Z163 AB163:AF163 T163:V163">
    <cfRule type="expression" dxfId="1437" priority="575">
      <formula>$I163="잔금"</formula>
    </cfRule>
  </conditionalFormatting>
  <conditionalFormatting sqref="C163 L163 R163 O163 E163:F163 T163:V163">
    <cfRule type="expression" dxfId="1436" priority="574">
      <formula>$I163="잔금"</formula>
    </cfRule>
  </conditionalFormatting>
  <conditionalFormatting sqref="E163">
    <cfRule type="expression" dxfId="1435" priority="576">
      <formula>AND($I163&lt;&gt;"선금", $I163&lt;&gt;"")</formula>
    </cfRule>
  </conditionalFormatting>
  <conditionalFormatting sqref="X164:Z164 AB164:AG164 T164:V164">
    <cfRule type="expression" dxfId="1434" priority="573">
      <formula>$I164="잔금"</formula>
    </cfRule>
  </conditionalFormatting>
  <conditionalFormatting sqref="F164 L164 R164 T164:V164">
    <cfRule type="expression" dxfId="1433" priority="572">
      <formula>$I164="잔금"</formula>
    </cfRule>
  </conditionalFormatting>
  <conditionalFormatting sqref="X165:Z165 AB165:AG165 T165:V165">
    <cfRule type="expression" dxfId="1432" priority="571">
      <formula>$I165="잔금"</formula>
    </cfRule>
  </conditionalFormatting>
  <conditionalFormatting sqref="F165 L165:O165 R165 T165:V165">
    <cfRule type="expression" dxfId="1431" priority="570">
      <formula>$I165="잔금"</formula>
    </cfRule>
  </conditionalFormatting>
  <conditionalFormatting sqref="B163:B165">
    <cfRule type="expression" dxfId="1430" priority="569">
      <formula>$I163="잔금"</formula>
    </cfRule>
  </conditionalFormatting>
  <conditionalFormatting sqref="G164:G165">
    <cfRule type="expression" dxfId="1429" priority="568">
      <formula>$I164="잔금"</formula>
    </cfRule>
  </conditionalFormatting>
  <conditionalFormatting sqref="I163:I165">
    <cfRule type="expression" dxfId="1428" priority="567">
      <formula>$I163="잔금"</formula>
    </cfRule>
  </conditionalFormatting>
  <conditionalFormatting sqref="J164">
    <cfRule type="expression" dxfId="1427" priority="566">
      <formula>$I164="잔금"</formula>
    </cfRule>
  </conditionalFormatting>
  <conditionalFormatting sqref="J165">
    <cfRule type="expression" dxfId="1426" priority="565">
      <formula>$I165="잔금"</formula>
    </cfRule>
  </conditionalFormatting>
  <conditionalFormatting sqref="K163">
    <cfRule type="expression" dxfId="1425" priority="564">
      <formula>$I163="잔금"</formula>
    </cfRule>
  </conditionalFormatting>
  <conditionalFormatting sqref="P163:P165">
    <cfRule type="expression" dxfId="1424" priority="563">
      <formula>$I163="잔금"</formula>
    </cfRule>
  </conditionalFormatting>
  <conditionalFormatting sqref="C164:C165">
    <cfRule type="expression" dxfId="1423" priority="562">
      <formula>$I164="잔금"</formula>
    </cfRule>
  </conditionalFormatting>
  <conditionalFormatting sqref="E164:E165">
    <cfRule type="expression" dxfId="1422" priority="560">
      <formula>$I164="잔금"</formula>
    </cfRule>
  </conditionalFormatting>
  <conditionalFormatting sqref="E164:E165">
    <cfRule type="expression" dxfId="1421" priority="561">
      <formula>AND($I164&lt;&gt;"선금", $I164&lt;&gt;"")</formula>
    </cfRule>
  </conditionalFormatting>
  <conditionalFormatting sqref="N163">
    <cfRule type="expression" dxfId="1420" priority="559">
      <formula>$I163="잔금"</formula>
    </cfRule>
  </conditionalFormatting>
  <conditionalFormatting sqref="AG163">
    <cfRule type="expression" dxfId="1419" priority="558">
      <formula>$I163="잔금"</formula>
    </cfRule>
  </conditionalFormatting>
  <conditionalFormatting sqref="K164:K165">
    <cfRule type="expression" dxfId="1418" priority="557">
      <formula>$I164="잔금"</formula>
    </cfRule>
  </conditionalFormatting>
  <conditionalFormatting sqref="Q163:Q164">
    <cfRule type="expression" dxfId="1417" priority="556">
      <formula>$I163="잔금"</formula>
    </cfRule>
  </conditionalFormatting>
  <conditionalFormatting sqref="D164">
    <cfRule type="expression" dxfId="1416" priority="554">
      <formula>$I164="잔금"</formula>
    </cfRule>
  </conditionalFormatting>
  <conditionalFormatting sqref="D164">
    <cfRule type="expression" dxfId="1415" priority="555">
      <formula>AND($I164&lt;&gt;"선금", $I164&lt;&gt;"")</formula>
    </cfRule>
  </conditionalFormatting>
  <conditionalFormatting sqref="D165">
    <cfRule type="expression" dxfId="1414" priority="552">
      <formula>$I165="잔금"</formula>
    </cfRule>
  </conditionalFormatting>
  <conditionalFormatting sqref="D165">
    <cfRule type="expression" dxfId="1413" priority="553">
      <formula>AND($I165&lt;&gt;"선금", $I165&lt;&gt;"")</formula>
    </cfRule>
  </conditionalFormatting>
  <conditionalFormatting sqref="M163">
    <cfRule type="expression" dxfId="1412" priority="551">
      <formula>$I163="잔금"</formula>
    </cfRule>
  </conditionalFormatting>
  <conditionalFormatting sqref="H163:H165">
    <cfRule type="expression" dxfId="1411" priority="548">
      <formula>$I163="잔금"</formula>
    </cfRule>
  </conditionalFormatting>
  <conditionalFormatting sqref="M164">
    <cfRule type="expression" dxfId="1410" priority="550">
      <formula>$I164="잔금"</formula>
    </cfRule>
  </conditionalFormatting>
  <conditionalFormatting sqref="J163">
    <cfRule type="expression" dxfId="1409" priority="549">
      <formula>$I163="잔금"</formula>
    </cfRule>
  </conditionalFormatting>
  <conditionalFormatting sqref="G163">
    <cfRule type="expression" dxfId="1408" priority="547">
      <formula>$I163="잔금"</formula>
    </cfRule>
  </conditionalFormatting>
  <conditionalFormatting sqref="Q165">
    <cfRule type="expression" dxfId="1407" priority="546">
      <formula>$I165="잔금"</formula>
    </cfRule>
  </conditionalFormatting>
  <conditionalFormatting sqref="D163">
    <cfRule type="expression" dxfId="1406" priority="544">
      <formula>$I163="잔금"</formula>
    </cfRule>
  </conditionalFormatting>
  <conditionalFormatting sqref="D163">
    <cfRule type="expression" dxfId="1405" priority="545">
      <formula>AND($I163&lt;&gt;"선금", $I163&lt;&gt;"")</formula>
    </cfRule>
  </conditionalFormatting>
  <conditionalFormatting sqref="Y137">
    <cfRule type="expression" dxfId="1404" priority="543">
      <formula>$I137="잔금"</formula>
    </cfRule>
  </conditionalFormatting>
  <conditionalFormatting sqref="N52">
    <cfRule type="expression" dxfId="1403" priority="542">
      <formula>$I52="잔금"</formula>
    </cfRule>
  </conditionalFormatting>
  <conditionalFormatting sqref="S166:S168">
    <cfRule type="expression" dxfId="1402" priority="541">
      <formula>$I166="잔금"</formula>
    </cfRule>
  </conditionalFormatting>
  <conditionalFormatting sqref="X166:Z166 AB166:AF166 T166">
    <cfRule type="expression" dxfId="1401" priority="539">
      <formula>$I166="잔금"</formula>
    </cfRule>
  </conditionalFormatting>
  <conditionalFormatting sqref="C166 L166 R166 O166 E166:F166 T166">
    <cfRule type="expression" dxfId="1400" priority="538">
      <formula>$I166="잔금"</formula>
    </cfRule>
  </conditionalFormatting>
  <conditionalFormatting sqref="E166">
    <cfRule type="expression" dxfId="1399" priority="540">
      <formula>AND($I166&lt;&gt;"선금", $I166&lt;&gt;"")</formula>
    </cfRule>
  </conditionalFormatting>
  <conditionalFormatting sqref="X167:Z167 AB167:AG167 T167:V167">
    <cfRule type="expression" dxfId="1398" priority="537">
      <formula>$I167="잔금"</formula>
    </cfRule>
  </conditionalFormatting>
  <conditionalFormatting sqref="F167 L167 R167 N167:O167 T167:V167">
    <cfRule type="expression" dxfId="1397" priority="536">
      <formula>$I167="잔금"</formula>
    </cfRule>
  </conditionalFormatting>
  <conditionalFormatting sqref="X168:Z168 AB168:AG168 T168:V168">
    <cfRule type="expression" dxfId="1396" priority="535">
      <formula>$I168="잔금"</formula>
    </cfRule>
  </conditionalFormatting>
  <conditionalFormatting sqref="F168 L168 R168 T168:V168 N168:O168">
    <cfRule type="expression" dxfId="1395" priority="534">
      <formula>$I168="잔금"</formula>
    </cfRule>
  </conditionalFormatting>
  <conditionalFormatting sqref="B166:B168">
    <cfRule type="expression" dxfId="1394" priority="533">
      <formula>$I166="잔금"</formula>
    </cfRule>
  </conditionalFormatting>
  <conditionalFormatting sqref="G167:G168">
    <cfRule type="expression" dxfId="1393" priority="532">
      <formula>$I167="잔금"</formula>
    </cfRule>
  </conditionalFormatting>
  <conditionalFormatting sqref="I166:I168">
    <cfRule type="expression" dxfId="1392" priority="531">
      <formula>$I166="잔금"</formula>
    </cfRule>
  </conditionalFormatting>
  <conditionalFormatting sqref="J167">
    <cfRule type="expression" dxfId="1391" priority="530">
      <formula>$I167="잔금"</formula>
    </cfRule>
  </conditionalFormatting>
  <conditionalFormatting sqref="J168">
    <cfRule type="expression" dxfId="1390" priority="529">
      <formula>$I168="잔금"</formula>
    </cfRule>
  </conditionalFormatting>
  <conditionalFormatting sqref="K166">
    <cfRule type="expression" dxfId="1389" priority="528">
      <formula>$I166="잔금"</formula>
    </cfRule>
  </conditionalFormatting>
  <conditionalFormatting sqref="P166:P168">
    <cfRule type="expression" dxfId="1388" priority="527">
      <formula>$I166="잔금"</formula>
    </cfRule>
  </conditionalFormatting>
  <conditionalFormatting sqref="C167:C168">
    <cfRule type="expression" dxfId="1387" priority="526">
      <formula>$I167="잔금"</formula>
    </cfRule>
  </conditionalFormatting>
  <conditionalFormatting sqref="E167:E168">
    <cfRule type="expression" dxfId="1386" priority="524">
      <formula>$I167="잔금"</formula>
    </cfRule>
  </conditionalFormatting>
  <conditionalFormatting sqref="E167:E168">
    <cfRule type="expression" dxfId="1385" priority="525">
      <formula>AND($I167&lt;&gt;"선금", $I167&lt;&gt;"")</formula>
    </cfRule>
  </conditionalFormatting>
  <conditionalFormatting sqref="N166">
    <cfRule type="expression" dxfId="1384" priority="523">
      <formula>$I166="잔금"</formula>
    </cfRule>
  </conditionalFormatting>
  <conditionalFormatting sqref="AG166">
    <cfRule type="expression" dxfId="1383" priority="522">
      <formula>$I166="잔금"</formula>
    </cfRule>
  </conditionalFormatting>
  <conditionalFormatting sqref="K167:K168">
    <cfRule type="expression" dxfId="1382" priority="521">
      <formula>$I167="잔금"</formula>
    </cfRule>
  </conditionalFormatting>
  <conditionalFormatting sqref="Q166:Q167">
    <cfRule type="expression" dxfId="1381" priority="520">
      <formula>$I166="잔금"</formula>
    </cfRule>
  </conditionalFormatting>
  <conditionalFormatting sqref="D167">
    <cfRule type="expression" dxfId="1380" priority="518">
      <formula>$I167="잔금"</formula>
    </cfRule>
  </conditionalFormatting>
  <conditionalFormatting sqref="D167">
    <cfRule type="expression" dxfId="1379" priority="519">
      <formula>AND($I167&lt;&gt;"선금", $I167&lt;&gt;"")</formula>
    </cfRule>
  </conditionalFormatting>
  <conditionalFormatting sqref="D168">
    <cfRule type="expression" dxfId="1378" priority="516">
      <formula>$I168="잔금"</formula>
    </cfRule>
  </conditionalFormatting>
  <conditionalFormatting sqref="D168">
    <cfRule type="expression" dxfId="1377" priority="517">
      <formula>AND($I168&lt;&gt;"선금", $I168&lt;&gt;"")</formula>
    </cfRule>
  </conditionalFormatting>
  <conditionalFormatting sqref="M166">
    <cfRule type="expression" dxfId="1376" priority="515">
      <formula>$I166="잔금"</formula>
    </cfRule>
  </conditionalFormatting>
  <conditionalFormatting sqref="H166:H168">
    <cfRule type="expression" dxfId="1375" priority="512">
      <formula>$I166="잔금"</formula>
    </cfRule>
  </conditionalFormatting>
  <conditionalFormatting sqref="M167">
    <cfRule type="expression" dxfId="1374" priority="514">
      <formula>$I167="잔금"</formula>
    </cfRule>
  </conditionalFormatting>
  <conditionalFormatting sqref="J166">
    <cfRule type="expression" dxfId="1373" priority="513">
      <formula>$I166="잔금"</formula>
    </cfRule>
  </conditionalFormatting>
  <conditionalFormatting sqref="G166">
    <cfRule type="expression" dxfId="1372" priority="511">
      <formula>$I166="잔금"</formula>
    </cfRule>
  </conditionalFormatting>
  <conditionalFormatting sqref="Q168">
    <cfRule type="expression" dxfId="1371" priority="510">
      <formula>$I168="잔금"</formula>
    </cfRule>
  </conditionalFormatting>
  <conditionalFormatting sqref="D166">
    <cfRule type="expression" dxfId="1370" priority="504">
      <formula>$I166="잔금"</formula>
    </cfRule>
    <cfRule type="expression" dxfId="1369" priority="505">
      <formula>AND($I166&lt;&gt;"선금", $I166&lt;&gt;"")</formula>
    </cfRule>
  </conditionalFormatting>
  <conditionalFormatting sqref="D166">
    <cfRule type="expression" dxfId="1368" priority="507">
      <formula>AND($I166&lt;&gt;"선금", $I166&lt;&gt;"")</formula>
    </cfRule>
  </conditionalFormatting>
  <conditionalFormatting sqref="D166">
    <cfRule type="expression" dxfId="1367" priority="506">
      <formula>$I166="잔금"</formula>
    </cfRule>
  </conditionalFormatting>
  <conditionalFormatting sqref="U166:V166">
    <cfRule type="expression" dxfId="1366" priority="503">
      <formula>$I166="잔금"</formula>
    </cfRule>
  </conditionalFormatting>
  <conditionalFormatting sqref="U166:V166">
    <cfRule type="expression" dxfId="1365" priority="502">
      <formula>$I166="잔금"</formula>
    </cfRule>
  </conditionalFormatting>
  <conditionalFormatting sqref="M168">
    <cfRule type="expression" dxfId="1364" priority="501">
      <formula>$I168="잔금"</formula>
    </cfRule>
  </conditionalFormatting>
  <conditionalFormatting sqref="M22">
    <cfRule type="expression" dxfId="1363" priority="500">
      <formula>$I22="잔금"</formula>
    </cfRule>
  </conditionalFormatting>
  <conditionalFormatting sqref="O118">
    <cfRule type="expression" dxfId="1362" priority="498">
      <formula>$I118="잔금"</formula>
    </cfRule>
  </conditionalFormatting>
  <conditionalFormatting sqref="O32">
    <cfRule type="expression" dxfId="1361" priority="496">
      <formula>$I32="잔금"</formula>
    </cfRule>
  </conditionalFormatting>
  <conditionalFormatting sqref="O124">
    <cfRule type="expression" dxfId="1360" priority="494">
      <formula>$I124="잔금"</formula>
    </cfRule>
  </conditionalFormatting>
  <conditionalFormatting sqref="O94">
    <cfRule type="expression" dxfId="1359" priority="493">
      <formula>$I94="잔금"</formula>
    </cfRule>
  </conditionalFormatting>
  <conditionalFormatting sqref="O112">
    <cfRule type="expression" dxfId="1358" priority="492">
      <formula>$I112="잔금"</formula>
    </cfRule>
  </conditionalFormatting>
  <conditionalFormatting sqref="N112">
    <cfRule type="expression" dxfId="1357" priority="491">
      <formula>$I112="잔금"</formula>
    </cfRule>
  </conditionalFormatting>
  <conditionalFormatting sqref="N113">
    <cfRule type="expression" dxfId="1356" priority="490">
      <formula>$I113="잔금"</formula>
    </cfRule>
  </conditionalFormatting>
  <conditionalFormatting sqref="O113">
    <cfRule type="expression" dxfId="1355" priority="489">
      <formula>$I113="잔금"</formula>
    </cfRule>
  </conditionalFormatting>
  <conditionalFormatting sqref="N83:N104">
    <cfRule type="expression" dxfId="1354" priority="488">
      <formula>$I83="잔금"</formula>
    </cfRule>
  </conditionalFormatting>
  <conditionalFormatting sqref="O83">
    <cfRule type="expression" dxfId="1353" priority="487">
      <formula>$I83="잔금"</formula>
    </cfRule>
  </conditionalFormatting>
  <conditionalFormatting sqref="O103">
    <cfRule type="expression" dxfId="1352" priority="486">
      <formula>$I103="잔금"</formula>
    </cfRule>
  </conditionalFormatting>
  <conditionalFormatting sqref="O104">
    <cfRule type="expression" dxfId="1351" priority="485">
      <formula>$I104="잔금"</formula>
    </cfRule>
  </conditionalFormatting>
  <conditionalFormatting sqref="O74">
    <cfRule type="expression" dxfId="1350" priority="484">
      <formula>$I74="잔금"</formula>
    </cfRule>
  </conditionalFormatting>
  <conditionalFormatting sqref="N74">
    <cfRule type="expression" dxfId="1349" priority="483">
      <formula>$I74="잔금"</formula>
    </cfRule>
  </conditionalFormatting>
  <conditionalFormatting sqref="O154">
    <cfRule type="expression" dxfId="1348" priority="481">
      <formula>$I154="잔금"</formula>
    </cfRule>
  </conditionalFormatting>
  <conditionalFormatting sqref="O122">
    <cfRule type="expression" dxfId="1347" priority="480">
      <formula>$I122="잔금"</formula>
    </cfRule>
  </conditionalFormatting>
  <conditionalFormatting sqref="N122">
    <cfRule type="expression" dxfId="1346" priority="479">
      <formula>$I122="잔금"</formula>
    </cfRule>
  </conditionalFormatting>
  <conditionalFormatting sqref="O100">
    <cfRule type="expression" dxfId="1345" priority="478">
      <formula>$I100="잔금"</formula>
    </cfRule>
  </conditionalFormatting>
  <conditionalFormatting sqref="O148">
    <cfRule type="expression" dxfId="1344" priority="477">
      <formula>$I148="잔금"</formula>
    </cfRule>
  </conditionalFormatting>
  <conditionalFormatting sqref="M147">
    <cfRule type="expression" dxfId="1343" priority="476">
      <formula>$I147="잔금"</formula>
    </cfRule>
  </conditionalFormatting>
  <conditionalFormatting sqref="Q62">
    <cfRule type="expression" dxfId="1342" priority="475">
      <formula>$I62="잔금"</formula>
    </cfRule>
  </conditionalFormatting>
  <conditionalFormatting sqref="Q144">
    <cfRule type="expression" dxfId="1341" priority="474">
      <formula>$I144="잔금"</formula>
    </cfRule>
  </conditionalFormatting>
  <conditionalFormatting sqref="R25">
    <cfRule type="expression" dxfId="1340" priority="473">
      <formula>$I25="잔금"</formula>
    </cfRule>
  </conditionalFormatting>
  <conditionalFormatting sqref="R89">
    <cfRule type="expression" dxfId="1339" priority="472">
      <formula>$I89="잔금"</formula>
    </cfRule>
  </conditionalFormatting>
  <conditionalFormatting sqref="S169:S171">
    <cfRule type="expression" dxfId="1338" priority="471">
      <formula>$I169="잔금"</formula>
    </cfRule>
  </conditionalFormatting>
  <conditionalFormatting sqref="X169:Z169 AB169:AF169 T169">
    <cfRule type="expression" dxfId="1337" priority="469">
      <formula>$I169="잔금"</formula>
    </cfRule>
  </conditionalFormatting>
  <conditionalFormatting sqref="C169 L169 R169 O169 E169:F169 T169">
    <cfRule type="expression" dxfId="1336" priority="468">
      <formula>$I169="잔금"</formula>
    </cfRule>
  </conditionalFormatting>
  <conditionalFormatting sqref="E169">
    <cfRule type="expression" dxfId="1335" priority="470">
      <formula>AND($I169&lt;&gt;"선금", $I169&lt;&gt;"")</formula>
    </cfRule>
  </conditionalFormatting>
  <conditionalFormatting sqref="X170:Z170 AB170:AG170 T170:V170">
    <cfRule type="expression" dxfId="1334" priority="467">
      <formula>$I170="잔금"</formula>
    </cfRule>
  </conditionalFormatting>
  <conditionalFormatting sqref="F170 L170 R170 N170:O170 T170:V170">
    <cfRule type="expression" dxfId="1333" priority="466">
      <formula>$I170="잔금"</formula>
    </cfRule>
  </conditionalFormatting>
  <conditionalFormatting sqref="X171:Z171 AB171:AG171 T171:V171">
    <cfRule type="expression" dxfId="1332" priority="465">
      <formula>$I171="잔금"</formula>
    </cfRule>
  </conditionalFormatting>
  <conditionalFormatting sqref="F171 L171 R171 T171:V171 N171:O171">
    <cfRule type="expression" dxfId="1331" priority="464">
      <formula>$I171="잔금"</formula>
    </cfRule>
  </conditionalFormatting>
  <conditionalFormatting sqref="B169:B171">
    <cfRule type="expression" dxfId="1330" priority="463">
      <formula>$I169="잔금"</formula>
    </cfRule>
  </conditionalFormatting>
  <conditionalFormatting sqref="G170:G171">
    <cfRule type="expression" dxfId="1329" priority="462">
      <formula>$I170="잔금"</formula>
    </cfRule>
  </conditionalFormatting>
  <conditionalFormatting sqref="I169:I171">
    <cfRule type="expression" dxfId="1328" priority="461">
      <formula>$I169="잔금"</formula>
    </cfRule>
  </conditionalFormatting>
  <conditionalFormatting sqref="J170">
    <cfRule type="expression" dxfId="1327" priority="460">
      <formula>$I170="잔금"</formula>
    </cfRule>
  </conditionalFormatting>
  <conditionalFormatting sqref="J171">
    <cfRule type="expression" dxfId="1326" priority="459">
      <formula>$I171="잔금"</formula>
    </cfRule>
  </conditionalFormatting>
  <conditionalFormatting sqref="K169">
    <cfRule type="expression" dxfId="1325" priority="458">
      <formula>$I169="잔금"</formula>
    </cfRule>
  </conditionalFormatting>
  <conditionalFormatting sqref="P169:P171">
    <cfRule type="expression" dxfId="1324" priority="457">
      <formula>$I169="잔금"</formula>
    </cfRule>
  </conditionalFormatting>
  <conditionalFormatting sqref="C170:C171">
    <cfRule type="expression" dxfId="1323" priority="456">
      <formula>$I170="잔금"</formula>
    </cfRule>
  </conditionalFormatting>
  <conditionalFormatting sqref="E170:E171">
    <cfRule type="expression" dxfId="1322" priority="454">
      <formula>$I170="잔금"</formula>
    </cfRule>
  </conditionalFormatting>
  <conditionalFormatting sqref="E170:E171">
    <cfRule type="expression" dxfId="1321" priority="455">
      <formula>AND($I170&lt;&gt;"선금", $I170&lt;&gt;"")</formula>
    </cfRule>
  </conditionalFormatting>
  <conditionalFormatting sqref="N169">
    <cfRule type="expression" dxfId="1320" priority="453">
      <formula>$I169="잔금"</formula>
    </cfRule>
  </conditionalFormatting>
  <conditionalFormatting sqref="AG169">
    <cfRule type="expression" dxfId="1319" priority="452">
      <formula>$I169="잔금"</formula>
    </cfRule>
  </conditionalFormatting>
  <conditionalFormatting sqref="K170:K171">
    <cfRule type="expression" dxfId="1318" priority="451">
      <formula>$I170="잔금"</formula>
    </cfRule>
  </conditionalFormatting>
  <conditionalFormatting sqref="Q169:Q170">
    <cfRule type="expression" dxfId="1317" priority="450">
      <formula>$I169="잔금"</formula>
    </cfRule>
  </conditionalFormatting>
  <conditionalFormatting sqref="D170">
    <cfRule type="expression" dxfId="1316" priority="448">
      <formula>$I170="잔금"</formula>
    </cfRule>
  </conditionalFormatting>
  <conditionalFormatting sqref="D170">
    <cfRule type="expression" dxfId="1315" priority="449">
      <formula>AND($I170&lt;&gt;"선금", $I170&lt;&gt;"")</formula>
    </cfRule>
  </conditionalFormatting>
  <conditionalFormatting sqref="D171">
    <cfRule type="expression" dxfId="1314" priority="446">
      <formula>$I171="잔금"</formula>
    </cfRule>
  </conditionalFormatting>
  <conditionalFormatting sqref="D171">
    <cfRule type="expression" dxfId="1313" priority="447">
      <formula>AND($I171&lt;&gt;"선금", $I171&lt;&gt;"")</formula>
    </cfRule>
  </conditionalFormatting>
  <conditionalFormatting sqref="M170">
    <cfRule type="expression" dxfId="1312" priority="444">
      <formula>$I170="잔금"</formula>
    </cfRule>
  </conditionalFormatting>
  <conditionalFormatting sqref="Q171">
    <cfRule type="expression" dxfId="1311" priority="440">
      <formula>$I171="잔금"</formula>
    </cfRule>
  </conditionalFormatting>
  <conditionalFormatting sqref="J169">
    <cfRule type="expression" dxfId="1310" priority="443">
      <formula>$I169="잔금"</formula>
    </cfRule>
  </conditionalFormatting>
  <conditionalFormatting sqref="G169">
    <cfRule type="expression" dxfId="1309" priority="441">
      <formula>$I169="잔금"</formula>
    </cfRule>
  </conditionalFormatting>
  <conditionalFormatting sqref="D169">
    <cfRule type="expression" dxfId="1308" priority="436">
      <formula>$I169="잔금"</formula>
    </cfRule>
    <cfRule type="expression" dxfId="1307" priority="437">
      <formula>AND($I169&lt;&gt;"선금", $I169&lt;&gt;"")</formula>
    </cfRule>
  </conditionalFormatting>
  <conditionalFormatting sqref="D169">
    <cfRule type="expression" dxfId="1306" priority="439">
      <formula>AND($I169&lt;&gt;"선금", $I169&lt;&gt;"")</formula>
    </cfRule>
  </conditionalFormatting>
  <conditionalFormatting sqref="D169">
    <cfRule type="expression" dxfId="1305" priority="438">
      <formula>$I169="잔금"</formula>
    </cfRule>
  </conditionalFormatting>
  <conditionalFormatting sqref="U169:V169">
    <cfRule type="expression" dxfId="1304" priority="435">
      <formula>$I169="잔금"</formula>
    </cfRule>
  </conditionalFormatting>
  <conditionalFormatting sqref="U169:V169">
    <cfRule type="expression" dxfId="1303" priority="434">
      <formula>$I169="잔금"</formula>
    </cfRule>
  </conditionalFormatting>
  <conditionalFormatting sqref="M171">
    <cfRule type="expression" dxfId="1302" priority="433">
      <formula>$I171="잔금"</formula>
    </cfRule>
  </conditionalFormatting>
  <conditionalFormatting sqref="H169:H171">
    <cfRule type="expression" dxfId="1301" priority="432">
      <formula>$I169="잔금"</formula>
    </cfRule>
  </conditionalFormatting>
  <conditionalFormatting sqref="M169">
    <cfRule type="expression" dxfId="1300" priority="431">
      <formula>$I169="잔금"</formula>
    </cfRule>
  </conditionalFormatting>
  <conditionalFormatting sqref="S172:S174">
    <cfRule type="expression" dxfId="1299" priority="430">
      <formula>$I172="잔금"</formula>
    </cfRule>
  </conditionalFormatting>
  <conditionalFormatting sqref="X172:Z172 AB172:AF172 T172">
    <cfRule type="expression" dxfId="1298" priority="428">
      <formula>$I172="잔금"</formula>
    </cfRule>
  </conditionalFormatting>
  <conditionalFormatting sqref="C172 L172 R172 O172 E172:F172 T172">
    <cfRule type="expression" dxfId="1297" priority="427">
      <formula>$I172="잔금"</formula>
    </cfRule>
  </conditionalFormatting>
  <conditionalFormatting sqref="E172">
    <cfRule type="expression" dxfId="1296" priority="429">
      <formula>AND($I172&lt;&gt;"선금", $I172&lt;&gt;"")</formula>
    </cfRule>
  </conditionalFormatting>
  <conditionalFormatting sqref="X173:Z173 AB173:AG173 T173:V173">
    <cfRule type="expression" dxfId="1295" priority="426">
      <formula>$I173="잔금"</formula>
    </cfRule>
  </conditionalFormatting>
  <conditionalFormatting sqref="F173 L173 R173 N173:O173 T173:V173">
    <cfRule type="expression" dxfId="1294" priority="425">
      <formula>$I173="잔금"</formula>
    </cfRule>
  </conditionalFormatting>
  <conditionalFormatting sqref="X174:Z174 AB174:AG174 T174:V174">
    <cfRule type="expression" dxfId="1293" priority="424">
      <formula>$I174="잔금"</formula>
    </cfRule>
  </conditionalFormatting>
  <conditionalFormatting sqref="F174 L174 R174 T174:V174 N174:O174">
    <cfRule type="expression" dxfId="1292" priority="423">
      <formula>$I174="잔금"</formula>
    </cfRule>
  </conditionalFormatting>
  <conditionalFormatting sqref="B172:B174">
    <cfRule type="expression" dxfId="1291" priority="422">
      <formula>$I172="잔금"</formula>
    </cfRule>
  </conditionalFormatting>
  <conditionalFormatting sqref="G173:G174">
    <cfRule type="expression" dxfId="1290" priority="421">
      <formula>$I173="잔금"</formula>
    </cfRule>
  </conditionalFormatting>
  <conditionalFormatting sqref="I172:I174">
    <cfRule type="expression" dxfId="1289" priority="420">
      <formula>$I172="잔금"</formula>
    </cfRule>
  </conditionalFormatting>
  <conditionalFormatting sqref="J173">
    <cfRule type="expression" dxfId="1288" priority="419">
      <formula>$I173="잔금"</formula>
    </cfRule>
  </conditionalFormatting>
  <conditionalFormatting sqref="J174">
    <cfRule type="expression" dxfId="1287" priority="418">
      <formula>$I174="잔금"</formula>
    </cfRule>
  </conditionalFormatting>
  <conditionalFormatting sqref="K172">
    <cfRule type="expression" dxfId="1286" priority="417">
      <formula>$I172="잔금"</formula>
    </cfRule>
  </conditionalFormatting>
  <conditionalFormatting sqref="P172:P174">
    <cfRule type="expression" dxfId="1285" priority="416">
      <formula>$I172="잔금"</formula>
    </cfRule>
  </conditionalFormatting>
  <conditionalFormatting sqref="C173:C174">
    <cfRule type="expression" dxfId="1284" priority="415">
      <formula>$I173="잔금"</formula>
    </cfRule>
  </conditionalFormatting>
  <conditionalFormatting sqref="E173:E174">
    <cfRule type="expression" dxfId="1283" priority="413">
      <formula>$I173="잔금"</formula>
    </cfRule>
  </conditionalFormatting>
  <conditionalFormatting sqref="E173:E174">
    <cfRule type="expression" dxfId="1282" priority="414">
      <formula>AND($I173&lt;&gt;"선금", $I173&lt;&gt;"")</formula>
    </cfRule>
  </conditionalFormatting>
  <conditionalFormatting sqref="N172">
    <cfRule type="expression" dxfId="1281" priority="412">
      <formula>$I172="잔금"</formula>
    </cfRule>
  </conditionalFormatting>
  <conditionalFormatting sqref="AG172">
    <cfRule type="expression" dxfId="1280" priority="411">
      <formula>$I172="잔금"</formula>
    </cfRule>
  </conditionalFormatting>
  <conditionalFormatting sqref="K173:K174">
    <cfRule type="expression" dxfId="1279" priority="410">
      <formula>$I173="잔금"</formula>
    </cfRule>
  </conditionalFormatting>
  <conditionalFormatting sqref="Q172:Q173">
    <cfRule type="expression" dxfId="1278" priority="409">
      <formula>$I172="잔금"</formula>
    </cfRule>
  </conditionalFormatting>
  <conditionalFormatting sqref="D173">
    <cfRule type="expression" dxfId="1277" priority="407">
      <formula>$I173="잔금"</formula>
    </cfRule>
  </conditionalFormatting>
  <conditionalFormatting sqref="D173">
    <cfRule type="expression" dxfId="1276" priority="408">
      <formula>AND($I173&lt;&gt;"선금", $I173&lt;&gt;"")</formula>
    </cfRule>
  </conditionalFormatting>
  <conditionalFormatting sqref="D174">
    <cfRule type="expression" dxfId="1275" priority="405">
      <formula>$I174="잔금"</formula>
    </cfRule>
  </conditionalFormatting>
  <conditionalFormatting sqref="D174">
    <cfRule type="expression" dxfId="1274" priority="406">
      <formula>AND($I174&lt;&gt;"선금", $I174&lt;&gt;"")</formula>
    </cfRule>
  </conditionalFormatting>
  <conditionalFormatting sqref="M173">
    <cfRule type="expression" dxfId="1273" priority="404">
      <formula>$I173="잔금"</formula>
    </cfRule>
  </conditionalFormatting>
  <conditionalFormatting sqref="Q174">
    <cfRule type="expression" dxfId="1272" priority="401">
      <formula>$I174="잔금"</formula>
    </cfRule>
  </conditionalFormatting>
  <conditionalFormatting sqref="J172">
    <cfRule type="expression" dxfId="1271" priority="403">
      <formula>$I172="잔금"</formula>
    </cfRule>
  </conditionalFormatting>
  <conditionalFormatting sqref="G172">
    <cfRule type="expression" dxfId="1270" priority="402">
      <formula>$I172="잔금"</formula>
    </cfRule>
  </conditionalFormatting>
  <conditionalFormatting sqref="U172:V172">
    <cfRule type="expression" dxfId="1269" priority="396">
      <formula>$I172="잔금"</formula>
    </cfRule>
  </conditionalFormatting>
  <conditionalFormatting sqref="U172:V172">
    <cfRule type="expression" dxfId="1268" priority="395">
      <formula>$I172="잔금"</formula>
    </cfRule>
  </conditionalFormatting>
  <conditionalFormatting sqref="M174">
    <cfRule type="expression" dxfId="1267" priority="394">
      <formula>$I174="잔금"</formula>
    </cfRule>
  </conditionalFormatting>
  <conditionalFormatting sqref="H172:H174">
    <cfRule type="expression" dxfId="1266" priority="393">
      <formula>$I172="잔금"</formula>
    </cfRule>
  </conditionalFormatting>
  <conditionalFormatting sqref="M172">
    <cfRule type="expression" dxfId="1265" priority="392">
      <formula>$I172="잔금"</formula>
    </cfRule>
  </conditionalFormatting>
  <conditionalFormatting sqref="D172">
    <cfRule type="expression" dxfId="1264" priority="390">
      <formula>$I172="잔금"</formula>
    </cfRule>
  </conditionalFormatting>
  <conditionalFormatting sqref="D172">
    <cfRule type="expression" dxfId="1263" priority="391">
      <formula>AND($I172&lt;&gt;"선금", $I172&lt;&gt;"")</formula>
    </cfRule>
  </conditionalFormatting>
  <conditionalFormatting sqref="S175:S177">
    <cfRule type="expression" dxfId="1262" priority="389">
      <formula>$I175="잔금"</formula>
    </cfRule>
  </conditionalFormatting>
  <conditionalFormatting sqref="X175:Z175 AB175:AF175 T175">
    <cfRule type="expression" dxfId="1261" priority="387">
      <formula>$I175="잔금"</formula>
    </cfRule>
  </conditionalFormatting>
  <conditionalFormatting sqref="C175 L175 R175 O175 E175:F175 T175">
    <cfRule type="expression" dxfId="1260" priority="386">
      <formula>$I175="잔금"</formula>
    </cfRule>
  </conditionalFormatting>
  <conditionalFormatting sqref="E175">
    <cfRule type="expression" dxfId="1259" priority="388">
      <formula>AND($I175&lt;&gt;"선금", $I175&lt;&gt;"")</formula>
    </cfRule>
  </conditionalFormatting>
  <conditionalFormatting sqref="X176:Z176 AB176:AG176 T176:V176">
    <cfRule type="expression" dxfId="1258" priority="385">
      <formula>$I176="잔금"</formula>
    </cfRule>
  </conditionalFormatting>
  <conditionalFormatting sqref="F176 L176 R176 N176:O176 T176:V176">
    <cfRule type="expression" dxfId="1257" priority="384">
      <formula>$I176="잔금"</formula>
    </cfRule>
  </conditionalFormatting>
  <conditionalFormatting sqref="X177:Z177 AB177:AG177 T177:V177">
    <cfRule type="expression" dxfId="1256" priority="383">
      <formula>$I177="잔금"</formula>
    </cfRule>
  </conditionalFormatting>
  <conditionalFormatting sqref="F177 L177 R177 T177:V177 N177:O177">
    <cfRule type="expression" dxfId="1255" priority="382">
      <formula>$I177="잔금"</formula>
    </cfRule>
  </conditionalFormatting>
  <conditionalFormatting sqref="B175:B177">
    <cfRule type="expression" dxfId="1254" priority="381">
      <formula>$I175="잔금"</formula>
    </cfRule>
  </conditionalFormatting>
  <conditionalFormatting sqref="G176:G177">
    <cfRule type="expression" dxfId="1253" priority="380">
      <formula>$I176="잔금"</formula>
    </cfRule>
  </conditionalFormatting>
  <conditionalFormatting sqref="I175:I177">
    <cfRule type="expression" dxfId="1252" priority="379">
      <formula>$I175="잔금"</formula>
    </cfRule>
  </conditionalFormatting>
  <conditionalFormatting sqref="J176">
    <cfRule type="expression" dxfId="1251" priority="378">
      <formula>$I176="잔금"</formula>
    </cfRule>
  </conditionalFormatting>
  <conditionalFormatting sqref="J177">
    <cfRule type="expression" dxfId="1250" priority="377">
      <formula>$I177="잔금"</formula>
    </cfRule>
  </conditionalFormatting>
  <conditionalFormatting sqref="K175">
    <cfRule type="expression" dxfId="1249" priority="376">
      <formula>$I175="잔금"</formula>
    </cfRule>
  </conditionalFormatting>
  <conditionalFormatting sqref="P175:P177">
    <cfRule type="expression" dxfId="1248" priority="375">
      <formula>$I175="잔금"</formula>
    </cfRule>
  </conditionalFormatting>
  <conditionalFormatting sqref="C176:C177">
    <cfRule type="expression" dxfId="1247" priority="374">
      <formula>$I176="잔금"</formula>
    </cfRule>
  </conditionalFormatting>
  <conditionalFormatting sqref="E176:E177">
    <cfRule type="expression" dxfId="1246" priority="372">
      <formula>$I176="잔금"</formula>
    </cfRule>
  </conditionalFormatting>
  <conditionalFormatting sqref="E176:E177">
    <cfRule type="expression" dxfId="1245" priority="373">
      <formula>AND($I176&lt;&gt;"선금", $I176&lt;&gt;"")</formula>
    </cfRule>
  </conditionalFormatting>
  <conditionalFormatting sqref="N175">
    <cfRule type="expression" dxfId="1244" priority="371">
      <formula>$I175="잔금"</formula>
    </cfRule>
  </conditionalFormatting>
  <conditionalFormatting sqref="AG175">
    <cfRule type="expression" dxfId="1243" priority="370">
      <formula>$I175="잔금"</formula>
    </cfRule>
  </conditionalFormatting>
  <conditionalFormatting sqref="K176:K177">
    <cfRule type="expression" dxfId="1242" priority="369">
      <formula>$I176="잔금"</formula>
    </cfRule>
  </conditionalFormatting>
  <conditionalFormatting sqref="Q175:Q176">
    <cfRule type="expression" dxfId="1241" priority="368">
      <formula>$I175="잔금"</formula>
    </cfRule>
  </conditionalFormatting>
  <conditionalFormatting sqref="D176">
    <cfRule type="expression" dxfId="1240" priority="366">
      <formula>$I176="잔금"</formula>
    </cfRule>
  </conditionalFormatting>
  <conditionalFormatting sqref="D176">
    <cfRule type="expression" dxfId="1239" priority="367">
      <formula>AND($I176&lt;&gt;"선금", $I176&lt;&gt;"")</formula>
    </cfRule>
  </conditionalFormatting>
  <conditionalFormatting sqref="D177">
    <cfRule type="expression" dxfId="1238" priority="364">
      <formula>$I177="잔금"</formula>
    </cfRule>
  </conditionalFormatting>
  <conditionalFormatting sqref="D177">
    <cfRule type="expression" dxfId="1237" priority="365">
      <formula>AND($I177&lt;&gt;"선금", $I177&lt;&gt;"")</formula>
    </cfRule>
  </conditionalFormatting>
  <conditionalFormatting sqref="M176">
    <cfRule type="expression" dxfId="1236" priority="363">
      <formula>$I176="잔금"</formula>
    </cfRule>
  </conditionalFormatting>
  <conditionalFormatting sqref="Q177">
    <cfRule type="expression" dxfId="1235" priority="360">
      <formula>$I177="잔금"</formula>
    </cfRule>
  </conditionalFormatting>
  <conditionalFormatting sqref="J175">
    <cfRule type="expression" dxfId="1234" priority="362">
      <formula>$I175="잔금"</formula>
    </cfRule>
  </conditionalFormatting>
  <conditionalFormatting sqref="G175">
    <cfRule type="expression" dxfId="1233" priority="361">
      <formula>$I175="잔금"</formula>
    </cfRule>
  </conditionalFormatting>
  <conditionalFormatting sqref="U175:V175">
    <cfRule type="expression" dxfId="1232" priority="359">
      <formula>$I175="잔금"</formula>
    </cfRule>
  </conditionalFormatting>
  <conditionalFormatting sqref="U175:V175">
    <cfRule type="expression" dxfId="1231" priority="358">
      <formula>$I175="잔금"</formula>
    </cfRule>
  </conditionalFormatting>
  <conditionalFormatting sqref="M177">
    <cfRule type="expression" dxfId="1230" priority="357">
      <formula>$I177="잔금"</formula>
    </cfRule>
  </conditionalFormatting>
  <conditionalFormatting sqref="H175:H177">
    <cfRule type="expression" dxfId="1229" priority="356">
      <formula>$I175="잔금"</formula>
    </cfRule>
  </conditionalFormatting>
  <conditionalFormatting sqref="M175">
    <cfRule type="expression" dxfId="1228" priority="355">
      <formula>$I175="잔금"</formula>
    </cfRule>
  </conditionalFormatting>
  <conditionalFormatting sqref="D175">
    <cfRule type="expression" dxfId="1227" priority="351">
      <formula>$I175="잔금"</formula>
    </cfRule>
  </conditionalFormatting>
  <conditionalFormatting sqref="D175">
    <cfRule type="expression" dxfId="1226" priority="352">
      <formula>AND($I175&lt;&gt;"선금", $I175&lt;&gt;"")</formula>
    </cfRule>
  </conditionalFormatting>
  <conditionalFormatting sqref="M123">
    <cfRule type="expression" dxfId="1225" priority="350">
      <formula>$I123="잔금"</formula>
    </cfRule>
  </conditionalFormatting>
  <conditionalFormatting sqref="O164">
    <cfRule type="expression" dxfId="1224" priority="349">
      <formula>$I164="잔금"</formula>
    </cfRule>
  </conditionalFormatting>
  <conditionalFormatting sqref="N164">
    <cfRule type="expression" dxfId="1223" priority="348">
      <formula>$I164="잔금"</formula>
    </cfRule>
  </conditionalFormatting>
  <conditionalFormatting sqref="M120">
    <cfRule type="expression" dxfId="1222" priority="347">
      <formula>$I120="잔금"</formula>
    </cfRule>
  </conditionalFormatting>
  <conditionalFormatting sqref="S178:S180">
    <cfRule type="expression" dxfId="1221" priority="346">
      <formula>$I178="잔금"</formula>
    </cfRule>
  </conditionalFormatting>
  <conditionalFormatting sqref="X178:Z178 AB178:AF178 T178">
    <cfRule type="expression" dxfId="1220" priority="344">
      <formula>$I178="잔금"</formula>
    </cfRule>
  </conditionalFormatting>
  <conditionalFormatting sqref="C178 R178 E178:F178 T178">
    <cfRule type="expression" dxfId="1219" priority="343">
      <formula>$I178="잔금"</formula>
    </cfRule>
  </conditionalFormatting>
  <conditionalFormatting sqref="E178">
    <cfRule type="expression" dxfId="1218" priority="345">
      <formula>AND($I178&lt;&gt;"선금", $I178&lt;&gt;"")</formula>
    </cfRule>
  </conditionalFormatting>
  <conditionalFormatting sqref="X179:Z179 AB179:AG179 T179:V179">
    <cfRule type="expression" dxfId="1217" priority="342">
      <formula>$I179="잔금"</formula>
    </cfRule>
  </conditionalFormatting>
  <conditionalFormatting sqref="F179 R179 T179:V179">
    <cfRule type="expression" dxfId="1216" priority="341">
      <formula>$I179="잔금"</formula>
    </cfRule>
  </conditionalFormatting>
  <conditionalFormatting sqref="X180:Z180 AB180:AG180 T180:V180">
    <cfRule type="expression" dxfId="1215" priority="340">
      <formula>$I180="잔금"</formula>
    </cfRule>
  </conditionalFormatting>
  <conditionalFormatting sqref="F180 R180 T180:V180">
    <cfRule type="expression" dxfId="1214" priority="339">
      <formula>$I180="잔금"</formula>
    </cfRule>
  </conditionalFormatting>
  <conditionalFormatting sqref="B178:B180">
    <cfRule type="expression" dxfId="1213" priority="338">
      <formula>$I178="잔금"</formula>
    </cfRule>
  </conditionalFormatting>
  <conditionalFormatting sqref="G179:G180">
    <cfRule type="expression" dxfId="1212" priority="337">
      <formula>$I179="잔금"</formula>
    </cfRule>
  </conditionalFormatting>
  <conditionalFormatting sqref="I178:I180">
    <cfRule type="expression" dxfId="1211" priority="336">
      <formula>$I178="잔금"</formula>
    </cfRule>
  </conditionalFormatting>
  <conditionalFormatting sqref="J179">
    <cfRule type="expression" dxfId="1210" priority="335">
      <formula>$I179="잔금"</formula>
    </cfRule>
  </conditionalFormatting>
  <conditionalFormatting sqref="J180">
    <cfRule type="expression" dxfId="1209" priority="334">
      <formula>$I180="잔금"</formula>
    </cfRule>
  </conditionalFormatting>
  <conditionalFormatting sqref="K178">
    <cfRule type="expression" dxfId="1208" priority="333">
      <formula>$I178="잔금"</formula>
    </cfRule>
  </conditionalFormatting>
  <conditionalFormatting sqref="G190">
    <cfRule type="expression" dxfId="1207" priority="110">
      <formula>$I190="잔금"</formula>
    </cfRule>
  </conditionalFormatting>
  <conditionalFormatting sqref="C179:C180">
    <cfRule type="expression" dxfId="1206" priority="331">
      <formula>$I179="잔금"</formula>
    </cfRule>
  </conditionalFormatting>
  <conditionalFormatting sqref="E179:E180">
    <cfRule type="expression" dxfId="1205" priority="329">
      <formula>$I179="잔금"</formula>
    </cfRule>
  </conditionalFormatting>
  <conditionalFormatting sqref="E179:E180">
    <cfRule type="expression" dxfId="1204" priority="330">
      <formula>AND($I179&lt;&gt;"선금", $I179&lt;&gt;"")</formula>
    </cfRule>
  </conditionalFormatting>
  <conditionalFormatting sqref="AG178">
    <cfRule type="expression" dxfId="1203" priority="327">
      <formula>$I178="잔금"</formula>
    </cfRule>
  </conditionalFormatting>
  <conditionalFormatting sqref="K179:K180">
    <cfRule type="expression" dxfId="1202" priority="326">
      <formula>$I179="잔금"</formula>
    </cfRule>
  </conditionalFormatting>
  <conditionalFormatting sqref="L191">
    <cfRule type="expression" dxfId="1201" priority="103">
      <formula>$I191="잔금"</formula>
    </cfRule>
  </conditionalFormatting>
  <conditionalFormatting sqref="D179">
    <cfRule type="expression" dxfId="1200" priority="323">
      <formula>$I179="잔금"</formula>
    </cfRule>
  </conditionalFormatting>
  <conditionalFormatting sqref="D179">
    <cfRule type="expression" dxfId="1199" priority="324">
      <formula>AND($I179&lt;&gt;"선금", $I179&lt;&gt;"")</formula>
    </cfRule>
  </conditionalFormatting>
  <conditionalFormatting sqref="D180">
    <cfRule type="expression" dxfId="1198" priority="321">
      <formula>$I180="잔금"</formula>
    </cfRule>
  </conditionalFormatting>
  <conditionalFormatting sqref="D180">
    <cfRule type="expression" dxfId="1197" priority="322">
      <formula>AND($I180&lt;&gt;"선금", $I180&lt;&gt;"")</formula>
    </cfRule>
  </conditionalFormatting>
  <conditionalFormatting sqref="M190">
    <cfRule type="expression" dxfId="1196" priority="98">
      <formula>$I190="잔금"</formula>
    </cfRule>
  </conditionalFormatting>
  <conditionalFormatting sqref="O191">
    <cfRule type="expression" dxfId="1195" priority="95">
      <formula>$I191="잔금"</formula>
    </cfRule>
  </conditionalFormatting>
  <conditionalFormatting sqref="J178">
    <cfRule type="expression" dxfId="1194" priority="319">
      <formula>$I178="잔금"</formula>
    </cfRule>
  </conditionalFormatting>
  <conditionalFormatting sqref="G178">
    <cfRule type="expression" dxfId="1193" priority="318">
      <formula>$I178="잔금"</formula>
    </cfRule>
  </conditionalFormatting>
  <conditionalFormatting sqref="U178:V178">
    <cfRule type="expression" dxfId="1192" priority="316">
      <formula>$I178="잔금"</formula>
    </cfRule>
  </conditionalFormatting>
  <conditionalFormatting sqref="U178:V178">
    <cfRule type="expression" dxfId="1191" priority="315">
      <formula>$I178="잔금"</formula>
    </cfRule>
  </conditionalFormatting>
  <conditionalFormatting sqref="H178:H180">
    <cfRule type="expression" dxfId="1190" priority="313">
      <formula>$I178="잔금"</formula>
    </cfRule>
  </conditionalFormatting>
  <conditionalFormatting sqref="D178">
    <cfRule type="expression" dxfId="1189" priority="310">
      <formula>$I178="잔금"</formula>
    </cfRule>
  </conditionalFormatting>
  <conditionalFormatting sqref="D178">
    <cfRule type="expression" dxfId="1188" priority="311">
      <formula>AND($I178&lt;&gt;"선금", $I178&lt;&gt;"")</formula>
    </cfRule>
  </conditionalFormatting>
  <conditionalFormatting sqref="Q190:Q191">
    <cfRule type="expression" dxfId="1187" priority="99">
      <formula>$I190="잔금"</formula>
    </cfRule>
  </conditionalFormatting>
  <conditionalFormatting sqref="M191">
    <cfRule type="expression" dxfId="1186" priority="97">
      <formula>$I191="잔금"</formula>
    </cfRule>
  </conditionalFormatting>
  <conditionalFormatting sqref="Q192">
    <cfRule type="expression" dxfId="1185" priority="96">
      <formula>$I192="잔금"</formula>
    </cfRule>
  </conditionalFormatting>
  <conditionalFormatting sqref="N191">
    <cfRule type="expression" dxfId="1184" priority="94">
      <formula>$I191="잔금"</formula>
    </cfRule>
  </conditionalFormatting>
  <conditionalFormatting sqref="M192">
    <cfRule type="expression" dxfId="1183" priority="93">
      <formula>$I192="잔금"</formula>
    </cfRule>
  </conditionalFormatting>
  <conditionalFormatting sqref="L178 O178">
    <cfRule type="expression" dxfId="1182" priority="272">
      <formula>$I178="잔금"</formula>
    </cfRule>
  </conditionalFormatting>
  <conditionalFormatting sqref="L179">
    <cfRule type="expression" dxfId="1181" priority="271">
      <formula>$I179="잔금"</formula>
    </cfRule>
  </conditionalFormatting>
  <conditionalFormatting sqref="L180 N180:O180">
    <cfRule type="expression" dxfId="1180" priority="270">
      <formula>$I180="잔금"</formula>
    </cfRule>
  </conditionalFormatting>
  <conditionalFormatting sqref="P178:P180">
    <cfRule type="expression" dxfId="1179" priority="269">
      <formula>$I178="잔금"</formula>
    </cfRule>
  </conditionalFormatting>
  <conditionalFormatting sqref="N178">
    <cfRule type="expression" dxfId="1178" priority="268">
      <formula>$I178="잔금"</formula>
    </cfRule>
  </conditionalFormatting>
  <conditionalFormatting sqref="Q178:Q179">
    <cfRule type="expression" dxfId="1177" priority="267">
      <formula>$I178="잔금"</formula>
    </cfRule>
  </conditionalFormatting>
  <conditionalFormatting sqref="M178">
    <cfRule type="expression" dxfId="1176" priority="266">
      <formula>$I178="잔금"</formula>
    </cfRule>
  </conditionalFormatting>
  <conditionalFormatting sqref="M179">
    <cfRule type="expression" dxfId="1175" priority="265">
      <formula>$I179="잔금"</formula>
    </cfRule>
  </conditionalFormatting>
  <conditionalFormatting sqref="Q180">
    <cfRule type="expression" dxfId="1174" priority="264">
      <formula>$I180="잔금"</formula>
    </cfRule>
  </conditionalFormatting>
  <conditionalFormatting sqref="O179">
    <cfRule type="expression" dxfId="1173" priority="263">
      <formula>$I179="잔금"</formula>
    </cfRule>
  </conditionalFormatting>
  <conditionalFormatting sqref="N179">
    <cfRule type="expression" dxfId="1172" priority="262">
      <formula>$I179="잔금"</formula>
    </cfRule>
  </conditionalFormatting>
  <conditionalFormatting sqref="M180">
    <cfRule type="expression" dxfId="1171" priority="261">
      <formula>$I180="잔금"</formula>
    </cfRule>
  </conditionalFormatting>
  <conditionalFormatting sqref="S181:S183">
    <cfRule type="expression" dxfId="1170" priority="260">
      <formula>$I181="잔금"</formula>
    </cfRule>
  </conditionalFormatting>
  <conditionalFormatting sqref="X181:Z181 AB181:AF181 T181">
    <cfRule type="expression" dxfId="1169" priority="258">
      <formula>$I181="잔금"</formula>
    </cfRule>
  </conditionalFormatting>
  <conditionalFormatting sqref="C181 R181 E181:F181 T181">
    <cfRule type="expression" dxfId="1168" priority="257">
      <formula>$I181="잔금"</formula>
    </cfRule>
  </conditionalFormatting>
  <conditionalFormatting sqref="E181">
    <cfRule type="expression" dxfId="1167" priority="259">
      <formula>AND($I181&lt;&gt;"선금", $I181&lt;&gt;"")</formula>
    </cfRule>
  </conditionalFormatting>
  <conditionalFormatting sqref="X182:Z182 AB182:AG182 T182:V182">
    <cfRule type="expression" dxfId="1166" priority="256">
      <formula>$I182="잔금"</formula>
    </cfRule>
  </conditionalFormatting>
  <conditionalFormatting sqref="F182 R182 T182:V182">
    <cfRule type="expression" dxfId="1165" priority="255">
      <formula>$I182="잔금"</formula>
    </cfRule>
  </conditionalFormatting>
  <conditionalFormatting sqref="X183:Z183 AB183:AG183 T183:V183">
    <cfRule type="expression" dxfId="1164" priority="254">
      <formula>$I183="잔금"</formula>
    </cfRule>
  </conditionalFormatting>
  <conditionalFormatting sqref="F183 R183 T183:V183">
    <cfRule type="expression" dxfId="1163" priority="253">
      <formula>$I183="잔금"</formula>
    </cfRule>
  </conditionalFormatting>
  <conditionalFormatting sqref="B181:B183">
    <cfRule type="expression" dxfId="1162" priority="252">
      <formula>$I181="잔금"</formula>
    </cfRule>
  </conditionalFormatting>
  <conditionalFormatting sqref="G182:G183">
    <cfRule type="expression" dxfId="1161" priority="251">
      <formula>$I182="잔금"</formula>
    </cfRule>
  </conditionalFormatting>
  <conditionalFormatting sqref="I181:I183">
    <cfRule type="expression" dxfId="1160" priority="250">
      <formula>$I181="잔금"</formula>
    </cfRule>
  </conditionalFormatting>
  <conditionalFormatting sqref="J182">
    <cfRule type="expression" dxfId="1159" priority="249">
      <formula>$I182="잔금"</formula>
    </cfRule>
  </conditionalFormatting>
  <conditionalFormatting sqref="J183">
    <cfRule type="expression" dxfId="1158" priority="248">
      <formula>$I183="잔금"</formula>
    </cfRule>
  </conditionalFormatting>
  <conditionalFormatting sqref="K181">
    <cfRule type="expression" dxfId="1157" priority="247">
      <formula>$I181="잔금"</formula>
    </cfRule>
  </conditionalFormatting>
  <conditionalFormatting sqref="C182:C183">
    <cfRule type="expression" dxfId="1156" priority="246">
      <formula>$I182="잔금"</formula>
    </cfRule>
  </conditionalFormatting>
  <conditionalFormatting sqref="E182:E183">
    <cfRule type="expression" dxfId="1155" priority="244">
      <formula>$I182="잔금"</formula>
    </cfRule>
  </conditionalFormatting>
  <conditionalFormatting sqref="E182:E183">
    <cfRule type="expression" dxfId="1154" priority="245">
      <formula>AND($I182&lt;&gt;"선금", $I182&lt;&gt;"")</formula>
    </cfRule>
  </conditionalFormatting>
  <conditionalFormatting sqref="AG181">
    <cfRule type="expression" dxfId="1153" priority="243">
      <formula>$I181="잔금"</formula>
    </cfRule>
  </conditionalFormatting>
  <conditionalFormatting sqref="K182:K183">
    <cfRule type="expression" dxfId="1152" priority="242">
      <formula>$I182="잔금"</formula>
    </cfRule>
  </conditionalFormatting>
  <conditionalFormatting sqref="D182">
    <cfRule type="expression" dxfId="1151" priority="240">
      <formula>$I182="잔금"</formula>
    </cfRule>
  </conditionalFormatting>
  <conditionalFormatting sqref="D182">
    <cfRule type="expression" dxfId="1150" priority="241">
      <formula>AND($I182&lt;&gt;"선금", $I182&lt;&gt;"")</formula>
    </cfRule>
  </conditionalFormatting>
  <conditionalFormatting sqref="D183">
    <cfRule type="expression" dxfId="1149" priority="238">
      <formula>$I183="잔금"</formula>
    </cfRule>
  </conditionalFormatting>
  <conditionalFormatting sqref="D183">
    <cfRule type="expression" dxfId="1148" priority="239">
      <formula>AND($I183&lt;&gt;"선금", $I183&lt;&gt;"")</formula>
    </cfRule>
  </conditionalFormatting>
  <conditionalFormatting sqref="J181">
    <cfRule type="expression" dxfId="1147" priority="237">
      <formula>$I181="잔금"</formula>
    </cfRule>
  </conditionalFormatting>
  <conditionalFormatting sqref="G181">
    <cfRule type="expression" dxfId="1146" priority="236">
      <formula>$I181="잔금"</formula>
    </cfRule>
  </conditionalFormatting>
  <conditionalFormatting sqref="U181:V181">
    <cfRule type="expression" dxfId="1145" priority="235">
      <formula>$I181="잔금"</formula>
    </cfRule>
  </conditionalFormatting>
  <conditionalFormatting sqref="U181:V181">
    <cfRule type="expression" dxfId="1144" priority="234">
      <formula>$I181="잔금"</formula>
    </cfRule>
  </conditionalFormatting>
  <conditionalFormatting sqref="H181:H183">
    <cfRule type="expression" dxfId="1143" priority="233">
      <formula>$I181="잔금"</formula>
    </cfRule>
  </conditionalFormatting>
  <conditionalFormatting sqref="D181">
    <cfRule type="expression" dxfId="1142" priority="231">
      <formula>$I181="잔금"</formula>
    </cfRule>
  </conditionalFormatting>
  <conditionalFormatting sqref="D181">
    <cfRule type="expression" dxfId="1141" priority="232">
      <formula>AND($I181&lt;&gt;"선금", $I181&lt;&gt;"")</formula>
    </cfRule>
  </conditionalFormatting>
  <conditionalFormatting sqref="L181 O181">
    <cfRule type="expression" dxfId="1140" priority="230">
      <formula>$I181="잔금"</formula>
    </cfRule>
  </conditionalFormatting>
  <conditionalFormatting sqref="L182">
    <cfRule type="expression" dxfId="1139" priority="229">
      <formula>$I182="잔금"</formula>
    </cfRule>
  </conditionalFormatting>
  <conditionalFormatting sqref="L183 N183:O183">
    <cfRule type="expression" dxfId="1138" priority="228">
      <formula>$I183="잔금"</formula>
    </cfRule>
  </conditionalFormatting>
  <conditionalFormatting sqref="P181:P183">
    <cfRule type="expression" dxfId="1137" priority="227">
      <formula>$I181="잔금"</formula>
    </cfRule>
  </conditionalFormatting>
  <conditionalFormatting sqref="N181">
    <cfRule type="expression" dxfId="1136" priority="226">
      <formula>$I181="잔금"</formula>
    </cfRule>
  </conditionalFormatting>
  <conditionalFormatting sqref="Q181:Q182">
    <cfRule type="expression" dxfId="1135" priority="225">
      <formula>$I181="잔금"</formula>
    </cfRule>
  </conditionalFormatting>
  <conditionalFormatting sqref="M181">
    <cfRule type="expression" dxfId="1134" priority="224">
      <formula>$I181="잔금"</formula>
    </cfRule>
  </conditionalFormatting>
  <conditionalFormatting sqref="M182">
    <cfRule type="expression" dxfId="1133" priority="223">
      <formula>$I182="잔금"</formula>
    </cfRule>
  </conditionalFormatting>
  <conditionalFormatting sqref="Q183">
    <cfRule type="expression" dxfId="1132" priority="222">
      <formula>$I183="잔금"</formula>
    </cfRule>
  </conditionalFormatting>
  <conditionalFormatting sqref="O182">
    <cfRule type="expression" dxfId="1131" priority="221">
      <formula>$I182="잔금"</formula>
    </cfRule>
  </conditionalFormatting>
  <conditionalFormatting sqref="N182">
    <cfRule type="expression" dxfId="1130" priority="220">
      <formula>$I182="잔금"</formula>
    </cfRule>
  </conditionalFormatting>
  <conditionalFormatting sqref="M183">
    <cfRule type="expression" dxfId="1129" priority="219">
      <formula>$I183="잔금"</formula>
    </cfRule>
  </conditionalFormatting>
  <conditionalFormatting sqref="S184:S186">
    <cfRule type="expression" dxfId="1128" priority="218">
      <formula>$I184="잔금"</formula>
    </cfRule>
  </conditionalFormatting>
  <conditionalFormatting sqref="X184:Z184 AB184:AF184 T184">
    <cfRule type="expression" dxfId="1127" priority="216">
      <formula>$I184="잔금"</formula>
    </cfRule>
  </conditionalFormatting>
  <conditionalFormatting sqref="C184 R184 E184:F184 T184">
    <cfRule type="expression" dxfId="1126" priority="215">
      <formula>$I184="잔금"</formula>
    </cfRule>
  </conditionalFormatting>
  <conditionalFormatting sqref="E184">
    <cfRule type="expression" dxfId="1125" priority="217">
      <formula>AND($I184&lt;&gt;"선금", $I184&lt;&gt;"")</formula>
    </cfRule>
  </conditionalFormatting>
  <conditionalFormatting sqref="X185:Z185 AB185:AG185 T185:V185">
    <cfRule type="expression" dxfId="1124" priority="214">
      <formula>$I185="잔금"</formula>
    </cfRule>
  </conditionalFormatting>
  <conditionalFormatting sqref="F185 R185 T185:V185">
    <cfRule type="expression" dxfId="1123" priority="213">
      <formula>$I185="잔금"</formula>
    </cfRule>
  </conditionalFormatting>
  <conditionalFormatting sqref="X186:Z186 AB186:AG186 T186:V186">
    <cfRule type="expression" dxfId="1122" priority="212">
      <formula>$I186="잔금"</formula>
    </cfRule>
  </conditionalFormatting>
  <conditionalFormatting sqref="F186 R186 T186:V186">
    <cfRule type="expression" dxfId="1121" priority="211">
      <formula>$I186="잔금"</formula>
    </cfRule>
  </conditionalFormatting>
  <conditionalFormatting sqref="B184:B186">
    <cfRule type="expression" dxfId="1120" priority="210">
      <formula>$I184="잔금"</formula>
    </cfRule>
  </conditionalFormatting>
  <conditionalFormatting sqref="G185:G186">
    <cfRule type="expression" dxfId="1119" priority="209">
      <formula>$I185="잔금"</formula>
    </cfRule>
  </conditionalFormatting>
  <conditionalFormatting sqref="I184:I186">
    <cfRule type="expression" dxfId="1118" priority="208">
      <formula>$I184="잔금"</formula>
    </cfRule>
  </conditionalFormatting>
  <conditionalFormatting sqref="J185">
    <cfRule type="expression" dxfId="1117" priority="207">
      <formula>$I185="잔금"</formula>
    </cfRule>
  </conditionalFormatting>
  <conditionalFormatting sqref="J186">
    <cfRule type="expression" dxfId="1116" priority="206">
      <formula>$I186="잔금"</formula>
    </cfRule>
  </conditionalFormatting>
  <conditionalFormatting sqref="K184">
    <cfRule type="expression" dxfId="1115" priority="205">
      <formula>$I184="잔금"</formula>
    </cfRule>
  </conditionalFormatting>
  <conditionalFormatting sqref="C185:C186">
    <cfRule type="expression" dxfId="1114" priority="204">
      <formula>$I185="잔금"</formula>
    </cfRule>
  </conditionalFormatting>
  <conditionalFormatting sqref="E185:E186">
    <cfRule type="expression" dxfId="1113" priority="202">
      <formula>$I185="잔금"</formula>
    </cfRule>
  </conditionalFormatting>
  <conditionalFormatting sqref="E185:E186">
    <cfRule type="expression" dxfId="1112" priority="203">
      <formula>AND($I185&lt;&gt;"선금", $I185&lt;&gt;"")</formula>
    </cfRule>
  </conditionalFormatting>
  <conditionalFormatting sqref="AG184">
    <cfRule type="expression" dxfId="1111" priority="201">
      <formula>$I184="잔금"</formula>
    </cfRule>
  </conditionalFormatting>
  <conditionalFormatting sqref="K185:K186">
    <cfRule type="expression" dxfId="1110" priority="200">
      <formula>$I185="잔금"</formula>
    </cfRule>
  </conditionalFormatting>
  <conditionalFormatting sqref="D185">
    <cfRule type="expression" dxfId="1109" priority="198">
      <formula>$I185="잔금"</formula>
    </cfRule>
  </conditionalFormatting>
  <conditionalFormatting sqref="D185">
    <cfRule type="expression" dxfId="1108" priority="199">
      <formula>AND($I185&lt;&gt;"선금", $I185&lt;&gt;"")</formula>
    </cfRule>
  </conditionalFormatting>
  <conditionalFormatting sqref="D186">
    <cfRule type="expression" dxfId="1107" priority="196">
      <formula>$I186="잔금"</formula>
    </cfRule>
  </conditionalFormatting>
  <conditionalFormatting sqref="D186">
    <cfRule type="expression" dxfId="1106" priority="197">
      <formula>AND($I186&lt;&gt;"선금", $I186&lt;&gt;"")</formula>
    </cfRule>
  </conditionalFormatting>
  <conditionalFormatting sqref="J184">
    <cfRule type="expression" dxfId="1105" priority="195">
      <formula>$I184="잔금"</formula>
    </cfRule>
  </conditionalFormatting>
  <conditionalFormatting sqref="G184">
    <cfRule type="expression" dxfId="1104" priority="194">
      <formula>$I184="잔금"</formula>
    </cfRule>
  </conditionalFormatting>
  <conditionalFormatting sqref="U184:V184">
    <cfRule type="expression" dxfId="1103" priority="193">
      <formula>$I184="잔금"</formula>
    </cfRule>
  </conditionalFormatting>
  <conditionalFormatting sqref="U184:V184">
    <cfRule type="expression" dxfId="1102" priority="192">
      <formula>$I184="잔금"</formula>
    </cfRule>
  </conditionalFormatting>
  <conditionalFormatting sqref="H184:H186">
    <cfRule type="expression" dxfId="1101" priority="191">
      <formula>$I184="잔금"</formula>
    </cfRule>
  </conditionalFormatting>
  <conditionalFormatting sqref="D184">
    <cfRule type="expression" dxfId="1100" priority="189">
      <formula>$I184="잔금"</formula>
    </cfRule>
  </conditionalFormatting>
  <conditionalFormatting sqref="D184">
    <cfRule type="expression" dxfId="1099" priority="190">
      <formula>AND($I184&lt;&gt;"선금", $I184&lt;&gt;"")</formula>
    </cfRule>
  </conditionalFormatting>
  <conditionalFormatting sqref="L184 O184">
    <cfRule type="expression" dxfId="1098" priority="188">
      <formula>$I184="잔금"</formula>
    </cfRule>
  </conditionalFormatting>
  <conditionalFormatting sqref="L185">
    <cfRule type="expression" dxfId="1097" priority="187">
      <formula>$I185="잔금"</formula>
    </cfRule>
  </conditionalFormatting>
  <conditionalFormatting sqref="L186 N186:O186">
    <cfRule type="expression" dxfId="1096" priority="186">
      <formula>$I186="잔금"</formula>
    </cfRule>
  </conditionalFormatting>
  <conditionalFormatting sqref="P184:P186">
    <cfRule type="expression" dxfId="1095" priority="185">
      <formula>$I184="잔금"</formula>
    </cfRule>
  </conditionalFormatting>
  <conditionalFormatting sqref="N184">
    <cfRule type="expression" dxfId="1094" priority="184">
      <formula>$I184="잔금"</formula>
    </cfRule>
  </conditionalFormatting>
  <conditionalFormatting sqref="Q184:Q185">
    <cfRule type="expression" dxfId="1093" priority="183">
      <formula>$I184="잔금"</formula>
    </cfRule>
  </conditionalFormatting>
  <conditionalFormatting sqref="M184">
    <cfRule type="expression" dxfId="1092" priority="182">
      <formula>$I184="잔금"</formula>
    </cfRule>
  </conditionalFormatting>
  <conditionalFormatting sqref="M185">
    <cfRule type="expression" dxfId="1091" priority="181">
      <formula>$I185="잔금"</formula>
    </cfRule>
  </conditionalFormatting>
  <conditionalFormatting sqref="O185">
    <cfRule type="expression" dxfId="1090" priority="179">
      <formula>$I185="잔금"</formula>
    </cfRule>
  </conditionalFormatting>
  <conditionalFormatting sqref="N185">
    <cfRule type="expression" dxfId="1089" priority="178">
      <formula>$I185="잔금"</formula>
    </cfRule>
  </conditionalFormatting>
  <conditionalFormatting sqref="M186">
    <cfRule type="expression" dxfId="1088" priority="177">
      <formula>$I186="잔금"</formula>
    </cfRule>
  </conditionalFormatting>
  <conditionalFormatting sqref="S187:S189">
    <cfRule type="expression" dxfId="1087" priority="176">
      <formula>$I187="잔금"</formula>
    </cfRule>
  </conditionalFormatting>
  <conditionalFormatting sqref="X187:Z187 AB187:AF187 T187">
    <cfRule type="expression" dxfId="1086" priority="174">
      <formula>$I187="잔금"</formula>
    </cfRule>
  </conditionalFormatting>
  <conditionalFormatting sqref="C187 R187 E187:F187 T187">
    <cfRule type="expression" dxfId="1085" priority="173">
      <formula>$I187="잔금"</formula>
    </cfRule>
  </conditionalFormatting>
  <conditionalFormatting sqref="E187">
    <cfRule type="expression" dxfId="1084" priority="175">
      <formula>AND($I187&lt;&gt;"선금", $I187&lt;&gt;"")</formula>
    </cfRule>
  </conditionalFormatting>
  <conditionalFormatting sqref="X188:Z188 AB188:AG188 T188:V188">
    <cfRule type="expression" dxfId="1083" priority="172">
      <formula>$I188="잔금"</formula>
    </cfRule>
  </conditionalFormatting>
  <conditionalFormatting sqref="F188 R188 T188:V188">
    <cfRule type="expression" dxfId="1082" priority="171">
      <formula>$I188="잔금"</formula>
    </cfRule>
  </conditionalFormatting>
  <conditionalFormatting sqref="X189:Z189 AB189:AG189 T189:V189">
    <cfRule type="expression" dxfId="1081" priority="170">
      <formula>$I189="잔금"</formula>
    </cfRule>
  </conditionalFormatting>
  <conditionalFormatting sqref="F189 R189 T189:V189">
    <cfRule type="expression" dxfId="1080" priority="169">
      <formula>$I189="잔금"</formula>
    </cfRule>
  </conditionalFormatting>
  <conditionalFormatting sqref="B187:B189">
    <cfRule type="expression" dxfId="1079" priority="168">
      <formula>$I187="잔금"</formula>
    </cfRule>
  </conditionalFormatting>
  <conditionalFormatting sqref="G188:G189">
    <cfRule type="expression" dxfId="1078" priority="167">
      <formula>$I188="잔금"</formula>
    </cfRule>
  </conditionalFormatting>
  <conditionalFormatting sqref="I187:I189">
    <cfRule type="expression" dxfId="1077" priority="166">
      <formula>$I187="잔금"</formula>
    </cfRule>
  </conditionalFormatting>
  <conditionalFormatting sqref="J188">
    <cfRule type="expression" dxfId="1076" priority="165">
      <formula>$I188="잔금"</formula>
    </cfRule>
  </conditionalFormatting>
  <conditionalFormatting sqref="J189">
    <cfRule type="expression" dxfId="1075" priority="164">
      <formula>$I189="잔금"</formula>
    </cfRule>
  </conditionalFormatting>
  <conditionalFormatting sqref="K187">
    <cfRule type="expression" dxfId="1074" priority="163">
      <formula>$I187="잔금"</formula>
    </cfRule>
  </conditionalFormatting>
  <conditionalFormatting sqref="C188:C189">
    <cfRule type="expression" dxfId="1073" priority="162">
      <formula>$I188="잔금"</formula>
    </cfRule>
  </conditionalFormatting>
  <conditionalFormatting sqref="E188:E189">
    <cfRule type="expression" dxfId="1072" priority="160">
      <formula>$I188="잔금"</formula>
    </cfRule>
  </conditionalFormatting>
  <conditionalFormatting sqref="E188:E189">
    <cfRule type="expression" dxfId="1071" priority="161">
      <formula>AND($I188&lt;&gt;"선금", $I188&lt;&gt;"")</formula>
    </cfRule>
  </conditionalFormatting>
  <conditionalFormatting sqref="AG187">
    <cfRule type="expression" dxfId="1070" priority="159">
      <formula>$I187="잔금"</formula>
    </cfRule>
  </conditionalFormatting>
  <conditionalFormatting sqref="K188:K189">
    <cfRule type="expression" dxfId="1069" priority="158">
      <formula>$I188="잔금"</formula>
    </cfRule>
  </conditionalFormatting>
  <conditionalFormatting sqref="D188">
    <cfRule type="expression" dxfId="1068" priority="156">
      <formula>$I188="잔금"</formula>
    </cfRule>
  </conditionalFormatting>
  <conditionalFormatting sqref="D188">
    <cfRule type="expression" dxfId="1067" priority="157">
      <formula>AND($I188&lt;&gt;"선금", $I188&lt;&gt;"")</formula>
    </cfRule>
  </conditionalFormatting>
  <conditionalFormatting sqref="D189">
    <cfRule type="expression" dxfId="1066" priority="154">
      <formula>$I189="잔금"</formula>
    </cfRule>
  </conditionalFormatting>
  <conditionalFormatting sqref="D189">
    <cfRule type="expression" dxfId="1065" priority="155">
      <formula>AND($I189&lt;&gt;"선금", $I189&lt;&gt;"")</formula>
    </cfRule>
  </conditionalFormatting>
  <conditionalFormatting sqref="J187">
    <cfRule type="expression" dxfId="1064" priority="153">
      <formula>$I187="잔금"</formula>
    </cfRule>
  </conditionalFormatting>
  <conditionalFormatting sqref="G187">
    <cfRule type="expression" dxfId="1063" priority="152">
      <formula>$I187="잔금"</formula>
    </cfRule>
  </conditionalFormatting>
  <conditionalFormatting sqref="U187:V187">
    <cfRule type="expression" dxfId="1062" priority="151">
      <formula>$I187="잔금"</formula>
    </cfRule>
  </conditionalFormatting>
  <conditionalFormatting sqref="U187:V187">
    <cfRule type="expression" dxfId="1061" priority="150">
      <formula>$I187="잔금"</formula>
    </cfRule>
  </conditionalFormatting>
  <conditionalFormatting sqref="H187:H189">
    <cfRule type="expression" dxfId="1060" priority="149">
      <formula>$I187="잔금"</formula>
    </cfRule>
  </conditionalFormatting>
  <conditionalFormatting sqref="D187">
    <cfRule type="expression" dxfId="1059" priority="147">
      <formula>$I187="잔금"</formula>
    </cfRule>
  </conditionalFormatting>
  <conditionalFormatting sqref="D187">
    <cfRule type="expression" dxfId="1058" priority="148">
      <formula>AND($I187&lt;&gt;"선금", $I187&lt;&gt;"")</formula>
    </cfRule>
  </conditionalFormatting>
  <conditionalFormatting sqref="L187 O187">
    <cfRule type="expression" dxfId="1057" priority="146">
      <formula>$I187="잔금"</formula>
    </cfRule>
  </conditionalFormatting>
  <conditionalFormatting sqref="L188">
    <cfRule type="expression" dxfId="1056" priority="145">
      <formula>$I188="잔금"</formula>
    </cfRule>
  </conditionalFormatting>
  <conditionalFormatting sqref="L189 N189:O189">
    <cfRule type="expression" dxfId="1055" priority="144">
      <formula>$I189="잔금"</formula>
    </cfRule>
  </conditionalFormatting>
  <conditionalFormatting sqref="P187:P189">
    <cfRule type="expression" dxfId="1054" priority="143">
      <formula>$I187="잔금"</formula>
    </cfRule>
  </conditionalFormatting>
  <conditionalFormatting sqref="N187">
    <cfRule type="expression" dxfId="1053" priority="142">
      <formula>$I187="잔금"</formula>
    </cfRule>
  </conditionalFormatting>
  <conditionalFormatting sqref="Q187:Q188">
    <cfRule type="expression" dxfId="1052" priority="141">
      <formula>$I187="잔금"</formula>
    </cfRule>
  </conditionalFormatting>
  <conditionalFormatting sqref="M187">
    <cfRule type="expression" dxfId="1051" priority="140">
      <formula>$I187="잔금"</formula>
    </cfRule>
  </conditionalFormatting>
  <conditionalFormatting sqref="M188">
    <cfRule type="expression" dxfId="1050" priority="139">
      <formula>$I188="잔금"</formula>
    </cfRule>
  </conditionalFormatting>
  <conditionalFormatting sqref="Q189">
    <cfRule type="expression" dxfId="1049" priority="138">
      <formula>$I189="잔금"</formula>
    </cfRule>
  </conditionalFormatting>
  <conditionalFormatting sqref="O188">
    <cfRule type="expression" dxfId="1048" priority="137">
      <formula>$I188="잔금"</formula>
    </cfRule>
  </conditionalFormatting>
  <conditionalFormatting sqref="N188">
    <cfRule type="expression" dxfId="1047" priority="136">
      <formula>$I188="잔금"</formula>
    </cfRule>
  </conditionalFormatting>
  <conditionalFormatting sqref="M189">
    <cfRule type="expression" dxfId="1046" priority="135">
      <formula>$I189="잔금"</formula>
    </cfRule>
  </conditionalFormatting>
  <conditionalFormatting sqref="S190:S192">
    <cfRule type="expression" dxfId="1045" priority="134">
      <formula>$I190="잔금"</formula>
    </cfRule>
  </conditionalFormatting>
  <conditionalFormatting sqref="X190:Z190 AB190:AF190 T190">
    <cfRule type="expression" dxfId="1044" priority="132">
      <formula>$I190="잔금"</formula>
    </cfRule>
  </conditionalFormatting>
  <conditionalFormatting sqref="C190 R190 E190:F190 T190">
    <cfRule type="expression" dxfId="1043" priority="131">
      <formula>$I190="잔금"</formula>
    </cfRule>
  </conditionalFormatting>
  <conditionalFormatting sqref="E190">
    <cfRule type="expression" dxfId="1042" priority="133">
      <formula>AND($I190&lt;&gt;"선금", $I190&lt;&gt;"")</formula>
    </cfRule>
  </conditionalFormatting>
  <conditionalFormatting sqref="X191:Z191 AB191:AG191 T191:V191">
    <cfRule type="expression" dxfId="1041" priority="130">
      <formula>$I191="잔금"</formula>
    </cfRule>
  </conditionalFormatting>
  <conditionalFormatting sqref="F191 R191 T191:V191">
    <cfRule type="expression" dxfId="1040" priority="129">
      <formula>$I191="잔금"</formula>
    </cfRule>
  </conditionalFormatting>
  <conditionalFormatting sqref="X192:Z192 AB192:AG192 T192:V192">
    <cfRule type="expression" dxfId="1039" priority="128">
      <formula>$I192="잔금"</formula>
    </cfRule>
  </conditionalFormatting>
  <conditionalFormatting sqref="F192 R192 T192:V192">
    <cfRule type="expression" dxfId="1038" priority="127">
      <formula>$I192="잔금"</formula>
    </cfRule>
  </conditionalFormatting>
  <conditionalFormatting sqref="B190:B192">
    <cfRule type="expression" dxfId="1037" priority="126">
      <formula>$I190="잔금"</formula>
    </cfRule>
  </conditionalFormatting>
  <conditionalFormatting sqref="G191:G192">
    <cfRule type="expression" dxfId="1036" priority="125">
      <formula>$I191="잔금"</formula>
    </cfRule>
  </conditionalFormatting>
  <conditionalFormatting sqref="I190:I192">
    <cfRule type="expression" dxfId="1035" priority="124">
      <formula>$I190="잔금"</formula>
    </cfRule>
  </conditionalFormatting>
  <conditionalFormatting sqref="J191">
    <cfRule type="expression" dxfId="1034" priority="123">
      <formula>$I191="잔금"</formula>
    </cfRule>
  </conditionalFormatting>
  <conditionalFormatting sqref="J192">
    <cfRule type="expression" dxfId="1033" priority="122">
      <formula>$I192="잔금"</formula>
    </cfRule>
  </conditionalFormatting>
  <conditionalFormatting sqref="K190">
    <cfRule type="expression" dxfId="1032" priority="121">
      <formula>$I190="잔금"</formula>
    </cfRule>
  </conditionalFormatting>
  <conditionalFormatting sqref="C191:C192">
    <cfRule type="expression" dxfId="1031" priority="120">
      <formula>$I191="잔금"</formula>
    </cfRule>
  </conditionalFormatting>
  <conditionalFormatting sqref="E191:E192">
    <cfRule type="expression" dxfId="1030" priority="118">
      <formula>$I191="잔금"</formula>
    </cfRule>
  </conditionalFormatting>
  <conditionalFormatting sqref="E191:E192">
    <cfRule type="expression" dxfId="1029" priority="119">
      <formula>AND($I191&lt;&gt;"선금", $I191&lt;&gt;"")</formula>
    </cfRule>
  </conditionalFormatting>
  <conditionalFormatting sqref="AG190">
    <cfRule type="expression" dxfId="1028" priority="117">
      <formula>$I190="잔금"</formula>
    </cfRule>
  </conditionalFormatting>
  <conditionalFormatting sqref="K191:K192">
    <cfRule type="expression" dxfId="1027" priority="116">
      <formula>$I191="잔금"</formula>
    </cfRule>
  </conditionalFormatting>
  <conditionalFormatting sqref="D191">
    <cfRule type="expression" dxfId="1026" priority="114">
      <formula>$I191="잔금"</formula>
    </cfRule>
  </conditionalFormatting>
  <conditionalFormatting sqref="D191">
    <cfRule type="expression" dxfId="1025" priority="115">
      <formula>AND($I191&lt;&gt;"선금", $I191&lt;&gt;"")</formula>
    </cfRule>
  </conditionalFormatting>
  <conditionalFormatting sqref="D192">
    <cfRule type="expression" dxfId="1024" priority="112">
      <formula>$I192="잔금"</formula>
    </cfRule>
  </conditionalFormatting>
  <conditionalFormatting sqref="D192">
    <cfRule type="expression" dxfId="1023" priority="113">
      <formula>AND($I192&lt;&gt;"선금", $I192&lt;&gt;"")</formula>
    </cfRule>
  </conditionalFormatting>
  <conditionalFormatting sqref="J190">
    <cfRule type="expression" dxfId="1022" priority="111">
      <formula>$I190="잔금"</formula>
    </cfRule>
  </conditionalFormatting>
  <conditionalFormatting sqref="U190:V190">
    <cfRule type="expression" dxfId="1021" priority="109">
      <formula>$I190="잔금"</formula>
    </cfRule>
  </conditionalFormatting>
  <conditionalFormatting sqref="U190:V190">
    <cfRule type="expression" dxfId="1020" priority="108">
      <formula>$I190="잔금"</formula>
    </cfRule>
  </conditionalFormatting>
  <conditionalFormatting sqref="H190:H192">
    <cfRule type="expression" dxfId="1019" priority="107">
      <formula>$I190="잔금"</formula>
    </cfRule>
  </conditionalFormatting>
  <conditionalFormatting sqref="L190 O190">
    <cfRule type="expression" dxfId="1018" priority="104">
      <formula>$I190="잔금"</formula>
    </cfRule>
  </conditionalFormatting>
  <conditionalFormatting sqref="L192 N192:O192">
    <cfRule type="expression" dxfId="1017" priority="102">
      <formula>$I192="잔금"</formula>
    </cfRule>
  </conditionalFormatting>
  <conditionalFormatting sqref="P190:P192">
    <cfRule type="expression" dxfId="1016" priority="101">
      <formula>$I190="잔금"</formula>
    </cfRule>
  </conditionalFormatting>
  <conditionalFormatting sqref="N190">
    <cfRule type="expression" dxfId="1015" priority="100">
      <formula>$I190="잔금"</formula>
    </cfRule>
  </conditionalFormatting>
  <conditionalFormatting sqref="M115">
    <cfRule type="expression" dxfId="1014" priority="50">
      <formula>$I115="잔금"</formula>
    </cfRule>
  </conditionalFormatting>
  <conditionalFormatting sqref="Q186">
    <cfRule type="expression" dxfId="1013" priority="49">
      <formula>$I186="잔금"</formula>
    </cfRule>
  </conditionalFormatting>
  <conditionalFormatting sqref="D190">
    <cfRule type="expression" dxfId="1012" priority="47">
      <formula>$I190="잔금"</formula>
    </cfRule>
    <cfRule type="expression" dxfId="1011" priority="48">
      <formula>AND($I190&lt;&gt;"선금", $I190&lt;&gt;"")</formula>
    </cfRule>
  </conditionalFormatting>
  <conditionalFormatting sqref="G193">
    <cfRule type="expression" dxfId="1010" priority="22">
      <formula>$I193="잔금"</formula>
    </cfRule>
  </conditionalFormatting>
  <conditionalFormatting sqref="L194">
    <cfRule type="expression" dxfId="1009" priority="17">
      <formula>$I194="잔금"</formula>
    </cfRule>
  </conditionalFormatting>
  <conditionalFormatting sqref="M193">
    <cfRule type="expression" dxfId="1008" priority="12">
      <formula>$I193="잔금"</formula>
    </cfRule>
  </conditionalFormatting>
  <conditionalFormatting sqref="O194">
    <cfRule type="expression" dxfId="1007" priority="9">
      <formula>$I194="잔금"</formula>
    </cfRule>
  </conditionalFormatting>
  <conditionalFormatting sqref="Q193:Q194">
    <cfRule type="expression" dxfId="1006" priority="13">
      <formula>$I193="잔금"</formula>
    </cfRule>
  </conditionalFormatting>
  <conditionalFormatting sqref="M194">
    <cfRule type="expression" dxfId="1005" priority="11">
      <formula>$I194="잔금"</formula>
    </cfRule>
  </conditionalFormatting>
  <conditionalFormatting sqref="Q195">
    <cfRule type="expression" dxfId="1004" priority="10">
      <formula>$I195="잔금"</formula>
    </cfRule>
  </conditionalFormatting>
  <conditionalFormatting sqref="N194">
    <cfRule type="expression" dxfId="1003" priority="8">
      <formula>$I194="잔금"</formula>
    </cfRule>
  </conditionalFormatting>
  <conditionalFormatting sqref="M195">
    <cfRule type="expression" dxfId="1002" priority="7">
      <formula>$I195="잔금"</formula>
    </cfRule>
  </conditionalFormatting>
  <conditionalFormatting sqref="S193:S195">
    <cfRule type="expression" dxfId="1001" priority="46">
      <formula>$I193="잔금"</formula>
    </cfRule>
  </conditionalFormatting>
  <conditionalFormatting sqref="X193:Z193 AB193:AF193 T193">
    <cfRule type="expression" dxfId="1000" priority="44">
      <formula>$I193="잔금"</formula>
    </cfRule>
  </conditionalFormatting>
  <conditionalFormatting sqref="C193 R193 E193:F193 T193">
    <cfRule type="expression" dxfId="999" priority="43">
      <formula>$I193="잔금"</formula>
    </cfRule>
  </conditionalFormatting>
  <conditionalFormatting sqref="E193">
    <cfRule type="expression" dxfId="998" priority="45">
      <formula>AND($I193&lt;&gt;"선금", $I193&lt;&gt;"")</formula>
    </cfRule>
  </conditionalFormatting>
  <conditionalFormatting sqref="X194:Z194 AB194:AG194 T194:V194">
    <cfRule type="expression" dxfId="997" priority="42">
      <formula>$I194="잔금"</formula>
    </cfRule>
  </conditionalFormatting>
  <conditionalFormatting sqref="F194 R194 T194:V194">
    <cfRule type="expression" dxfId="996" priority="41">
      <formula>$I194="잔금"</formula>
    </cfRule>
  </conditionalFormatting>
  <conditionalFormatting sqref="X195:Z195 AB195:AG195 T195:V195">
    <cfRule type="expression" dxfId="995" priority="40">
      <formula>$I195="잔금"</formula>
    </cfRule>
  </conditionalFormatting>
  <conditionalFormatting sqref="F195 R195 T195:V195">
    <cfRule type="expression" dxfId="994" priority="39">
      <formula>$I195="잔금"</formula>
    </cfRule>
  </conditionalFormatting>
  <conditionalFormatting sqref="B193:B195">
    <cfRule type="expression" dxfId="993" priority="38">
      <formula>$I193="잔금"</formula>
    </cfRule>
  </conditionalFormatting>
  <conditionalFormatting sqref="G194:G195">
    <cfRule type="expression" dxfId="992" priority="37">
      <formula>$I194="잔금"</formula>
    </cfRule>
  </conditionalFormatting>
  <conditionalFormatting sqref="I193:I195">
    <cfRule type="expression" dxfId="991" priority="36">
      <formula>$I193="잔금"</formula>
    </cfRule>
  </conditionalFormatting>
  <conditionalFormatting sqref="J194">
    <cfRule type="expression" dxfId="990" priority="35">
      <formula>$I194="잔금"</formula>
    </cfRule>
  </conditionalFormatting>
  <conditionalFormatting sqref="J195">
    <cfRule type="expression" dxfId="989" priority="34">
      <formula>$I195="잔금"</formula>
    </cfRule>
  </conditionalFormatting>
  <conditionalFormatting sqref="K193">
    <cfRule type="expression" dxfId="988" priority="33">
      <formula>$I193="잔금"</formula>
    </cfRule>
  </conditionalFormatting>
  <conditionalFormatting sqref="C194:C195">
    <cfRule type="expression" dxfId="987" priority="32">
      <formula>$I194="잔금"</formula>
    </cfRule>
  </conditionalFormatting>
  <conditionalFormatting sqref="E194:E195">
    <cfRule type="expression" dxfId="986" priority="30">
      <formula>$I194="잔금"</formula>
    </cfRule>
  </conditionalFormatting>
  <conditionalFormatting sqref="E194:E195">
    <cfRule type="expression" dxfId="985" priority="31">
      <formula>AND($I194&lt;&gt;"선금", $I194&lt;&gt;"")</formula>
    </cfRule>
  </conditionalFormatting>
  <conditionalFormatting sqref="AG193">
    <cfRule type="expression" dxfId="984" priority="29">
      <formula>$I193="잔금"</formula>
    </cfRule>
  </conditionalFormatting>
  <conditionalFormatting sqref="K194:K195">
    <cfRule type="expression" dxfId="983" priority="28">
      <formula>$I194="잔금"</formula>
    </cfRule>
  </conditionalFormatting>
  <conditionalFormatting sqref="D194">
    <cfRule type="expression" dxfId="982" priority="26">
      <formula>$I194="잔금"</formula>
    </cfRule>
  </conditionalFormatting>
  <conditionalFormatting sqref="D194">
    <cfRule type="expression" dxfId="981" priority="27">
      <formula>AND($I194&lt;&gt;"선금", $I194&lt;&gt;"")</formula>
    </cfRule>
  </conditionalFormatting>
  <conditionalFormatting sqref="D195">
    <cfRule type="expression" dxfId="980" priority="24">
      <formula>$I195="잔금"</formula>
    </cfRule>
  </conditionalFormatting>
  <conditionalFormatting sqref="D195">
    <cfRule type="expression" dxfId="979" priority="25">
      <formula>AND($I195&lt;&gt;"선금", $I195&lt;&gt;"")</formula>
    </cfRule>
  </conditionalFormatting>
  <conditionalFormatting sqref="J193">
    <cfRule type="expression" dxfId="978" priority="23">
      <formula>$I193="잔금"</formula>
    </cfRule>
  </conditionalFormatting>
  <conditionalFormatting sqref="U193:V193">
    <cfRule type="expression" dxfId="977" priority="21">
      <formula>$I193="잔금"</formula>
    </cfRule>
  </conditionalFormatting>
  <conditionalFormatting sqref="U193:V193">
    <cfRule type="expression" dxfId="976" priority="20">
      <formula>$I193="잔금"</formula>
    </cfRule>
  </conditionalFormatting>
  <conditionalFormatting sqref="H193:H195">
    <cfRule type="expression" dxfId="975" priority="19">
      <formula>$I193="잔금"</formula>
    </cfRule>
  </conditionalFormatting>
  <conditionalFormatting sqref="L193 O193">
    <cfRule type="expression" dxfId="974" priority="18">
      <formula>$I193="잔금"</formula>
    </cfRule>
  </conditionalFormatting>
  <conditionalFormatting sqref="L195 N195:O195">
    <cfRule type="expression" dxfId="973" priority="16">
      <formula>$I195="잔금"</formula>
    </cfRule>
  </conditionalFormatting>
  <conditionalFormatting sqref="P193:P195">
    <cfRule type="expression" dxfId="972" priority="15">
      <formula>$I193="잔금"</formula>
    </cfRule>
  </conditionalFormatting>
  <conditionalFormatting sqref="N193">
    <cfRule type="expression" dxfId="971" priority="14">
      <formula>$I193="잔금"</formula>
    </cfRule>
  </conditionalFormatting>
  <conditionalFormatting sqref="D193">
    <cfRule type="expression" dxfId="970" priority="5">
      <formula>$I193="잔금"</formula>
    </cfRule>
    <cfRule type="expression" dxfId="969" priority="6">
      <formula>AND($I193&lt;&gt;"선금", $I193&lt;&gt;"")</formula>
    </cfRule>
  </conditionalFormatting>
  <conditionalFormatting sqref="M116">
    <cfRule type="expression" dxfId="968" priority="4">
      <formula>$I116="잔금"</formula>
    </cfRule>
  </conditionalFormatting>
  <conditionalFormatting sqref="M80">
    <cfRule type="expression" dxfId="967" priority="3">
      <formula>$I80="잔금"</formula>
    </cfRule>
  </conditionalFormatting>
  <conditionalFormatting sqref="N119">
    <cfRule type="expression" dxfId="966" priority="2">
      <formula>$I119="잔금"</formula>
    </cfRule>
  </conditionalFormatting>
  <conditionalFormatting sqref="R40">
    <cfRule type="expression" dxfId="965" priority="1">
      <formula>$I40="잔금"</formula>
    </cfRule>
  </conditionalFormatting>
  <pageMargins left="0.7" right="0.7" top="0.75" bottom="0.75" header="0.511811023622047" footer="0.511811023622047"/>
  <pageSetup paperSize="9" orientation="portrait" horizontalDpi="300" verticalDpi="300" r:id="rId1"/>
  <ignoredErrors>
    <ignoredError sqref="M26:M45 M50 M47 M66 M69 M56 M20 M84 M87 M53 M72 M105 M102 M75 M81 O8 M63 M90 M111 B117 M99 M93 M96 M23 M169 M148 M124 M121 M181 M114 M184:M191 M193"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95"/>
  <sheetViews>
    <sheetView showGridLines="0" zoomScale="90" zoomScaleNormal="90" workbookViewId="0">
      <selection activeCell="J32" sqref="J32"/>
    </sheetView>
  </sheetViews>
  <sheetFormatPr defaultColWidth="7" defaultRowHeight="13.5"/>
  <cols>
    <col min="1" max="1" width="2" style="5" customWidth="1"/>
    <col min="2" max="2" width="4.5" style="5" customWidth="1"/>
    <col min="3" max="3" width="13.25" style="5" customWidth="1"/>
    <col min="4" max="4" width="16.875" style="5" bestFit="1" customWidth="1"/>
    <col min="5" max="5" width="29.625" style="5" customWidth="1"/>
    <col min="6" max="7" width="13" style="105" customWidth="1"/>
    <col min="8" max="8" width="11.5" style="106" customWidth="1"/>
    <col min="9" max="9" width="14" style="106" customWidth="1"/>
    <col min="10" max="10" width="16" style="478" customWidth="1"/>
    <col min="11" max="11" width="14" style="5" customWidth="1"/>
    <col min="12" max="12" width="11.625" style="377" customWidth="1"/>
    <col min="13" max="13" width="16.375" style="5" customWidth="1"/>
    <col min="14" max="14" width="13.375" style="5" customWidth="1"/>
    <col min="15" max="15" width="14.75" style="5" customWidth="1"/>
    <col min="16" max="17" width="14.125" style="5" customWidth="1"/>
    <col min="18" max="18" width="2.875" style="5" customWidth="1"/>
    <col min="19" max="19" width="14.125" style="377" customWidth="1"/>
    <col min="20" max="20" width="14.125" style="472" customWidth="1"/>
    <col min="21" max="21" width="7" style="5"/>
    <col min="22" max="23" width="14.125" style="377" customWidth="1"/>
    <col min="24" max="16384" width="7" style="5"/>
  </cols>
  <sheetData>
    <row r="1" spans="1:24" s="66" customFormat="1" ht="31.5" customHeight="1">
      <c r="A1" s="5"/>
      <c r="B1" s="454" t="s">
        <v>37</v>
      </c>
      <c r="C1" s="455" t="s">
        <v>26</v>
      </c>
      <c r="D1" s="455" t="s">
        <v>38</v>
      </c>
      <c r="E1" s="455" t="s">
        <v>39</v>
      </c>
      <c r="F1" s="455" t="s">
        <v>41</v>
      </c>
      <c r="G1" s="455" t="s">
        <v>42</v>
      </c>
      <c r="H1" s="456" t="s">
        <v>43</v>
      </c>
      <c r="I1" s="456" t="s">
        <v>44</v>
      </c>
      <c r="J1" s="460" t="s">
        <v>45</v>
      </c>
      <c r="K1" s="456" t="s">
        <v>46</v>
      </c>
      <c r="L1" s="460" t="s">
        <v>47</v>
      </c>
      <c r="M1" s="455" t="s">
        <v>48</v>
      </c>
      <c r="N1" s="457" t="s">
        <v>49</v>
      </c>
      <c r="O1" s="457" t="s">
        <v>50</v>
      </c>
      <c r="P1" s="457" t="s">
        <v>51</v>
      </c>
      <c r="Q1" s="457" t="s">
        <v>53</v>
      </c>
      <c r="S1" s="466" t="s">
        <v>2113</v>
      </c>
      <c r="T1" s="466" t="s">
        <v>2112</v>
      </c>
      <c r="V1" s="466" t="s">
        <v>2260</v>
      </c>
      <c r="W1" s="466" t="s">
        <v>2261</v>
      </c>
    </row>
    <row r="2" spans="1:24" s="452" customFormat="1" ht="13.5" customHeight="1">
      <c r="A2" s="447"/>
      <c r="B2" s="448">
        <v>1</v>
      </c>
      <c r="C2" s="449" t="s">
        <v>1289</v>
      </c>
      <c r="D2" s="449" t="s">
        <v>2108</v>
      </c>
      <c r="E2" s="449" t="s">
        <v>2109</v>
      </c>
      <c r="F2" s="77">
        <v>133800000</v>
      </c>
      <c r="G2" s="77">
        <f>F2*20%</f>
        <v>26760000</v>
      </c>
      <c r="H2" s="80" t="s">
        <v>535</v>
      </c>
      <c r="I2" s="445"/>
      <c r="J2" s="475">
        <v>45943</v>
      </c>
      <c r="K2" s="420">
        <v>45967</v>
      </c>
      <c r="L2" s="416">
        <f>IF(K2&lt;&gt;"", K2+30, "")</f>
        <v>45997</v>
      </c>
      <c r="M2" s="420">
        <v>46142</v>
      </c>
      <c r="N2" s="353">
        <f>G2*1.1</f>
        <v>29436000.000000004</v>
      </c>
      <c r="O2" s="80">
        <f>IF(K2="", 0, (G2*1.1)-N2)</f>
        <v>0</v>
      </c>
      <c r="P2" s="462">
        <f>P4</f>
        <v>46142</v>
      </c>
      <c r="Q2" s="417" t="str">
        <f ca="1">IF(OR(K2="",O2=0),"",IF(TODAY()-K2&gt;=91,"장기미수",IF(TODAY()-K2&gt;=31,"관리","")))</f>
        <v/>
      </c>
      <c r="S2" s="467"/>
      <c r="T2" s="467">
        <v>38500000</v>
      </c>
      <c r="V2" s="468"/>
      <c r="W2" s="468"/>
    </row>
    <row r="3" spans="1:24" s="98" customFormat="1" ht="13.5" customHeight="1">
      <c r="A3" s="5"/>
      <c r="B3" s="74">
        <f t="shared" ref="B3:B13" si="0">IF(H2="잔금", B2+1, B2)</f>
        <v>1</v>
      </c>
      <c r="C3" s="458" t="str">
        <f t="shared" ref="C3:E4" si="1">C2</f>
        <v>기술자문료</v>
      </c>
      <c r="D3" s="101" t="str">
        <f t="shared" si="1"/>
        <v>(주)에이치제이건설</v>
      </c>
      <c r="E3" s="101" t="str">
        <f t="shared" si="1"/>
        <v>해운대 센텀트루엘아파트(재도장)</v>
      </c>
      <c r="F3" s="470"/>
      <c r="G3" s="77">
        <f>F2*40%</f>
        <v>53520000</v>
      </c>
      <c r="H3" s="92" t="s">
        <v>536</v>
      </c>
      <c r="I3" s="444"/>
      <c r="J3" s="477">
        <f>J2</f>
        <v>45943</v>
      </c>
      <c r="K3" s="446">
        <v>46010</v>
      </c>
      <c r="L3" s="416">
        <f>IF(K3&lt;&gt;"", K3+30, "")</f>
        <v>46040</v>
      </c>
      <c r="M3" s="420">
        <v>46171</v>
      </c>
      <c r="N3" s="353">
        <f>G3*1.1</f>
        <v>58872000.000000007</v>
      </c>
      <c r="O3" s="80">
        <f>IF(K3="", 0, (G3*1.1)-N3)</f>
        <v>0</v>
      </c>
      <c r="P3" s="462">
        <f>P4</f>
        <v>46142</v>
      </c>
      <c r="Q3" s="417" t="str">
        <f t="shared" ref="Q3:Q66" ca="1" si="2">IF(OR(K3="",O3=0),"",IF(TODAY()-K3&gt;=91,"장기미수",IF(TODAY()-K3&gt;=31,"관리","")))</f>
        <v/>
      </c>
      <c r="S3" s="468"/>
      <c r="T3" s="467">
        <v>38500000</v>
      </c>
      <c r="V3" s="468"/>
      <c r="W3" s="468"/>
    </row>
    <row r="4" spans="1:24" s="98" customFormat="1" ht="13.5" customHeight="1">
      <c r="A4" s="5"/>
      <c r="B4" s="74">
        <f t="shared" si="0"/>
        <v>1</v>
      </c>
      <c r="C4" s="458" t="str">
        <f t="shared" si="1"/>
        <v>기술자문료</v>
      </c>
      <c r="D4" s="101" t="str">
        <f t="shared" si="1"/>
        <v>(주)에이치제이건설</v>
      </c>
      <c r="E4" s="101" t="str">
        <f t="shared" si="1"/>
        <v>해운대 센텀트루엘아파트(재도장)</v>
      </c>
      <c r="F4" s="470"/>
      <c r="G4" s="77">
        <f>F2-G2-G3-S4</f>
        <v>38970000</v>
      </c>
      <c r="H4" s="92" t="s">
        <v>537</v>
      </c>
      <c r="I4" s="444">
        <v>45992</v>
      </c>
      <c r="J4" s="477">
        <f>J3</f>
        <v>45943</v>
      </c>
      <c r="K4" s="446">
        <v>46155</v>
      </c>
      <c r="L4" s="125">
        <f>IF(K4&lt;&gt;"", K4+30, "")</f>
        <v>46185</v>
      </c>
      <c r="M4" s="420"/>
      <c r="N4" s="371"/>
      <c r="O4" s="80">
        <f>IF(K4="", 0, (G4*1.1)-N4)</f>
        <v>42867000</v>
      </c>
      <c r="P4" s="463">
        <v>46142</v>
      </c>
      <c r="Q4" s="417" t="str">
        <f t="shared" ca="1" si="2"/>
        <v/>
      </c>
      <c r="S4" s="468">
        <v>14550000</v>
      </c>
      <c r="T4" s="467">
        <f>40700000+14300000+34100000</f>
        <v>89100000</v>
      </c>
      <c r="V4" s="468"/>
      <c r="W4" s="468"/>
    </row>
    <row r="5" spans="1:24" s="452" customFormat="1" ht="13.5" customHeight="1">
      <c r="A5" s="447"/>
      <c r="B5" s="448">
        <f t="shared" si="0"/>
        <v>2</v>
      </c>
      <c r="C5" s="449" t="s">
        <v>1289</v>
      </c>
      <c r="D5" s="449" t="s">
        <v>1290</v>
      </c>
      <c r="E5" s="449" t="s">
        <v>1291</v>
      </c>
      <c r="F5" s="77">
        <v>77160000</v>
      </c>
      <c r="G5" s="77">
        <f>F5*20%</f>
        <v>15432000</v>
      </c>
      <c r="H5" s="80" t="s">
        <v>535</v>
      </c>
      <c r="I5" s="418">
        <v>46028</v>
      </c>
      <c r="J5" s="475">
        <v>46084</v>
      </c>
      <c r="K5" s="420">
        <v>46133</v>
      </c>
      <c r="L5" s="416">
        <f>IF(K5&lt;&gt;"", K5+30, "")</f>
        <v>46163</v>
      </c>
      <c r="M5" s="420">
        <v>46142</v>
      </c>
      <c r="N5" s="353">
        <f>G5*1.1</f>
        <v>16975200</v>
      </c>
      <c r="O5" s="80">
        <f t="shared" ref="O5:O10" si="3">IF(K5="", 0, (G5*1.1)-N5)</f>
        <v>0</v>
      </c>
      <c r="P5" s="462" t="str">
        <f>P7</f>
        <v>(예)2026-05-31</v>
      </c>
      <c r="Q5" s="417" t="str">
        <f t="shared" ca="1" si="2"/>
        <v/>
      </c>
      <c r="S5" s="467"/>
      <c r="T5" s="467">
        <v>22000000</v>
      </c>
      <c r="V5" s="468"/>
      <c r="W5" s="468"/>
    </row>
    <row r="6" spans="1:24" s="98" customFormat="1" ht="13.5" customHeight="1">
      <c r="A6" s="5"/>
      <c r="B6" s="74">
        <f t="shared" si="0"/>
        <v>2</v>
      </c>
      <c r="C6" s="458" t="str">
        <f t="shared" ref="C6:E7" si="4">C5</f>
        <v>기술자문료</v>
      </c>
      <c r="D6" s="459" t="str">
        <f t="shared" si="4"/>
        <v>㈜대한진단건설</v>
      </c>
      <c r="E6" s="459" t="str">
        <f t="shared" si="4"/>
        <v>해운대 센텀트루엘아파트(주차장)</v>
      </c>
      <c r="F6" s="470"/>
      <c r="G6" s="77">
        <f>F5*40%</f>
        <v>30864000</v>
      </c>
      <c r="H6" s="92" t="s">
        <v>1643</v>
      </c>
      <c r="I6" s="251">
        <f>I5</f>
        <v>46028</v>
      </c>
      <c r="J6" s="462">
        <f>J5</f>
        <v>46084</v>
      </c>
      <c r="K6" s="252"/>
      <c r="L6" s="91"/>
      <c r="M6" s="250"/>
      <c r="N6" s="371"/>
      <c r="O6" s="80">
        <f t="shared" si="3"/>
        <v>0</v>
      </c>
      <c r="P6" s="462" t="str">
        <f>P7</f>
        <v>(예)2026-05-31</v>
      </c>
      <c r="Q6" s="417" t="str">
        <f t="shared" ca="1" si="2"/>
        <v/>
      </c>
      <c r="S6" s="469"/>
      <c r="T6" s="471">
        <v>28600000</v>
      </c>
      <c r="V6" s="469"/>
      <c r="W6" s="469"/>
    </row>
    <row r="7" spans="1:24" s="98" customFormat="1" ht="13.5" customHeight="1">
      <c r="A7" s="5"/>
      <c r="B7" s="74">
        <f t="shared" si="0"/>
        <v>2</v>
      </c>
      <c r="C7" s="458" t="str">
        <f t="shared" si="4"/>
        <v>기술자문료</v>
      </c>
      <c r="D7" s="101" t="str">
        <f t="shared" si="4"/>
        <v>㈜대한진단건설</v>
      </c>
      <c r="E7" s="101" t="str">
        <f t="shared" si="4"/>
        <v>해운대 센텀트루엘아파트(주차장)</v>
      </c>
      <c r="F7" s="470"/>
      <c r="G7" s="77">
        <f>(F5*40%)-S7</f>
        <v>30864000</v>
      </c>
      <c r="H7" s="92" t="s">
        <v>537</v>
      </c>
      <c r="I7" s="251">
        <f>I6</f>
        <v>46028</v>
      </c>
      <c r="J7" s="462">
        <f>J6</f>
        <v>46084</v>
      </c>
      <c r="K7" s="252"/>
      <c r="L7" s="91"/>
      <c r="M7" s="250"/>
      <c r="N7" s="371"/>
      <c r="O7" s="80">
        <f t="shared" si="3"/>
        <v>0</v>
      </c>
      <c r="P7" s="463" t="s">
        <v>2173</v>
      </c>
      <c r="Q7" s="417" t="str">
        <f t="shared" ca="1" si="2"/>
        <v/>
      </c>
      <c r="S7" s="468"/>
      <c r="T7" s="467">
        <f>19800000+19800000</f>
        <v>39600000</v>
      </c>
      <c r="V7" s="468"/>
      <c r="W7" s="468"/>
    </row>
    <row r="8" spans="1:24" s="452" customFormat="1" ht="13.5" customHeight="1">
      <c r="A8" s="447"/>
      <c r="B8" s="448">
        <f>IF(H7="잔금", B7+1, B7)</f>
        <v>3</v>
      </c>
      <c r="C8" s="449" t="s">
        <v>822</v>
      </c>
      <c r="D8" s="449" t="s">
        <v>2108</v>
      </c>
      <c r="E8" s="449" t="s">
        <v>2110</v>
      </c>
      <c r="F8" s="77">
        <v>43260000</v>
      </c>
      <c r="G8" s="77">
        <v>16130000</v>
      </c>
      <c r="H8" s="80" t="s">
        <v>535</v>
      </c>
      <c r="I8" s="418">
        <v>45992</v>
      </c>
      <c r="J8" s="474">
        <v>45978</v>
      </c>
      <c r="K8" s="250">
        <v>46027</v>
      </c>
      <c r="L8" s="416">
        <f>IF(K8&lt;&gt;"", K8+30, "")</f>
        <v>46057</v>
      </c>
      <c r="M8" s="250">
        <v>46142</v>
      </c>
      <c r="N8" s="353">
        <f>G8*1.1</f>
        <v>17743000</v>
      </c>
      <c r="O8" s="80">
        <f t="shared" si="3"/>
        <v>0</v>
      </c>
      <c r="P8" s="462">
        <f>P10</f>
        <v>46142</v>
      </c>
      <c r="Q8" s="417" t="str">
        <f t="shared" ca="1" si="2"/>
        <v/>
      </c>
      <c r="S8" s="467"/>
      <c r="T8" s="467">
        <v>16500000</v>
      </c>
      <c r="V8" s="468"/>
      <c r="W8" s="468"/>
      <c r="X8" s="452" t="s">
        <v>1798</v>
      </c>
    </row>
    <row r="9" spans="1:24" s="98" customFormat="1" ht="13.5" customHeight="1">
      <c r="A9" s="5"/>
      <c r="B9" s="74">
        <f t="shared" si="0"/>
        <v>3</v>
      </c>
      <c r="C9" s="458" t="str">
        <f t="shared" ref="C9:E10" si="5">C8</f>
        <v>기술자문료</v>
      </c>
      <c r="D9" s="101" t="str">
        <f t="shared" si="5"/>
        <v>(주)에이치제이건설</v>
      </c>
      <c r="E9" s="101" t="str">
        <f t="shared" si="5"/>
        <v>서면동일파크스위트3차아파트</v>
      </c>
      <c r="F9" s="470"/>
      <c r="G9" s="77">
        <v>11000000</v>
      </c>
      <c r="H9" s="92" t="s">
        <v>536</v>
      </c>
      <c r="I9" s="251">
        <v>45992</v>
      </c>
      <c r="J9" s="462">
        <f>J8</f>
        <v>45978</v>
      </c>
      <c r="K9" s="252">
        <v>46066</v>
      </c>
      <c r="L9" s="405">
        <f>IF(K9&lt;&gt;"", K9+30, "")</f>
        <v>46096</v>
      </c>
      <c r="M9" s="250">
        <v>46157</v>
      </c>
      <c r="N9" s="353">
        <f>G9*1.1</f>
        <v>12100000.000000002</v>
      </c>
      <c r="O9" s="80">
        <f t="shared" si="3"/>
        <v>0</v>
      </c>
      <c r="P9" s="462">
        <f>P10</f>
        <v>46142</v>
      </c>
      <c r="Q9" s="417" t="str">
        <f t="shared" ca="1" si="2"/>
        <v/>
      </c>
      <c r="S9" s="468"/>
      <c r="T9" s="467">
        <v>16500000</v>
      </c>
      <c r="V9" s="468"/>
      <c r="W9" s="468"/>
    </row>
    <row r="10" spans="1:24" s="98" customFormat="1" ht="13.5" customHeight="1">
      <c r="A10" s="5"/>
      <c r="B10" s="74">
        <f t="shared" si="0"/>
        <v>3</v>
      </c>
      <c r="C10" s="458" t="str">
        <f t="shared" si="5"/>
        <v>기술자문료</v>
      </c>
      <c r="D10" s="101" t="str">
        <f t="shared" si="5"/>
        <v>(주)에이치제이건설</v>
      </c>
      <c r="E10" s="101" t="str">
        <f t="shared" si="5"/>
        <v>서면동일파크스위트3차아파트</v>
      </c>
      <c r="F10" s="470"/>
      <c r="G10" s="77">
        <f>F8-G8-G9-S10</f>
        <v>13660000</v>
      </c>
      <c r="H10" s="92" t="s">
        <v>537</v>
      </c>
      <c r="I10" s="251">
        <v>45992</v>
      </c>
      <c r="J10" s="462">
        <f>J9</f>
        <v>45978</v>
      </c>
      <c r="K10" s="252">
        <v>46153</v>
      </c>
      <c r="L10" s="91">
        <f>IF(K10&lt;&gt;"", K10+30, "")</f>
        <v>46183</v>
      </c>
      <c r="M10" s="250"/>
      <c r="N10" s="371"/>
      <c r="O10" s="80">
        <f t="shared" si="3"/>
        <v>15026000.000000002</v>
      </c>
      <c r="P10" s="463">
        <v>46142</v>
      </c>
      <c r="Q10" s="417" t="str">
        <f t="shared" ca="1" si="2"/>
        <v/>
      </c>
      <c r="S10" s="468">
        <v>2470000</v>
      </c>
      <c r="T10" s="467">
        <v>19800000</v>
      </c>
      <c r="V10" s="468"/>
      <c r="W10" s="468"/>
    </row>
    <row r="11" spans="1:24" s="452" customFormat="1" ht="13.5" customHeight="1">
      <c r="A11" s="447"/>
      <c r="B11" s="448">
        <f t="shared" si="0"/>
        <v>4</v>
      </c>
      <c r="C11" s="449" t="s">
        <v>822</v>
      </c>
      <c r="D11" s="449" t="s">
        <v>2111</v>
      </c>
      <c r="E11" s="449" t="s">
        <v>1245</v>
      </c>
      <c r="F11" s="77">
        <v>15000000</v>
      </c>
      <c r="G11" s="77">
        <f>F11*50%</f>
        <v>7500000</v>
      </c>
      <c r="H11" s="80" t="s">
        <v>535</v>
      </c>
      <c r="I11" s="418">
        <v>46000</v>
      </c>
      <c r="J11" s="474">
        <v>45999</v>
      </c>
      <c r="K11" s="250">
        <v>46058</v>
      </c>
      <c r="L11" s="79">
        <v>46088</v>
      </c>
      <c r="M11" s="250">
        <v>46073</v>
      </c>
      <c r="N11" s="353">
        <f>G11*1.1</f>
        <v>8250000.0000000009</v>
      </c>
      <c r="O11" s="80">
        <f t="shared" ref="O11:O25" si="6">IF(K11="", 0, (G11*1.1)-N11)</f>
        <v>0</v>
      </c>
      <c r="P11" s="462">
        <f>P13</f>
        <v>46134</v>
      </c>
      <c r="Q11" s="417" t="str">
        <f t="shared" ca="1" si="2"/>
        <v/>
      </c>
      <c r="S11" s="467"/>
      <c r="T11" s="467"/>
      <c r="V11" s="468" t="s">
        <v>2259</v>
      </c>
      <c r="W11" s="468" t="s">
        <v>2262</v>
      </c>
    </row>
    <row r="12" spans="1:24" s="98" customFormat="1" ht="13.5" customHeight="1">
      <c r="A12" s="5"/>
      <c r="B12" s="74">
        <f t="shared" si="0"/>
        <v>4</v>
      </c>
      <c r="C12" s="458" t="str">
        <f t="shared" ref="C12:E13" si="7">C11</f>
        <v>기술자문료</v>
      </c>
      <c r="D12" s="101" t="str">
        <f t="shared" si="7"/>
        <v>(주)청명이앤디</v>
      </c>
      <c r="E12" s="101" t="str">
        <f t="shared" si="7"/>
        <v>영주동도경오벨리스아파트</v>
      </c>
      <c r="F12" s="470"/>
      <c r="G12" s="77"/>
      <c r="H12" s="92" t="s">
        <v>1643</v>
      </c>
      <c r="I12" s="251">
        <f>I11</f>
        <v>46000</v>
      </c>
      <c r="J12" s="462">
        <f>J11</f>
        <v>45999</v>
      </c>
      <c r="K12" s="252"/>
      <c r="L12" s="91"/>
      <c r="M12" s="250"/>
      <c r="N12" s="371"/>
      <c r="O12" s="80">
        <f t="shared" si="6"/>
        <v>0</v>
      </c>
      <c r="P12" s="462">
        <f>P13</f>
        <v>46134</v>
      </c>
      <c r="Q12" s="417" t="str">
        <f t="shared" ca="1" si="2"/>
        <v/>
      </c>
      <c r="S12" s="469"/>
      <c r="T12" s="471"/>
      <c r="V12" s="469"/>
      <c r="W12" s="469"/>
    </row>
    <row r="13" spans="1:24" s="98" customFormat="1" ht="13.5" customHeight="1">
      <c r="A13" s="5"/>
      <c r="B13" s="74">
        <f t="shared" si="0"/>
        <v>4</v>
      </c>
      <c r="C13" s="458" t="str">
        <f t="shared" si="7"/>
        <v>기술자문료</v>
      </c>
      <c r="D13" s="101" t="str">
        <f t="shared" si="7"/>
        <v>(주)청명이앤디</v>
      </c>
      <c r="E13" s="101" t="str">
        <f t="shared" si="7"/>
        <v>영주동도경오벨리스아파트</v>
      </c>
      <c r="F13" s="470"/>
      <c r="G13" s="77">
        <f>(F11*50%)-S13</f>
        <v>7500000</v>
      </c>
      <c r="H13" s="92" t="s">
        <v>537</v>
      </c>
      <c r="I13" s="251">
        <f>I12</f>
        <v>46000</v>
      </c>
      <c r="J13" s="462">
        <f>J12</f>
        <v>45999</v>
      </c>
      <c r="K13" s="252">
        <v>46155</v>
      </c>
      <c r="L13" s="91">
        <f>IF(K13&lt;&gt;"", K13+30, "")</f>
        <v>46185</v>
      </c>
      <c r="M13" s="250">
        <v>46164</v>
      </c>
      <c r="N13" s="353">
        <f>G13*1.1</f>
        <v>8250000.0000000009</v>
      </c>
      <c r="O13" s="80">
        <f t="shared" si="6"/>
        <v>0</v>
      </c>
      <c r="P13" s="463">
        <v>46134</v>
      </c>
      <c r="Q13" s="417" t="str">
        <f t="shared" ca="1" si="2"/>
        <v/>
      </c>
      <c r="S13" s="468"/>
      <c r="T13" s="467">
        <v>16500000</v>
      </c>
      <c r="V13" s="468"/>
      <c r="W13" s="468"/>
    </row>
    <row r="14" spans="1:24" s="452" customFormat="1" ht="13.5" customHeight="1">
      <c r="A14" s="447"/>
      <c r="B14" s="448">
        <f t="shared" ref="B14:B16" si="8">IF(H13="잔금", B13+1, B13)</f>
        <v>5</v>
      </c>
      <c r="C14" s="449" t="s">
        <v>822</v>
      </c>
      <c r="D14" s="449" t="s">
        <v>2108</v>
      </c>
      <c r="E14" s="449" t="s">
        <v>1642</v>
      </c>
      <c r="F14" s="77">
        <v>55000000</v>
      </c>
      <c r="G14" s="77"/>
      <c r="H14" s="80" t="s">
        <v>535</v>
      </c>
      <c r="I14" s="418"/>
      <c r="J14" s="474">
        <v>45589</v>
      </c>
      <c r="K14" s="250"/>
      <c r="L14" s="79"/>
      <c r="M14" s="250"/>
      <c r="N14" s="353"/>
      <c r="O14" s="80">
        <f t="shared" si="6"/>
        <v>0</v>
      </c>
      <c r="P14" s="462">
        <f>P16</f>
        <v>45900</v>
      </c>
      <c r="Q14" s="417" t="str">
        <f t="shared" ca="1" si="2"/>
        <v/>
      </c>
      <c r="S14" s="467"/>
      <c r="T14" s="467"/>
      <c r="V14" s="468"/>
      <c r="W14" s="468"/>
      <c r="X14" s="452" t="s">
        <v>1798</v>
      </c>
    </row>
    <row r="15" spans="1:24" s="98" customFormat="1" ht="13.5" customHeight="1">
      <c r="A15" s="5"/>
      <c r="B15" s="74">
        <f t="shared" si="8"/>
        <v>5</v>
      </c>
      <c r="C15" s="458" t="str">
        <f t="shared" ref="C15:E15" si="9">C14</f>
        <v>기술자문료</v>
      </c>
      <c r="D15" s="101" t="str">
        <f t="shared" si="9"/>
        <v>(주)에이치제이건설</v>
      </c>
      <c r="E15" s="101" t="str">
        <f t="shared" si="9"/>
        <v>양산평산KCC스위첸</v>
      </c>
      <c r="F15" s="470"/>
      <c r="G15" s="77"/>
      <c r="H15" s="92" t="s">
        <v>1643</v>
      </c>
      <c r="I15" s="251"/>
      <c r="J15" s="462">
        <f>J14</f>
        <v>45589</v>
      </c>
      <c r="K15" s="252"/>
      <c r="L15" s="91"/>
      <c r="M15" s="250"/>
      <c r="N15" s="371"/>
      <c r="O15" s="80">
        <f t="shared" si="6"/>
        <v>0</v>
      </c>
      <c r="P15" s="462">
        <f>P16</f>
        <v>45900</v>
      </c>
      <c r="Q15" s="417" t="str">
        <f t="shared" ca="1" si="2"/>
        <v/>
      </c>
      <c r="S15" s="469"/>
      <c r="T15" s="471"/>
      <c r="V15" s="469"/>
      <c r="W15" s="469"/>
    </row>
    <row r="16" spans="1:24" s="98" customFormat="1" ht="13.5" customHeight="1">
      <c r="A16" s="5"/>
      <c r="B16" s="74">
        <f t="shared" si="8"/>
        <v>5</v>
      </c>
      <c r="C16" s="458" t="str">
        <f t="shared" ref="C16:E16" si="10">C15</f>
        <v>기술자문료</v>
      </c>
      <c r="D16" s="101" t="str">
        <f t="shared" si="10"/>
        <v>(주)에이치제이건설</v>
      </c>
      <c r="E16" s="101" t="str">
        <f t="shared" si="10"/>
        <v>양산평산KCC스위첸</v>
      </c>
      <c r="F16" s="470"/>
      <c r="G16" s="77">
        <f>F14-S16</f>
        <v>55000000</v>
      </c>
      <c r="H16" s="92" t="s">
        <v>537</v>
      </c>
      <c r="I16" s="251">
        <v>45992</v>
      </c>
      <c r="J16" s="462">
        <f>J15</f>
        <v>45589</v>
      </c>
      <c r="K16" s="252"/>
      <c r="L16" s="91"/>
      <c r="M16" s="250"/>
      <c r="N16" s="371"/>
      <c r="O16" s="80">
        <f t="shared" si="6"/>
        <v>0</v>
      </c>
      <c r="P16" s="463">
        <v>45900</v>
      </c>
      <c r="Q16" s="417" t="str">
        <f t="shared" ca="1" si="2"/>
        <v/>
      </c>
      <c r="S16" s="468"/>
      <c r="T16" s="467">
        <v>97900000</v>
      </c>
      <c r="V16" s="468"/>
      <c r="W16" s="468"/>
    </row>
    <row r="17" spans="1:24" s="452" customFormat="1" ht="13.5" customHeight="1">
      <c r="A17" s="447"/>
      <c r="B17" s="448">
        <f t="shared" ref="B17:B19" si="11">IF(H16="잔금", B16+1, B16)</f>
        <v>6</v>
      </c>
      <c r="C17" s="449" t="s">
        <v>1752</v>
      </c>
      <c r="D17" s="449" t="s">
        <v>1644</v>
      </c>
      <c r="E17" s="449" t="s">
        <v>463</v>
      </c>
      <c r="F17" s="77">
        <v>406800000</v>
      </c>
      <c r="G17" s="77"/>
      <c r="H17" s="80" t="s">
        <v>535</v>
      </c>
      <c r="I17" s="418"/>
      <c r="J17" s="475">
        <v>45966</v>
      </c>
      <c r="K17" s="250"/>
      <c r="L17" s="79"/>
      <c r="M17" s="250"/>
      <c r="N17" s="353"/>
      <c r="O17" s="80">
        <f t="shared" si="6"/>
        <v>0</v>
      </c>
      <c r="P17" s="462" t="str">
        <f>P19</f>
        <v>(예)2026-05-31</v>
      </c>
      <c r="Q17" s="417" t="str">
        <f t="shared" ca="1" si="2"/>
        <v/>
      </c>
      <c r="S17" s="467"/>
      <c r="T17" s="467"/>
      <c r="V17" s="468"/>
      <c r="W17" s="468"/>
      <c r="X17" s="452" t="s">
        <v>1797</v>
      </c>
    </row>
    <row r="18" spans="1:24" s="98" customFormat="1" ht="13.5" customHeight="1">
      <c r="A18" s="5"/>
      <c r="B18" s="74">
        <f t="shared" si="11"/>
        <v>6</v>
      </c>
      <c r="C18" s="458" t="str">
        <f t="shared" ref="C18:E18" si="12">C17</f>
        <v>기술자문료_s</v>
      </c>
      <c r="D18" s="101" t="str">
        <f t="shared" si="12"/>
        <v>(주)부영씨엔씨</v>
      </c>
      <c r="E18" s="101" t="str">
        <f t="shared" si="12"/>
        <v>잠실리센츠</v>
      </c>
      <c r="F18" s="470"/>
      <c r="G18" s="77"/>
      <c r="H18" s="92" t="s">
        <v>1643</v>
      </c>
      <c r="I18" s="251"/>
      <c r="J18" s="477">
        <f>J17</f>
        <v>45966</v>
      </c>
      <c r="K18" s="252"/>
      <c r="L18" s="91"/>
      <c r="M18" s="250"/>
      <c r="N18" s="371"/>
      <c r="O18" s="80">
        <f t="shared" si="6"/>
        <v>0</v>
      </c>
      <c r="P18" s="462" t="str">
        <f>P19</f>
        <v>(예)2026-05-31</v>
      </c>
      <c r="Q18" s="417" t="str">
        <f t="shared" ca="1" si="2"/>
        <v/>
      </c>
      <c r="S18" s="469"/>
      <c r="T18" s="471"/>
      <c r="V18" s="469"/>
      <c r="W18" s="469"/>
    </row>
    <row r="19" spans="1:24" s="98" customFormat="1" ht="13.5" customHeight="1">
      <c r="A19" s="5"/>
      <c r="B19" s="74">
        <f t="shared" si="11"/>
        <v>6</v>
      </c>
      <c r="C19" s="458" t="str">
        <f t="shared" ref="C19:E19" si="13">C18</f>
        <v>기술자문료_s</v>
      </c>
      <c r="D19" s="101" t="str">
        <f t="shared" si="13"/>
        <v>(주)부영씨엔씨</v>
      </c>
      <c r="E19" s="101" t="str">
        <f t="shared" si="13"/>
        <v>잠실리센츠</v>
      </c>
      <c r="F19" s="470"/>
      <c r="G19" s="77">
        <f>F17-S19</f>
        <v>406800000</v>
      </c>
      <c r="H19" s="92" t="s">
        <v>537</v>
      </c>
      <c r="I19" s="251">
        <v>45992</v>
      </c>
      <c r="J19" s="462">
        <f>J18</f>
        <v>45966</v>
      </c>
      <c r="K19" s="252"/>
      <c r="L19" s="91"/>
      <c r="M19" s="250"/>
      <c r="N19" s="371"/>
      <c r="O19" s="80">
        <f t="shared" si="6"/>
        <v>0</v>
      </c>
      <c r="P19" s="463" t="s">
        <v>2173</v>
      </c>
      <c r="Q19" s="417" t="str">
        <f t="shared" ca="1" si="2"/>
        <v/>
      </c>
      <c r="S19" s="468"/>
      <c r="T19" s="467"/>
      <c r="V19" s="468"/>
      <c r="W19" s="468"/>
    </row>
    <row r="20" spans="1:24" s="452" customFormat="1" ht="13.5" customHeight="1">
      <c r="A20" s="447"/>
      <c r="B20" s="448">
        <f t="shared" ref="B20:B22" si="14">IF(H19="잔금", B19+1, B19)</f>
        <v>7</v>
      </c>
      <c r="C20" s="449" t="s">
        <v>822</v>
      </c>
      <c r="D20" s="449" t="s">
        <v>2111</v>
      </c>
      <c r="E20" s="449" t="s">
        <v>2174</v>
      </c>
      <c r="F20" s="77">
        <v>12000000</v>
      </c>
      <c r="G20" s="77"/>
      <c r="H20" s="80" t="s">
        <v>535</v>
      </c>
      <c r="I20" s="418">
        <v>46076</v>
      </c>
      <c r="J20" s="475">
        <v>46104</v>
      </c>
      <c r="K20" s="250"/>
      <c r="L20" s="79"/>
      <c r="M20" s="250"/>
      <c r="N20" s="353"/>
      <c r="O20" s="80">
        <f t="shared" si="6"/>
        <v>0</v>
      </c>
      <c r="P20" s="462">
        <f>P22</f>
        <v>46128</v>
      </c>
      <c r="Q20" s="417" t="str">
        <f t="shared" ca="1" si="2"/>
        <v/>
      </c>
      <c r="S20" s="467"/>
      <c r="T20" s="467"/>
      <c r="V20" s="468"/>
      <c r="W20" s="468"/>
    </row>
    <row r="21" spans="1:24" s="98" customFormat="1" ht="13.5" customHeight="1">
      <c r="A21" s="5"/>
      <c r="B21" s="74">
        <f t="shared" si="14"/>
        <v>7</v>
      </c>
      <c r="C21" s="458" t="str">
        <f t="shared" ref="C21:E21" si="15">C20</f>
        <v>기술자문료</v>
      </c>
      <c r="D21" s="101" t="str">
        <f t="shared" si="15"/>
        <v>(주)청명이앤디</v>
      </c>
      <c r="E21" s="101" t="str">
        <f t="shared" si="15"/>
        <v>일광자이푸르지오1단지 아파트</v>
      </c>
      <c r="F21" s="470"/>
      <c r="G21" s="77"/>
      <c r="H21" s="92" t="s">
        <v>1643</v>
      </c>
      <c r="I21" s="251">
        <f>I20</f>
        <v>46076</v>
      </c>
      <c r="J21" s="462">
        <f>J20</f>
        <v>46104</v>
      </c>
      <c r="K21" s="252"/>
      <c r="L21" s="91"/>
      <c r="M21" s="250"/>
      <c r="N21" s="371"/>
      <c r="O21" s="80">
        <f t="shared" si="6"/>
        <v>0</v>
      </c>
      <c r="P21" s="462">
        <f>P22</f>
        <v>46128</v>
      </c>
      <c r="Q21" s="417" t="str">
        <f t="shared" ca="1" si="2"/>
        <v/>
      </c>
      <c r="S21" s="469"/>
      <c r="T21" s="471"/>
      <c r="V21" s="469"/>
      <c r="W21" s="469"/>
    </row>
    <row r="22" spans="1:24" s="98" customFormat="1" ht="13.5" customHeight="1">
      <c r="A22" s="5"/>
      <c r="B22" s="74">
        <f t="shared" si="14"/>
        <v>7</v>
      </c>
      <c r="C22" s="458" t="str">
        <f t="shared" ref="C22:E22" si="16">C21</f>
        <v>기술자문료</v>
      </c>
      <c r="D22" s="101" t="str">
        <f t="shared" si="16"/>
        <v>(주)청명이앤디</v>
      </c>
      <c r="E22" s="101" t="str">
        <f t="shared" si="16"/>
        <v>일광자이푸르지오1단지 아파트</v>
      </c>
      <c r="F22" s="470"/>
      <c r="G22" s="77">
        <f>F20-S22</f>
        <v>12000000</v>
      </c>
      <c r="H22" s="92" t="s">
        <v>537</v>
      </c>
      <c r="I22" s="251">
        <f>I21</f>
        <v>46076</v>
      </c>
      <c r="J22" s="462">
        <f>J21</f>
        <v>46104</v>
      </c>
      <c r="K22" s="252">
        <v>46148</v>
      </c>
      <c r="L22" s="91">
        <f>IF(K22&lt;&gt;"", K22+30, "")</f>
        <v>46178</v>
      </c>
      <c r="M22" s="250"/>
      <c r="N22" s="371"/>
      <c r="O22" s="80">
        <f t="shared" si="6"/>
        <v>13200000.000000002</v>
      </c>
      <c r="P22" s="463">
        <v>46128</v>
      </c>
      <c r="Q22" s="417" t="str">
        <f t="shared" ca="1" si="2"/>
        <v/>
      </c>
      <c r="S22" s="468"/>
      <c r="T22" s="467">
        <v>19800000</v>
      </c>
      <c r="V22" s="468"/>
      <c r="W22" s="468"/>
    </row>
    <row r="23" spans="1:24" s="452" customFormat="1" ht="13.5" customHeight="1">
      <c r="A23" s="447"/>
      <c r="B23" s="448">
        <f t="shared" ref="B23:B25" si="17">IF(H22="잔금", B22+1, B22)</f>
        <v>8</v>
      </c>
      <c r="C23" s="449" t="s">
        <v>822</v>
      </c>
      <c r="D23" s="449" t="s">
        <v>2111</v>
      </c>
      <c r="E23" s="449" t="s">
        <v>1645</v>
      </c>
      <c r="F23" s="77">
        <v>39700000</v>
      </c>
      <c r="G23" s="77">
        <f>F23*20%</f>
        <v>7940000</v>
      </c>
      <c r="H23" s="80" t="s">
        <v>535</v>
      </c>
      <c r="I23" s="418">
        <v>46076</v>
      </c>
      <c r="J23" s="475">
        <v>46073</v>
      </c>
      <c r="K23" s="250">
        <v>46125</v>
      </c>
      <c r="L23" s="91">
        <f>IF(K23&lt;&gt;"", K23+20, "")</f>
        <v>46145</v>
      </c>
      <c r="M23" s="250"/>
      <c r="N23" s="353"/>
      <c r="O23" s="80">
        <f t="shared" si="6"/>
        <v>8734000</v>
      </c>
      <c r="P23" s="462">
        <f>P25</f>
        <v>46161</v>
      </c>
      <c r="Q23" s="417" t="str">
        <f t="shared" ca="1" si="2"/>
        <v>관리</v>
      </c>
      <c r="S23" s="467"/>
      <c r="T23" s="467"/>
      <c r="V23" s="468"/>
      <c r="W23" s="468"/>
    </row>
    <row r="24" spans="1:24" s="98" customFormat="1" ht="13.5" customHeight="1">
      <c r="A24" s="5"/>
      <c r="B24" s="74">
        <f t="shared" si="17"/>
        <v>8</v>
      </c>
      <c r="C24" s="458" t="str">
        <f t="shared" ref="C24:E24" si="18">C23</f>
        <v>기술자문료</v>
      </c>
      <c r="D24" s="101" t="str">
        <f t="shared" si="18"/>
        <v>(주)청명이앤디</v>
      </c>
      <c r="E24" s="101" t="str">
        <f t="shared" si="18"/>
        <v>일광자이푸르지오2단지아파트</v>
      </c>
      <c r="F24" s="470"/>
      <c r="G24" s="77">
        <f>F23*40%</f>
        <v>15880000</v>
      </c>
      <c r="H24" s="92" t="s">
        <v>1643</v>
      </c>
      <c r="I24" s="251">
        <f>I23</f>
        <v>46076</v>
      </c>
      <c r="J24" s="462">
        <f>J23</f>
        <v>46073</v>
      </c>
      <c r="K24" s="252">
        <v>46148</v>
      </c>
      <c r="L24" s="91">
        <f>IF(K24&lt;&gt;"", K24+20, "")</f>
        <v>46168</v>
      </c>
      <c r="M24" s="250"/>
      <c r="N24" s="371"/>
      <c r="O24" s="80">
        <f t="shared" si="6"/>
        <v>17468000</v>
      </c>
      <c r="P24" s="462">
        <f>P25</f>
        <v>46161</v>
      </c>
      <c r="Q24" s="417" t="str">
        <f t="shared" ca="1" si="2"/>
        <v/>
      </c>
      <c r="S24" s="468"/>
      <c r="T24" s="467"/>
      <c r="V24" s="468"/>
      <c r="W24" s="468"/>
    </row>
    <row r="25" spans="1:24" s="98" customFormat="1" ht="13.5" customHeight="1">
      <c r="A25" s="5"/>
      <c r="B25" s="74">
        <f t="shared" si="17"/>
        <v>8</v>
      </c>
      <c r="C25" s="458" t="str">
        <f t="shared" ref="C25:E25" si="19">C24</f>
        <v>기술자문료</v>
      </c>
      <c r="D25" s="101" t="str">
        <f t="shared" si="19"/>
        <v>(주)청명이앤디</v>
      </c>
      <c r="E25" s="101" t="str">
        <f t="shared" si="19"/>
        <v>일광자이푸르지오2단지아파트</v>
      </c>
      <c r="F25" s="470"/>
      <c r="G25" s="77">
        <f>(F23*40%)-S25</f>
        <v>15880000</v>
      </c>
      <c r="H25" s="92" t="s">
        <v>537</v>
      </c>
      <c r="I25" s="251">
        <f>I24</f>
        <v>46076</v>
      </c>
      <c r="J25" s="462">
        <f>J24</f>
        <v>46073</v>
      </c>
      <c r="K25" s="252"/>
      <c r="L25" s="91"/>
      <c r="M25" s="250"/>
      <c r="N25" s="371"/>
      <c r="O25" s="80">
        <f t="shared" si="6"/>
        <v>0</v>
      </c>
      <c r="P25" s="463">
        <v>46161</v>
      </c>
      <c r="Q25" s="417" t="str">
        <f t="shared" ca="1" si="2"/>
        <v/>
      </c>
      <c r="S25" s="468"/>
      <c r="T25" s="467">
        <v>31680000</v>
      </c>
      <c r="V25" s="468"/>
      <c r="W25" s="468"/>
    </row>
    <row r="26" spans="1:24" s="452" customFormat="1" ht="13.5" customHeight="1">
      <c r="A26" s="447"/>
      <c r="B26" s="448">
        <f t="shared" ref="B26:B28" si="20">IF(H25="잔금", B25+1, B25)</f>
        <v>9</v>
      </c>
      <c r="C26" s="449" t="s">
        <v>822</v>
      </c>
      <c r="D26" s="449" t="s">
        <v>1918</v>
      </c>
      <c r="E26" s="449" t="s">
        <v>1917</v>
      </c>
      <c r="F26" s="77">
        <v>18700000</v>
      </c>
      <c r="G26" s="77"/>
      <c r="H26" s="80" t="s">
        <v>535</v>
      </c>
      <c r="I26" s="418">
        <v>46133</v>
      </c>
      <c r="J26" s="475">
        <v>46073</v>
      </c>
      <c r="K26" s="250"/>
      <c r="L26" s="79"/>
      <c r="M26" s="250"/>
      <c r="N26" s="353"/>
      <c r="O26" s="80">
        <f t="shared" ref="O26:O28" si="21">IF(K26="", 0, (G26*1.1)-N26)</f>
        <v>0</v>
      </c>
      <c r="P26" s="462">
        <f>P28</f>
        <v>46161</v>
      </c>
      <c r="Q26" s="417" t="str">
        <f t="shared" ca="1" si="2"/>
        <v/>
      </c>
      <c r="S26" s="467"/>
      <c r="T26" s="467"/>
      <c r="V26" s="468"/>
      <c r="W26" s="468"/>
    </row>
    <row r="27" spans="1:24" s="98" customFormat="1" ht="13.5" customHeight="1">
      <c r="A27" s="5"/>
      <c r="B27" s="74">
        <f t="shared" si="20"/>
        <v>9</v>
      </c>
      <c r="C27" s="458" t="str">
        <f t="shared" ref="C27:E27" si="22">C26</f>
        <v>기술자문료</v>
      </c>
      <c r="D27" s="101" t="str">
        <f t="shared" si="22"/>
        <v>㈜청람건설</v>
      </c>
      <c r="E27" s="101" t="str">
        <f t="shared" si="22"/>
        <v>혁신도시 엘에이치5단지아파트</v>
      </c>
      <c r="F27" s="470"/>
      <c r="G27" s="77"/>
      <c r="H27" s="92" t="s">
        <v>536</v>
      </c>
      <c r="I27" s="251">
        <f>I26</f>
        <v>46133</v>
      </c>
      <c r="J27" s="462">
        <f>J26</f>
        <v>46073</v>
      </c>
      <c r="K27" s="252"/>
      <c r="L27" s="91"/>
      <c r="M27" s="250"/>
      <c r="N27" s="371"/>
      <c r="O27" s="80">
        <f t="shared" si="21"/>
        <v>0</v>
      </c>
      <c r="P27" s="462">
        <f>P28</f>
        <v>46161</v>
      </c>
      <c r="Q27" s="417" t="str">
        <f t="shared" ca="1" si="2"/>
        <v/>
      </c>
      <c r="S27" s="468"/>
      <c r="T27" s="467"/>
      <c r="V27" s="468"/>
      <c r="W27" s="468"/>
    </row>
    <row r="28" spans="1:24" s="98" customFormat="1" ht="13.5" customHeight="1">
      <c r="A28" s="5"/>
      <c r="B28" s="74">
        <f t="shared" si="20"/>
        <v>9</v>
      </c>
      <c r="C28" s="458" t="str">
        <f t="shared" ref="C28:E28" si="23">C27</f>
        <v>기술자문료</v>
      </c>
      <c r="D28" s="101" t="str">
        <f t="shared" si="23"/>
        <v>㈜청람건설</v>
      </c>
      <c r="E28" s="101" t="str">
        <f t="shared" si="23"/>
        <v>혁신도시 엘에이치5단지아파트</v>
      </c>
      <c r="F28" s="470"/>
      <c r="G28" s="77">
        <f>F26-S28</f>
        <v>18700000</v>
      </c>
      <c r="H28" s="92" t="s">
        <v>537</v>
      </c>
      <c r="I28" s="251">
        <f>I27</f>
        <v>46133</v>
      </c>
      <c r="J28" s="462">
        <f>J27</f>
        <v>46073</v>
      </c>
      <c r="K28" s="252"/>
      <c r="L28" s="91"/>
      <c r="M28" s="250"/>
      <c r="N28" s="371"/>
      <c r="O28" s="80">
        <f t="shared" si="21"/>
        <v>0</v>
      </c>
      <c r="P28" s="463">
        <v>46161</v>
      </c>
      <c r="Q28" s="417" t="str">
        <f t="shared" ca="1" si="2"/>
        <v/>
      </c>
      <c r="S28" s="468"/>
      <c r="T28" s="467"/>
      <c r="V28" s="468"/>
      <c r="W28" s="468"/>
    </row>
    <row r="29" spans="1:24" s="452" customFormat="1" ht="13.5" customHeight="1">
      <c r="A29" s="447"/>
      <c r="B29" s="448">
        <f t="shared" ref="B29:B31" si="24">IF(H28="잔금", B28+1, B28)</f>
        <v>10</v>
      </c>
      <c r="C29" s="449" t="s">
        <v>1752</v>
      </c>
      <c r="D29" s="449" t="s">
        <v>1919</v>
      </c>
      <c r="E29" s="449" t="s">
        <v>1920</v>
      </c>
      <c r="F29" s="77">
        <v>2000000</v>
      </c>
      <c r="G29" s="77"/>
      <c r="H29" s="80" t="s">
        <v>535</v>
      </c>
      <c r="I29" s="418">
        <v>46128</v>
      </c>
      <c r="J29" s="475">
        <v>46119</v>
      </c>
      <c r="K29" s="250"/>
      <c r="L29" s="79"/>
      <c r="M29" s="250"/>
      <c r="N29" s="353"/>
      <c r="O29" s="80">
        <f t="shared" ref="O29:O31" si="25">IF(K29="", 0, (G29*1.1)-N29)</f>
        <v>0</v>
      </c>
      <c r="P29" s="462">
        <f>P31</f>
        <v>46126</v>
      </c>
      <c r="Q29" s="417" t="str">
        <f t="shared" ca="1" si="2"/>
        <v/>
      </c>
      <c r="S29" s="467"/>
      <c r="T29" s="467"/>
      <c r="V29" s="468"/>
      <c r="W29" s="468"/>
    </row>
    <row r="30" spans="1:24" s="98" customFormat="1" ht="13.5" customHeight="1">
      <c r="A30" s="5"/>
      <c r="B30" s="74">
        <f t="shared" si="24"/>
        <v>10</v>
      </c>
      <c r="C30" s="458" t="str">
        <f t="shared" ref="C30:E30" si="26">C29</f>
        <v>기술자문료_s</v>
      </c>
      <c r="D30" s="101" t="str">
        <f t="shared" si="26"/>
        <v>여름건설㈜</v>
      </c>
      <c r="E30" s="101" t="str">
        <f t="shared" si="26"/>
        <v>죽전현대홈타운아파트</v>
      </c>
      <c r="F30" s="470"/>
      <c r="G30" s="77"/>
      <c r="H30" s="92" t="s">
        <v>536</v>
      </c>
      <c r="I30" s="251">
        <f>I29</f>
        <v>46128</v>
      </c>
      <c r="J30" s="462">
        <f>J29</f>
        <v>46119</v>
      </c>
      <c r="K30" s="252"/>
      <c r="L30" s="91"/>
      <c r="M30" s="250"/>
      <c r="N30" s="371"/>
      <c r="O30" s="80">
        <f t="shared" si="25"/>
        <v>0</v>
      </c>
      <c r="P30" s="462">
        <f>P31</f>
        <v>46126</v>
      </c>
      <c r="Q30" s="417" t="str">
        <f t="shared" ca="1" si="2"/>
        <v/>
      </c>
      <c r="S30" s="468"/>
      <c r="T30" s="467"/>
      <c r="V30" s="468"/>
      <c r="W30" s="468"/>
    </row>
    <row r="31" spans="1:24" s="98" customFormat="1" ht="13.5" customHeight="1">
      <c r="A31" s="5"/>
      <c r="B31" s="74">
        <f t="shared" si="24"/>
        <v>10</v>
      </c>
      <c r="C31" s="458" t="str">
        <f t="shared" ref="C31:E31" si="27">C30</f>
        <v>기술자문료_s</v>
      </c>
      <c r="D31" s="101" t="str">
        <f t="shared" si="27"/>
        <v>여름건설㈜</v>
      </c>
      <c r="E31" s="101" t="str">
        <f t="shared" si="27"/>
        <v>죽전현대홈타운아파트</v>
      </c>
      <c r="F31" s="470"/>
      <c r="G31" s="77">
        <f>F29-S31</f>
        <v>2000000</v>
      </c>
      <c r="H31" s="92" t="s">
        <v>537</v>
      </c>
      <c r="I31" s="251">
        <f>I30</f>
        <v>46128</v>
      </c>
      <c r="J31" s="462">
        <f>J30</f>
        <v>46119</v>
      </c>
      <c r="K31" s="252">
        <v>46164</v>
      </c>
      <c r="L31" s="91">
        <f>IF(K31&lt;&gt;"", K31+30, "")</f>
        <v>46194</v>
      </c>
      <c r="M31" s="250"/>
      <c r="N31" s="371"/>
      <c r="O31" s="80">
        <f t="shared" si="25"/>
        <v>2200000</v>
      </c>
      <c r="P31" s="463">
        <v>46126</v>
      </c>
      <c r="Q31" s="417" t="str">
        <f t="shared" ca="1" si="2"/>
        <v/>
      </c>
      <c r="S31" s="468"/>
      <c r="T31" s="467"/>
      <c r="V31" s="468"/>
      <c r="W31" s="468"/>
    </row>
    <row r="32" spans="1:24" s="452" customFormat="1" ht="13.5" customHeight="1">
      <c r="A32" s="447"/>
      <c r="B32" s="448">
        <f t="shared" ref="B32:B34" si="28">IF(H31="잔금", B31+1, B31)</f>
        <v>11</v>
      </c>
      <c r="C32" s="449" t="s">
        <v>1752</v>
      </c>
      <c r="D32" s="449" t="s">
        <v>1921</v>
      </c>
      <c r="E32" s="449" t="s">
        <v>1922</v>
      </c>
      <c r="F32" s="77">
        <v>40100000</v>
      </c>
      <c r="G32" s="77"/>
      <c r="H32" s="80" t="s">
        <v>535</v>
      </c>
      <c r="I32" s="418">
        <v>46127</v>
      </c>
      <c r="J32" s="475">
        <v>46001</v>
      </c>
      <c r="K32" s="250"/>
      <c r="L32" s="79"/>
      <c r="M32" s="250"/>
      <c r="N32" s="353"/>
      <c r="O32" s="80">
        <f t="shared" ref="O32:O34" si="29">IF(K32="", 0, (G32*1.1)-N32)</f>
        <v>0</v>
      </c>
      <c r="P32" s="462">
        <f>P34</f>
        <v>46112</v>
      </c>
      <c r="Q32" s="417" t="str">
        <f t="shared" ca="1" si="2"/>
        <v/>
      </c>
      <c r="S32" s="467"/>
      <c r="T32" s="467"/>
      <c r="V32" s="468"/>
      <c r="W32" s="468"/>
    </row>
    <row r="33" spans="1:23" s="98" customFormat="1" ht="13.5" customHeight="1">
      <c r="A33" s="5"/>
      <c r="B33" s="74">
        <f t="shared" si="28"/>
        <v>11</v>
      </c>
      <c r="C33" s="458" t="str">
        <f t="shared" ref="C33:E33" si="30">C32</f>
        <v>기술자문료_s</v>
      </c>
      <c r="D33" s="101" t="str">
        <f t="shared" si="30"/>
        <v>코지건설㈜</v>
      </c>
      <c r="E33" s="101" t="str">
        <f t="shared" si="30"/>
        <v>송도캐슬&amp;해모로아파트</v>
      </c>
      <c r="F33" s="470"/>
      <c r="G33" s="77"/>
      <c r="H33" s="92" t="s">
        <v>536</v>
      </c>
      <c r="I33" s="251">
        <f>I32</f>
        <v>46127</v>
      </c>
      <c r="J33" s="462">
        <f>J32</f>
        <v>46001</v>
      </c>
      <c r="K33" s="252"/>
      <c r="L33" s="91"/>
      <c r="M33" s="250"/>
      <c r="N33" s="371"/>
      <c r="O33" s="80">
        <f t="shared" si="29"/>
        <v>0</v>
      </c>
      <c r="P33" s="462">
        <f>P34</f>
        <v>46112</v>
      </c>
      <c r="Q33" s="417" t="str">
        <f t="shared" ca="1" si="2"/>
        <v/>
      </c>
      <c r="S33" s="468"/>
      <c r="T33" s="467"/>
      <c r="V33" s="468"/>
      <c r="W33" s="468"/>
    </row>
    <row r="34" spans="1:23" s="98" customFormat="1" ht="13.5" customHeight="1">
      <c r="A34" s="5"/>
      <c r="B34" s="74">
        <f t="shared" si="28"/>
        <v>11</v>
      </c>
      <c r="C34" s="458" t="str">
        <f t="shared" ref="C34:E34" si="31">C33</f>
        <v>기술자문료_s</v>
      </c>
      <c r="D34" s="101" t="str">
        <f t="shared" si="31"/>
        <v>코지건설㈜</v>
      </c>
      <c r="E34" s="101" t="str">
        <f t="shared" si="31"/>
        <v>송도캐슬&amp;해모로아파트</v>
      </c>
      <c r="F34" s="470"/>
      <c r="G34" s="77">
        <f>F32-S34</f>
        <v>40100000</v>
      </c>
      <c r="H34" s="92" t="s">
        <v>537</v>
      </c>
      <c r="I34" s="251">
        <f>I33</f>
        <v>46127</v>
      </c>
      <c r="J34" s="462">
        <f>J33</f>
        <v>46001</v>
      </c>
      <c r="K34" s="252"/>
      <c r="L34" s="91"/>
      <c r="M34" s="250"/>
      <c r="N34" s="371"/>
      <c r="O34" s="80">
        <f t="shared" si="29"/>
        <v>0</v>
      </c>
      <c r="P34" s="463">
        <v>46112</v>
      </c>
      <c r="Q34" s="417" t="str">
        <f t="shared" ca="1" si="2"/>
        <v/>
      </c>
      <c r="S34" s="468"/>
      <c r="T34" s="467"/>
      <c r="V34" s="468"/>
      <c r="W34" s="468"/>
    </row>
    <row r="35" spans="1:23" s="452" customFormat="1" ht="13.5" customHeight="1">
      <c r="A35" s="447"/>
      <c r="B35" s="448">
        <f t="shared" ref="B35:B37" si="32">IF(H34="잔금", B34+1, B34)</f>
        <v>12</v>
      </c>
      <c r="C35" s="449" t="s">
        <v>1752</v>
      </c>
      <c r="D35" s="449" t="s">
        <v>1921</v>
      </c>
      <c r="E35" s="449" t="s">
        <v>1923</v>
      </c>
      <c r="F35" s="77">
        <v>433650000</v>
      </c>
      <c r="G35" s="77"/>
      <c r="H35" s="80" t="s">
        <v>535</v>
      </c>
      <c r="I35" s="418">
        <v>46139</v>
      </c>
      <c r="J35" s="475">
        <v>46097</v>
      </c>
      <c r="K35" s="250"/>
      <c r="L35" s="79"/>
      <c r="M35" s="250"/>
      <c r="N35" s="353"/>
      <c r="O35" s="80">
        <f t="shared" ref="O35:O37" si="33">IF(K35="", 0, (G35*1.1)-N35)</f>
        <v>0</v>
      </c>
      <c r="P35" s="462" t="str">
        <f>P37</f>
        <v>(예)2026-07-15</v>
      </c>
      <c r="Q35" s="417" t="str">
        <f t="shared" ca="1" si="2"/>
        <v/>
      </c>
      <c r="S35" s="467"/>
      <c r="T35" s="467"/>
      <c r="V35" s="468"/>
      <c r="W35" s="468"/>
    </row>
    <row r="36" spans="1:23" s="98" customFormat="1" ht="13.5" customHeight="1">
      <c r="A36" s="5"/>
      <c r="B36" s="74">
        <f t="shared" si="32"/>
        <v>12</v>
      </c>
      <c r="C36" s="458" t="str">
        <f t="shared" ref="C36:E36" si="34">C35</f>
        <v>기술자문료_s</v>
      </c>
      <c r="D36" s="101" t="str">
        <f t="shared" si="34"/>
        <v>코지건설㈜</v>
      </c>
      <c r="E36" s="101" t="str">
        <f t="shared" si="34"/>
        <v>평택비전지웰푸르지오아파트</v>
      </c>
      <c r="F36" s="470"/>
      <c r="G36" s="77"/>
      <c r="H36" s="92" t="s">
        <v>536</v>
      </c>
      <c r="I36" s="251">
        <f>I35</f>
        <v>46139</v>
      </c>
      <c r="J36" s="462">
        <f>J35</f>
        <v>46097</v>
      </c>
      <c r="K36" s="252"/>
      <c r="L36" s="91"/>
      <c r="M36" s="250"/>
      <c r="N36" s="371"/>
      <c r="O36" s="80">
        <f t="shared" si="33"/>
        <v>0</v>
      </c>
      <c r="P36" s="462" t="str">
        <f>P37</f>
        <v>(예)2026-07-15</v>
      </c>
      <c r="Q36" s="417" t="str">
        <f t="shared" ca="1" si="2"/>
        <v/>
      </c>
      <c r="S36" s="468"/>
      <c r="T36" s="467"/>
      <c r="V36" s="468"/>
      <c r="W36" s="468"/>
    </row>
    <row r="37" spans="1:23" s="98" customFormat="1" ht="13.5" customHeight="1">
      <c r="A37" s="5"/>
      <c r="B37" s="74">
        <f t="shared" si="32"/>
        <v>12</v>
      </c>
      <c r="C37" s="458" t="str">
        <f t="shared" ref="C37:E37" si="35">C36</f>
        <v>기술자문료_s</v>
      </c>
      <c r="D37" s="101" t="str">
        <f t="shared" si="35"/>
        <v>코지건설㈜</v>
      </c>
      <c r="E37" s="101" t="str">
        <f t="shared" si="35"/>
        <v>평택비전지웰푸르지오아파트</v>
      </c>
      <c r="F37" s="470"/>
      <c r="G37" s="77">
        <f>F35-S37</f>
        <v>433650000</v>
      </c>
      <c r="H37" s="92" t="s">
        <v>537</v>
      </c>
      <c r="I37" s="251">
        <f>I36</f>
        <v>46139</v>
      </c>
      <c r="J37" s="462">
        <f>J36</f>
        <v>46097</v>
      </c>
      <c r="K37" s="252"/>
      <c r="L37" s="91"/>
      <c r="M37" s="250"/>
      <c r="N37" s="371"/>
      <c r="O37" s="80">
        <f t="shared" si="33"/>
        <v>0</v>
      </c>
      <c r="P37" s="463" t="s">
        <v>1945</v>
      </c>
      <c r="Q37" s="417" t="str">
        <f t="shared" ca="1" si="2"/>
        <v/>
      </c>
      <c r="S37" s="468"/>
      <c r="T37" s="467"/>
      <c r="V37" s="468"/>
      <c r="W37" s="468"/>
    </row>
    <row r="38" spans="1:23" s="452" customFormat="1" ht="13.5" customHeight="1">
      <c r="A38" s="447"/>
      <c r="B38" s="448">
        <f t="shared" ref="B38:B40" si="36">IF(H37="잔금", B37+1, B37)</f>
        <v>13</v>
      </c>
      <c r="C38" s="449" t="s">
        <v>1752</v>
      </c>
      <c r="D38" s="449" t="s">
        <v>1921</v>
      </c>
      <c r="E38" s="449" t="s">
        <v>1924</v>
      </c>
      <c r="F38" s="77">
        <v>5390000</v>
      </c>
      <c r="G38" s="77"/>
      <c r="H38" s="80" t="s">
        <v>535</v>
      </c>
      <c r="I38" s="418">
        <v>46135</v>
      </c>
      <c r="J38" s="475">
        <v>46055</v>
      </c>
      <c r="K38" s="250"/>
      <c r="L38" s="79"/>
      <c r="M38" s="250"/>
      <c r="N38" s="353"/>
      <c r="O38" s="80">
        <f t="shared" ref="O38:O40" si="37">IF(K38="", 0, (G38*1.1)-N38)</f>
        <v>0</v>
      </c>
      <c r="P38" s="462">
        <f>P40</f>
        <v>46112</v>
      </c>
      <c r="Q38" s="417" t="str">
        <f t="shared" ca="1" si="2"/>
        <v/>
      </c>
      <c r="S38" s="467"/>
      <c r="T38" s="467"/>
      <c r="V38" s="468"/>
      <c r="W38" s="468"/>
    </row>
    <row r="39" spans="1:23" s="98" customFormat="1" ht="13.5" customHeight="1">
      <c r="A39" s="5"/>
      <c r="B39" s="74">
        <f t="shared" si="36"/>
        <v>13</v>
      </c>
      <c r="C39" s="458" t="str">
        <f t="shared" ref="C39:E39" si="38">C38</f>
        <v>기술자문료_s</v>
      </c>
      <c r="D39" s="101" t="str">
        <f t="shared" si="38"/>
        <v>코지건설㈜</v>
      </c>
      <c r="E39" s="101" t="str">
        <f t="shared" si="38"/>
        <v>동수원월드메르디앙아파트</v>
      </c>
      <c r="F39" s="470"/>
      <c r="G39" s="77"/>
      <c r="H39" s="92" t="s">
        <v>536</v>
      </c>
      <c r="I39" s="251">
        <f>I38</f>
        <v>46135</v>
      </c>
      <c r="J39" s="462">
        <f>J38</f>
        <v>46055</v>
      </c>
      <c r="K39" s="252"/>
      <c r="L39" s="91"/>
      <c r="M39" s="250"/>
      <c r="N39" s="371"/>
      <c r="O39" s="80">
        <f t="shared" si="37"/>
        <v>0</v>
      </c>
      <c r="P39" s="462">
        <f>P40</f>
        <v>46112</v>
      </c>
      <c r="Q39" s="417" t="str">
        <f t="shared" ca="1" si="2"/>
        <v/>
      </c>
      <c r="S39" s="468"/>
      <c r="T39" s="467"/>
      <c r="V39" s="468"/>
      <c r="W39" s="468"/>
    </row>
    <row r="40" spans="1:23" s="98" customFormat="1" ht="13.5" customHeight="1">
      <c r="A40" s="5"/>
      <c r="B40" s="74">
        <f t="shared" si="36"/>
        <v>13</v>
      </c>
      <c r="C40" s="458" t="str">
        <f t="shared" ref="C40:E40" si="39">C39</f>
        <v>기술자문료_s</v>
      </c>
      <c r="D40" s="101" t="str">
        <f t="shared" si="39"/>
        <v>코지건설㈜</v>
      </c>
      <c r="E40" s="101" t="str">
        <f t="shared" si="39"/>
        <v>동수원월드메르디앙아파트</v>
      </c>
      <c r="F40" s="470"/>
      <c r="G40" s="77">
        <f>F38-S40</f>
        <v>5390000</v>
      </c>
      <c r="H40" s="92" t="s">
        <v>537</v>
      </c>
      <c r="I40" s="251">
        <f>I39</f>
        <v>46135</v>
      </c>
      <c r="J40" s="462">
        <f>J39</f>
        <v>46055</v>
      </c>
      <c r="K40" s="252"/>
      <c r="L40" s="91"/>
      <c r="M40" s="250"/>
      <c r="N40" s="371"/>
      <c r="O40" s="80">
        <f t="shared" si="37"/>
        <v>0</v>
      </c>
      <c r="P40" s="463">
        <v>46112</v>
      </c>
      <c r="Q40" s="417" t="str">
        <f t="shared" ca="1" si="2"/>
        <v/>
      </c>
      <c r="S40" s="468"/>
      <c r="T40" s="467"/>
      <c r="V40" s="468"/>
      <c r="W40" s="468"/>
    </row>
    <row r="41" spans="1:23" s="452" customFormat="1" ht="13.5" customHeight="1">
      <c r="A41" s="447"/>
      <c r="B41" s="448">
        <f t="shared" ref="B41:B43" si="40">IF(H40="잔금", B40+1, B40)</f>
        <v>14</v>
      </c>
      <c r="C41" s="449" t="s">
        <v>1752</v>
      </c>
      <c r="D41" s="449" t="s">
        <v>1921</v>
      </c>
      <c r="E41" s="449" t="s">
        <v>1925</v>
      </c>
      <c r="F41" s="77">
        <v>1400000</v>
      </c>
      <c r="G41" s="77"/>
      <c r="H41" s="80" t="s">
        <v>535</v>
      </c>
      <c r="I41" s="418">
        <v>46128</v>
      </c>
      <c r="J41" s="475">
        <v>46082</v>
      </c>
      <c r="K41" s="250"/>
      <c r="L41" s="79"/>
      <c r="M41" s="250"/>
      <c r="N41" s="353"/>
      <c r="O41" s="80">
        <f t="shared" ref="O41:O43" si="41">IF(K41="", 0, (G41*1.1)-N41)</f>
        <v>0</v>
      </c>
      <c r="P41" s="462">
        <f>P43</f>
        <v>46112</v>
      </c>
      <c r="Q41" s="417" t="str">
        <f ca="1">IF(OR(K41="",O41=0),"",IF(TODAY()-K41&gt;=91,"장기미수",IF(TODAY()-K41&gt;=31,"관리","")))</f>
        <v/>
      </c>
      <c r="S41" s="467"/>
      <c r="T41" s="467"/>
      <c r="V41" s="468"/>
      <c r="W41" s="468"/>
    </row>
    <row r="42" spans="1:23" s="98" customFormat="1" ht="13.5" customHeight="1">
      <c r="A42" s="5"/>
      <c r="B42" s="74">
        <f t="shared" si="40"/>
        <v>14</v>
      </c>
      <c r="C42" s="458" t="str">
        <f t="shared" ref="C42:E42" si="42">C41</f>
        <v>기술자문료_s</v>
      </c>
      <c r="D42" s="101" t="str">
        <f t="shared" si="42"/>
        <v>코지건설㈜</v>
      </c>
      <c r="E42" s="101" t="str">
        <f t="shared" si="42"/>
        <v>호매실경남아너스빌(4세대)</v>
      </c>
      <c r="F42" s="470"/>
      <c r="G42" s="77"/>
      <c r="H42" s="92" t="s">
        <v>536</v>
      </c>
      <c r="I42" s="251">
        <f>I41</f>
        <v>46128</v>
      </c>
      <c r="J42" s="462">
        <f>J41</f>
        <v>46082</v>
      </c>
      <c r="K42" s="252"/>
      <c r="L42" s="91"/>
      <c r="M42" s="250"/>
      <c r="N42" s="371"/>
      <c r="O42" s="80">
        <f t="shared" si="41"/>
        <v>0</v>
      </c>
      <c r="P42" s="462">
        <f>P43</f>
        <v>46112</v>
      </c>
      <c r="Q42" s="417" t="str">
        <f t="shared" ca="1" si="2"/>
        <v/>
      </c>
      <c r="S42" s="468"/>
      <c r="T42" s="467"/>
      <c r="V42" s="468"/>
      <c r="W42" s="468"/>
    </row>
    <row r="43" spans="1:23" s="98" customFormat="1" ht="13.5" customHeight="1">
      <c r="A43" s="5"/>
      <c r="B43" s="74">
        <f t="shared" si="40"/>
        <v>14</v>
      </c>
      <c r="C43" s="458" t="str">
        <f t="shared" ref="C43:E43" si="43">C42</f>
        <v>기술자문료_s</v>
      </c>
      <c r="D43" s="101" t="str">
        <f t="shared" si="43"/>
        <v>코지건설㈜</v>
      </c>
      <c r="E43" s="101" t="str">
        <f t="shared" si="43"/>
        <v>호매실경남아너스빌(4세대)</v>
      </c>
      <c r="F43" s="470"/>
      <c r="G43" s="77">
        <f>F41-S43</f>
        <v>1258000</v>
      </c>
      <c r="H43" s="92" t="s">
        <v>537</v>
      </c>
      <c r="I43" s="251">
        <f>I42</f>
        <v>46128</v>
      </c>
      <c r="J43" s="462">
        <f>J42</f>
        <v>46082</v>
      </c>
      <c r="K43" s="252">
        <v>46164</v>
      </c>
      <c r="L43" s="91">
        <f>IF(K43&lt;&gt;"", K43+30, "")</f>
        <v>46194</v>
      </c>
      <c r="M43" s="250"/>
      <c r="N43" s="371"/>
      <c r="O43" s="80">
        <f t="shared" si="41"/>
        <v>1383800</v>
      </c>
      <c r="P43" s="463">
        <v>46112</v>
      </c>
      <c r="Q43" s="417" t="str">
        <f t="shared" ca="1" si="2"/>
        <v/>
      </c>
      <c r="S43" s="468">
        <v>142000</v>
      </c>
      <c r="T43" s="467"/>
      <c r="V43" s="468"/>
      <c r="W43" s="468"/>
    </row>
    <row r="44" spans="1:23" s="452" customFormat="1" ht="13.5" customHeight="1">
      <c r="A44" s="447"/>
      <c r="B44" s="448">
        <f t="shared" ref="B44:B46" si="44">IF(H43="잔금", B43+1, B43)</f>
        <v>15</v>
      </c>
      <c r="C44" s="449" t="s">
        <v>1752</v>
      </c>
      <c r="D44" s="449" t="s">
        <v>1921</v>
      </c>
      <c r="E44" s="449" t="s">
        <v>1926</v>
      </c>
      <c r="F44" s="77">
        <v>3210000</v>
      </c>
      <c r="G44" s="77"/>
      <c r="H44" s="80" t="s">
        <v>535</v>
      </c>
      <c r="I44" s="418">
        <v>46128</v>
      </c>
      <c r="J44" s="475">
        <v>46082</v>
      </c>
      <c r="K44" s="250"/>
      <c r="L44" s="79"/>
      <c r="M44" s="250"/>
      <c r="N44" s="353"/>
      <c r="O44" s="80">
        <f t="shared" ref="O44:O46" si="45">IF(K44="", 0, (G44*1.1)-N44)</f>
        <v>0</v>
      </c>
      <c r="P44" s="462">
        <f>P46</f>
        <v>46112</v>
      </c>
      <c r="Q44" s="417" t="str">
        <f t="shared" ca="1" si="2"/>
        <v/>
      </c>
      <c r="S44" s="467"/>
      <c r="T44" s="467"/>
      <c r="V44" s="468"/>
      <c r="W44" s="468"/>
    </row>
    <row r="45" spans="1:23" s="98" customFormat="1" ht="13.5" customHeight="1">
      <c r="A45" s="5"/>
      <c r="B45" s="74">
        <f t="shared" si="44"/>
        <v>15</v>
      </c>
      <c r="C45" s="458" t="str">
        <f t="shared" ref="C45:E45" si="46">C44</f>
        <v>기술자문료_s</v>
      </c>
      <c r="D45" s="101" t="str">
        <f t="shared" si="46"/>
        <v>코지건설㈜</v>
      </c>
      <c r="E45" s="101" t="str">
        <f t="shared" si="46"/>
        <v>호매실경남아너스빌(1세대)</v>
      </c>
      <c r="F45" s="470"/>
      <c r="G45" s="77"/>
      <c r="H45" s="92" t="s">
        <v>536</v>
      </c>
      <c r="I45" s="251">
        <f>I44</f>
        <v>46128</v>
      </c>
      <c r="J45" s="462">
        <f>J44</f>
        <v>46082</v>
      </c>
      <c r="K45" s="252"/>
      <c r="L45" s="91"/>
      <c r="M45" s="250"/>
      <c r="N45" s="371"/>
      <c r="O45" s="80">
        <f t="shared" si="45"/>
        <v>0</v>
      </c>
      <c r="P45" s="462">
        <f>P46</f>
        <v>46112</v>
      </c>
      <c r="Q45" s="417" t="str">
        <f t="shared" ca="1" si="2"/>
        <v/>
      </c>
      <c r="S45" s="468"/>
      <c r="T45" s="467"/>
      <c r="V45" s="468"/>
      <c r="W45" s="468"/>
    </row>
    <row r="46" spans="1:23" s="98" customFormat="1" ht="13.5" customHeight="1">
      <c r="A46" s="5"/>
      <c r="B46" s="74">
        <f t="shared" si="44"/>
        <v>15</v>
      </c>
      <c r="C46" s="458" t="str">
        <f t="shared" ref="C46:E46" si="47">C45</f>
        <v>기술자문료_s</v>
      </c>
      <c r="D46" s="101" t="str">
        <f t="shared" si="47"/>
        <v>코지건설㈜</v>
      </c>
      <c r="E46" s="101" t="str">
        <f t="shared" si="47"/>
        <v>호매실경남아너스빌(1세대)</v>
      </c>
      <c r="F46" s="470"/>
      <c r="G46" s="77">
        <f>F44-S46</f>
        <v>3185000</v>
      </c>
      <c r="H46" s="92" t="s">
        <v>537</v>
      </c>
      <c r="I46" s="251">
        <f>I45</f>
        <v>46128</v>
      </c>
      <c r="J46" s="462">
        <f>J45</f>
        <v>46082</v>
      </c>
      <c r="K46" s="252">
        <v>46164</v>
      </c>
      <c r="L46" s="91">
        <f>IF(K46&lt;&gt;"", K46+30, "")</f>
        <v>46194</v>
      </c>
      <c r="M46" s="250"/>
      <c r="N46" s="371"/>
      <c r="O46" s="80">
        <f t="shared" si="45"/>
        <v>3503500.0000000005</v>
      </c>
      <c r="P46" s="463">
        <v>46112</v>
      </c>
      <c r="Q46" s="417" t="str">
        <f t="shared" ca="1" si="2"/>
        <v/>
      </c>
      <c r="S46" s="468">
        <v>25000</v>
      </c>
      <c r="T46" s="467"/>
      <c r="V46" s="468"/>
      <c r="W46" s="468"/>
    </row>
    <row r="47" spans="1:23" s="452" customFormat="1" ht="13.5" customHeight="1">
      <c r="A47" s="447"/>
      <c r="B47" s="448">
        <f t="shared" ref="B47:B49" si="48">IF(H46="잔금", B46+1, B46)</f>
        <v>16</v>
      </c>
      <c r="C47" s="449" t="s">
        <v>1752</v>
      </c>
      <c r="D47" s="449" t="s">
        <v>1921</v>
      </c>
      <c r="E47" s="449" t="s">
        <v>1927</v>
      </c>
      <c r="F47" s="77">
        <v>2383000</v>
      </c>
      <c r="G47" s="77"/>
      <c r="H47" s="80" t="s">
        <v>535</v>
      </c>
      <c r="I47" s="418">
        <v>46128</v>
      </c>
      <c r="J47" s="475">
        <v>46100</v>
      </c>
      <c r="K47" s="250"/>
      <c r="L47" s="79"/>
      <c r="M47" s="250"/>
      <c r="N47" s="353"/>
      <c r="O47" s="80">
        <f t="shared" ref="O47:O49" si="49">IF(K47="", 0, (G47*1.1)-N47)</f>
        <v>0</v>
      </c>
      <c r="P47" s="462">
        <f>P49</f>
        <v>46122</v>
      </c>
      <c r="Q47" s="417" t="str">
        <f t="shared" ca="1" si="2"/>
        <v/>
      </c>
      <c r="S47" s="467"/>
      <c r="T47" s="467"/>
      <c r="V47" s="468"/>
      <c r="W47" s="468"/>
    </row>
    <row r="48" spans="1:23" s="98" customFormat="1" ht="13.5" customHeight="1">
      <c r="A48" s="5"/>
      <c r="B48" s="74">
        <f t="shared" si="48"/>
        <v>16</v>
      </c>
      <c r="C48" s="458" t="str">
        <f t="shared" ref="C48:E48" si="50">C47</f>
        <v>기술자문료_s</v>
      </c>
      <c r="D48" s="101" t="str">
        <f t="shared" si="50"/>
        <v>코지건설㈜</v>
      </c>
      <c r="E48" s="101" t="str">
        <f t="shared" si="50"/>
        <v>매탄그린빌3단지아파트</v>
      </c>
      <c r="F48" s="470"/>
      <c r="G48" s="77"/>
      <c r="H48" s="92" t="s">
        <v>536</v>
      </c>
      <c r="I48" s="251">
        <f>I47</f>
        <v>46128</v>
      </c>
      <c r="J48" s="462">
        <f>J47</f>
        <v>46100</v>
      </c>
      <c r="K48" s="252"/>
      <c r="L48" s="91"/>
      <c r="M48" s="250"/>
      <c r="N48" s="371"/>
      <c r="O48" s="80">
        <f t="shared" si="49"/>
        <v>0</v>
      </c>
      <c r="P48" s="462">
        <f>P49</f>
        <v>46122</v>
      </c>
      <c r="Q48" s="417" t="str">
        <f t="shared" ca="1" si="2"/>
        <v/>
      </c>
      <c r="S48" s="468"/>
      <c r="T48" s="467"/>
      <c r="V48" s="468"/>
      <c r="W48" s="468"/>
    </row>
    <row r="49" spans="1:23" s="98" customFormat="1" ht="13.5" customHeight="1">
      <c r="A49" s="5"/>
      <c r="B49" s="74">
        <f t="shared" si="48"/>
        <v>16</v>
      </c>
      <c r="C49" s="458" t="str">
        <f t="shared" ref="C49:E49" si="51">C48</f>
        <v>기술자문료_s</v>
      </c>
      <c r="D49" s="101" t="str">
        <f t="shared" si="51"/>
        <v>코지건설㈜</v>
      </c>
      <c r="E49" s="101" t="str">
        <f t="shared" si="51"/>
        <v>매탄그린빌3단지아파트</v>
      </c>
      <c r="F49" s="470"/>
      <c r="G49" s="77">
        <f>F47-S49</f>
        <v>438500</v>
      </c>
      <c r="H49" s="92" t="s">
        <v>537</v>
      </c>
      <c r="I49" s="251">
        <f>I48</f>
        <v>46128</v>
      </c>
      <c r="J49" s="462">
        <f>J48</f>
        <v>46100</v>
      </c>
      <c r="K49" s="252">
        <v>46164</v>
      </c>
      <c r="L49" s="91">
        <f>IF(K49&lt;&gt;"", K49+30, "")</f>
        <v>46194</v>
      </c>
      <c r="M49" s="250"/>
      <c r="N49" s="371"/>
      <c r="O49" s="80">
        <f t="shared" si="49"/>
        <v>482350.00000000006</v>
      </c>
      <c r="P49" s="463">
        <v>46122</v>
      </c>
      <c r="Q49" s="417" t="str">
        <f t="shared" ca="1" si="2"/>
        <v/>
      </c>
      <c r="S49" s="468">
        <f>530000+1414500</f>
        <v>1944500</v>
      </c>
      <c r="T49" s="467"/>
      <c r="V49" s="468"/>
      <c r="W49" s="468"/>
    </row>
    <row r="50" spans="1:23" s="452" customFormat="1" ht="13.5" customHeight="1">
      <c r="A50" s="447"/>
      <c r="B50" s="448">
        <f t="shared" ref="B50:B52" si="52">IF(H49="잔금", B49+1, B49)</f>
        <v>17</v>
      </c>
      <c r="C50" s="449" t="s">
        <v>1752</v>
      </c>
      <c r="D50" s="449" t="s">
        <v>1921</v>
      </c>
      <c r="E50" s="449" t="s">
        <v>1928</v>
      </c>
      <c r="F50" s="77">
        <v>324400000</v>
      </c>
      <c r="G50" s="77"/>
      <c r="H50" s="80" t="s">
        <v>535</v>
      </c>
      <c r="I50" s="418">
        <v>46128</v>
      </c>
      <c r="J50" s="475">
        <v>46063</v>
      </c>
      <c r="K50" s="250"/>
      <c r="L50" s="79"/>
      <c r="M50" s="250"/>
      <c r="N50" s="353"/>
      <c r="O50" s="80">
        <f t="shared" ref="O50:O52" si="53">IF(K50="", 0, (G50*1.1)-N50)</f>
        <v>0</v>
      </c>
      <c r="P50" s="462" t="str">
        <f>P52</f>
        <v>(예)2026-08-08</v>
      </c>
      <c r="Q50" s="417" t="str">
        <f t="shared" ca="1" si="2"/>
        <v/>
      </c>
      <c r="S50" s="467"/>
      <c r="T50" s="467"/>
      <c r="V50" s="468"/>
      <c r="W50" s="468"/>
    </row>
    <row r="51" spans="1:23" s="98" customFormat="1" ht="13.5" customHeight="1">
      <c r="A51" s="5"/>
      <c r="B51" s="74">
        <f t="shared" si="52"/>
        <v>17</v>
      </c>
      <c r="C51" s="458" t="str">
        <f t="shared" ref="C51:E51" si="54">C50</f>
        <v>기술자문료_s</v>
      </c>
      <c r="D51" s="101" t="str">
        <f t="shared" si="54"/>
        <v>코지건설㈜</v>
      </c>
      <c r="E51" s="101" t="str">
        <f t="shared" si="54"/>
        <v>서남병원</v>
      </c>
      <c r="F51" s="470"/>
      <c r="G51" s="77"/>
      <c r="H51" s="92" t="s">
        <v>536</v>
      </c>
      <c r="I51" s="251">
        <f>I50</f>
        <v>46128</v>
      </c>
      <c r="J51" s="475">
        <v>46063</v>
      </c>
      <c r="K51" s="252"/>
      <c r="L51" s="91"/>
      <c r="M51" s="250"/>
      <c r="N51" s="371"/>
      <c r="O51" s="80">
        <f t="shared" si="53"/>
        <v>0</v>
      </c>
      <c r="P51" s="462" t="str">
        <f>P52</f>
        <v>(예)2026-08-08</v>
      </c>
      <c r="Q51" s="417" t="str">
        <f t="shared" ca="1" si="2"/>
        <v/>
      </c>
      <c r="S51" s="468"/>
      <c r="T51" s="467"/>
      <c r="V51" s="468"/>
      <c r="W51" s="468"/>
    </row>
    <row r="52" spans="1:23" s="98" customFormat="1" ht="13.5" customHeight="1">
      <c r="A52" s="5"/>
      <c r="B52" s="74">
        <f t="shared" si="52"/>
        <v>17</v>
      </c>
      <c r="C52" s="458" t="str">
        <f t="shared" ref="C52:E52" si="55">C51</f>
        <v>기술자문료_s</v>
      </c>
      <c r="D52" s="101" t="str">
        <f t="shared" si="55"/>
        <v>코지건설㈜</v>
      </c>
      <c r="E52" s="101" t="str">
        <f t="shared" si="55"/>
        <v>서남병원</v>
      </c>
      <c r="F52" s="470"/>
      <c r="G52" s="77">
        <f>F50-S52</f>
        <v>324400000</v>
      </c>
      <c r="H52" s="92" t="s">
        <v>537</v>
      </c>
      <c r="I52" s="251">
        <f>I51</f>
        <v>46128</v>
      </c>
      <c r="J52" s="462">
        <f>J51</f>
        <v>46063</v>
      </c>
      <c r="K52" s="252"/>
      <c r="L52" s="91"/>
      <c r="M52" s="250"/>
      <c r="N52" s="371"/>
      <c r="O52" s="80">
        <f t="shared" si="53"/>
        <v>0</v>
      </c>
      <c r="P52" s="463" t="s">
        <v>1946</v>
      </c>
      <c r="Q52" s="417" t="str">
        <f t="shared" ca="1" si="2"/>
        <v/>
      </c>
      <c r="S52" s="468"/>
      <c r="T52" s="467"/>
      <c r="V52" s="468"/>
      <c r="W52" s="468"/>
    </row>
    <row r="53" spans="1:23" s="452" customFormat="1" ht="13.5" customHeight="1">
      <c r="A53" s="447"/>
      <c r="B53" s="448">
        <f t="shared" ref="B53:B55" si="56">IF(H52="잔금", B52+1, B52)</f>
        <v>18</v>
      </c>
      <c r="C53" s="449" t="s">
        <v>1752</v>
      </c>
      <c r="D53" s="449" t="s">
        <v>1921</v>
      </c>
      <c r="E53" s="449" t="s">
        <v>1929</v>
      </c>
      <c r="F53" s="77">
        <v>100700000</v>
      </c>
      <c r="G53" s="77"/>
      <c r="H53" s="80" t="s">
        <v>535</v>
      </c>
      <c r="I53" s="418">
        <v>46128</v>
      </c>
      <c r="J53" s="475">
        <v>46148</v>
      </c>
      <c r="K53" s="250"/>
      <c r="L53" s="79"/>
      <c r="M53" s="250"/>
      <c r="N53" s="353"/>
      <c r="O53" s="80">
        <f t="shared" ref="O53:O55" si="57">IF(K53="", 0, (G53*1.1)-N53)</f>
        <v>0</v>
      </c>
      <c r="P53" s="462" t="str">
        <f>P55</f>
        <v>(예)2026-08-14</v>
      </c>
      <c r="Q53" s="417" t="str">
        <f t="shared" ca="1" si="2"/>
        <v/>
      </c>
      <c r="S53" s="467"/>
      <c r="T53" s="467"/>
      <c r="V53" s="468"/>
      <c r="W53" s="468"/>
    </row>
    <row r="54" spans="1:23" s="98" customFormat="1" ht="13.5" customHeight="1">
      <c r="A54" s="5"/>
      <c r="B54" s="74">
        <f t="shared" si="56"/>
        <v>18</v>
      </c>
      <c r="C54" s="458" t="str">
        <f t="shared" ref="C54:E54" si="58">C53</f>
        <v>기술자문료_s</v>
      </c>
      <c r="D54" s="101" t="str">
        <f t="shared" si="58"/>
        <v>코지건설㈜</v>
      </c>
      <c r="E54" s="101" t="str">
        <f t="shared" si="58"/>
        <v>신한1차아파트</v>
      </c>
      <c r="F54" s="470"/>
      <c r="G54" s="77"/>
      <c r="H54" s="92" t="s">
        <v>536</v>
      </c>
      <c r="I54" s="251">
        <f>I53</f>
        <v>46128</v>
      </c>
      <c r="J54" s="462">
        <f>J53</f>
        <v>46148</v>
      </c>
      <c r="K54" s="252"/>
      <c r="L54" s="91"/>
      <c r="M54" s="250"/>
      <c r="N54" s="371"/>
      <c r="O54" s="80">
        <f t="shared" si="57"/>
        <v>0</v>
      </c>
      <c r="P54" s="462" t="str">
        <f>P55</f>
        <v>(예)2026-08-14</v>
      </c>
      <c r="Q54" s="417" t="str">
        <f t="shared" ca="1" si="2"/>
        <v/>
      </c>
      <c r="S54" s="468"/>
      <c r="T54" s="467"/>
      <c r="V54" s="468"/>
      <c r="W54" s="468"/>
    </row>
    <row r="55" spans="1:23" s="98" customFormat="1" ht="13.5" customHeight="1">
      <c r="A55" s="5"/>
      <c r="B55" s="74">
        <f t="shared" si="56"/>
        <v>18</v>
      </c>
      <c r="C55" s="458" t="str">
        <f t="shared" ref="C55:E55" si="59">C54</f>
        <v>기술자문료_s</v>
      </c>
      <c r="D55" s="101" t="str">
        <f t="shared" si="59"/>
        <v>코지건설㈜</v>
      </c>
      <c r="E55" s="101" t="str">
        <f t="shared" si="59"/>
        <v>신한1차아파트</v>
      </c>
      <c r="F55" s="470"/>
      <c r="G55" s="77">
        <f>F53-S55</f>
        <v>100700000</v>
      </c>
      <c r="H55" s="92" t="s">
        <v>537</v>
      </c>
      <c r="I55" s="251">
        <f>I54</f>
        <v>46128</v>
      </c>
      <c r="J55" s="462">
        <f>J54</f>
        <v>46148</v>
      </c>
      <c r="K55" s="252"/>
      <c r="L55" s="91"/>
      <c r="M55" s="250"/>
      <c r="N55" s="371"/>
      <c r="O55" s="80">
        <f t="shared" si="57"/>
        <v>0</v>
      </c>
      <c r="P55" s="463" t="s">
        <v>1947</v>
      </c>
      <c r="Q55" s="417" t="str">
        <f t="shared" ca="1" si="2"/>
        <v/>
      </c>
      <c r="S55" s="468"/>
      <c r="T55" s="467"/>
      <c r="V55" s="468"/>
      <c r="W55" s="468"/>
    </row>
    <row r="56" spans="1:23" s="452" customFormat="1" ht="13.5" customHeight="1">
      <c r="A56" s="447"/>
      <c r="B56" s="448">
        <f t="shared" ref="B56:B58" si="60">IF(H55="잔금", B55+1, B55)</f>
        <v>19</v>
      </c>
      <c r="C56" s="449" t="s">
        <v>1752</v>
      </c>
      <c r="D56" s="449" t="s">
        <v>1921</v>
      </c>
      <c r="E56" s="449" t="s">
        <v>1930</v>
      </c>
      <c r="F56" s="77">
        <v>92007800</v>
      </c>
      <c r="G56" s="77"/>
      <c r="H56" s="80" t="s">
        <v>535</v>
      </c>
      <c r="I56" s="418">
        <v>46128</v>
      </c>
      <c r="J56" s="475">
        <v>46127</v>
      </c>
      <c r="K56" s="250"/>
      <c r="L56" s="79"/>
      <c r="M56" s="250"/>
      <c r="N56" s="353"/>
      <c r="O56" s="80">
        <f t="shared" ref="O56:O58" si="61">IF(K56="", 0, (G56*1.1)-N56)</f>
        <v>0</v>
      </c>
      <c r="P56" s="462" t="str">
        <f>P58</f>
        <v>(예)2026-06-15</v>
      </c>
      <c r="Q56" s="417" t="str">
        <f t="shared" ca="1" si="2"/>
        <v/>
      </c>
      <c r="S56" s="467"/>
      <c r="T56" s="467"/>
      <c r="V56" s="468"/>
      <c r="W56" s="468"/>
    </row>
    <row r="57" spans="1:23" s="98" customFormat="1" ht="13.5" customHeight="1">
      <c r="A57" s="5"/>
      <c r="B57" s="74">
        <f t="shared" si="60"/>
        <v>19</v>
      </c>
      <c r="C57" s="458" t="str">
        <f t="shared" ref="C57:E57" si="62">C56</f>
        <v>기술자문료_s</v>
      </c>
      <c r="D57" s="101" t="str">
        <f t="shared" si="62"/>
        <v>코지건설㈜</v>
      </c>
      <c r="E57" s="101" t="str">
        <f t="shared" si="62"/>
        <v>대천흥화아파트(보령흥화아파트)</v>
      </c>
      <c r="F57" s="470"/>
      <c r="G57" s="77"/>
      <c r="H57" s="92" t="s">
        <v>536</v>
      </c>
      <c r="I57" s="251">
        <f>I56</f>
        <v>46128</v>
      </c>
      <c r="J57" s="462">
        <f>J56</f>
        <v>46127</v>
      </c>
      <c r="K57" s="252"/>
      <c r="L57" s="91"/>
      <c r="M57" s="250"/>
      <c r="N57" s="371"/>
      <c r="O57" s="80">
        <f t="shared" si="61"/>
        <v>0</v>
      </c>
      <c r="P57" s="462" t="str">
        <f>P58</f>
        <v>(예)2026-06-15</v>
      </c>
      <c r="Q57" s="417" t="str">
        <f t="shared" ca="1" si="2"/>
        <v/>
      </c>
      <c r="S57" s="468"/>
      <c r="T57" s="467"/>
      <c r="V57" s="468"/>
      <c r="W57" s="468"/>
    </row>
    <row r="58" spans="1:23" s="98" customFormat="1" ht="13.5" customHeight="1">
      <c r="A58" s="5"/>
      <c r="B58" s="74">
        <f t="shared" si="60"/>
        <v>19</v>
      </c>
      <c r="C58" s="458" t="str">
        <f t="shared" ref="C58:E58" si="63">C57</f>
        <v>기술자문료_s</v>
      </c>
      <c r="D58" s="101" t="str">
        <f t="shared" si="63"/>
        <v>코지건설㈜</v>
      </c>
      <c r="E58" s="101" t="str">
        <f t="shared" si="63"/>
        <v>대천흥화아파트(보령흥화아파트)</v>
      </c>
      <c r="F58" s="470"/>
      <c r="G58" s="77">
        <f>F56-S58</f>
        <v>92007800</v>
      </c>
      <c r="H58" s="92" t="s">
        <v>537</v>
      </c>
      <c r="I58" s="251">
        <f>I57</f>
        <v>46128</v>
      </c>
      <c r="J58" s="462">
        <f>J57</f>
        <v>46127</v>
      </c>
      <c r="K58" s="252"/>
      <c r="L58" s="91"/>
      <c r="M58" s="250"/>
      <c r="N58" s="371"/>
      <c r="O58" s="80">
        <f t="shared" si="61"/>
        <v>0</v>
      </c>
      <c r="P58" s="463" t="s">
        <v>1948</v>
      </c>
      <c r="Q58" s="417" t="str">
        <f t="shared" ca="1" si="2"/>
        <v/>
      </c>
      <c r="S58" s="468"/>
      <c r="T58" s="467"/>
      <c r="V58" s="468"/>
      <c r="W58" s="468"/>
    </row>
    <row r="59" spans="1:23" s="452" customFormat="1" ht="13.5" customHeight="1">
      <c r="A59" s="447"/>
      <c r="B59" s="448">
        <f t="shared" ref="B59:B61" si="64">IF(H58="잔금", B58+1, B58)</f>
        <v>20</v>
      </c>
      <c r="C59" s="449" t="s">
        <v>1752</v>
      </c>
      <c r="D59" s="449" t="s">
        <v>1921</v>
      </c>
      <c r="E59" s="449" t="s">
        <v>1931</v>
      </c>
      <c r="F59" s="77">
        <v>285900000</v>
      </c>
      <c r="G59" s="77"/>
      <c r="H59" s="80" t="s">
        <v>535</v>
      </c>
      <c r="I59" s="418">
        <v>46135</v>
      </c>
      <c r="J59" s="475">
        <v>46113</v>
      </c>
      <c r="K59" s="250"/>
      <c r="L59" s="79"/>
      <c r="M59" s="250"/>
      <c r="N59" s="353"/>
      <c r="O59" s="80">
        <f t="shared" ref="O59:O61" si="65">IF(K59="", 0, (G59*1.1)-N59)</f>
        <v>0</v>
      </c>
      <c r="P59" s="462" t="str">
        <f>P61</f>
        <v>(예)2026-06-30</v>
      </c>
      <c r="Q59" s="417" t="str">
        <f t="shared" ca="1" si="2"/>
        <v/>
      </c>
      <c r="S59" s="467"/>
      <c r="T59" s="467"/>
      <c r="V59" s="468"/>
      <c r="W59" s="468"/>
    </row>
    <row r="60" spans="1:23" s="98" customFormat="1" ht="13.5" customHeight="1">
      <c r="A60" s="5"/>
      <c r="B60" s="74">
        <f t="shared" si="64"/>
        <v>20</v>
      </c>
      <c r="C60" s="458" t="str">
        <f t="shared" ref="C60:E60" si="66">C59</f>
        <v>기술자문료_s</v>
      </c>
      <c r="D60" s="101" t="str">
        <f t="shared" si="66"/>
        <v>코지건설㈜</v>
      </c>
      <c r="E60" s="101" t="str">
        <f t="shared" si="66"/>
        <v>산들마을2단지서광청구아파트</v>
      </c>
      <c r="F60" s="470"/>
      <c r="G60" s="77"/>
      <c r="H60" s="92" t="s">
        <v>536</v>
      </c>
      <c r="I60" s="251">
        <f>I59</f>
        <v>46135</v>
      </c>
      <c r="J60" s="462">
        <f>J59</f>
        <v>46113</v>
      </c>
      <c r="K60" s="252"/>
      <c r="L60" s="91"/>
      <c r="M60" s="250"/>
      <c r="N60" s="371"/>
      <c r="O60" s="80">
        <f t="shared" si="65"/>
        <v>0</v>
      </c>
      <c r="P60" s="462" t="str">
        <f>P61</f>
        <v>(예)2026-06-30</v>
      </c>
      <c r="Q60" s="417" t="str">
        <f t="shared" ca="1" si="2"/>
        <v/>
      </c>
      <c r="S60" s="468"/>
      <c r="T60" s="467"/>
      <c r="V60" s="468"/>
      <c r="W60" s="468"/>
    </row>
    <row r="61" spans="1:23" s="98" customFormat="1" ht="13.5" customHeight="1">
      <c r="A61" s="5"/>
      <c r="B61" s="74">
        <f t="shared" si="64"/>
        <v>20</v>
      </c>
      <c r="C61" s="458" t="str">
        <f t="shared" ref="C61:E61" si="67">C60</f>
        <v>기술자문료_s</v>
      </c>
      <c r="D61" s="101" t="str">
        <f t="shared" si="67"/>
        <v>코지건설㈜</v>
      </c>
      <c r="E61" s="101" t="str">
        <f t="shared" si="67"/>
        <v>산들마을2단지서광청구아파트</v>
      </c>
      <c r="F61" s="470"/>
      <c r="G61" s="77">
        <f>F59-S61</f>
        <v>285900000</v>
      </c>
      <c r="H61" s="92" t="s">
        <v>537</v>
      </c>
      <c r="I61" s="251">
        <f>I60</f>
        <v>46135</v>
      </c>
      <c r="J61" s="462">
        <f>J60</f>
        <v>46113</v>
      </c>
      <c r="K61" s="252"/>
      <c r="L61" s="91"/>
      <c r="M61" s="250"/>
      <c r="N61" s="371"/>
      <c r="O61" s="80">
        <f t="shared" si="65"/>
        <v>0</v>
      </c>
      <c r="P61" s="463" t="s">
        <v>1944</v>
      </c>
      <c r="Q61" s="417" t="str">
        <f t="shared" ca="1" si="2"/>
        <v/>
      </c>
      <c r="S61" s="468"/>
      <c r="T61" s="467"/>
      <c r="V61" s="468"/>
      <c r="W61" s="468"/>
    </row>
    <row r="62" spans="1:23" s="452" customFormat="1" ht="13.5" customHeight="1">
      <c r="A62" s="447"/>
      <c r="B62" s="448">
        <f t="shared" ref="B62:B64" si="68">IF(H61="잔금", B61+1, B61)</f>
        <v>21</v>
      </c>
      <c r="C62" s="449" t="s">
        <v>1752</v>
      </c>
      <c r="D62" s="449" t="s">
        <v>1921</v>
      </c>
      <c r="E62" s="449" t="s">
        <v>1932</v>
      </c>
      <c r="F62" s="77">
        <v>16818181</v>
      </c>
      <c r="G62" s="77"/>
      <c r="H62" s="80" t="s">
        <v>535</v>
      </c>
      <c r="I62" s="418">
        <v>46127</v>
      </c>
      <c r="J62" s="475">
        <v>46098</v>
      </c>
      <c r="K62" s="250"/>
      <c r="L62" s="79"/>
      <c r="M62" s="250"/>
      <c r="N62" s="353"/>
      <c r="O62" s="80">
        <f t="shared" ref="O62:O64" si="69">IF(K62="", 0, (G62*1.1)-N62)</f>
        <v>0</v>
      </c>
      <c r="P62" s="462">
        <f>P64</f>
        <v>46122</v>
      </c>
      <c r="Q62" s="417" t="str">
        <f t="shared" ca="1" si="2"/>
        <v/>
      </c>
      <c r="S62" s="467"/>
      <c r="T62" s="467"/>
      <c r="V62" s="468"/>
      <c r="W62" s="468"/>
    </row>
    <row r="63" spans="1:23" s="98" customFormat="1" ht="13.5" customHeight="1">
      <c r="A63" s="5"/>
      <c r="B63" s="74">
        <f t="shared" si="68"/>
        <v>21</v>
      </c>
      <c r="C63" s="458" t="str">
        <f t="shared" ref="C63:E63" si="70">C62</f>
        <v>기술자문료_s</v>
      </c>
      <c r="D63" s="101" t="str">
        <f t="shared" si="70"/>
        <v>코지건설㈜</v>
      </c>
      <c r="E63" s="101" t="str">
        <f t="shared" si="70"/>
        <v>민들레베스파트아파트</v>
      </c>
      <c r="F63" s="470"/>
      <c r="G63" s="77"/>
      <c r="H63" s="92" t="s">
        <v>536</v>
      </c>
      <c r="I63" s="251">
        <f>I62</f>
        <v>46127</v>
      </c>
      <c r="J63" s="462">
        <f>J62</f>
        <v>46098</v>
      </c>
      <c r="K63" s="252"/>
      <c r="L63" s="91"/>
      <c r="M63" s="250"/>
      <c r="N63" s="371"/>
      <c r="O63" s="80">
        <f t="shared" si="69"/>
        <v>0</v>
      </c>
      <c r="P63" s="462">
        <f>P64</f>
        <v>46122</v>
      </c>
      <c r="Q63" s="417" t="str">
        <f t="shared" ca="1" si="2"/>
        <v/>
      </c>
      <c r="S63" s="468"/>
      <c r="T63" s="467"/>
      <c r="V63" s="468"/>
      <c r="W63" s="468"/>
    </row>
    <row r="64" spans="1:23" s="98" customFormat="1" ht="13.5" customHeight="1">
      <c r="A64" s="5"/>
      <c r="B64" s="74">
        <f t="shared" si="68"/>
        <v>21</v>
      </c>
      <c r="C64" s="458" t="str">
        <f t="shared" ref="C64:E64" si="71">C63</f>
        <v>기술자문료_s</v>
      </c>
      <c r="D64" s="101" t="str">
        <f t="shared" si="71"/>
        <v>코지건설㈜</v>
      </c>
      <c r="E64" s="101" t="str">
        <f t="shared" si="71"/>
        <v>민들레베스파트아파트</v>
      </c>
      <c r="F64" s="470"/>
      <c r="G64" s="77">
        <f>F62</f>
        <v>16818181</v>
      </c>
      <c r="H64" s="92" t="s">
        <v>537</v>
      </c>
      <c r="I64" s="251">
        <f>I63</f>
        <v>46127</v>
      </c>
      <c r="J64" s="462">
        <f>J63</f>
        <v>46098</v>
      </c>
      <c r="K64" s="252"/>
      <c r="L64" s="91"/>
      <c r="M64" s="250"/>
      <c r="N64" s="371"/>
      <c r="O64" s="80">
        <f t="shared" si="69"/>
        <v>0</v>
      </c>
      <c r="P64" s="463">
        <v>46122</v>
      </c>
      <c r="Q64" s="417" t="str">
        <f t="shared" ca="1" si="2"/>
        <v/>
      </c>
      <c r="S64" s="468"/>
      <c r="T64" s="467"/>
      <c r="V64" s="468"/>
      <c r="W64" s="468"/>
    </row>
    <row r="65" spans="1:23" s="452" customFormat="1" ht="13.5" customHeight="1">
      <c r="A65" s="447"/>
      <c r="B65" s="448">
        <f t="shared" ref="B65:B67" si="72">IF(H64="잔금", B64+1, B64)</f>
        <v>22</v>
      </c>
      <c r="C65" s="449" t="s">
        <v>1752</v>
      </c>
      <c r="D65" s="449" t="s">
        <v>1921</v>
      </c>
      <c r="E65" s="449" t="s">
        <v>1933</v>
      </c>
      <c r="F65" s="77">
        <v>123700000</v>
      </c>
      <c r="G65" s="77"/>
      <c r="H65" s="80" t="s">
        <v>535</v>
      </c>
      <c r="I65" s="418">
        <v>46127</v>
      </c>
      <c r="J65" s="475">
        <v>46055</v>
      </c>
      <c r="K65" s="250"/>
      <c r="L65" s="79"/>
      <c r="M65" s="250"/>
      <c r="N65" s="353"/>
      <c r="O65" s="80">
        <f t="shared" ref="O65:O67" si="73">IF(K65="", 0, (G65*1.1)-N65)</f>
        <v>0</v>
      </c>
      <c r="P65" s="462">
        <f>P67</f>
        <v>46112</v>
      </c>
      <c r="Q65" s="417" t="str">
        <f t="shared" ca="1" si="2"/>
        <v/>
      </c>
      <c r="S65" s="467"/>
      <c r="T65" s="467"/>
      <c r="V65" s="468"/>
      <c r="W65" s="468"/>
    </row>
    <row r="66" spans="1:23" s="98" customFormat="1" ht="13.5" customHeight="1">
      <c r="A66" s="5"/>
      <c r="B66" s="74">
        <f t="shared" si="72"/>
        <v>22</v>
      </c>
      <c r="C66" s="458" t="str">
        <f t="shared" ref="C66:E66" si="74">C65</f>
        <v>기술자문료_s</v>
      </c>
      <c r="D66" s="101" t="str">
        <f t="shared" si="74"/>
        <v>코지건설㈜</v>
      </c>
      <c r="E66" s="101" t="str">
        <f t="shared" si="74"/>
        <v>나눔빌딩</v>
      </c>
      <c r="F66" s="470"/>
      <c r="G66" s="77"/>
      <c r="H66" s="92" t="s">
        <v>536</v>
      </c>
      <c r="I66" s="251">
        <f>I65</f>
        <v>46127</v>
      </c>
      <c r="J66" s="462">
        <f>J65</f>
        <v>46055</v>
      </c>
      <c r="K66" s="252"/>
      <c r="L66" s="91"/>
      <c r="M66" s="250"/>
      <c r="N66" s="371"/>
      <c r="O66" s="80">
        <f t="shared" si="73"/>
        <v>0</v>
      </c>
      <c r="P66" s="462">
        <f>P67</f>
        <v>46112</v>
      </c>
      <c r="Q66" s="417" t="str">
        <f t="shared" ca="1" si="2"/>
        <v/>
      </c>
      <c r="S66" s="468"/>
      <c r="T66" s="467"/>
      <c r="V66" s="468"/>
      <c r="W66" s="468"/>
    </row>
    <row r="67" spans="1:23" s="98" customFormat="1" ht="13.5" customHeight="1">
      <c r="A67" s="5"/>
      <c r="B67" s="74">
        <f t="shared" si="72"/>
        <v>22</v>
      </c>
      <c r="C67" s="458" t="str">
        <f t="shared" ref="C67:E67" si="75">C66</f>
        <v>기술자문료_s</v>
      </c>
      <c r="D67" s="101" t="str">
        <f t="shared" si="75"/>
        <v>코지건설㈜</v>
      </c>
      <c r="E67" s="101" t="str">
        <f t="shared" si="75"/>
        <v>나눔빌딩</v>
      </c>
      <c r="F67" s="470"/>
      <c r="G67" s="77">
        <f>F65</f>
        <v>123700000</v>
      </c>
      <c r="H67" s="92" t="s">
        <v>537</v>
      </c>
      <c r="I67" s="251">
        <f>I66</f>
        <v>46127</v>
      </c>
      <c r="J67" s="462">
        <f>J66</f>
        <v>46055</v>
      </c>
      <c r="K67" s="252"/>
      <c r="L67" s="91"/>
      <c r="M67" s="250"/>
      <c r="N67" s="371"/>
      <c r="O67" s="80">
        <f t="shared" si="73"/>
        <v>0</v>
      </c>
      <c r="P67" s="463">
        <v>46112</v>
      </c>
      <c r="Q67" s="417" t="str">
        <f t="shared" ref="Q67:Q75" ca="1" si="76">IF(OR(K67="",O67=0),"",IF(TODAY()-K67&gt;=91,"장기미수",IF(TODAY()-K67&gt;=31,"관리","")))</f>
        <v/>
      </c>
      <c r="S67" s="468"/>
      <c r="T67" s="467"/>
      <c r="V67" s="468"/>
      <c r="W67" s="468"/>
    </row>
    <row r="68" spans="1:23" s="452" customFormat="1" ht="13.5" customHeight="1">
      <c r="A68" s="447"/>
      <c r="B68" s="448">
        <f t="shared" ref="B68:B70" si="77">IF(H67="잔금", B67+1, B67)</f>
        <v>23</v>
      </c>
      <c r="C68" s="449" t="s">
        <v>1752</v>
      </c>
      <c r="D68" s="449" t="s">
        <v>1921</v>
      </c>
      <c r="E68" s="449" t="s">
        <v>1934</v>
      </c>
      <c r="F68" s="77">
        <v>12500000</v>
      </c>
      <c r="G68" s="77"/>
      <c r="H68" s="80" t="s">
        <v>535</v>
      </c>
      <c r="I68" s="418">
        <v>46127</v>
      </c>
      <c r="J68" s="475">
        <v>46091</v>
      </c>
      <c r="K68" s="250"/>
      <c r="L68" s="79"/>
      <c r="M68" s="250"/>
      <c r="N68" s="353"/>
      <c r="O68" s="80">
        <f t="shared" ref="O68:O70" si="78">IF(K68="", 0, (G68*1.1)-N68)</f>
        <v>0</v>
      </c>
      <c r="P68" s="462">
        <f>P70</f>
        <v>46111</v>
      </c>
      <c r="Q68" s="417" t="str">
        <f t="shared" ca="1" si="76"/>
        <v/>
      </c>
      <c r="S68" s="467"/>
      <c r="T68" s="467"/>
      <c r="V68" s="468"/>
      <c r="W68" s="468"/>
    </row>
    <row r="69" spans="1:23" s="98" customFormat="1" ht="13.5" customHeight="1">
      <c r="A69" s="5"/>
      <c r="B69" s="74">
        <f t="shared" si="77"/>
        <v>23</v>
      </c>
      <c r="C69" s="458" t="str">
        <f t="shared" ref="C69:E69" si="79">C68</f>
        <v>기술자문료_s</v>
      </c>
      <c r="D69" s="101" t="str">
        <f t="shared" si="79"/>
        <v>코지건설㈜</v>
      </c>
      <c r="E69" s="101" t="str">
        <f t="shared" si="79"/>
        <v>보령광명샤인빌아파트</v>
      </c>
      <c r="F69" s="470"/>
      <c r="G69" s="77"/>
      <c r="H69" s="92" t="s">
        <v>536</v>
      </c>
      <c r="I69" s="251">
        <f>I68</f>
        <v>46127</v>
      </c>
      <c r="J69" s="462">
        <f>J68</f>
        <v>46091</v>
      </c>
      <c r="K69" s="252"/>
      <c r="L69" s="91"/>
      <c r="M69" s="250"/>
      <c r="N69" s="371"/>
      <c r="O69" s="80">
        <f t="shared" si="78"/>
        <v>0</v>
      </c>
      <c r="P69" s="462">
        <f>P70</f>
        <v>46111</v>
      </c>
      <c r="Q69" s="417" t="str">
        <f t="shared" ca="1" si="76"/>
        <v/>
      </c>
      <c r="S69" s="468"/>
      <c r="T69" s="467"/>
      <c r="V69" s="468"/>
      <c r="W69" s="468"/>
    </row>
    <row r="70" spans="1:23" s="98" customFormat="1" ht="13.5" customHeight="1">
      <c r="A70" s="5"/>
      <c r="B70" s="74">
        <f t="shared" si="77"/>
        <v>23</v>
      </c>
      <c r="C70" s="458" t="str">
        <f t="shared" ref="C70:E70" si="80">C69</f>
        <v>기술자문료_s</v>
      </c>
      <c r="D70" s="101" t="str">
        <f t="shared" si="80"/>
        <v>코지건설㈜</v>
      </c>
      <c r="E70" s="101" t="str">
        <f t="shared" si="80"/>
        <v>보령광명샤인빌아파트</v>
      </c>
      <c r="F70" s="470"/>
      <c r="G70" s="77">
        <f>F68-S70</f>
        <v>12500000</v>
      </c>
      <c r="H70" s="92" t="s">
        <v>537</v>
      </c>
      <c r="I70" s="251">
        <f>I69</f>
        <v>46127</v>
      </c>
      <c r="J70" s="462">
        <f>J69</f>
        <v>46091</v>
      </c>
      <c r="K70" s="252"/>
      <c r="L70" s="91"/>
      <c r="M70" s="250"/>
      <c r="N70" s="371"/>
      <c r="O70" s="80">
        <f t="shared" si="78"/>
        <v>0</v>
      </c>
      <c r="P70" s="463">
        <v>46111</v>
      </c>
      <c r="Q70" s="417" t="str">
        <f t="shared" ca="1" si="76"/>
        <v/>
      </c>
      <c r="S70" s="468"/>
      <c r="T70" s="467"/>
      <c r="V70" s="468"/>
      <c r="W70" s="468"/>
    </row>
    <row r="71" spans="1:23" s="452" customFormat="1" ht="13.5" customHeight="1">
      <c r="A71" s="447"/>
      <c r="B71" s="448">
        <f t="shared" ref="B71:B73" si="81">IF(H70="잔금", B70+1, B70)</f>
        <v>24</v>
      </c>
      <c r="C71" s="449" t="s">
        <v>1752</v>
      </c>
      <c r="D71" s="449" t="s">
        <v>1921</v>
      </c>
      <c r="E71" s="449" t="s">
        <v>1935</v>
      </c>
      <c r="F71" s="77">
        <v>82779450</v>
      </c>
      <c r="G71" s="77"/>
      <c r="H71" s="80" t="s">
        <v>535</v>
      </c>
      <c r="I71" s="418">
        <v>46127</v>
      </c>
      <c r="J71" s="475">
        <v>46113</v>
      </c>
      <c r="K71" s="250"/>
      <c r="L71" s="79"/>
      <c r="M71" s="250"/>
      <c r="N71" s="353"/>
      <c r="O71" s="80">
        <f t="shared" ref="O71:O73" si="82">IF(K71="", 0, (G71*1.1)-N71)</f>
        <v>0</v>
      </c>
      <c r="P71" s="462" t="str">
        <f>P73</f>
        <v>(예)2026-06-30</v>
      </c>
      <c r="Q71" s="417" t="str">
        <f t="shared" ca="1" si="76"/>
        <v/>
      </c>
      <c r="S71" s="467"/>
      <c r="T71" s="467"/>
      <c r="V71" s="468"/>
      <c r="W71" s="468"/>
    </row>
    <row r="72" spans="1:23" s="98" customFormat="1" ht="13.5" customHeight="1">
      <c r="A72" s="5"/>
      <c r="B72" s="74">
        <f t="shared" si="81"/>
        <v>24</v>
      </c>
      <c r="C72" s="458" t="str">
        <f t="shared" ref="C72:E72" si="83">C71</f>
        <v>기술자문료_s</v>
      </c>
      <c r="D72" s="101" t="str">
        <f t="shared" si="83"/>
        <v>코지건설㈜</v>
      </c>
      <c r="E72" s="101" t="str">
        <f t="shared" si="83"/>
        <v>강변들보람아파트</v>
      </c>
      <c r="F72" s="470"/>
      <c r="G72" s="77"/>
      <c r="H72" s="92" t="s">
        <v>536</v>
      </c>
      <c r="I72" s="251">
        <f>I71</f>
        <v>46127</v>
      </c>
      <c r="J72" s="462">
        <f>J71</f>
        <v>46113</v>
      </c>
      <c r="K72" s="252"/>
      <c r="L72" s="91"/>
      <c r="M72" s="250"/>
      <c r="N72" s="371"/>
      <c r="O72" s="80">
        <f t="shared" si="82"/>
        <v>0</v>
      </c>
      <c r="P72" s="462" t="str">
        <f>P73</f>
        <v>(예)2026-06-30</v>
      </c>
      <c r="Q72" s="417" t="str">
        <f t="shared" ca="1" si="76"/>
        <v/>
      </c>
      <c r="S72" s="468"/>
      <c r="T72" s="467"/>
      <c r="V72" s="468"/>
      <c r="W72" s="468"/>
    </row>
    <row r="73" spans="1:23" s="98" customFormat="1" ht="13.5" customHeight="1">
      <c r="A73" s="5"/>
      <c r="B73" s="74">
        <f t="shared" si="81"/>
        <v>24</v>
      </c>
      <c r="C73" s="458" t="str">
        <f t="shared" ref="C73:E73" si="84">C72</f>
        <v>기술자문료_s</v>
      </c>
      <c r="D73" s="101" t="str">
        <f t="shared" si="84"/>
        <v>코지건설㈜</v>
      </c>
      <c r="E73" s="101" t="str">
        <f t="shared" si="84"/>
        <v>강변들보람아파트</v>
      </c>
      <c r="F73" s="470"/>
      <c r="G73" s="77">
        <f>F71-S73</f>
        <v>82779450</v>
      </c>
      <c r="H73" s="92" t="s">
        <v>537</v>
      </c>
      <c r="I73" s="251">
        <f>I72</f>
        <v>46127</v>
      </c>
      <c r="J73" s="462">
        <f>J72</f>
        <v>46113</v>
      </c>
      <c r="K73" s="252"/>
      <c r="L73" s="91"/>
      <c r="M73" s="250"/>
      <c r="N73" s="371"/>
      <c r="O73" s="80">
        <f t="shared" si="82"/>
        <v>0</v>
      </c>
      <c r="P73" s="463" t="s">
        <v>1944</v>
      </c>
      <c r="Q73" s="417" t="str">
        <f t="shared" ca="1" si="76"/>
        <v/>
      </c>
      <c r="S73" s="468"/>
      <c r="T73" s="467"/>
      <c r="V73" s="468"/>
      <c r="W73" s="468"/>
    </row>
    <row r="74" spans="1:23" s="452" customFormat="1" ht="13.5" customHeight="1">
      <c r="A74" s="447"/>
      <c r="B74" s="448">
        <f t="shared" ref="B74:B76" si="85">IF(H73="잔금", B73+1, B73)</f>
        <v>25</v>
      </c>
      <c r="C74" s="449" t="s">
        <v>1752</v>
      </c>
      <c r="D74" s="449" t="s">
        <v>1921</v>
      </c>
      <c r="E74" s="449" t="s">
        <v>1936</v>
      </c>
      <c r="F74" s="77">
        <v>32450000</v>
      </c>
      <c r="G74" s="77"/>
      <c r="H74" s="80" t="s">
        <v>535</v>
      </c>
      <c r="I74" s="418">
        <v>46127</v>
      </c>
      <c r="J74" s="475">
        <v>46107</v>
      </c>
      <c r="K74" s="250"/>
      <c r="L74" s="79"/>
      <c r="M74" s="250"/>
      <c r="N74" s="353"/>
      <c r="O74" s="80">
        <f t="shared" ref="O74:O76" si="86">IF(K74="", 0, (G74*1.1)-N74)</f>
        <v>0</v>
      </c>
      <c r="P74" s="462">
        <f>P76</f>
        <v>46126</v>
      </c>
      <c r="Q74" s="417" t="str">
        <f t="shared" ca="1" si="76"/>
        <v/>
      </c>
      <c r="S74" s="467"/>
      <c r="T74" s="467"/>
      <c r="V74" s="468"/>
      <c r="W74" s="468"/>
    </row>
    <row r="75" spans="1:23" s="98" customFormat="1" ht="13.5" customHeight="1">
      <c r="A75" s="5"/>
      <c r="B75" s="74">
        <f t="shared" si="85"/>
        <v>25</v>
      </c>
      <c r="C75" s="458" t="str">
        <f t="shared" ref="C75:E75" si="87">C74</f>
        <v>기술자문료_s</v>
      </c>
      <c r="D75" s="101" t="str">
        <f t="shared" si="87"/>
        <v>코지건설㈜</v>
      </c>
      <c r="E75" s="101" t="str">
        <f t="shared" si="87"/>
        <v>인성마을현대(신갈현대)</v>
      </c>
      <c r="F75" s="470"/>
      <c r="G75" s="77"/>
      <c r="H75" s="92" t="s">
        <v>536</v>
      </c>
      <c r="I75" s="251">
        <f>I74</f>
        <v>46127</v>
      </c>
      <c r="J75" s="462">
        <f>J74</f>
        <v>46107</v>
      </c>
      <c r="K75" s="252"/>
      <c r="L75" s="91"/>
      <c r="M75" s="250"/>
      <c r="N75" s="371"/>
      <c r="O75" s="80">
        <f t="shared" si="86"/>
        <v>0</v>
      </c>
      <c r="P75" s="462">
        <f>P76</f>
        <v>46126</v>
      </c>
      <c r="Q75" s="417" t="str">
        <f t="shared" ca="1" si="76"/>
        <v/>
      </c>
      <c r="S75" s="468"/>
      <c r="T75" s="467"/>
      <c r="V75" s="468"/>
      <c r="W75" s="468"/>
    </row>
    <row r="76" spans="1:23" s="98" customFormat="1" ht="13.5" customHeight="1">
      <c r="A76" s="5"/>
      <c r="B76" s="74">
        <f t="shared" si="85"/>
        <v>25</v>
      </c>
      <c r="C76" s="458" t="str">
        <f t="shared" ref="C76:E76" si="88">C75</f>
        <v>기술자문료_s</v>
      </c>
      <c r="D76" s="101" t="str">
        <f t="shared" si="88"/>
        <v>코지건설㈜</v>
      </c>
      <c r="E76" s="101" t="str">
        <f t="shared" si="88"/>
        <v>인성마을현대(신갈현대)</v>
      </c>
      <c r="F76" s="470"/>
      <c r="G76" s="77">
        <f>F74-S76</f>
        <v>32450000</v>
      </c>
      <c r="H76" s="92" t="s">
        <v>537</v>
      </c>
      <c r="I76" s="251">
        <f>I75</f>
        <v>46127</v>
      </c>
      <c r="J76" s="462">
        <f>J75</f>
        <v>46107</v>
      </c>
      <c r="K76" s="252"/>
      <c r="L76" s="91"/>
      <c r="M76" s="250"/>
      <c r="N76" s="371"/>
      <c r="O76" s="80">
        <f t="shared" si="86"/>
        <v>0</v>
      </c>
      <c r="P76" s="463">
        <v>46126</v>
      </c>
      <c r="Q76" s="417" t="str">
        <f ca="1">IF(OR(K76="",O76=0),"",IF(TODAY()-K76&gt;=91,"장기미수",IF(TODAY()-K76&gt;=31,"관리","")))</f>
        <v/>
      </c>
      <c r="S76" s="468"/>
      <c r="T76" s="467"/>
      <c r="V76" s="468"/>
      <c r="W76" s="468"/>
    </row>
    <row r="77" spans="1:23" s="452" customFormat="1" ht="13.5" customHeight="1">
      <c r="A77" s="447"/>
      <c r="B77" s="448">
        <f t="shared" ref="B77:B79" si="89">IF(H76="잔금", B76+1, B76)</f>
        <v>26</v>
      </c>
      <c r="C77" s="449" t="s">
        <v>1752</v>
      </c>
      <c r="D77" s="449" t="s">
        <v>1921</v>
      </c>
      <c r="E77" s="449" t="s">
        <v>1937</v>
      </c>
      <c r="F77" s="77">
        <v>57250000</v>
      </c>
      <c r="G77" s="77"/>
      <c r="H77" s="80" t="s">
        <v>535</v>
      </c>
      <c r="I77" s="418">
        <v>46128</v>
      </c>
      <c r="J77" s="475" t="s">
        <v>1938</v>
      </c>
      <c r="K77" s="250"/>
      <c r="L77" s="79"/>
      <c r="M77" s="250"/>
      <c r="N77" s="353"/>
      <c r="O77" s="80">
        <f t="shared" ref="O77:O79" si="90">IF(K77="", 0, (G77*1.1)-N77)</f>
        <v>0</v>
      </c>
      <c r="P77" s="462" t="str">
        <f>P79</f>
        <v>미정</v>
      </c>
      <c r="Q77" s="417" t="str">
        <f t="shared" ref="Q77:Q85" ca="1" si="91">IF(OR(K77="",O77=0),"",IF(TODAY()-K77&gt;=91,"장기미수",IF(TODAY()-K77&gt;=31,"관리","")))</f>
        <v/>
      </c>
      <c r="S77" s="467"/>
      <c r="T77" s="467"/>
      <c r="V77" s="468"/>
      <c r="W77" s="468"/>
    </row>
    <row r="78" spans="1:23" s="98" customFormat="1" ht="13.5" customHeight="1">
      <c r="A78" s="5"/>
      <c r="B78" s="74">
        <f t="shared" si="89"/>
        <v>26</v>
      </c>
      <c r="C78" s="458" t="str">
        <f t="shared" ref="C78:E78" si="92">C77</f>
        <v>기술자문료_s</v>
      </c>
      <c r="D78" s="101" t="str">
        <f t="shared" si="92"/>
        <v>코지건설㈜</v>
      </c>
      <c r="E78" s="101" t="str">
        <f t="shared" si="92"/>
        <v>신갈신미주아파트</v>
      </c>
      <c r="F78" s="470"/>
      <c r="G78" s="77"/>
      <c r="H78" s="92" t="s">
        <v>536</v>
      </c>
      <c r="I78" s="251">
        <f>I77</f>
        <v>46128</v>
      </c>
      <c r="J78" s="462" t="str">
        <f>J77</f>
        <v>미정</v>
      </c>
      <c r="K78" s="252"/>
      <c r="L78" s="91"/>
      <c r="M78" s="250"/>
      <c r="N78" s="371"/>
      <c r="O78" s="80">
        <f t="shared" si="90"/>
        <v>0</v>
      </c>
      <c r="P78" s="462" t="str">
        <f>P79</f>
        <v>미정</v>
      </c>
      <c r="Q78" s="417" t="str">
        <f t="shared" ca="1" si="91"/>
        <v/>
      </c>
      <c r="S78" s="468"/>
      <c r="T78" s="467"/>
      <c r="V78" s="468"/>
      <c r="W78" s="468"/>
    </row>
    <row r="79" spans="1:23" s="98" customFormat="1" ht="13.5" customHeight="1">
      <c r="A79" s="5"/>
      <c r="B79" s="74">
        <f t="shared" si="89"/>
        <v>26</v>
      </c>
      <c r="C79" s="458" t="str">
        <f t="shared" ref="C79:E79" si="93">C78</f>
        <v>기술자문료_s</v>
      </c>
      <c r="D79" s="101" t="str">
        <f t="shared" si="93"/>
        <v>코지건설㈜</v>
      </c>
      <c r="E79" s="101" t="str">
        <f t="shared" si="93"/>
        <v>신갈신미주아파트</v>
      </c>
      <c r="F79" s="470"/>
      <c r="G79" s="77">
        <f>F77-S79</f>
        <v>57250000</v>
      </c>
      <c r="H79" s="92" t="s">
        <v>537</v>
      </c>
      <c r="I79" s="251">
        <f>I78</f>
        <v>46128</v>
      </c>
      <c r="J79" s="462" t="str">
        <f>J78</f>
        <v>미정</v>
      </c>
      <c r="K79" s="252"/>
      <c r="L79" s="91"/>
      <c r="M79" s="250"/>
      <c r="N79" s="371"/>
      <c r="O79" s="80">
        <f t="shared" si="90"/>
        <v>0</v>
      </c>
      <c r="P79" s="463" t="s">
        <v>1938</v>
      </c>
      <c r="Q79" s="417" t="str">
        <f t="shared" ca="1" si="91"/>
        <v/>
      </c>
      <c r="S79" s="468"/>
      <c r="T79" s="467"/>
      <c r="V79" s="468"/>
      <c r="W79" s="468"/>
    </row>
    <row r="80" spans="1:23" s="452" customFormat="1" ht="13.5" customHeight="1">
      <c r="A80" s="447"/>
      <c r="B80" s="448">
        <f t="shared" ref="B80:B94" si="94">IF(H79="잔금", B79+1, B79)</f>
        <v>27</v>
      </c>
      <c r="C80" s="449" t="s">
        <v>1752</v>
      </c>
      <c r="D80" s="449" t="s">
        <v>1509</v>
      </c>
      <c r="E80" s="449" t="s">
        <v>1939</v>
      </c>
      <c r="F80" s="77">
        <v>9350000</v>
      </c>
      <c r="G80" s="77"/>
      <c r="H80" s="80" t="s">
        <v>535</v>
      </c>
      <c r="I80" s="418">
        <v>46160</v>
      </c>
      <c r="J80" s="475" t="s">
        <v>1938</v>
      </c>
      <c r="K80" s="250"/>
      <c r="L80" s="79"/>
      <c r="M80" s="250"/>
      <c r="N80" s="353"/>
      <c r="O80" s="80">
        <f t="shared" ref="O80:O82" si="95">IF(K80="", 0, (G80*1.1)-N80)</f>
        <v>0</v>
      </c>
      <c r="P80" s="462" t="str">
        <f>P82</f>
        <v>미정</v>
      </c>
      <c r="Q80" s="417" t="str">
        <f t="shared" ca="1" si="91"/>
        <v/>
      </c>
      <c r="S80" s="467"/>
      <c r="T80" s="467"/>
      <c r="V80" s="468"/>
      <c r="W80" s="468"/>
    </row>
    <row r="81" spans="1:23" s="98" customFormat="1" ht="13.5" customHeight="1">
      <c r="A81" s="5"/>
      <c r="B81" s="74">
        <f t="shared" si="94"/>
        <v>27</v>
      </c>
      <c r="C81" s="458" t="str">
        <f t="shared" ref="C81:E81" si="96">C80</f>
        <v>기술자문료_s</v>
      </c>
      <c r="D81" s="101" t="str">
        <f t="shared" si="96"/>
        <v>여름건설㈜</v>
      </c>
      <c r="E81" s="101" t="str">
        <f t="shared" si="96"/>
        <v>신성둔촌미소지움아파트</v>
      </c>
      <c r="F81" s="470"/>
      <c r="G81" s="77"/>
      <c r="H81" s="92" t="s">
        <v>536</v>
      </c>
      <c r="I81" s="251">
        <f>I80</f>
        <v>46160</v>
      </c>
      <c r="J81" s="462" t="str">
        <f>J80</f>
        <v>미정</v>
      </c>
      <c r="K81" s="252"/>
      <c r="L81" s="91"/>
      <c r="M81" s="250"/>
      <c r="N81" s="371"/>
      <c r="O81" s="80">
        <f t="shared" si="95"/>
        <v>0</v>
      </c>
      <c r="P81" s="462" t="str">
        <f>P82</f>
        <v>미정</v>
      </c>
      <c r="Q81" s="417" t="str">
        <f t="shared" ca="1" si="91"/>
        <v/>
      </c>
      <c r="S81" s="468"/>
      <c r="T81" s="467"/>
      <c r="V81" s="468"/>
      <c r="W81" s="468"/>
    </row>
    <row r="82" spans="1:23" s="98" customFormat="1" ht="13.5" customHeight="1">
      <c r="A82" s="5"/>
      <c r="B82" s="74">
        <f t="shared" si="94"/>
        <v>27</v>
      </c>
      <c r="C82" s="458" t="str">
        <f t="shared" ref="C82:E82" si="97">C81</f>
        <v>기술자문료_s</v>
      </c>
      <c r="D82" s="101" t="str">
        <f t="shared" si="97"/>
        <v>여름건설㈜</v>
      </c>
      <c r="E82" s="101" t="str">
        <f t="shared" si="97"/>
        <v>신성둔촌미소지움아파트</v>
      </c>
      <c r="F82" s="470"/>
      <c r="G82" s="77">
        <f>F80-S82</f>
        <v>9350000</v>
      </c>
      <c r="H82" s="92" t="s">
        <v>537</v>
      </c>
      <c r="I82" s="251">
        <f>I81</f>
        <v>46160</v>
      </c>
      <c r="J82" s="462" t="str">
        <f>J81</f>
        <v>미정</v>
      </c>
      <c r="K82" s="252"/>
      <c r="L82" s="91"/>
      <c r="M82" s="250"/>
      <c r="N82" s="371"/>
      <c r="O82" s="80">
        <f t="shared" si="95"/>
        <v>0</v>
      </c>
      <c r="P82" s="463" t="s">
        <v>1938</v>
      </c>
      <c r="Q82" s="417" t="str">
        <f t="shared" ca="1" si="91"/>
        <v/>
      </c>
      <c r="S82" s="468"/>
      <c r="T82" s="467"/>
      <c r="V82" s="468"/>
      <c r="W82" s="468"/>
    </row>
    <row r="83" spans="1:23" s="452" customFormat="1" ht="13.5" customHeight="1">
      <c r="A83" s="447"/>
      <c r="B83" s="74">
        <f t="shared" si="94"/>
        <v>28</v>
      </c>
      <c r="C83" s="449" t="s">
        <v>822</v>
      </c>
      <c r="D83" s="449" t="s">
        <v>2498</v>
      </c>
      <c r="E83" s="449" t="s">
        <v>2497</v>
      </c>
      <c r="F83" s="77">
        <v>201100000</v>
      </c>
      <c r="G83" s="77">
        <f>F83*20%</f>
        <v>40220000</v>
      </c>
      <c r="H83" s="80" t="s">
        <v>535</v>
      </c>
      <c r="I83" s="418">
        <v>46148</v>
      </c>
      <c r="J83" s="475">
        <v>46162</v>
      </c>
      <c r="K83" s="250"/>
      <c r="L83" s="79"/>
      <c r="M83" s="250"/>
      <c r="N83" s="353"/>
      <c r="O83" s="80">
        <f t="shared" ref="O83:O85" si="98">IF(K83="", 0, (G83*1.1)-N83)</f>
        <v>0</v>
      </c>
      <c r="P83" s="462" t="str">
        <f>P85</f>
        <v>(예)2026-10-30</v>
      </c>
      <c r="Q83" s="417" t="str">
        <f t="shared" ca="1" si="91"/>
        <v/>
      </c>
      <c r="S83" s="467"/>
      <c r="T83" s="467">
        <f>16500000+27500000+16500000+19800000+27500000</f>
        <v>107800000</v>
      </c>
      <c r="V83" s="468"/>
      <c r="W83" s="468"/>
    </row>
    <row r="84" spans="1:23" s="98" customFormat="1" ht="13.5" customHeight="1">
      <c r="A84" s="5"/>
      <c r="B84" s="74">
        <f t="shared" si="94"/>
        <v>28</v>
      </c>
      <c r="C84" s="458" t="str">
        <f t="shared" ref="C84:E84" si="99">C83</f>
        <v>기술자문료</v>
      </c>
      <c r="D84" s="101" t="str">
        <f t="shared" si="99"/>
        <v>㈜조광피앤텍</v>
      </c>
      <c r="E84" s="101" t="str">
        <f t="shared" si="99"/>
        <v>해운대비스타동원아파트</v>
      </c>
      <c r="F84" s="470"/>
      <c r="G84" s="77">
        <f>F83*40%</f>
        <v>80440000</v>
      </c>
      <c r="H84" s="92" t="s">
        <v>536</v>
      </c>
      <c r="I84" s="251">
        <f>I83</f>
        <v>46148</v>
      </c>
      <c r="J84" s="462">
        <f>J83</f>
        <v>46162</v>
      </c>
      <c r="K84" s="252"/>
      <c r="L84" s="91"/>
      <c r="M84" s="250"/>
      <c r="N84" s="371"/>
      <c r="O84" s="80">
        <f t="shared" si="98"/>
        <v>0</v>
      </c>
      <c r="P84" s="462" t="str">
        <f>P85</f>
        <v>(예)2026-10-30</v>
      </c>
      <c r="Q84" s="417" t="str">
        <f t="shared" ca="1" si="91"/>
        <v/>
      </c>
      <c r="S84" s="468"/>
      <c r="T84" s="467">
        <v>27500000</v>
      </c>
      <c r="V84" s="468"/>
      <c r="W84" s="468"/>
    </row>
    <row r="85" spans="1:23" s="98" customFormat="1" ht="13.5" customHeight="1">
      <c r="A85" s="5"/>
      <c r="B85" s="74">
        <f t="shared" si="94"/>
        <v>28</v>
      </c>
      <c r="C85" s="458" t="str">
        <f t="shared" ref="C85:E85" si="100">C84</f>
        <v>기술자문료</v>
      </c>
      <c r="D85" s="101" t="str">
        <f t="shared" si="100"/>
        <v>㈜조광피앤텍</v>
      </c>
      <c r="E85" s="511" t="str">
        <f t="shared" si="100"/>
        <v>해운대비스타동원아파트</v>
      </c>
      <c r="F85" s="470"/>
      <c r="G85" s="77">
        <f>F83-G83-G84-S85</f>
        <v>80440000</v>
      </c>
      <c r="H85" s="121" t="s">
        <v>537</v>
      </c>
      <c r="I85" s="444">
        <f>I84</f>
        <v>46148</v>
      </c>
      <c r="J85" s="477">
        <f>J84</f>
        <v>46162</v>
      </c>
      <c r="K85" s="252"/>
      <c r="L85" s="91"/>
      <c r="M85" s="250"/>
      <c r="N85" s="371"/>
      <c r="O85" s="80">
        <f t="shared" si="98"/>
        <v>0</v>
      </c>
      <c r="P85" s="463" t="s">
        <v>2499</v>
      </c>
      <c r="Q85" s="417" t="str">
        <f t="shared" ca="1" si="91"/>
        <v/>
      </c>
      <c r="S85" s="468"/>
      <c r="T85" s="467">
        <v>27500000</v>
      </c>
      <c r="V85" s="468"/>
      <c r="W85" s="468"/>
    </row>
    <row r="86" spans="1:23" s="452" customFormat="1" ht="13.5" customHeight="1">
      <c r="A86" s="447"/>
      <c r="B86" s="74">
        <f t="shared" si="94"/>
        <v>29</v>
      </c>
      <c r="C86" s="449" t="s">
        <v>1752</v>
      </c>
      <c r="D86" s="449" t="s">
        <v>2500</v>
      </c>
      <c r="E86" s="507" t="s">
        <v>2501</v>
      </c>
      <c r="F86" s="77">
        <v>73802000</v>
      </c>
      <c r="G86" s="77"/>
      <c r="H86" s="512" t="s">
        <v>535</v>
      </c>
      <c r="I86" s="418">
        <v>46149</v>
      </c>
      <c r="J86" s="475">
        <v>46358</v>
      </c>
      <c r="K86" s="250"/>
      <c r="L86" s="79"/>
      <c r="M86" s="250"/>
      <c r="N86" s="353"/>
      <c r="O86" s="80">
        <f t="shared" ref="O86:O88" si="101">IF(K86="", 0, (G86*1.1)-N86)</f>
        <v>0</v>
      </c>
      <c r="P86" s="462">
        <f>P88</f>
        <v>46147</v>
      </c>
      <c r="Q86" s="417" t="str">
        <f t="shared" ref="Q86:Q88" ca="1" si="102">IF(OR(K86="",O86=0),"",IF(TODAY()-K86&gt;=91,"장기미수",IF(TODAY()-K86&gt;=31,"관리","")))</f>
        <v/>
      </c>
      <c r="S86" s="467"/>
      <c r="T86" s="467"/>
      <c r="V86" s="468"/>
      <c r="W86" s="468"/>
    </row>
    <row r="87" spans="1:23" s="98" customFormat="1" ht="13.5" customHeight="1">
      <c r="A87" s="5"/>
      <c r="B87" s="74">
        <f t="shared" si="94"/>
        <v>29</v>
      </c>
      <c r="C87" s="458" t="str">
        <f>C86</f>
        <v>기술자문료_s</v>
      </c>
      <c r="D87" s="101" t="str">
        <f t="shared" ref="D87:E87" si="103">D86</f>
        <v>㈜다산종합건설</v>
      </c>
      <c r="E87" s="101" t="str">
        <f t="shared" si="103"/>
        <v>한강신도시롯데캐슬아파트</v>
      </c>
      <c r="F87" s="470"/>
      <c r="G87" s="77"/>
      <c r="H87" s="92" t="s">
        <v>536</v>
      </c>
      <c r="I87" s="251">
        <f>I86</f>
        <v>46149</v>
      </c>
      <c r="J87" s="462">
        <f>J86</f>
        <v>46358</v>
      </c>
      <c r="K87" s="252"/>
      <c r="L87" s="91"/>
      <c r="M87" s="250"/>
      <c r="N87" s="371"/>
      <c r="O87" s="80">
        <f t="shared" si="101"/>
        <v>0</v>
      </c>
      <c r="P87" s="462">
        <f>P88</f>
        <v>46147</v>
      </c>
      <c r="Q87" s="417" t="str">
        <f t="shared" ca="1" si="102"/>
        <v/>
      </c>
      <c r="S87" s="468"/>
      <c r="T87" s="467"/>
      <c r="V87" s="468"/>
      <c r="W87" s="468"/>
    </row>
    <row r="88" spans="1:23" s="98" customFormat="1" ht="13.5" customHeight="1">
      <c r="A88" s="5"/>
      <c r="B88" s="74">
        <f t="shared" si="94"/>
        <v>29</v>
      </c>
      <c r="C88" s="458" t="str">
        <f t="shared" ref="C88:E88" si="104">C87</f>
        <v>기술자문료_s</v>
      </c>
      <c r="D88" s="101" t="str">
        <f t="shared" si="104"/>
        <v>㈜다산종합건설</v>
      </c>
      <c r="E88" s="101" t="str">
        <f t="shared" si="104"/>
        <v>한강신도시롯데캐슬아파트</v>
      </c>
      <c r="F88" s="470"/>
      <c r="G88" s="77">
        <f>F86-G86-G87-S88</f>
        <v>73802000</v>
      </c>
      <c r="H88" s="92" t="s">
        <v>537</v>
      </c>
      <c r="I88" s="251">
        <f>I87</f>
        <v>46149</v>
      </c>
      <c r="J88" s="462">
        <f>J87</f>
        <v>46358</v>
      </c>
      <c r="K88" s="252">
        <v>46162</v>
      </c>
      <c r="L88" s="91">
        <f>IF(K88&lt;&gt;"", K88+20, "")</f>
        <v>46182</v>
      </c>
      <c r="M88" s="250"/>
      <c r="N88" s="371"/>
      <c r="O88" s="80">
        <f t="shared" si="101"/>
        <v>81182200</v>
      </c>
      <c r="P88" s="463">
        <v>46147</v>
      </c>
      <c r="Q88" s="417" t="str">
        <f t="shared" ca="1" si="102"/>
        <v/>
      </c>
      <c r="S88" s="468"/>
      <c r="T88" s="467"/>
      <c r="V88" s="468"/>
      <c r="W88" s="468"/>
    </row>
    <row r="89" spans="1:23" s="452" customFormat="1" ht="13.5" customHeight="1">
      <c r="A89" s="447"/>
      <c r="B89" s="74">
        <f t="shared" si="94"/>
        <v>30</v>
      </c>
      <c r="C89" s="449" t="s">
        <v>1752</v>
      </c>
      <c r="D89" s="449" t="s">
        <v>1246</v>
      </c>
      <c r="E89" s="449" t="s">
        <v>2502</v>
      </c>
      <c r="F89" s="77">
        <v>950000</v>
      </c>
      <c r="G89" s="77"/>
      <c r="H89" s="80" t="s">
        <v>535</v>
      </c>
      <c r="I89" s="418">
        <v>46148</v>
      </c>
      <c r="J89" s="475"/>
      <c r="K89" s="250"/>
      <c r="L89" s="79"/>
      <c r="M89" s="250"/>
      <c r="N89" s="353"/>
      <c r="O89" s="80">
        <f t="shared" ref="O89:O91" si="105">IF(K89="", 0, (G89*1.1)-N89)</f>
        <v>0</v>
      </c>
      <c r="P89" s="462">
        <f>P91</f>
        <v>0</v>
      </c>
      <c r="Q89" s="417" t="str">
        <f t="shared" ref="Q89:Q91" ca="1" si="106">IF(OR(K89="",O89=0),"",IF(TODAY()-K89&gt;=91,"장기미수",IF(TODAY()-K89&gt;=31,"관리","")))</f>
        <v/>
      </c>
      <c r="S89" s="467"/>
      <c r="T89" s="467"/>
      <c r="V89" s="468"/>
      <c r="W89" s="468"/>
    </row>
    <row r="90" spans="1:23" s="98" customFormat="1" ht="13.5" customHeight="1">
      <c r="A90" s="5"/>
      <c r="B90" s="74">
        <f t="shared" si="94"/>
        <v>30</v>
      </c>
      <c r="C90" s="458" t="str">
        <f>C89</f>
        <v>기술자문료_s</v>
      </c>
      <c r="D90" s="101" t="str">
        <f t="shared" ref="D90:E90" si="107">D89</f>
        <v>코지건설㈜</v>
      </c>
      <c r="E90" s="101" t="str">
        <f t="shared" si="107"/>
        <v>수지벽산4단지아파트</v>
      </c>
      <c r="F90" s="470"/>
      <c r="G90" s="77"/>
      <c r="H90" s="92" t="s">
        <v>536</v>
      </c>
      <c r="I90" s="251">
        <f>I89</f>
        <v>46148</v>
      </c>
      <c r="J90" s="462">
        <f>J89</f>
        <v>0</v>
      </c>
      <c r="K90" s="252"/>
      <c r="L90" s="91"/>
      <c r="M90" s="250"/>
      <c r="N90" s="371"/>
      <c r="O90" s="80">
        <f t="shared" si="105"/>
        <v>0</v>
      </c>
      <c r="P90" s="462">
        <f>P91</f>
        <v>0</v>
      </c>
      <c r="Q90" s="417" t="str">
        <f t="shared" ca="1" si="106"/>
        <v/>
      </c>
      <c r="S90" s="468"/>
      <c r="T90" s="467"/>
      <c r="V90" s="468"/>
      <c r="W90" s="468"/>
    </row>
    <row r="91" spans="1:23" s="98" customFormat="1" ht="13.5" customHeight="1">
      <c r="A91" s="5"/>
      <c r="B91" s="74">
        <f t="shared" si="94"/>
        <v>30</v>
      </c>
      <c r="C91" s="458" t="str">
        <f t="shared" ref="C91:E91" si="108">C90</f>
        <v>기술자문료_s</v>
      </c>
      <c r="D91" s="101" t="str">
        <f t="shared" si="108"/>
        <v>코지건설㈜</v>
      </c>
      <c r="E91" s="101" t="str">
        <f t="shared" si="108"/>
        <v>수지벽산4단지아파트</v>
      </c>
      <c r="F91" s="470"/>
      <c r="G91" s="77">
        <f>F89-G89-G90-S91</f>
        <v>950000</v>
      </c>
      <c r="H91" s="92" t="s">
        <v>537</v>
      </c>
      <c r="I91" s="251">
        <f>I90</f>
        <v>46148</v>
      </c>
      <c r="J91" s="462">
        <f>J90</f>
        <v>0</v>
      </c>
      <c r="K91" s="252"/>
      <c r="L91" s="91"/>
      <c r="M91" s="250"/>
      <c r="N91" s="371"/>
      <c r="O91" s="80">
        <f t="shared" si="105"/>
        <v>0</v>
      </c>
      <c r="P91" s="463"/>
      <c r="Q91" s="417" t="str">
        <f t="shared" ca="1" si="106"/>
        <v/>
      </c>
      <c r="S91" s="468"/>
      <c r="T91" s="467"/>
      <c r="V91" s="468"/>
      <c r="W91" s="468"/>
    </row>
    <row r="92" spans="1:23" s="452" customFormat="1" ht="13.5" customHeight="1">
      <c r="A92" s="447"/>
      <c r="B92" s="74">
        <f t="shared" si="94"/>
        <v>31</v>
      </c>
      <c r="C92" s="449" t="s">
        <v>1752</v>
      </c>
      <c r="D92" s="449" t="s">
        <v>2763</v>
      </c>
      <c r="E92" s="449" t="s">
        <v>2764</v>
      </c>
      <c r="F92" s="77">
        <v>15560000</v>
      </c>
      <c r="G92" s="77"/>
      <c r="H92" s="80" t="s">
        <v>535</v>
      </c>
      <c r="I92" s="418">
        <v>46161</v>
      </c>
      <c r="J92" s="475"/>
      <c r="K92" s="250"/>
      <c r="L92" s="79"/>
      <c r="M92" s="250"/>
      <c r="N92" s="353"/>
      <c r="O92" s="80">
        <f t="shared" ref="O92:O94" si="109">IF(K92="", 0, (G92*1.1)-N92)</f>
        <v>0</v>
      </c>
      <c r="P92" s="462">
        <f>P94</f>
        <v>0</v>
      </c>
      <c r="Q92" s="417" t="str">
        <f t="shared" ref="Q92:Q94" ca="1" si="110">IF(OR(K92="",O92=0),"",IF(TODAY()-K92&gt;=91,"장기미수",IF(TODAY()-K92&gt;=31,"관리","")))</f>
        <v/>
      </c>
      <c r="S92" s="467"/>
      <c r="T92" s="467"/>
      <c r="V92" s="468"/>
      <c r="W92" s="468"/>
    </row>
    <row r="93" spans="1:23" s="98" customFormat="1" ht="13.5" customHeight="1">
      <c r="A93" s="5"/>
      <c r="B93" s="74">
        <f t="shared" si="94"/>
        <v>31</v>
      </c>
      <c r="C93" s="458" t="str">
        <f>C92</f>
        <v>기술자문료_s</v>
      </c>
      <c r="D93" s="101" t="str">
        <f t="shared" ref="D93:E93" si="111">D92</f>
        <v>㈜도원씨엔씨</v>
      </c>
      <c r="E93" s="101" t="str">
        <f t="shared" si="111"/>
        <v>마곡청구아파트</v>
      </c>
      <c r="F93" s="470"/>
      <c r="G93" s="77"/>
      <c r="H93" s="92" t="s">
        <v>536</v>
      </c>
      <c r="I93" s="251">
        <f>I92</f>
        <v>46161</v>
      </c>
      <c r="J93" s="462">
        <f>J92</f>
        <v>0</v>
      </c>
      <c r="K93" s="252"/>
      <c r="L93" s="91"/>
      <c r="M93" s="250"/>
      <c r="N93" s="371"/>
      <c r="O93" s="80">
        <f t="shared" si="109"/>
        <v>0</v>
      </c>
      <c r="P93" s="462">
        <f>P94</f>
        <v>0</v>
      </c>
      <c r="Q93" s="417" t="str">
        <f t="shared" ca="1" si="110"/>
        <v/>
      </c>
      <c r="S93" s="468"/>
      <c r="T93" s="467"/>
      <c r="V93" s="468"/>
      <c r="W93" s="468"/>
    </row>
    <row r="94" spans="1:23" s="98" customFormat="1" ht="13.5" customHeight="1">
      <c r="A94" s="5"/>
      <c r="B94" s="74">
        <f t="shared" si="94"/>
        <v>31</v>
      </c>
      <c r="C94" s="458" t="str">
        <f t="shared" ref="C94:E94" si="112">C93</f>
        <v>기술자문료_s</v>
      </c>
      <c r="D94" s="101" t="str">
        <f t="shared" si="112"/>
        <v>㈜도원씨엔씨</v>
      </c>
      <c r="E94" s="101" t="str">
        <f t="shared" si="112"/>
        <v>마곡청구아파트</v>
      </c>
      <c r="F94" s="470"/>
      <c r="G94" s="77">
        <f>F92-G92-G93-S94</f>
        <v>15560000</v>
      </c>
      <c r="H94" s="92" t="s">
        <v>537</v>
      </c>
      <c r="I94" s="251">
        <f>I93</f>
        <v>46161</v>
      </c>
      <c r="J94" s="462">
        <f>J93</f>
        <v>0</v>
      </c>
      <c r="K94" s="252"/>
      <c r="L94" s="91"/>
      <c r="M94" s="250"/>
      <c r="N94" s="371"/>
      <c r="O94" s="80">
        <f t="shared" si="109"/>
        <v>0</v>
      </c>
      <c r="P94" s="463"/>
      <c r="Q94" s="417" t="str">
        <f t="shared" ca="1" si="110"/>
        <v/>
      </c>
      <c r="S94" s="468"/>
      <c r="T94" s="467"/>
      <c r="V94" s="468"/>
      <c r="W94" s="468"/>
    </row>
    <row r="95" spans="1:23" s="98" customFormat="1" ht="13.5" customHeight="1">
      <c r="A95" s="5"/>
      <c r="B95" s="74">
        <v>32</v>
      </c>
      <c r="C95" s="449" t="s">
        <v>1752</v>
      </c>
      <c r="D95" s="449" t="s">
        <v>1509</v>
      </c>
      <c r="E95" s="449" t="s">
        <v>3003</v>
      </c>
      <c r="F95" s="77">
        <v>1249500</v>
      </c>
      <c r="G95" s="77">
        <v>1249500</v>
      </c>
      <c r="H95" s="92" t="s">
        <v>537</v>
      </c>
      <c r="I95" s="252">
        <v>46171</v>
      </c>
      <c r="J95" s="465">
        <v>46177</v>
      </c>
      <c r="K95" s="252"/>
      <c r="L95" s="91"/>
      <c r="M95" s="250"/>
      <c r="N95" s="371"/>
      <c r="O95" s="80"/>
      <c r="P95" s="463">
        <v>46207</v>
      </c>
      <c r="Q95" s="417"/>
      <c r="S95" s="468"/>
      <c r="T95" s="467"/>
      <c r="V95" s="468"/>
      <c r="W95" s="468"/>
    </row>
  </sheetData>
  <autoFilter ref="A1:X95"/>
  <phoneticPr fontId="46" type="noConversion"/>
  <conditionalFormatting sqref="B2:C4 H3:I4 H2 H6:I7 H5 S6 O2:P7">
    <cfRule type="expression" dxfId="964" priority="718">
      <formula>$H2="잔금"</formula>
    </cfRule>
  </conditionalFormatting>
  <conditionalFormatting sqref="D2:D4 E3:E4 E6:E7">
    <cfRule type="expression" dxfId="963" priority="714">
      <formula>$H2="잔금"</formula>
    </cfRule>
    <cfRule type="expression" dxfId="962" priority="715">
      <formula>AND($H2&lt;&gt;"선금", $H2&lt;&gt;"")</formula>
    </cfRule>
  </conditionalFormatting>
  <conditionalFormatting sqref="D2:E2">
    <cfRule type="expression" dxfId="961" priority="717">
      <formula>AND($H2&lt;&gt;"선금", $H2&lt;&gt;"")</formula>
    </cfRule>
  </conditionalFormatting>
  <conditionalFormatting sqref="D2:G2">
    <cfRule type="expression" dxfId="960" priority="716">
      <formula>$H2="잔금"</formula>
    </cfRule>
  </conditionalFormatting>
  <conditionalFormatting sqref="F3:G4">
    <cfRule type="expression" dxfId="959" priority="713">
      <formula>$H3="잔금"</formula>
    </cfRule>
  </conditionalFormatting>
  <conditionalFormatting sqref="J4:N4 J2:K3 M2:N3">
    <cfRule type="expression" dxfId="958" priority="712">
      <formula>$H2="잔금"</formula>
    </cfRule>
  </conditionalFormatting>
  <conditionalFormatting sqref="B5:C7">
    <cfRule type="expression" dxfId="957" priority="711">
      <formula>$H5="잔금"</formula>
    </cfRule>
  </conditionalFormatting>
  <conditionalFormatting sqref="D5 D7">
    <cfRule type="expression" dxfId="956" priority="707">
      <formula>$H5="잔금"</formula>
    </cfRule>
    <cfRule type="expression" dxfId="955" priority="708">
      <formula>AND($H5&lt;&gt;"선금", $H5&lt;&gt;"")</formula>
    </cfRule>
  </conditionalFormatting>
  <conditionalFormatting sqref="D5:E5">
    <cfRule type="expression" dxfId="954" priority="710">
      <formula>AND($H5&lt;&gt;"선금", $H5&lt;&gt;"")</formula>
    </cfRule>
  </conditionalFormatting>
  <conditionalFormatting sqref="D5:G5">
    <cfRule type="expression" dxfId="953" priority="709">
      <formula>$H5="잔금"</formula>
    </cfRule>
  </conditionalFormatting>
  <conditionalFormatting sqref="F6:G7">
    <cfRule type="expression" dxfId="952" priority="706">
      <formula>$H6="잔금"</formula>
    </cfRule>
  </conditionalFormatting>
  <conditionalFormatting sqref="J6:N7 J5:K5 M5:N5">
    <cfRule type="expression" dxfId="951" priority="705">
      <formula>$H5="잔금"</formula>
    </cfRule>
  </conditionalFormatting>
  <conditionalFormatting sqref="I2 Q2:Q85">
    <cfRule type="expression" dxfId="950" priority="704">
      <formula>$H2="잔금"</formula>
    </cfRule>
  </conditionalFormatting>
  <conditionalFormatting sqref="I5">
    <cfRule type="expression" dxfId="949" priority="703">
      <formula>$H5="잔금"</formula>
    </cfRule>
  </conditionalFormatting>
  <conditionalFormatting sqref="S4">
    <cfRule type="expression" dxfId="948" priority="696">
      <formula>$H4="잔금"</formula>
    </cfRule>
  </conditionalFormatting>
  <conditionalFormatting sqref="S2">
    <cfRule type="expression" dxfId="947" priority="700">
      <formula>$H2="잔금"</formula>
    </cfRule>
  </conditionalFormatting>
  <conditionalFormatting sqref="S3">
    <cfRule type="expression" dxfId="946" priority="699">
      <formula>$H3="잔금"</formula>
    </cfRule>
  </conditionalFormatting>
  <conditionalFormatting sqref="S5">
    <cfRule type="expression" dxfId="945" priority="698">
      <formula>$H5="잔금"</formula>
    </cfRule>
  </conditionalFormatting>
  <conditionalFormatting sqref="S7">
    <cfRule type="expression" dxfId="944" priority="697">
      <formula>$H7="잔금"</formula>
    </cfRule>
  </conditionalFormatting>
  <conditionalFormatting sqref="B9:C10 H9:I10 H8 H12:I13 H11 O13:P13 P12 C8 S12 O8:P11">
    <cfRule type="expression" dxfId="943" priority="656">
      <formula>$H8="잔금"</formula>
    </cfRule>
  </conditionalFormatting>
  <conditionalFormatting sqref="D8:D10 E9:E10 E12:E13">
    <cfRule type="expression" dxfId="942" priority="652">
      <formula>$H8="잔금"</formula>
    </cfRule>
    <cfRule type="expression" dxfId="941" priority="653">
      <formula>AND($H8&lt;&gt;"선금", $H8&lt;&gt;"")</formula>
    </cfRule>
  </conditionalFormatting>
  <conditionalFormatting sqref="D8:E8">
    <cfRule type="expression" dxfId="940" priority="655">
      <formula>AND($H8&lt;&gt;"선금", $H8&lt;&gt;"")</formula>
    </cfRule>
  </conditionalFormatting>
  <conditionalFormatting sqref="D8:G8">
    <cfRule type="expression" dxfId="939" priority="654">
      <formula>$H8="잔금"</formula>
    </cfRule>
  </conditionalFormatting>
  <conditionalFormatting sqref="F9:G10">
    <cfRule type="expression" dxfId="938" priority="651">
      <formula>$H9="잔금"</formula>
    </cfRule>
  </conditionalFormatting>
  <conditionalFormatting sqref="J10:N10 J8:K9 M8:N9">
    <cfRule type="expression" dxfId="937" priority="650">
      <formula>$H8="잔금"</formula>
    </cfRule>
  </conditionalFormatting>
  <conditionalFormatting sqref="B11:C13">
    <cfRule type="expression" dxfId="936" priority="649">
      <formula>$H11="잔금"</formula>
    </cfRule>
  </conditionalFormatting>
  <conditionalFormatting sqref="D11:D13">
    <cfRule type="expression" dxfId="935" priority="645">
      <formula>$H11="잔금"</formula>
    </cfRule>
    <cfRule type="expression" dxfId="934" priority="646">
      <formula>AND($H11&lt;&gt;"선금", $H11&lt;&gt;"")</formula>
    </cfRule>
  </conditionalFormatting>
  <conditionalFormatting sqref="D11:E11">
    <cfRule type="expression" dxfId="933" priority="648">
      <formula>AND($H11&lt;&gt;"선금", $H11&lt;&gt;"")</formula>
    </cfRule>
  </conditionalFormatting>
  <conditionalFormatting sqref="D11:G11">
    <cfRule type="expression" dxfId="932" priority="647">
      <formula>$H11="잔금"</formula>
    </cfRule>
  </conditionalFormatting>
  <conditionalFormatting sqref="F12:G13">
    <cfRule type="expression" dxfId="931" priority="644">
      <formula>$H12="잔금"</formula>
    </cfRule>
  </conditionalFormatting>
  <conditionalFormatting sqref="J11:N12 J13:K13 M13:N13">
    <cfRule type="expression" dxfId="930" priority="643">
      <formula>$H11="잔금"</formula>
    </cfRule>
  </conditionalFormatting>
  <conditionalFormatting sqref="I8">
    <cfRule type="expression" dxfId="929" priority="642">
      <formula>$H8="잔금"</formula>
    </cfRule>
  </conditionalFormatting>
  <conditionalFormatting sqref="I11">
    <cfRule type="expression" dxfId="928" priority="641">
      <formula>$H11="잔금"</formula>
    </cfRule>
  </conditionalFormatting>
  <conditionalFormatting sqref="S10">
    <cfRule type="expression" dxfId="927" priority="635">
      <formula>$H10="잔금"</formula>
    </cfRule>
  </conditionalFormatting>
  <conditionalFormatting sqref="L8:L9">
    <cfRule type="expression" dxfId="926" priority="640">
      <formula>$G8="잔금"</formula>
    </cfRule>
  </conditionalFormatting>
  <conditionalFormatting sqref="S8">
    <cfRule type="expression" dxfId="925" priority="639">
      <formula>$H8="잔금"</formula>
    </cfRule>
  </conditionalFormatting>
  <conditionalFormatting sqref="S9">
    <cfRule type="expression" dxfId="924" priority="638">
      <formula>$H9="잔금"</formula>
    </cfRule>
  </conditionalFormatting>
  <conditionalFormatting sqref="S11">
    <cfRule type="expression" dxfId="923" priority="637">
      <formula>$H11="잔금"</formula>
    </cfRule>
  </conditionalFormatting>
  <conditionalFormatting sqref="S13">
    <cfRule type="expression" dxfId="922" priority="636">
      <formula>$H13="잔금"</formula>
    </cfRule>
  </conditionalFormatting>
  <conditionalFormatting sqref="D6">
    <cfRule type="expression" dxfId="921" priority="633">
      <formula>$H6="잔금"</formula>
    </cfRule>
    <cfRule type="expression" dxfId="920" priority="634">
      <formula>AND($H6&lt;&gt;"선금", $H6&lt;&gt;"")</formula>
    </cfRule>
  </conditionalFormatting>
  <conditionalFormatting sqref="L2">
    <cfRule type="expression" dxfId="919" priority="631">
      <formula>$G2="잔금"</formula>
    </cfRule>
  </conditionalFormatting>
  <conditionalFormatting sqref="L3">
    <cfRule type="expression" dxfId="918" priority="630">
      <formula>$G3="잔금"</formula>
    </cfRule>
  </conditionalFormatting>
  <conditionalFormatting sqref="O12">
    <cfRule type="expression" dxfId="917" priority="629">
      <formula>$H12="잔금"</formula>
    </cfRule>
  </conditionalFormatting>
  <conditionalFormatting sqref="B8">
    <cfRule type="expression" dxfId="916" priority="628">
      <formula>$H8="잔금"</formula>
    </cfRule>
  </conditionalFormatting>
  <conditionalFormatting sqref="H15:I16 H14 O16:P16 O14:P14 P15 S15">
    <cfRule type="expression" dxfId="915" priority="627">
      <formula>$H14="잔금"</formula>
    </cfRule>
  </conditionalFormatting>
  <conditionalFormatting sqref="E15:E16">
    <cfRule type="expression" dxfId="914" priority="625">
      <formula>$H15="잔금"</formula>
    </cfRule>
    <cfRule type="expression" dxfId="913" priority="626">
      <formula>AND($H15&lt;&gt;"선금", $H15&lt;&gt;"")</formula>
    </cfRule>
  </conditionalFormatting>
  <conditionalFormatting sqref="B14:C16">
    <cfRule type="expression" dxfId="912" priority="624">
      <formula>$H14="잔금"</formula>
    </cfRule>
  </conditionalFormatting>
  <conditionalFormatting sqref="D14:D16">
    <cfRule type="expression" dxfId="911" priority="620">
      <formula>$H14="잔금"</formula>
    </cfRule>
    <cfRule type="expression" dxfId="910" priority="621">
      <formula>AND($H14&lt;&gt;"선금", $H14&lt;&gt;"")</formula>
    </cfRule>
  </conditionalFormatting>
  <conditionalFormatting sqref="D14:E14">
    <cfRule type="expression" dxfId="909" priority="623">
      <formula>AND($H14&lt;&gt;"선금", $H14&lt;&gt;"")</formula>
    </cfRule>
  </conditionalFormatting>
  <conditionalFormatting sqref="D14:G14">
    <cfRule type="expression" dxfId="908" priority="622">
      <formula>$H14="잔금"</formula>
    </cfRule>
  </conditionalFormatting>
  <conditionalFormatting sqref="F15:G16">
    <cfRule type="expression" dxfId="907" priority="619">
      <formula>$H15="잔금"</formula>
    </cfRule>
  </conditionalFormatting>
  <conditionalFormatting sqref="J14:N16">
    <cfRule type="expression" dxfId="906" priority="618">
      <formula>$H14="잔금"</formula>
    </cfRule>
  </conditionalFormatting>
  <conditionalFormatting sqref="I14">
    <cfRule type="expression" dxfId="905" priority="617">
      <formula>$H14="잔금"</formula>
    </cfRule>
  </conditionalFormatting>
  <conditionalFormatting sqref="S14">
    <cfRule type="expression" dxfId="904" priority="616">
      <formula>$H14="잔금"</formula>
    </cfRule>
  </conditionalFormatting>
  <conditionalFormatting sqref="S16">
    <cfRule type="expression" dxfId="903" priority="615">
      <formula>$H16="잔금"</formula>
    </cfRule>
  </conditionalFormatting>
  <conditionalFormatting sqref="O15">
    <cfRule type="expression" dxfId="902" priority="614">
      <formula>$H15="잔금"</formula>
    </cfRule>
  </conditionalFormatting>
  <conditionalFormatting sqref="H18:I19 H17 O19:P19 O17:P17 P18 S18">
    <cfRule type="expression" dxfId="901" priority="613">
      <formula>$H17="잔금"</formula>
    </cfRule>
  </conditionalFormatting>
  <conditionalFormatting sqref="E18:E19">
    <cfRule type="expression" dxfId="900" priority="611">
      <formula>$H18="잔금"</formula>
    </cfRule>
    <cfRule type="expression" dxfId="899" priority="612">
      <formula>AND($H18&lt;&gt;"선금", $H18&lt;&gt;"")</formula>
    </cfRule>
  </conditionalFormatting>
  <conditionalFormatting sqref="B17:C19">
    <cfRule type="expression" dxfId="898" priority="610">
      <formula>$H17="잔금"</formula>
    </cfRule>
  </conditionalFormatting>
  <conditionalFormatting sqref="D17:D19">
    <cfRule type="expression" dxfId="897" priority="606">
      <formula>$H17="잔금"</formula>
    </cfRule>
    <cfRule type="expression" dxfId="896" priority="607">
      <formula>AND($H17&lt;&gt;"선금", $H17&lt;&gt;"")</formula>
    </cfRule>
  </conditionalFormatting>
  <conditionalFormatting sqref="D17:E17">
    <cfRule type="expression" dxfId="895" priority="609">
      <formula>AND($H17&lt;&gt;"선금", $H17&lt;&gt;"")</formula>
    </cfRule>
  </conditionalFormatting>
  <conditionalFormatting sqref="D17:G17">
    <cfRule type="expression" dxfId="894" priority="608">
      <formula>$H17="잔금"</formula>
    </cfRule>
  </conditionalFormatting>
  <conditionalFormatting sqref="F18:G19">
    <cfRule type="expression" dxfId="893" priority="605">
      <formula>$H18="잔금"</formula>
    </cfRule>
  </conditionalFormatting>
  <conditionalFormatting sqref="J17:N19">
    <cfRule type="expression" dxfId="892" priority="604">
      <formula>$H17="잔금"</formula>
    </cfRule>
  </conditionalFormatting>
  <conditionalFormatting sqref="I17">
    <cfRule type="expression" dxfId="891" priority="603">
      <formula>$H17="잔금"</formula>
    </cfRule>
  </conditionalFormatting>
  <conditionalFormatting sqref="S17">
    <cfRule type="expression" dxfId="890" priority="602">
      <formula>$H17="잔금"</formula>
    </cfRule>
  </conditionalFormatting>
  <conditionalFormatting sqref="S19">
    <cfRule type="expression" dxfId="889" priority="601">
      <formula>$H19="잔금"</formula>
    </cfRule>
  </conditionalFormatting>
  <conditionalFormatting sqref="O18">
    <cfRule type="expression" dxfId="888" priority="600">
      <formula>$H18="잔금"</formula>
    </cfRule>
  </conditionalFormatting>
  <conditionalFormatting sqref="H21:I22 H20 O22:P22 O20:P20 P21 S21">
    <cfRule type="expression" dxfId="887" priority="599">
      <formula>$H20="잔금"</formula>
    </cfRule>
  </conditionalFormatting>
  <conditionalFormatting sqref="E21:E22">
    <cfRule type="expression" dxfId="886" priority="597">
      <formula>$H21="잔금"</formula>
    </cfRule>
    <cfRule type="expression" dxfId="885" priority="598">
      <formula>AND($H21&lt;&gt;"선금", $H21&lt;&gt;"")</formula>
    </cfRule>
  </conditionalFormatting>
  <conditionalFormatting sqref="B20:C22">
    <cfRule type="expression" dxfId="884" priority="596">
      <formula>$H20="잔금"</formula>
    </cfRule>
  </conditionalFormatting>
  <conditionalFormatting sqref="D20:D22">
    <cfRule type="expression" dxfId="883" priority="592">
      <formula>$H20="잔금"</formula>
    </cfRule>
    <cfRule type="expression" dxfId="882" priority="593">
      <formula>AND($H20&lt;&gt;"선금", $H20&lt;&gt;"")</formula>
    </cfRule>
  </conditionalFormatting>
  <conditionalFormatting sqref="D20:E20">
    <cfRule type="expression" dxfId="881" priority="595">
      <formula>AND($H20&lt;&gt;"선금", $H20&lt;&gt;"")</formula>
    </cfRule>
  </conditionalFormatting>
  <conditionalFormatting sqref="D20:G20">
    <cfRule type="expression" dxfId="880" priority="594">
      <formula>$H20="잔금"</formula>
    </cfRule>
  </conditionalFormatting>
  <conditionalFormatting sqref="F21:G22">
    <cfRule type="expression" dxfId="879" priority="591">
      <formula>$H21="잔금"</formula>
    </cfRule>
  </conditionalFormatting>
  <conditionalFormatting sqref="J20:N22">
    <cfRule type="expression" dxfId="878" priority="590">
      <formula>$H20="잔금"</formula>
    </cfRule>
  </conditionalFormatting>
  <conditionalFormatting sqref="I20">
    <cfRule type="expression" dxfId="877" priority="589">
      <formula>$H20="잔금"</formula>
    </cfRule>
  </conditionalFormatting>
  <conditionalFormatting sqref="S20">
    <cfRule type="expression" dxfId="876" priority="588">
      <formula>$H20="잔금"</formula>
    </cfRule>
  </conditionalFormatting>
  <conditionalFormatting sqref="S22">
    <cfRule type="expression" dxfId="875" priority="587">
      <formula>$H22="잔금"</formula>
    </cfRule>
  </conditionalFormatting>
  <conditionalFormatting sqref="O21">
    <cfRule type="expression" dxfId="874" priority="586">
      <formula>$H21="잔금"</formula>
    </cfRule>
  </conditionalFormatting>
  <conditionalFormatting sqref="H24:I25 H23 O25:P25 O23:P23 P24">
    <cfRule type="expression" dxfId="873" priority="585">
      <formula>$H23="잔금"</formula>
    </cfRule>
  </conditionalFormatting>
  <conditionalFormatting sqref="E24:E25">
    <cfRule type="expression" dxfId="872" priority="583">
      <formula>$H24="잔금"</formula>
    </cfRule>
    <cfRule type="expression" dxfId="871" priority="584">
      <formula>AND($H24&lt;&gt;"선금", $H24&lt;&gt;"")</formula>
    </cfRule>
  </conditionalFormatting>
  <conditionalFormatting sqref="B23:C25">
    <cfRule type="expression" dxfId="870" priority="582">
      <formula>$H23="잔금"</formula>
    </cfRule>
  </conditionalFormatting>
  <conditionalFormatting sqref="D23:D25">
    <cfRule type="expression" dxfId="869" priority="578">
      <formula>$H23="잔금"</formula>
    </cfRule>
    <cfRule type="expression" dxfId="868" priority="579">
      <formula>AND($H23&lt;&gt;"선금", $H23&lt;&gt;"")</formula>
    </cfRule>
  </conditionalFormatting>
  <conditionalFormatting sqref="D23:E23">
    <cfRule type="expression" dxfId="867" priority="581">
      <formula>AND($H23&lt;&gt;"선금", $H23&lt;&gt;"")</formula>
    </cfRule>
  </conditionalFormatting>
  <conditionalFormatting sqref="D23:G23">
    <cfRule type="expression" dxfId="866" priority="580">
      <formula>$H23="잔금"</formula>
    </cfRule>
  </conditionalFormatting>
  <conditionalFormatting sqref="F24:G25">
    <cfRule type="expression" dxfId="865" priority="577">
      <formula>$H24="잔금"</formula>
    </cfRule>
  </conditionalFormatting>
  <conditionalFormatting sqref="J25:N25 J23:K24 M23:N24">
    <cfRule type="expression" dxfId="864" priority="576">
      <formula>$H23="잔금"</formula>
    </cfRule>
  </conditionalFormatting>
  <conditionalFormatting sqref="I23">
    <cfRule type="expression" dxfId="863" priority="575">
      <formula>$H23="잔금"</formula>
    </cfRule>
  </conditionalFormatting>
  <conditionalFormatting sqref="S23:S25">
    <cfRule type="expression" dxfId="862" priority="574">
      <formula>$H23="잔금"</formula>
    </cfRule>
  </conditionalFormatting>
  <conditionalFormatting sqref="O24">
    <cfRule type="expression" dxfId="861" priority="572">
      <formula>$H24="잔금"</formula>
    </cfRule>
  </conditionalFormatting>
  <conditionalFormatting sqref="L5">
    <cfRule type="expression" dxfId="860" priority="571">
      <formula>$G5="잔금"</formula>
    </cfRule>
  </conditionalFormatting>
  <conditionalFormatting sqref="H27:I28 H26 O28:P28 O26:P26 P27">
    <cfRule type="expression" dxfId="859" priority="570">
      <formula>$H26="잔금"</formula>
    </cfRule>
  </conditionalFormatting>
  <conditionalFormatting sqref="E27:E28">
    <cfRule type="expression" dxfId="858" priority="568">
      <formula>$H27="잔금"</formula>
    </cfRule>
    <cfRule type="expression" dxfId="857" priority="569">
      <formula>AND($H27&lt;&gt;"선금", $H27&lt;&gt;"")</formula>
    </cfRule>
  </conditionalFormatting>
  <conditionalFormatting sqref="B26:C28">
    <cfRule type="expression" dxfId="856" priority="567">
      <formula>$H26="잔금"</formula>
    </cfRule>
  </conditionalFormatting>
  <conditionalFormatting sqref="D26:D28">
    <cfRule type="expression" dxfId="855" priority="563">
      <formula>$H26="잔금"</formula>
    </cfRule>
    <cfRule type="expression" dxfId="854" priority="564">
      <formula>AND($H26&lt;&gt;"선금", $H26&lt;&gt;"")</formula>
    </cfRule>
  </conditionalFormatting>
  <conditionalFormatting sqref="D26:E26">
    <cfRule type="expression" dxfId="853" priority="566">
      <formula>AND($H26&lt;&gt;"선금", $H26&lt;&gt;"")</formula>
    </cfRule>
  </conditionalFormatting>
  <conditionalFormatting sqref="D26:G26">
    <cfRule type="expression" dxfId="852" priority="565">
      <formula>$H26="잔금"</formula>
    </cfRule>
  </conditionalFormatting>
  <conditionalFormatting sqref="F27:G28">
    <cfRule type="expression" dxfId="851" priority="562">
      <formula>$H27="잔금"</formula>
    </cfRule>
  </conditionalFormatting>
  <conditionalFormatting sqref="J26:N28">
    <cfRule type="expression" dxfId="850" priority="561">
      <formula>$H26="잔금"</formula>
    </cfRule>
  </conditionalFormatting>
  <conditionalFormatting sqref="I26">
    <cfRule type="expression" dxfId="849" priority="560">
      <formula>$H26="잔금"</formula>
    </cfRule>
  </conditionalFormatting>
  <conditionalFormatting sqref="S26:S28">
    <cfRule type="expression" dxfId="848" priority="559">
      <formula>$H26="잔금"</formula>
    </cfRule>
  </conditionalFormatting>
  <conditionalFormatting sqref="O27">
    <cfRule type="expression" dxfId="847" priority="558">
      <formula>$H27="잔금"</formula>
    </cfRule>
  </conditionalFormatting>
  <conditionalFormatting sqref="H30:I31 H29 O31:P31 O29:P29 P30">
    <cfRule type="expression" dxfId="846" priority="557">
      <formula>$H29="잔금"</formula>
    </cfRule>
  </conditionalFormatting>
  <conditionalFormatting sqref="E30:E31">
    <cfRule type="expression" dxfId="845" priority="555">
      <formula>$H30="잔금"</formula>
    </cfRule>
    <cfRule type="expression" dxfId="844" priority="556">
      <formula>AND($H30&lt;&gt;"선금", $H30&lt;&gt;"")</formula>
    </cfRule>
  </conditionalFormatting>
  <conditionalFormatting sqref="B29:C31">
    <cfRule type="expression" dxfId="843" priority="554">
      <formula>$H29="잔금"</formula>
    </cfRule>
  </conditionalFormatting>
  <conditionalFormatting sqref="D29:D31">
    <cfRule type="expression" dxfId="842" priority="550">
      <formula>$H29="잔금"</formula>
    </cfRule>
    <cfRule type="expression" dxfId="841" priority="551">
      <formula>AND($H29&lt;&gt;"선금", $H29&lt;&gt;"")</formula>
    </cfRule>
  </conditionalFormatting>
  <conditionalFormatting sqref="D29:E29">
    <cfRule type="expression" dxfId="840" priority="553">
      <formula>AND($H29&lt;&gt;"선금", $H29&lt;&gt;"")</formula>
    </cfRule>
  </conditionalFormatting>
  <conditionalFormatting sqref="D29:G29">
    <cfRule type="expression" dxfId="839" priority="552">
      <formula>$H29="잔금"</formula>
    </cfRule>
  </conditionalFormatting>
  <conditionalFormatting sqref="F30:G31">
    <cfRule type="expression" dxfId="838" priority="549">
      <formula>$H30="잔금"</formula>
    </cfRule>
  </conditionalFormatting>
  <conditionalFormatting sqref="J29:N30 J31:K31 M31:N31">
    <cfRule type="expression" dxfId="837" priority="548">
      <formula>$H29="잔금"</formula>
    </cfRule>
  </conditionalFormatting>
  <conditionalFormatting sqref="I29">
    <cfRule type="expression" dxfId="836" priority="547">
      <formula>$H29="잔금"</formula>
    </cfRule>
  </conditionalFormatting>
  <conditionalFormatting sqref="S29:S31">
    <cfRule type="expression" dxfId="835" priority="546">
      <formula>$H29="잔금"</formula>
    </cfRule>
  </conditionalFormatting>
  <conditionalFormatting sqref="O30">
    <cfRule type="expression" dxfId="834" priority="545">
      <formula>$H30="잔금"</formula>
    </cfRule>
  </conditionalFormatting>
  <conditionalFormatting sqref="H33:I34 H32 O34:P34 O32:P32 P33">
    <cfRule type="expression" dxfId="833" priority="544">
      <formula>$H32="잔금"</formula>
    </cfRule>
  </conditionalFormatting>
  <conditionalFormatting sqref="E33:E34">
    <cfRule type="expression" dxfId="832" priority="542">
      <formula>$H33="잔금"</formula>
    </cfRule>
    <cfRule type="expression" dxfId="831" priority="543">
      <formula>AND($H33&lt;&gt;"선금", $H33&lt;&gt;"")</formula>
    </cfRule>
  </conditionalFormatting>
  <conditionalFormatting sqref="B32:C34">
    <cfRule type="expression" dxfId="830" priority="541">
      <formula>$H32="잔금"</formula>
    </cfRule>
  </conditionalFormatting>
  <conditionalFormatting sqref="D32:D34">
    <cfRule type="expression" dxfId="829" priority="537">
      <formula>$H32="잔금"</formula>
    </cfRule>
    <cfRule type="expression" dxfId="828" priority="538">
      <formula>AND($H32&lt;&gt;"선금", $H32&lt;&gt;"")</formula>
    </cfRule>
  </conditionalFormatting>
  <conditionalFormatting sqref="D32:E32">
    <cfRule type="expression" dxfId="827" priority="540">
      <formula>AND($H32&lt;&gt;"선금", $H32&lt;&gt;"")</formula>
    </cfRule>
  </conditionalFormatting>
  <conditionalFormatting sqref="D32:G32">
    <cfRule type="expression" dxfId="826" priority="539">
      <formula>$H32="잔금"</formula>
    </cfRule>
  </conditionalFormatting>
  <conditionalFormatting sqref="F33:G33 F34">
    <cfRule type="expression" dxfId="825" priority="536">
      <formula>$H33="잔금"</formula>
    </cfRule>
  </conditionalFormatting>
  <conditionalFormatting sqref="J32:N34">
    <cfRule type="expression" dxfId="824" priority="535">
      <formula>$H32="잔금"</formula>
    </cfRule>
  </conditionalFormatting>
  <conditionalFormatting sqref="I32">
    <cfRule type="expression" dxfId="823" priority="534">
      <formula>$H32="잔금"</formula>
    </cfRule>
  </conditionalFormatting>
  <conditionalFormatting sqref="S32:S34">
    <cfRule type="expression" dxfId="822" priority="533">
      <formula>$H32="잔금"</formula>
    </cfRule>
  </conditionalFormatting>
  <conditionalFormatting sqref="O33">
    <cfRule type="expression" dxfId="821" priority="532">
      <formula>$H33="잔금"</formula>
    </cfRule>
  </conditionalFormatting>
  <conditionalFormatting sqref="H36:I37 H35 O37:P37 O35:P35 P36">
    <cfRule type="expression" dxfId="820" priority="531">
      <formula>$H35="잔금"</formula>
    </cfRule>
  </conditionalFormatting>
  <conditionalFormatting sqref="E36:E37">
    <cfRule type="expression" dxfId="819" priority="529">
      <formula>$H36="잔금"</formula>
    </cfRule>
    <cfRule type="expression" dxfId="818" priority="530">
      <formula>AND($H36&lt;&gt;"선금", $H36&lt;&gt;"")</formula>
    </cfRule>
  </conditionalFormatting>
  <conditionalFormatting sqref="B35:C37">
    <cfRule type="expression" dxfId="817" priority="528">
      <formula>$H35="잔금"</formula>
    </cfRule>
  </conditionalFormatting>
  <conditionalFormatting sqref="D35:D37">
    <cfRule type="expression" dxfId="816" priority="524">
      <formula>$H35="잔금"</formula>
    </cfRule>
    <cfRule type="expression" dxfId="815" priority="525">
      <formula>AND($H35&lt;&gt;"선금", $H35&lt;&gt;"")</formula>
    </cfRule>
  </conditionalFormatting>
  <conditionalFormatting sqref="D35:E35">
    <cfRule type="expression" dxfId="814" priority="527">
      <formula>AND($H35&lt;&gt;"선금", $H35&lt;&gt;"")</formula>
    </cfRule>
  </conditionalFormatting>
  <conditionalFormatting sqref="D35:G35">
    <cfRule type="expression" dxfId="813" priority="526">
      <formula>$H35="잔금"</formula>
    </cfRule>
  </conditionalFormatting>
  <conditionalFormatting sqref="F36:G36 F37">
    <cfRule type="expression" dxfId="812" priority="523">
      <formula>$H36="잔금"</formula>
    </cfRule>
  </conditionalFormatting>
  <conditionalFormatting sqref="J35:N37">
    <cfRule type="expression" dxfId="811" priority="522">
      <formula>$H35="잔금"</formula>
    </cfRule>
  </conditionalFormatting>
  <conditionalFormatting sqref="I35">
    <cfRule type="expression" dxfId="810" priority="521">
      <formula>$H35="잔금"</formula>
    </cfRule>
  </conditionalFormatting>
  <conditionalFormatting sqref="S35:S37">
    <cfRule type="expression" dxfId="809" priority="520">
      <formula>$H35="잔금"</formula>
    </cfRule>
  </conditionalFormatting>
  <conditionalFormatting sqref="O36">
    <cfRule type="expression" dxfId="808" priority="519">
      <formula>$H36="잔금"</formula>
    </cfRule>
  </conditionalFormatting>
  <conditionalFormatting sqref="H39:I40 H38 O40:P40 O38:P38 P39">
    <cfRule type="expression" dxfId="807" priority="518">
      <formula>$H38="잔금"</formula>
    </cfRule>
  </conditionalFormatting>
  <conditionalFormatting sqref="E39:E40">
    <cfRule type="expression" dxfId="806" priority="516">
      <formula>$H39="잔금"</formula>
    </cfRule>
    <cfRule type="expression" dxfId="805" priority="517">
      <formula>AND($H39&lt;&gt;"선금", $H39&lt;&gt;"")</formula>
    </cfRule>
  </conditionalFormatting>
  <conditionalFormatting sqref="B38:C40">
    <cfRule type="expression" dxfId="804" priority="515">
      <formula>$H38="잔금"</formula>
    </cfRule>
  </conditionalFormatting>
  <conditionalFormatting sqref="D38:D40">
    <cfRule type="expression" dxfId="803" priority="511">
      <formula>$H38="잔금"</formula>
    </cfRule>
    <cfRule type="expression" dxfId="802" priority="512">
      <formula>AND($H38&lt;&gt;"선금", $H38&lt;&gt;"")</formula>
    </cfRule>
  </conditionalFormatting>
  <conditionalFormatting sqref="D38:E38">
    <cfRule type="expression" dxfId="801" priority="514">
      <formula>AND($H38&lt;&gt;"선금", $H38&lt;&gt;"")</formula>
    </cfRule>
  </conditionalFormatting>
  <conditionalFormatting sqref="D38:G38">
    <cfRule type="expression" dxfId="800" priority="513">
      <formula>$H38="잔금"</formula>
    </cfRule>
  </conditionalFormatting>
  <conditionalFormatting sqref="F39:G39 F40">
    <cfRule type="expression" dxfId="799" priority="510">
      <formula>$H39="잔금"</formula>
    </cfRule>
  </conditionalFormatting>
  <conditionalFormatting sqref="J38:N40">
    <cfRule type="expression" dxfId="798" priority="509">
      <formula>$H38="잔금"</formula>
    </cfRule>
  </conditionalFormatting>
  <conditionalFormatting sqref="I38">
    <cfRule type="expression" dxfId="797" priority="508">
      <formula>$H38="잔금"</formula>
    </cfRule>
  </conditionalFormatting>
  <conditionalFormatting sqref="S38:S40">
    <cfRule type="expression" dxfId="796" priority="507">
      <formula>$H38="잔금"</formula>
    </cfRule>
  </conditionalFormatting>
  <conditionalFormatting sqref="O39">
    <cfRule type="expression" dxfId="795" priority="506">
      <formula>$H39="잔금"</formula>
    </cfRule>
  </conditionalFormatting>
  <conditionalFormatting sqref="H42:I43 H41 O43:P43 O41:P41 P42">
    <cfRule type="expression" dxfId="794" priority="505">
      <formula>$H41="잔금"</formula>
    </cfRule>
  </conditionalFormatting>
  <conditionalFormatting sqref="E42:E43">
    <cfRule type="expression" dxfId="793" priority="503">
      <formula>$H42="잔금"</formula>
    </cfRule>
    <cfRule type="expression" dxfId="792" priority="504">
      <formula>AND($H42&lt;&gt;"선금", $H42&lt;&gt;"")</formula>
    </cfRule>
  </conditionalFormatting>
  <conditionalFormatting sqref="B41:C43">
    <cfRule type="expression" dxfId="791" priority="502">
      <formula>$H41="잔금"</formula>
    </cfRule>
  </conditionalFormatting>
  <conditionalFormatting sqref="D41:D43">
    <cfRule type="expression" dxfId="790" priority="498">
      <formula>$H41="잔금"</formula>
    </cfRule>
    <cfRule type="expression" dxfId="789" priority="499">
      <formula>AND($H41&lt;&gt;"선금", $H41&lt;&gt;"")</formula>
    </cfRule>
  </conditionalFormatting>
  <conditionalFormatting sqref="D41:E41">
    <cfRule type="expression" dxfId="788" priority="501">
      <formula>AND($H41&lt;&gt;"선금", $H41&lt;&gt;"")</formula>
    </cfRule>
  </conditionalFormatting>
  <conditionalFormatting sqref="D41:G41">
    <cfRule type="expression" dxfId="787" priority="500">
      <formula>$H41="잔금"</formula>
    </cfRule>
  </conditionalFormatting>
  <conditionalFormatting sqref="F42:G42 F43">
    <cfRule type="expression" dxfId="786" priority="497">
      <formula>$H42="잔금"</formula>
    </cfRule>
  </conditionalFormatting>
  <conditionalFormatting sqref="J41:N42 J43:K43 M43:N43">
    <cfRule type="expression" dxfId="785" priority="496">
      <formula>$H41="잔금"</formula>
    </cfRule>
  </conditionalFormatting>
  <conditionalFormatting sqref="S41:S43">
    <cfRule type="expression" dxfId="784" priority="494">
      <formula>$H41="잔금"</formula>
    </cfRule>
  </conditionalFormatting>
  <conditionalFormatting sqref="O42">
    <cfRule type="expression" dxfId="783" priority="493">
      <formula>$H42="잔금"</formula>
    </cfRule>
  </conditionalFormatting>
  <conditionalFormatting sqref="H45:I46 H44 O46:P46 O44:P44 P45">
    <cfRule type="expression" dxfId="782" priority="492">
      <formula>$H44="잔금"</formula>
    </cfRule>
  </conditionalFormatting>
  <conditionalFormatting sqref="E45:E46">
    <cfRule type="expression" dxfId="781" priority="490">
      <formula>$H45="잔금"</formula>
    </cfRule>
    <cfRule type="expression" dxfId="780" priority="491">
      <formula>AND($H45&lt;&gt;"선금", $H45&lt;&gt;"")</formula>
    </cfRule>
  </conditionalFormatting>
  <conditionalFormatting sqref="B44:C46">
    <cfRule type="expression" dxfId="779" priority="489">
      <formula>$H44="잔금"</formula>
    </cfRule>
  </conditionalFormatting>
  <conditionalFormatting sqref="D44:D46">
    <cfRule type="expression" dxfId="778" priority="485">
      <formula>$H44="잔금"</formula>
    </cfRule>
    <cfRule type="expression" dxfId="777" priority="486">
      <formula>AND($H44&lt;&gt;"선금", $H44&lt;&gt;"")</formula>
    </cfRule>
  </conditionalFormatting>
  <conditionalFormatting sqref="D44:E44">
    <cfRule type="expression" dxfId="776" priority="488">
      <formula>AND($H44&lt;&gt;"선금", $H44&lt;&gt;"")</formula>
    </cfRule>
  </conditionalFormatting>
  <conditionalFormatting sqref="D44:G44">
    <cfRule type="expression" dxfId="775" priority="487">
      <formula>$H44="잔금"</formula>
    </cfRule>
  </conditionalFormatting>
  <conditionalFormatting sqref="F45:G45 F46">
    <cfRule type="expression" dxfId="774" priority="484">
      <formula>$H45="잔금"</formula>
    </cfRule>
  </conditionalFormatting>
  <conditionalFormatting sqref="J44:N45 J46 M46:N46">
    <cfRule type="expression" dxfId="773" priority="483">
      <formula>$H44="잔금"</formula>
    </cfRule>
  </conditionalFormatting>
  <conditionalFormatting sqref="S44:S46">
    <cfRule type="expression" dxfId="772" priority="481">
      <formula>$H44="잔금"</formula>
    </cfRule>
  </conditionalFormatting>
  <conditionalFormatting sqref="O45">
    <cfRule type="expression" dxfId="771" priority="480">
      <formula>$H45="잔금"</formula>
    </cfRule>
  </conditionalFormatting>
  <conditionalFormatting sqref="H48:I49 H47 O49:P49 O47:P47 P48">
    <cfRule type="expression" dxfId="770" priority="479">
      <formula>$H47="잔금"</formula>
    </cfRule>
  </conditionalFormatting>
  <conditionalFormatting sqref="E48:E49">
    <cfRule type="expression" dxfId="769" priority="477">
      <formula>$H48="잔금"</formula>
    </cfRule>
    <cfRule type="expression" dxfId="768" priority="478">
      <formula>AND($H48&lt;&gt;"선금", $H48&lt;&gt;"")</formula>
    </cfRule>
  </conditionalFormatting>
  <conditionalFormatting sqref="B47:C49">
    <cfRule type="expression" dxfId="767" priority="476">
      <formula>$H47="잔금"</formula>
    </cfRule>
  </conditionalFormatting>
  <conditionalFormatting sqref="D47:D49">
    <cfRule type="expression" dxfId="766" priority="472">
      <formula>$H47="잔금"</formula>
    </cfRule>
    <cfRule type="expression" dxfId="765" priority="473">
      <formula>AND($H47&lt;&gt;"선금", $H47&lt;&gt;"")</formula>
    </cfRule>
  </conditionalFormatting>
  <conditionalFormatting sqref="D47:E47">
    <cfRule type="expression" dxfId="764" priority="475">
      <formula>AND($H47&lt;&gt;"선금", $H47&lt;&gt;"")</formula>
    </cfRule>
  </conditionalFormatting>
  <conditionalFormatting sqref="D47:G47">
    <cfRule type="expression" dxfId="763" priority="474">
      <formula>$H47="잔금"</formula>
    </cfRule>
  </conditionalFormatting>
  <conditionalFormatting sqref="F48:G48 F49">
    <cfRule type="expression" dxfId="762" priority="471">
      <formula>$H48="잔금"</formula>
    </cfRule>
  </conditionalFormatting>
  <conditionalFormatting sqref="J47:N48 J49:K49 M49:N49">
    <cfRule type="expression" dxfId="761" priority="470">
      <formula>$H47="잔금"</formula>
    </cfRule>
  </conditionalFormatting>
  <conditionalFormatting sqref="S47:S49">
    <cfRule type="expression" dxfId="760" priority="468">
      <formula>$H47="잔금"</formula>
    </cfRule>
  </conditionalFormatting>
  <conditionalFormatting sqref="O48">
    <cfRule type="expression" dxfId="759" priority="467">
      <formula>$H48="잔금"</formula>
    </cfRule>
  </conditionalFormatting>
  <conditionalFormatting sqref="H51:I52 H50 O52:P52 O50:P50 P51">
    <cfRule type="expression" dxfId="758" priority="466">
      <formula>$H50="잔금"</formula>
    </cfRule>
  </conditionalFormatting>
  <conditionalFormatting sqref="E51:E52">
    <cfRule type="expression" dxfId="757" priority="464">
      <formula>$H51="잔금"</formula>
    </cfRule>
    <cfRule type="expression" dxfId="756" priority="465">
      <formula>AND($H51&lt;&gt;"선금", $H51&lt;&gt;"")</formula>
    </cfRule>
  </conditionalFormatting>
  <conditionalFormatting sqref="B50:C52">
    <cfRule type="expression" dxfId="755" priority="463">
      <formula>$H50="잔금"</formula>
    </cfRule>
  </conditionalFormatting>
  <conditionalFormatting sqref="D50:D52">
    <cfRule type="expression" dxfId="754" priority="459">
      <formula>$H50="잔금"</formula>
    </cfRule>
    <cfRule type="expression" dxfId="753" priority="460">
      <formula>AND($H50&lt;&gt;"선금", $H50&lt;&gt;"")</formula>
    </cfRule>
  </conditionalFormatting>
  <conditionalFormatting sqref="D50:E50">
    <cfRule type="expression" dxfId="752" priority="462">
      <formula>AND($H50&lt;&gt;"선금", $H50&lt;&gt;"")</formula>
    </cfRule>
  </conditionalFormatting>
  <conditionalFormatting sqref="D50:G50">
    <cfRule type="expression" dxfId="751" priority="461">
      <formula>$H50="잔금"</formula>
    </cfRule>
  </conditionalFormatting>
  <conditionalFormatting sqref="F51:G51 F52">
    <cfRule type="expression" dxfId="750" priority="458">
      <formula>$H51="잔금"</formula>
    </cfRule>
  </conditionalFormatting>
  <conditionalFormatting sqref="J50:N52">
    <cfRule type="expression" dxfId="749" priority="457">
      <formula>$H50="잔금"</formula>
    </cfRule>
  </conditionalFormatting>
  <conditionalFormatting sqref="S50:S52">
    <cfRule type="expression" dxfId="748" priority="455">
      <formula>$H50="잔금"</formula>
    </cfRule>
  </conditionalFormatting>
  <conditionalFormatting sqref="O51">
    <cfRule type="expression" dxfId="747" priority="454">
      <formula>$H51="잔금"</formula>
    </cfRule>
  </conditionalFormatting>
  <conditionalFormatting sqref="H54:I55 H53 O55:P55 O53:P53 P54">
    <cfRule type="expression" dxfId="746" priority="453">
      <formula>$H53="잔금"</formula>
    </cfRule>
  </conditionalFormatting>
  <conditionalFormatting sqref="E54:E55">
    <cfRule type="expression" dxfId="745" priority="451">
      <formula>$H54="잔금"</formula>
    </cfRule>
    <cfRule type="expression" dxfId="744" priority="452">
      <formula>AND($H54&lt;&gt;"선금", $H54&lt;&gt;"")</formula>
    </cfRule>
  </conditionalFormatting>
  <conditionalFormatting sqref="B53:C55">
    <cfRule type="expression" dxfId="743" priority="450">
      <formula>$H53="잔금"</formula>
    </cfRule>
  </conditionalFormatting>
  <conditionalFormatting sqref="D53:D55">
    <cfRule type="expression" dxfId="742" priority="446">
      <formula>$H53="잔금"</formula>
    </cfRule>
    <cfRule type="expression" dxfId="741" priority="447">
      <formula>AND($H53&lt;&gt;"선금", $H53&lt;&gt;"")</formula>
    </cfRule>
  </conditionalFormatting>
  <conditionalFormatting sqref="D53:E53">
    <cfRule type="expression" dxfId="740" priority="449">
      <formula>AND($H53&lt;&gt;"선금", $H53&lt;&gt;"")</formula>
    </cfRule>
  </conditionalFormatting>
  <conditionalFormatting sqref="D53:G53">
    <cfRule type="expression" dxfId="739" priority="448">
      <formula>$H53="잔금"</formula>
    </cfRule>
  </conditionalFormatting>
  <conditionalFormatting sqref="F54:G54 F55">
    <cfRule type="expression" dxfId="738" priority="445">
      <formula>$H54="잔금"</formula>
    </cfRule>
  </conditionalFormatting>
  <conditionalFormatting sqref="J53:N55">
    <cfRule type="expression" dxfId="737" priority="444">
      <formula>$H53="잔금"</formula>
    </cfRule>
  </conditionalFormatting>
  <conditionalFormatting sqref="S53:S55">
    <cfRule type="expression" dxfId="736" priority="442">
      <formula>$H53="잔금"</formula>
    </cfRule>
  </conditionalFormatting>
  <conditionalFormatting sqref="O54">
    <cfRule type="expression" dxfId="735" priority="441">
      <formula>$H54="잔금"</formula>
    </cfRule>
  </conditionalFormatting>
  <conditionalFormatting sqref="H57:I58 H56 O58:P58 O56:P56 P57">
    <cfRule type="expression" dxfId="734" priority="440">
      <formula>$H56="잔금"</formula>
    </cfRule>
  </conditionalFormatting>
  <conditionalFormatting sqref="E57:E58">
    <cfRule type="expression" dxfId="733" priority="438">
      <formula>$H57="잔금"</formula>
    </cfRule>
    <cfRule type="expression" dxfId="732" priority="439">
      <formula>AND($H57&lt;&gt;"선금", $H57&lt;&gt;"")</formula>
    </cfRule>
  </conditionalFormatting>
  <conditionalFormatting sqref="B56:C58">
    <cfRule type="expression" dxfId="731" priority="437">
      <formula>$H56="잔금"</formula>
    </cfRule>
  </conditionalFormatting>
  <conditionalFormatting sqref="D56:D58">
    <cfRule type="expression" dxfId="730" priority="433">
      <formula>$H56="잔금"</formula>
    </cfRule>
    <cfRule type="expression" dxfId="729" priority="434">
      <formula>AND($H56&lt;&gt;"선금", $H56&lt;&gt;"")</formula>
    </cfRule>
  </conditionalFormatting>
  <conditionalFormatting sqref="D56:E56">
    <cfRule type="expression" dxfId="728" priority="436">
      <formula>AND($H56&lt;&gt;"선금", $H56&lt;&gt;"")</formula>
    </cfRule>
  </conditionalFormatting>
  <conditionalFormatting sqref="D56:G56">
    <cfRule type="expression" dxfId="727" priority="435">
      <formula>$H56="잔금"</formula>
    </cfRule>
  </conditionalFormatting>
  <conditionalFormatting sqref="F57:G57 F58">
    <cfRule type="expression" dxfId="726" priority="432">
      <formula>$H57="잔금"</formula>
    </cfRule>
  </conditionalFormatting>
  <conditionalFormatting sqref="J56:N58">
    <cfRule type="expression" dxfId="725" priority="431">
      <formula>$H56="잔금"</formula>
    </cfRule>
  </conditionalFormatting>
  <conditionalFormatting sqref="S56:S58">
    <cfRule type="expression" dxfId="724" priority="429">
      <formula>$H56="잔금"</formula>
    </cfRule>
  </conditionalFormatting>
  <conditionalFormatting sqref="O57">
    <cfRule type="expression" dxfId="723" priority="428">
      <formula>$H57="잔금"</formula>
    </cfRule>
  </conditionalFormatting>
  <conditionalFormatting sqref="H60:I61 H59 O61:P61 O59:P59 P60">
    <cfRule type="expression" dxfId="722" priority="427">
      <formula>$H59="잔금"</formula>
    </cfRule>
  </conditionalFormatting>
  <conditionalFormatting sqref="E60:E61">
    <cfRule type="expression" dxfId="721" priority="425">
      <formula>$H60="잔금"</formula>
    </cfRule>
    <cfRule type="expression" dxfId="720" priority="426">
      <formula>AND($H60&lt;&gt;"선금", $H60&lt;&gt;"")</formula>
    </cfRule>
  </conditionalFormatting>
  <conditionalFormatting sqref="B59:C61">
    <cfRule type="expression" dxfId="719" priority="424">
      <formula>$H59="잔금"</formula>
    </cfRule>
  </conditionalFormatting>
  <conditionalFormatting sqref="D59:D61">
    <cfRule type="expression" dxfId="718" priority="420">
      <formula>$H59="잔금"</formula>
    </cfRule>
    <cfRule type="expression" dxfId="717" priority="421">
      <formula>AND($H59&lt;&gt;"선금", $H59&lt;&gt;"")</formula>
    </cfRule>
  </conditionalFormatting>
  <conditionalFormatting sqref="D59:E59">
    <cfRule type="expression" dxfId="716" priority="423">
      <formula>AND($H59&lt;&gt;"선금", $H59&lt;&gt;"")</formula>
    </cfRule>
  </conditionalFormatting>
  <conditionalFormatting sqref="D59:G59">
    <cfRule type="expression" dxfId="715" priority="422">
      <formula>$H59="잔금"</formula>
    </cfRule>
  </conditionalFormatting>
  <conditionalFormatting sqref="F60:G60 F61">
    <cfRule type="expression" dxfId="714" priority="419">
      <formula>$H60="잔금"</formula>
    </cfRule>
  </conditionalFormatting>
  <conditionalFormatting sqref="J59:N61">
    <cfRule type="expression" dxfId="713" priority="418">
      <formula>$H59="잔금"</formula>
    </cfRule>
  </conditionalFormatting>
  <conditionalFormatting sqref="S59:S61">
    <cfRule type="expression" dxfId="712" priority="416">
      <formula>$H59="잔금"</formula>
    </cfRule>
  </conditionalFormatting>
  <conditionalFormatting sqref="O60">
    <cfRule type="expression" dxfId="711" priority="415">
      <formula>$H60="잔금"</formula>
    </cfRule>
  </conditionalFormatting>
  <conditionalFormatting sqref="H63:I64 H62 O64:P64 O62:P62 P63">
    <cfRule type="expression" dxfId="710" priority="414">
      <formula>$H62="잔금"</formula>
    </cfRule>
  </conditionalFormatting>
  <conditionalFormatting sqref="E63:E64">
    <cfRule type="expression" dxfId="709" priority="412">
      <formula>$H63="잔금"</formula>
    </cfRule>
    <cfRule type="expression" dxfId="708" priority="413">
      <formula>AND($H63&lt;&gt;"선금", $H63&lt;&gt;"")</formula>
    </cfRule>
  </conditionalFormatting>
  <conditionalFormatting sqref="B62:C64">
    <cfRule type="expression" dxfId="707" priority="411">
      <formula>$H62="잔금"</formula>
    </cfRule>
  </conditionalFormatting>
  <conditionalFormatting sqref="D62:D64">
    <cfRule type="expression" dxfId="706" priority="407">
      <formula>$H62="잔금"</formula>
    </cfRule>
    <cfRule type="expression" dxfId="705" priority="408">
      <formula>AND($H62&lt;&gt;"선금", $H62&lt;&gt;"")</formula>
    </cfRule>
  </conditionalFormatting>
  <conditionalFormatting sqref="D62:E62">
    <cfRule type="expression" dxfId="704" priority="410">
      <formula>AND($H62&lt;&gt;"선금", $H62&lt;&gt;"")</formula>
    </cfRule>
  </conditionalFormatting>
  <conditionalFormatting sqref="D62:G62">
    <cfRule type="expression" dxfId="703" priority="409">
      <formula>$H62="잔금"</formula>
    </cfRule>
  </conditionalFormatting>
  <conditionalFormatting sqref="F63:G64">
    <cfRule type="expression" dxfId="702" priority="406">
      <formula>$H63="잔금"</formula>
    </cfRule>
  </conditionalFormatting>
  <conditionalFormatting sqref="J62:N64">
    <cfRule type="expression" dxfId="701" priority="405">
      <formula>$H62="잔금"</formula>
    </cfRule>
  </conditionalFormatting>
  <conditionalFormatting sqref="S62:S64">
    <cfRule type="expression" dxfId="700" priority="403">
      <formula>$H62="잔금"</formula>
    </cfRule>
  </conditionalFormatting>
  <conditionalFormatting sqref="O63">
    <cfRule type="expression" dxfId="699" priority="402">
      <formula>$H63="잔금"</formula>
    </cfRule>
  </conditionalFormatting>
  <conditionalFormatting sqref="H66:I67 H65 O67:P67 O65:P65 P66">
    <cfRule type="expression" dxfId="698" priority="401">
      <formula>$H65="잔금"</formula>
    </cfRule>
  </conditionalFormatting>
  <conditionalFormatting sqref="E66:E67">
    <cfRule type="expression" dxfId="697" priority="399">
      <formula>$H66="잔금"</formula>
    </cfRule>
    <cfRule type="expression" dxfId="696" priority="400">
      <formula>AND($H66&lt;&gt;"선금", $H66&lt;&gt;"")</formula>
    </cfRule>
  </conditionalFormatting>
  <conditionalFormatting sqref="B65:C67">
    <cfRule type="expression" dxfId="695" priority="398">
      <formula>$H65="잔금"</formula>
    </cfRule>
  </conditionalFormatting>
  <conditionalFormatting sqref="D65:D67">
    <cfRule type="expression" dxfId="694" priority="394">
      <formula>$H65="잔금"</formula>
    </cfRule>
    <cfRule type="expression" dxfId="693" priority="395">
      <formula>AND($H65&lt;&gt;"선금", $H65&lt;&gt;"")</formula>
    </cfRule>
  </conditionalFormatting>
  <conditionalFormatting sqref="D65:E65">
    <cfRule type="expression" dxfId="692" priority="397">
      <formula>AND($H65&lt;&gt;"선금", $H65&lt;&gt;"")</formula>
    </cfRule>
  </conditionalFormatting>
  <conditionalFormatting sqref="D65:G65">
    <cfRule type="expression" dxfId="691" priority="396">
      <formula>$H65="잔금"</formula>
    </cfRule>
  </conditionalFormatting>
  <conditionalFormatting sqref="F66:G67">
    <cfRule type="expression" dxfId="690" priority="393">
      <formula>$H66="잔금"</formula>
    </cfRule>
  </conditionalFormatting>
  <conditionalFormatting sqref="J65:N67">
    <cfRule type="expression" dxfId="689" priority="392">
      <formula>$H65="잔금"</formula>
    </cfRule>
  </conditionalFormatting>
  <conditionalFormatting sqref="S65:S67">
    <cfRule type="expression" dxfId="688" priority="390">
      <formula>$H65="잔금"</formula>
    </cfRule>
  </conditionalFormatting>
  <conditionalFormatting sqref="O66">
    <cfRule type="expression" dxfId="687" priority="389">
      <formula>$H66="잔금"</formula>
    </cfRule>
  </conditionalFormatting>
  <conditionalFormatting sqref="H69:I70 H68 O70:P70 O68:P68 P69">
    <cfRule type="expression" dxfId="686" priority="388">
      <formula>$H68="잔금"</formula>
    </cfRule>
  </conditionalFormatting>
  <conditionalFormatting sqref="E69:E70">
    <cfRule type="expression" dxfId="685" priority="386">
      <formula>$H69="잔금"</formula>
    </cfRule>
    <cfRule type="expression" dxfId="684" priority="387">
      <formula>AND($H69&lt;&gt;"선금", $H69&lt;&gt;"")</formula>
    </cfRule>
  </conditionalFormatting>
  <conditionalFormatting sqref="B68:C70">
    <cfRule type="expression" dxfId="683" priority="385">
      <formula>$H68="잔금"</formula>
    </cfRule>
  </conditionalFormatting>
  <conditionalFormatting sqref="D68:D70">
    <cfRule type="expression" dxfId="682" priority="381">
      <formula>$H68="잔금"</formula>
    </cfRule>
    <cfRule type="expression" dxfId="681" priority="382">
      <formula>AND($H68&lt;&gt;"선금", $H68&lt;&gt;"")</formula>
    </cfRule>
  </conditionalFormatting>
  <conditionalFormatting sqref="D68:E68">
    <cfRule type="expression" dxfId="680" priority="384">
      <formula>AND($H68&lt;&gt;"선금", $H68&lt;&gt;"")</formula>
    </cfRule>
  </conditionalFormatting>
  <conditionalFormatting sqref="D68:G68">
    <cfRule type="expression" dxfId="679" priority="383">
      <formula>$H68="잔금"</formula>
    </cfRule>
  </conditionalFormatting>
  <conditionalFormatting sqref="F69:G69 F70">
    <cfRule type="expression" dxfId="678" priority="380">
      <formula>$H69="잔금"</formula>
    </cfRule>
  </conditionalFormatting>
  <conditionalFormatting sqref="J68:N70">
    <cfRule type="expression" dxfId="677" priority="379">
      <formula>$H68="잔금"</formula>
    </cfRule>
  </conditionalFormatting>
  <conditionalFormatting sqref="S68:S70">
    <cfRule type="expression" dxfId="676" priority="377">
      <formula>$H68="잔금"</formula>
    </cfRule>
  </conditionalFormatting>
  <conditionalFormatting sqref="O69">
    <cfRule type="expression" dxfId="675" priority="376">
      <formula>$H69="잔금"</formula>
    </cfRule>
  </conditionalFormatting>
  <conditionalFormatting sqref="H72:I73 H71 O73 O71:P71 P72">
    <cfRule type="expression" dxfId="674" priority="375">
      <formula>$H71="잔금"</formula>
    </cfRule>
  </conditionalFormatting>
  <conditionalFormatting sqref="E72:E73">
    <cfRule type="expression" dxfId="673" priority="373">
      <formula>$H72="잔금"</formula>
    </cfRule>
    <cfRule type="expression" dxfId="672" priority="374">
      <formula>AND($H72&lt;&gt;"선금", $H72&lt;&gt;"")</formula>
    </cfRule>
  </conditionalFormatting>
  <conditionalFormatting sqref="B71:C73">
    <cfRule type="expression" dxfId="671" priority="372">
      <formula>$H71="잔금"</formula>
    </cfRule>
  </conditionalFormatting>
  <conditionalFormatting sqref="D71:D73">
    <cfRule type="expression" dxfId="670" priority="368">
      <formula>$H71="잔금"</formula>
    </cfRule>
    <cfRule type="expression" dxfId="669" priority="369">
      <formula>AND($H71&lt;&gt;"선금", $H71&lt;&gt;"")</formula>
    </cfRule>
  </conditionalFormatting>
  <conditionalFormatting sqref="D71:E71">
    <cfRule type="expression" dxfId="668" priority="371">
      <formula>AND($H71&lt;&gt;"선금", $H71&lt;&gt;"")</formula>
    </cfRule>
  </conditionalFormatting>
  <conditionalFormatting sqref="D71:G71">
    <cfRule type="expression" dxfId="667" priority="370">
      <formula>$H71="잔금"</formula>
    </cfRule>
  </conditionalFormatting>
  <conditionalFormatting sqref="F72:G72 F73">
    <cfRule type="expression" dxfId="666" priority="367">
      <formula>$H72="잔금"</formula>
    </cfRule>
  </conditionalFormatting>
  <conditionalFormatting sqref="J71:N73">
    <cfRule type="expression" dxfId="665" priority="366">
      <formula>$H71="잔금"</formula>
    </cfRule>
  </conditionalFormatting>
  <conditionalFormatting sqref="S71:S73">
    <cfRule type="expression" dxfId="664" priority="364">
      <formula>$H71="잔금"</formula>
    </cfRule>
  </conditionalFormatting>
  <conditionalFormatting sqref="O72">
    <cfRule type="expression" dxfId="663" priority="363">
      <formula>$H72="잔금"</formula>
    </cfRule>
  </conditionalFormatting>
  <conditionalFormatting sqref="P73">
    <cfRule type="expression" dxfId="662" priority="362">
      <formula>$H73="잔금"</formula>
    </cfRule>
  </conditionalFormatting>
  <conditionalFormatting sqref="H75:I76 H74 O76 O74:P74 P75">
    <cfRule type="expression" dxfId="661" priority="361">
      <formula>$H74="잔금"</formula>
    </cfRule>
  </conditionalFormatting>
  <conditionalFormatting sqref="E75:E76">
    <cfRule type="expression" dxfId="660" priority="359">
      <formula>$H75="잔금"</formula>
    </cfRule>
    <cfRule type="expression" dxfId="659" priority="360">
      <formula>AND($H75&lt;&gt;"선금", $H75&lt;&gt;"")</formula>
    </cfRule>
  </conditionalFormatting>
  <conditionalFormatting sqref="B74:C76">
    <cfRule type="expression" dxfId="658" priority="358">
      <formula>$H74="잔금"</formula>
    </cfRule>
  </conditionalFormatting>
  <conditionalFormatting sqref="D74:D76">
    <cfRule type="expression" dxfId="657" priority="354">
      <formula>$H74="잔금"</formula>
    </cfRule>
    <cfRule type="expression" dxfId="656" priority="355">
      <formula>AND($H74&lt;&gt;"선금", $H74&lt;&gt;"")</formula>
    </cfRule>
  </conditionalFormatting>
  <conditionalFormatting sqref="D74:E74">
    <cfRule type="expression" dxfId="655" priority="357">
      <formula>AND($H74&lt;&gt;"선금", $H74&lt;&gt;"")</formula>
    </cfRule>
  </conditionalFormatting>
  <conditionalFormatting sqref="D74:G74">
    <cfRule type="expression" dxfId="654" priority="356">
      <formula>$H74="잔금"</formula>
    </cfRule>
  </conditionalFormatting>
  <conditionalFormatting sqref="F75:G75 F76">
    <cfRule type="expression" dxfId="653" priority="353">
      <formula>$H75="잔금"</formula>
    </cfRule>
  </conditionalFormatting>
  <conditionalFormatting sqref="J74:N76">
    <cfRule type="expression" dxfId="652" priority="352">
      <formula>$H74="잔금"</formula>
    </cfRule>
  </conditionalFormatting>
  <conditionalFormatting sqref="S74:S76">
    <cfRule type="expression" dxfId="651" priority="350">
      <formula>$H74="잔금"</formula>
    </cfRule>
  </conditionalFormatting>
  <conditionalFormatting sqref="O75">
    <cfRule type="expression" dxfId="650" priority="349">
      <formula>$H75="잔금"</formula>
    </cfRule>
  </conditionalFormatting>
  <conditionalFormatting sqref="P76">
    <cfRule type="expression" dxfId="649" priority="348">
      <formula>$H76="잔금"</formula>
    </cfRule>
  </conditionalFormatting>
  <conditionalFormatting sqref="H78:I79 H77 O79 O77:P77 P78">
    <cfRule type="expression" dxfId="648" priority="347">
      <formula>$H77="잔금"</formula>
    </cfRule>
  </conditionalFormatting>
  <conditionalFormatting sqref="E78:E79">
    <cfRule type="expression" dxfId="647" priority="345">
      <formula>$H78="잔금"</formula>
    </cfRule>
    <cfRule type="expression" dxfId="646" priority="346">
      <formula>AND($H78&lt;&gt;"선금", $H78&lt;&gt;"")</formula>
    </cfRule>
  </conditionalFormatting>
  <conditionalFormatting sqref="B77:C79">
    <cfRule type="expression" dxfId="645" priority="344">
      <formula>$H77="잔금"</formula>
    </cfRule>
  </conditionalFormatting>
  <conditionalFormatting sqref="D77:D79">
    <cfRule type="expression" dxfId="644" priority="340">
      <formula>$H77="잔금"</formula>
    </cfRule>
    <cfRule type="expression" dxfId="643" priority="341">
      <formula>AND($H77&lt;&gt;"선금", $H77&lt;&gt;"")</formula>
    </cfRule>
  </conditionalFormatting>
  <conditionalFormatting sqref="D77:E77">
    <cfRule type="expression" dxfId="642" priority="343">
      <formula>AND($H77&lt;&gt;"선금", $H77&lt;&gt;"")</formula>
    </cfRule>
  </conditionalFormatting>
  <conditionalFormatting sqref="D77:G77">
    <cfRule type="expression" dxfId="641" priority="342">
      <formula>$H77="잔금"</formula>
    </cfRule>
  </conditionalFormatting>
  <conditionalFormatting sqref="F78:G78 F79">
    <cfRule type="expression" dxfId="640" priority="339">
      <formula>$H78="잔금"</formula>
    </cfRule>
  </conditionalFormatting>
  <conditionalFormatting sqref="J77:N79">
    <cfRule type="expression" dxfId="639" priority="338">
      <formula>$H77="잔금"</formula>
    </cfRule>
  </conditionalFormatting>
  <conditionalFormatting sqref="S77:S79">
    <cfRule type="expression" dxfId="638" priority="336">
      <formula>$H77="잔금"</formula>
    </cfRule>
  </conditionalFormatting>
  <conditionalFormatting sqref="O78">
    <cfRule type="expression" dxfId="637" priority="335">
      <formula>$H78="잔금"</formula>
    </cfRule>
  </conditionalFormatting>
  <conditionalFormatting sqref="P79">
    <cfRule type="expression" dxfId="636" priority="334">
      <formula>$H79="잔금"</formula>
    </cfRule>
  </conditionalFormatting>
  <conditionalFormatting sqref="H81:I82 H80 O82 O80:P80 P81">
    <cfRule type="expression" dxfId="635" priority="333">
      <formula>$H80="잔금"</formula>
    </cfRule>
  </conditionalFormatting>
  <conditionalFormatting sqref="E81:E82">
    <cfRule type="expression" dxfId="634" priority="331">
      <formula>$H81="잔금"</formula>
    </cfRule>
    <cfRule type="expression" dxfId="633" priority="332">
      <formula>AND($H81&lt;&gt;"선금", $H81&lt;&gt;"")</formula>
    </cfRule>
  </conditionalFormatting>
  <conditionalFormatting sqref="B80:C82 B83:B94">
    <cfRule type="expression" dxfId="632" priority="330">
      <formula>$H80="잔금"</formula>
    </cfRule>
  </conditionalFormatting>
  <conditionalFormatting sqref="D80:D82">
    <cfRule type="expression" dxfId="631" priority="326">
      <formula>$H80="잔금"</formula>
    </cfRule>
    <cfRule type="expression" dxfId="630" priority="327">
      <formula>AND($H80&lt;&gt;"선금", $H80&lt;&gt;"")</formula>
    </cfRule>
  </conditionalFormatting>
  <conditionalFormatting sqref="D80:E80">
    <cfRule type="expression" dxfId="629" priority="329">
      <formula>AND($H80&lt;&gt;"선금", $H80&lt;&gt;"")</formula>
    </cfRule>
  </conditionalFormatting>
  <conditionalFormatting sqref="D80:G80">
    <cfRule type="expression" dxfId="628" priority="328">
      <formula>$H80="잔금"</formula>
    </cfRule>
  </conditionalFormatting>
  <conditionalFormatting sqref="F81:G81 F82">
    <cfRule type="expression" dxfId="627" priority="325">
      <formula>$H81="잔금"</formula>
    </cfRule>
  </conditionalFormatting>
  <conditionalFormatting sqref="J80:N82">
    <cfRule type="expression" dxfId="626" priority="324">
      <formula>$H80="잔금"</formula>
    </cfRule>
  </conditionalFormatting>
  <conditionalFormatting sqref="I80">
    <cfRule type="expression" dxfId="625" priority="323">
      <formula>$H80="잔금"</formula>
    </cfRule>
  </conditionalFormatting>
  <conditionalFormatting sqref="S80:S82">
    <cfRule type="expression" dxfId="624" priority="322">
      <formula>$H80="잔금"</formula>
    </cfRule>
  </conditionalFormatting>
  <conditionalFormatting sqref="O81">
    <cfRule type="expression" dxfId="623" priority="321">
      <formula>$H81="잔금"</formula>
    </cfRule>
  </conditionalFormatting>
  <conditionalFormatting sqref="P82">
    <cfRule type="expression" dxfId="622" priority="320">
      <formula>$H82="잔금"</formula>
    </cfRule>
  </conditionalFormatting>
  <conditionalFormatting sqref="I41">
    <cfRule type="expression" dxfId="621" priority="273">
      <formula>$H41="잔금"</formula>
    </cfRule>
  </conditionalFormatting>
  <conditionalFormatting sqref="I44">
    <cfRule type="expression" dxfId="620" priority="272">
      <formula>$H44="잔금"</formula>
    </cfRule>
  </conditionalFormatting>
  <conditionalFormatting sqref="I47">
    <cfRule type="expression" dxfId="619" priority="271">
      <formula>$H47="잔금"</formula>
    </cfRule>
  </conditionalFormatting>
  <conditionalFormatting sqref="I50">
    <cfRule type="expression" dxfId="618" priority="270">
      <formula>$H50="잔금"</formula>
    </cfRule>
  </conditionalFormatting>
  <conditionalFormatting sqref="I53">
    <cfRule type="expression" dxfId="617" priority="269">
      <formula>$H53="잔금"</formula>
    </cfRule>
  </conditionalFormatting>
  <conditionalFormatting sqref="I56">
    <cfRule type="expression" dxfId="616" priority="268">
      <formula>$H56="잔금"</formula>
    </cfRule>
  </conditionalFormatting>
  <conditionalFormatting sqref="I59">
    <cfRule type="expression" dxfId="615" priority="267">
      <formula>$H59="잔금"</formula>
    </cfRule>
  </conditionalFormatting>
  <conditionalFormatting sqref="I62">
    <cfRule type="expression" dxfId="614" priority="266">
      <formula>$H62="잔금"</formula>
    </cfRule>
  </conditionalFormatting>
  <conditionalFormatting sqref="I65">
    <cfRule type="expression" dxfId="613" priority="265">
      <formula>$H65="잔금"</formula>
    </cfRule>
  </conditionalFormatting>
  <conditionalFormatting sqref="I68">
    <cfRule type="expression" dxfId="612" priority="264">
      <formula>$H68="잔금"</formula>
    </cfRule>
  </conditionalFormatting>
  <conditionalFormatting sqref="I71">
    <cfRule type="expression" dxfId="611" priority="263">
      <formula>$H71="잔금"</formula>
    </cfRule>
  </conditionalFormatting>
  <conditionalFormatting sqref="I74">
    <cfRule type="expression" dxfId="610" priority="262">
      <formula>$H74="잔금"</formula>
    </cfRule>
  </conditionalFormatting>
  <conditionalFormatting sqref="I77">
    <cfRule type="expression" dxfId="609" priority="261">
      <formula>$H77="잔금"</formula>
    </cfRule>
  </conditionalFormatting>
  <conditionalFormatting sqref="T12">
    <cfRule type="expression" dxfId="608" priority="254">
      <formula>$H12="잔금"</formula>
    </cfRule>
  </conditionalFormatting>
  <conditionalFormatting sqref="T10">
    <cfRule type="expression" dxfId="607" priority="249">
      <formula>$H10="잔금"</formula>
    </cfRule>
  </conditionalFormatting>
  <conditionalFormatting sqref="T8">
    <cfRule type="expression" dxfId="606" priority="253">
      <formula>$H8="잔금"</formula>
    </cfRule>
  </conditionalFormatting>
  <conditionalFormatting sqref="T9">
    <cfRule type="expression" dxfId="605" priority="252">
      <formula>$H9="잔금"</formula>
    </cfRule>
  </conditionalFormatting>
  <conditionalFormatting sqref="T11">
    <cfRule type="expression" dxfId="604" priority="251">
      <formula>$H11="잔금"</formula>
    </cfRule>
  </conditionalFormatting>
  <conditionalFormatting sqref="T13">
    <cfRule type="expression" dxfId="603" priority="250">
      <formula>$H13="잔금"</formula>
    </cfRule>
  </conditionalFormatting>
  <conditionalFormatting sqref="T15">
    <cfRule type="expression" dxfId="602" priority="248">
      <formula>$H15="잔금"</formula>
    </cfRule>
  </conditionalFormatting>
  <conditionalFormatting sqref="T14">
    <cfRule type="expression" dxfId="601" priority="247">
      <formula>$H14="잔금"</formula>
    </cfRule>
  </conditionalFormatting>
  <conditionalFormatting sqref="T16">
    <cfRule type="expression" dxfId="600" priority="246">
      <formula>$H16="잔금"</formula>
    </cfRule>
  </conditionalFormatting>
  <conditionalFormatting sqref="T18">
    <cfRule type="expression" dxfId="599" priority="245">
      <formula>$H18="잔금"</formula>
    </cfRule>
  </conditionalFormatting>
  <conditionalFormatting sqref="T17">
    <cfRule type="expression" dxfId="598" priority="244">
      <formula>$H17="잔금"</formula>
    </cfRule>
  </conditionalFormatting>
  <conditionalFormatting sqref="T19">
    <cfRule type="expression" dxfId="597" priority="243">
      <formula>$H19="잔금"</formula>
    </cfRule>
  </conditionalFormatting>
  <conditionalFormatting sqref="T21">
    <cfRule type="expression" dxfId="596" priority="242">
      <formula>$H21="잔금"</formula>
    </cfRule>
  </conditionalFormatting>
  <conditionalFormatting sqref="T20">
    <cfRule type="expression" dxfId="595" priority="241">
      <formula>$H20="잔금"</formula>
    </cfRule>
  </conditionalFormatting>
  <conditionalFormatting sqref="T22">
    <cfRule type="expression" dxfId="594" priority="240">
      <formula>$H22="잔금"</formula>
    </cfRule>
  </conditionalFormatting>
  <conditionalFormatting sqref="T23:T25">
    <cfRule type="expression" dxfId="593" priority="239">
      <formula>$H23="잔금"</formula>
    </cfRule>
  </conditionalFormatting>
  <conditionalFormatting sqref="T26:T28">
    <cfRule type="expression" dxfId="592" priority="238">
      <formula>$H26="잔금"</formula>
    </cfRule>
  </conditionalFormatting>
  <conditionalFormatting sqref="T29:T31">
    <cfRule type="expression" dxfId="591" priority="237">
      <formula>$H29="잔금"</formula>
    </cfRule>
  </conditionalFormatting>
  <conditionalFormatting sqref="T32:T34">
    <cfRule type="expression" dxfId="590" priority="236">
      <formula>$H32="잔금"</formula>
    </cfRule>
  </conditionalFormatting>
  <conditionalFormatting sqref="T35:T37">
    <cfRule type="expression" dxfId="589" priority="235">
      <formula>$H35="잔금"</formula>
    </cfRule>
  </conditionalFormatting>
  <conditionalFormatting sqref="T38:T40">
    <cfRule type="expression" dxfId="588" priority="234">
      <formula>$H38="잔금"</formula>
    </cfRule>
  </conditionalFormatting>
  <conditionalFormatting sqref="T41:T43">
    <cfRule type="expression" dxfId="587" priority="233">
      <formula>$H41="잔금"</formula>
    </cfRule>
  </conditionalFormatting>
  <conditionalFormatting sqref="T44:T46">
    <cfRule type="expression" dxfId="586" priority="232">
      <formula>$H44="잔금"</formula>
    </cfRule>
  </conditionalFormatting>
  <conditionalFormatting sqref="T47:T49">
    <cfRule type="expression" dxfId="585" priority="231">
      <formula>$H47="잔금"</formula>
    </cfRule>
  </conditionalFormatting>
  <conditionalFormatting sqref="T50:T52">
    <cfRule type="expression" dxfId="584" priority="230">
      <formula>$H50="잔금"</formula>
    </cfRule>
  </conditionalFormatting>
  <conditionalFormatting sqref="T53:T55">
    <cfRule type="expression" dxfId="583" priority="229">
      <formula>$H53="잔금"</formula>
    </cfRule>
  </conditionalFormatting>
  <conditionalFormatting sqref="T56:T58">
    <cfRule type="expression" dxfId="582" priority="228">
      <formula>$H56="잔금"</formula>
    </cfRule>
  </conditionalFormatting>
  <conditionalFormatting sqref="T59:T61">
    <cfRule type="expression" dxfId="581" priority="227">
      <formula>$H59="잔금"</formula>
    </cfRule>
  </conditionalFormatting>
  <conditionalFormatting sqref="T62:T64">
    <cfRule type="expression" dxfId="580" priority="226">
      <formula>$H62="잔금"</formula>
    </cfRule>
  </conditionalFormatting>
  <conditionalFormatting sqref="T65:T67">
    <cfRule type="expression" dxfId="579" priority="225">
      <formula>$H65="잔금"</formula>
    </cfRule>
  </conditionalFormatting>
  <conditionalFormatting sqref="T68:T70">
    <cfRule type="expression" dxfId="578" priority="224">
      <formula>$H68="잔금"</formula>
    </cfRule>
  </conditionalFormatting>
  <conditionalFormatting sqref="T71:T73">
    <cfRule type="expression" dxfId="577" priority="223">
      <formula>$H71="잔금"</formula>
    </cfRule>
  </conditionalFormatting>
  <conditionalFormatting sqref="T74:T76">
    <cfRule type="expression" dxfId="576" priority="222">
      <formula>$H74="잔금"</formula>
    </cfRule>
  </conditionalFormatting>
  <conditionalFormatting sqref="T77:T79">
    <cfRule type="expression" dxfId="575" priority="221">
      <formula>$H77="잔금"</formula>
    </cfRule>
  </conditionalFormatting>
  <conditionalFormatting sqref="T80:T82">
    <cfRule type="expression" dxfId="574" priority="220">
      <formula>$H80="잔금"</formula>
    </cfRule>
  </conditionalFormatting>
  <conditionalFormatting sqref="G34">
    <cfRule type="expression" dxfId="573" priority="216">
      <formula>$H34="잔금"</formula>
    </cfRule>
  </conditionalFormatting>
  <conditionalFormatting sqref="G37">
    <cfRule type="expression" dxfId="572" priority="215">
      <formula>$H37="잔금"</formula>
    </cfRule>
  </conditionalFormatting>
  <conditionalFormatting sqref="G40">
    <cfRule type="expression" dxfId="571" priority="214">
      <formula>$H40="잔금"</formula>
    </cfRule>
  </conditionalFormatting>
  <conditionalFormatting sqref="G43">
    <cfRule type="expression" dxfId="570" priority="213">
      <formula>$H43="잔금"</formula>
    </cfRule>
  </conditionalFormatting>
  <conditionalFormatting sqref="G46">
    <cfRule type="expression" dxfId="569" priority="212">
      <formula>$H46="잔금"</formula>
    </cfRule>
  </conditionalFormatting>
  <conditionalFormatting sqref="G49">
    <cfRule type="expression" dxfId="568" priority="211">
      <formula>$H49="잔금"</formula>
    </cfRule>
  </conditionalFormatting>
  <conditionalFormatting sqref="G52">
    <cfRule type="expression" dxfId="567" priority="210">
      <formula>$H52="잔금"</formula>
    </cfRule>
  </conditionalFormatting>
  <conditionalFormatting sqref="G55">
    <cfRule type="expression" dxfId="566" priority="209">
      <formula>$H55="잔금"</formula>
    </cfRule>
  </conditionalFormatting>
  <conditionalFormatting sqref="G58">
    <cfRule type="expression" dxfId="565" priority="208">
      <formula>$H58="잔금"</formula>
    </cfRule>
  </conditionalFormatting>
  <conditionalFormatting sqref="G61">
    <cfRule type="expression" dxfId="564" priority="207">
      <formula>$H61="잔금"</formula>
    </cfRule>
  </conditionalFormatting>
  <conditionalFormatting sqref="G70">
    <cfRule type="expression" dxfId="563" priority="206">
      <formula>$H70="잔금"</formula>
    </cfRule>
  </conditionalFormatting>
  <conditionalFormatting sqref="G73">
    <cfRule type="expression" dxfId="562" priority="205">
      <formula>$H73="잔금"</formula>
    </cfRule>
  </conditionalFormatting>
  <conditionalFormatting sqref="G76">
    <cfRule type="expression" dxfId="561" priority="204">
      <formula>$H76="잔금"</formula>
    </cfRule>
  </conditionalFormatting>
  <conditionalFormatting sqref="G79">
    <cfRule type="expression" dxfId="560" priority="203">
      <formula>$H79="잔금"</formula>
    </cfRule>
  </conditionalFormatting>
  <conditionalFormatting sqref="G82">
    <cfRule type="expression" dxfId="559" priority="202">
      <formula>$H82="잔금"</formula>
    </cfRule>
  </conditionalFormatting>
  <conditionalFormatting sqref="H84:I85 H83 O85 O83:P83 P84">
    <cfRule type="expression" dxfId="558" priority="178">
      <formula>$H83="잔금"</formula>
    </cfRule>
  </conditionalFormatting>
  <conditionalFormatting sqref="E84:E85">
    <cfRule type="expression" dxfId="557" priority="176">
      <formula>$H84="잔금"</formula>
    </cfRule>
    <cfRule type="expression" dxfId="556" priority="177">
      <formula>AND($H84&lt;&gt;"선금", $H84&lt;&gt;"")</formula>
    </cfRule>
  </conditionalFormatting>
  <conditionalFormatting sqref="C83:C85">
    <cfRule type="expression" dxfId="555" priority="175">
      <formula>$H83="잔금"</formula>
    </cfRule>
  </conditionalFormatting>
  <conditionalFormatting sqref="D84:D85">
    <cfRule type="expression" dxfId="554" priority="171">
      <formula>$H84="잔금"</formula>
    </cfRule>
    <cfRule type="expression" dxfId="553" priority="172">
      <formula>AND($H84&lt;&gt;"선금", $H84&lt;&gt;"")</formula>
    </cfRule>
  </conditionalFormatting>
  <conditionalFormatting sqref="E83">
    <cfRule type="expression" dxfId="552" priority="174">
      <formula>AND($H83&lt;&gt;"선금", $H83&lt;&gt;"")</formula>
    </cfRule>
  </conditionalFormatting>
  <conditionalFormatting sqref="E83:G83">
    <cfRule type="expression" dxfId="551" priority="173">
      <formula>$H83="잔금"</formula>
    </cfRule>
  </conditionalFormatting>
  <conditionalFormatting sqref="F84:G84 F85">
    <cfRule type="expression" dxfId="550" priority="170">
      <formula>$H84="잔금"</formula>
    </cfRule>
  </conditionalFormatting>
  <conditionalFormatting sqref="J83:N85">
    <cfRule type="expression" dxfId="549" priority="169">
      <formula>$H83="잔금"</formula>
    </cfRule>
  </conditionalFormatting>
  <conditionalFormatting sqref="I83">
    <cfRule type="expression" dxfId="548" priority="168">
      <formula>$H83="잔금"</formula>
    </cfRule>
  </conditionalFormatting>
  <conditionalFormatting sqref="S83:S85">
    <cfRule type="expression" dxfId="547" priority="167">
      <formula>$H83="잔금"</formula>
    </cfRule>
  </conditionalFormatting>
  <conditionalFormatting sqref="O84">
    <cfRule type="expression" dxfId="546" priority="166">
      <formula>$H84="잔금"</formula>
    </cfRule>
  </conditionalFormatting>
  <conditionalFormatting sqref="P85">
    <cfRule type="expression" dxfId="545" priority="165">
      <formula>$H85="잔금"</formula>
    </cfRule>
  </conditionalFormatting>
  <conditionalFormatting sqref="D83">
    <cfRule type="expression" dxfId="544" priority="161">
      <formula>$H83="잔금"</formula>
    </cfRule>
    <cfRule type="expression" dxfId="543" priority="162">
      <formula>AND($H83&lt;&gt;"선금", $H83&lt;&gt;"")</formula>
    </cfRule>
  </conditionalFormatting>
  <conditionalFormatting sqref="D83">
    <cfRule type="expression" dxfId="542" priority="164">
      <formula>AND($H83&lt;&gt;"선금", $H83&lt;&gt;"")</formula>
    </cfRule>
  </conditionalFormatting>
  <conditionalFormatting sqref="D83">
    <cfRule type="expression" dxfId="541" priority="163">
      <formula>$H83="잔금"</formula>
    </cfRule>
  </conditionalFormatting>
  <conditionalFormatting sqref="T83:T85">
    <cfRule type="expression" dxfId="540" priority="160">
      <formula>$H83="잔금"</formula>
    </cfRule>
  </conditionalFormatting>
  <conditionalFormatting sqref="G85">
    <cfRule type="expression" dxfId="539" priority="159">
      <formula>$H85="잔금"</formula>
    </cfRule>
  </conditionalFormatting>
  <conditionalFormatting sqref="T4">
    <cfRule type="expression" dxfId="538" priority="157">
      <formula>$H4="잔금"</formula>
    </cfRule>
  </conditionalFormatting>
  <conditionalFormatting sqref="T2">
    <cfRule type="expression" dxfId="537" priority="158">
      <formula>$H2="잔금"</formula>
    </cfRule>
  </conditionalFormatting>
  <conditionalFormatting sqref="T3">
    <cfRule type="expression" dxfId="536" priority="156">
      <formula>$H3="잔금"</formula>
    </cfRule>
  </conditionalFormatting>
  <conditionalFormatting sqref="T6">
    <cfRule type="expression" dxfId="535" priority="155">
      <formula>$H6="잔금"</formula>
    </cfRule>
  </conditionalFormatting>
  <conditionalFormatting sqref="T5">
    <cfRule type="expression" dxfId="534" priority="154">
      <formula>$H5="잔금"</formula>
    </cfRule>
  </conditionalFormatting>
  <conditionalFormatting sqref="T7">
    <cfRule type="expression" dxfId="533" priority="153">
      <formula>$H7="잔금"</formula>
    </cfRule>
  </conditionalFormatting>
  <conditionalFormatting sqref="V6:W6">
    <cfRule type="expression" dxfId="532" priority="151">
      <formula>$H6="잔금"</formula>
    </cfRule>
  </conditionalFormatting>
  <conditionalFormatting sqref="V4:W4">
    <cfRule type="expression" dxfId="531" priority="146">
      <formula>$H4="잔금"</formula>
    </cfRule>
  </conditionalFormatting>
  <conditionalFormatting sqref="V2:W2">
    <cfRule type="expression" dxfId="530" priority="150">
      <formula>$H2="잔금"</formula>
    </cfRule>
  </conditionalFormatting>
  <conditionalFormatting sqref="V3:W3">
    <cfRule type="expression" dxfId="529" priority="149">
      <formula>$H3="잔금"</formula>
    </cfRule>
  </conditionalFormatting>
  <conditionalFormatting sqref="V5:W5">
    <cfRule type="expression" dxfId="528" priority="148">
      <formula>$H5="잔금"</formula>
    </cfRule>
  </conditionalFormatting>
  <conditionalFormatting sqref="V7:W7">
    <cfRule type="expression" dxfId="527" priority="147">
      <formula>$H7="잔금"</formula>
    </cfRule>
  </conditionalFormatting>
  <conditionalFormatting sqref="V12:W12">
    <cfRule type="expression" dxfId="526" priority="145">
      <formula>$H12="잔금"</formula>
    </cfRule>
  </conditionalFormatting>
  <conditionalFormatting sqref="V10:W10">
    <cfRule type="expression" dxfId="525" priority="140">
      <formula>$H10="잔금"</formula>
    </cfRule>
  </conditionalFormatting>
  <conditionalFormatting sqref="V8:W8">
    <cfRule type="expression" dxfId="524" priority="144">
      <formula>$H8="잔금"</formula>
    </cfRule>
  </conditionalFormatting>
  <conditionalFormatting sqref="V9:W9">
    <cfRule type="expression" dxfId="523" priority="143">
      <formula>$H9="잔금"</formula>
    </cfRule>
  </conditionalFormatting>
  <conditionalFormatting sqref="V11:W11">
    <cfRule type="expression" dxfId="522" priority="142">
      <formula>$H11="잔금"</formula>
    </cfRule>
  </conditionalFormatting>
  <conditionalFormatting sqref="V13:W13">
    <cfRule type="expression" dxfId="521" priority="141">
      <formula>$H13="잔금"</formula>
    </cfRule>
  </conditionalFormatting>
  <conditionalFormatting sqref="V15:W15">
    <cfRule type="expression" dxfId="520" priority="139">
      <formula>$H15="잔금"</formula>
    </cfRule>
  </conditionalFormatting>
  <conditionalFormatting sqref="V14:W14">
    <cfRule type="expression" dxfId="519" priority="138">
      <formula>$H14="잔금"</formula>
    </cfRule>
  </conditionalFormatting>
  <conditionalFormatting sqref="V16:W16">
    <cfRule type="expression" dxfId="518" priority="137">
      <formula>$H16="잔금"</formula>
    </cfRule>
  </conditionalFormatting>
  <conditionalFormatting sqref="V18:W18">
    <cfRule type="expression" dxfId="517" priority="136">
      <formula>$H18="잔금"</formula>
    </cfRule>
  </conditionalFormatting>
  <conditionalFormatting sqref="V17:W17">
    <cfRule type="expression" dxfId="516" priority="135">
      <formula>$H17="잔금"</formula>
    </cfRule>
  </conditionalFormatting>
  <conditionalFormatting sqref="V19:W19">
    <cfRule type="expression" dxfId="515" priority="134">
      <formula>$H19="잔금"</formula>
    </cfRule>
  </conditionalFormatting>
  <conditionalFormatting sqref="V21:W21">
    <cfRule type="expression" dxfId="514" priority="133">
      <formula>$H21="잔금"</formula>
    </cfRule>
  </conditionalFormatting>
  <conditionalFormatting sqref="V20:W20">
    <cfRule type="expression" dxfId="513" priority="132">
      <formula>$H20="잔금"</formula>
    </cfRule>
  </conditionalFormatting>
  <conditionalFormatting sqref="V22:W22">
    <cfRule type="expression" dxfId="512" priority="131">
      <formula>$H22="잔금"</formula>
    </cfRule>
  </conditionalFormatting>
  <conditionalFormatting sqref="V23:W25">
    <cfRule type="expression" dxfId="511" priority="130">
      <formula>$H23="잔금"</formula>
    </cfRule>
  </conditionalFormatting>
  <conditionalFormatting sqref="V26:W28">
    <cfRule type="expression" dxfId="510" priority="129">
      <formula>$H26="잔금"</formula>
    </cfRule>
  </conditionalFormatting>
  <conditionalFormatting sqref="V29:W31">
    <cfRule type="expression" dxfId="509" priority="128">
      <formula>$H29="잔금"</formula>
    </cfRule>
  </conditionalFormatting>
  <conditionalFormatting sqref="V32:W34">
    <cfRule type="expression" dxfId="508" priority="127">
      <formula>$H32="잔금"</formula>
    </cfRule>
  </conditionalFormatting>
  <conditionalFormatting sqref="V35:W37">
    <cfRule type="expression" dxfId="507" priority="126">
      <formula>$H35="잔금"</formula>
    </cfRule>
  </conditionalFormatting>
  <conditionalFormatting sqref="V38:W40">
    <cfRule type="expression" dxfId="506" priority="125">
      <formula>$H38="잔금"</formula>
    </cfRule>
  </conditionalFormatting>
  <conditionalFormatting sqref="V41:W43">
    <cfRule type="expression" dxfId="505" priority="124">
      <formula>$H41="잔금"</formula>
    </cfRule>
  </conditionalFormatting>
  <conditionalFormatting sqref="V44:W46">
    <cfRule type="expression" dxfId="504" priority="123">
      <formula>$H44="잔금"</formula>
    </cfRule>
  </conditionalFormatting>
  <conditionalFormatting sqref="V47:W49">
    <cfRule type="expression" dxfId="503" priority="122">
      <formula>$H47="잔금"</formula>
    </cfRule>
  </conditionalFormatting>
  <conditionalFormatting sqref="V50:W52">
    <cfRule type="expression" dxfId="502" priority="121">
      <formula>$H50="잔금"</formula>
    </cfRule>
  </conditionalFormatting>
  <conditionalFormatting sqref="V53:W55">
    <cfRule type="expression" dxfId="501" priority="120">
      <formula>$H53="잔금"</formula>
    </cfRule>
  </conditionalFormatting>
  <conditionalFormatting sqref="V56:W58">
    <cfRule type="expression" dxfId="500" priority="119">
      <formula>$H56="잔금"</formula>
    </cfRule>
  </conditionalFormatting>
  <conditionalFormatting sqref="V59:W61">
    <cfRule type="expression" dxfId="499" priority="118">
      <formula>$H59="잔금"</formula>
    </cfRule>
  </conditionalFormatting>
  <conditionalFormatting sqref="V62:W64">
    <cfRule type="expression" dxfId="498" priority="117">
      <formula>$H62="잔금"</formula>
    </cfRule>
  </conditionalFormatting>
  <conditionalFormatting sqref="V65:W67">
    <cfRule type="expression" dxfId="497" priority="116">
      <formula>$H65="잔금"</formula>
    </cfRule>
  </conditionalFormatting>
  <conditionalFormatting sqref="V68:W70">
    <cfRule type="expression" dxfId="496" priority="115">
      <formula>$H68="잔금"</formula>
    </cfRule>
  </conditionalFormatting>
  <conditionalFormatting sqref="V71:W73">
    <cfRule type="expression" dxfId="495" priority="114">
      <formula>$H71="잔금"</formula>
    </cfRule>
  </conditionalFormatting>
  <conditionalFormatting sqref="V74:W76">
    <cfRule type="expression" dxfId="494" priority="113">
      <formula>$H74="잔금"</formula>
    </cfRule>
  </conditionalFormatting>
  <conditionalFormatting sqref="V77:W79">
    <cfRule type="expression" dxfId="493" priority="112">
      <formula>$H77="잔금"</formula>
    </cfRule>
  </conditionalFormatting>
  <conditionalFormatting sqref="V80:W82">
    <cfRule type="expression" dxfId="492" priority="111">
      <formula>$H80="잔금"</formula>
    </cfRule>
  </conditionalFormatting>
  <conditionalFormatting sqref="V83:W85">
    <cfRule type="expression" dxfId="491" priority="106">
      <formula>$H83="잔금"</formula>
    </cfRule>
  </conditionalFormatting>
  <conditionalFormatting sqref="L23">
    <cfRule type="expression" dxfId="490" priority="104">
      <formula>$H23="잔금"</formula>
    </cfRule>
  </conditionalFormatting>
  <conditionalFormatting sqref="L24">
    <cfRule type="expression" dxfId="489" priority="103">
      <formula>$H24="잔금"</formula>
    </cfRule>
  </conditionalFormatting>
  <conditionalFormatting sqref="Q86:Q88">
    <cfRule type="expression" dxfId="488" priority="102">
      <formula>$H86="잔금"</formula>
    </cfRule>
  </conditionalFormatting>
  <conditionalFormatting sqref="H87:I88 H86 O88 O86:P86 P87">
    <cfRule type="expression" dxfId="487" priority="101">
      <formula>$H86="잔금"</formula>
    </cfRule>
  </conditionalFormatting>
  <conditionalFormatting sqref="E87:E88">
    <cfRule type="expression" dxfId="486" priority="99">
      <formula>$H87="잔금"</formula>
    </cfRule>
    <cfRule type="expression" dxfId="485" priority="100">
      <formula>AND($H87&lt;&gt;"선금", $H87&lt;&gt;"")</formula>
    </cfRule>
  </conditionalFormatting>
  <conditionalFormatting sqref="C86:C88">
    <cfRule type="expression" dxfId="484" priority="98">
      <formula>$H86="잔금"</formula>
    </cfRule>
  </conditionalFormatting>
  <conditionalFormatting sqref="D87:D88">
    <cfRule type="expression" dxfId="483" priority="94">
      <formula>$H87="잔금"</formula>
    </cfRule>
    <cfRule type="expression" dxfId="482" priority="95">
      <formula>AND($H87&lt;&gt;"선금", $H87&lt;&gt;"")</formula>
    </cfRule>
  </conditionalFormatting>
  <conditionalFormatting sqref="E86">
    <cfRule type="expression" dxfId="481" priority="97">
      <formula>AND($H86&lt;&gt;"선금", $H86&lt;&gt;"")</formula>
    </cfRule>
  </conditionalFormatting>
  <conditionalFormatting sqref="E86:G86">
    <cfRule type="expression" dxfId="480" priority="96">
      <formula>$H86="잔금"</formula>
    </cfRule>
  </conditionalFormatting>
  <conditionalFormatting sqref="F87:G87 F88">
    <cfRule type="expression" dxfId="479" priority="93">
      <formula>$H87="잔금"</formula>
    </cfRule>
  </conditionalFormatting>
  <conditionalFormatting sqref="J86:N87 J88:K88 M88:N88">
    <cfRule type="expression" dxfId="478" priority="92">
      <formula>$H86="잔금"</formula>
    </cfRule>
  </conditionalFormatting>
  <conditionalFormatting sqref="I86">
    <cfRule type="expression" dxfId="477" priority="91">
      <formula>$H86="잔금"</formula>
    </cfRule>
  </conditionalFormatting>
  <conditionalFormatting sqref="S86:S88">
    <cfRule type="expression" dxfId="476" priority="90">
      <formula>$H86="잔금"</formula>
    </cfRule>
  </conditionalFormatting>
  <conditionalFormatting sqref="O87">
    <cfRule type="expression" dxfId="475" priority="89">
      <formula>$H87="잔금"</formula>
    </cfRule>
  </conditionalFormatting>
  <conditionalFormatting sqref="D86">
    <cfRule type="expression" dxfId="474" priority="84">
      <formula>$H86="잔금"</formula>
    </cfRule>
    <cfRule type="expression" dxfId="473" priority="85">
      <formula>AND($H86&lt;&gt;"선금", $H86&lt;&gt;"")</formula>
    </cfRule>
  </conditionalFormatting>
  <conditionalFormatting sqref="D86">
    <cfRule type="expression" dxfId="472" priority="87">
      <formula>AND($H86&lt;&gt;"선금", $H86&lt;&gt;"")</formula>
    </cfRule>
  </conditionalFormatting>
  <conditionalFormatting sqref="D86">
    <cfRule type="expression" dxfId="471" priority="86">
      <formula>$H86="잔금"</formula>
    </cfRule>
  </conditionalFormatting>
  <conditionalFormatting sqref="T86:T88">
    <cfRule type="expression" dxfId="470" priority="83">
      <formula>$H86="잔금"</formula>
    </cfRule>
  </conditionalFormatting>
  <conditionalFormatting sqref="G88">
    <cfRule type="expression" dxfId="469" priority="82">
      <formula>$H88="잔금"</formula>
    </cfRule>
  </conditionalFormatting>
  <conditionalFormatting sqref="V86:W88">
    <cfRule type="expression" dxfId="468" priority="81">
      <formula>$H86="잔금"</formula>
    </cfRule>
  </conditionalFormatting>
  <conditionalFormatting sqref="Q89:Q91">
    <cfRule type="expression" dxfId="467" priority="80">
      <formula>$H89="잔금"</formula>
    </cfRule>
  </conditionalFormatting>
  <conditionalFormatting sqref="H90:I91 H89 O91 O89:P89 P90">
    <cfRule type="expression" dxfId="466" priority="79">
      <formula>$H89="잔금"</formula>
    </cfRule>
  </conditionalFormatting>
  <conditionalFormatting sqref="E90:E91">
    <cfRule type="expression" dxfId="465" priority="77">
      <formula>$H90="잔금"</formula>
    </cfRule>
    <cfRule type="expression" dxfId="464" priority="78">
      <formula>AND($H90&lt;&gt;"선금", $H90&lt;&gt;"")</formula>
    </cfRule>
  </conditionalFormatting>
  <conditionalFormatting sqref="C89:C91">
    <cfRule type="expression" dxfId="463" priority="76">
      <formula>$H89="잔금"</formula>
    </cfRule>
  </conditionalFormatting>
  <conditionalFormatting sqref="D90:D91">
    <cfRule type="expression" dxfId="462" priority="72">
      <formula>$H90="잔금"</formula>
    </cfRule>
    <cfRule type="expression" dxfId="461" priority="73">
      <formula>AND($H90&lt;&gt;"선금", $H90&lt;&gt;"")</formula>
    </cfRule>
  </conditionalFormatting>
  <conditionalFormatting sqref="E89">
    <cfRule type="expression" dxfId="460" priority="75">
      <formula>AND($H89&lt;&gt;"선금", $H89&lt;&gt;"")</formula>
    </cfRule>
  </conditionalFormatting>
  <conditionalFormatting sqref="E89:G89">
    <cfRule type="expression" dxfId="459" priority="74">
      <formula>$H89="잔금"</formula>
    </cfRule>
  </conditionalFormatting>
  <conditionalFormatting sqref="F90:G90 F91">
    <cfRule type="expression" dxfId="458" priority="71">
      <formula>$H90="잔금"</formula>
    </cfRule>
  </conditionalFormatting>
  <conditionalFormatting sqref="J89:N91">
    <cfRule type="expression" dxfId="457" priority="70">
      <formula>$H89="잔금"</formula>
    </cfRule>
  </conditionalFormatting>
  <conditionalFormatting sqref="I89">
    <cfRule type="expression" dxfId="456" priority="69">
      <formula>$H89="잔금"</formula>
    </cfRule>
  </conditionalFormatting>
  <conditionalFormatting sqref="S89:S91">
    <cfRule type="expression" dxfId="455" priority="68">
      <formula>$H89="잔금"</formula>
    </cfRule>
  </conditionalFormatting>
  <conditionalFormatting sqref="O90">
    <cfRule type="expression" dxfId="454" priority="67">
      <formula>$H90="잔금"</formula>
    </cfRule>
  </conditionalFormatting>
  <conditionalFormatting sqref="P91">
    <cfRule type="expression" dxfId="453" priority="66">
      <formula>$H91="잔금"</formula>
    </cfRule>
  </conditionalFormatting>
  <conditionalFormatting sqref="T89:T91">
    <cfRule type="expression" dxfId="452" priority="61">
      <formula>$H89="잔금"</formula>
    </cfRule>
  </conditionalFormatting>
  <conditionalFormatting sqref="G91">
    <cfRule type="expression" dxfId="451" priority="60">
      <formula>$H91="잔금"</formula>
    </cfRule>
  </conditionalFormatting>
  <conditionalFormatting sqref="V89:W91">
    <cfRule type="expression" dxfId="450" priority="59">
      <formula>$H89="잔금"</formula>
    </cfRule>
  </conditionalFormatting>
  <conditionalFormatting sqref="D89">
    <cfRule type="expression" dxfId="449" priority="55">
      <formula>$H89="잔금"</formula>
    </cfRule>
    <cfRule type="expression" dxfId="448" priority="56">
      <formula>AND($H89&lt;&gt;"선금", $H89&lt;&gt;"")</formula>
    </cfRule>
  </conditionalFormatting>
  <conditionalFormatting sqref="D89">
    <cfRule type="expression" dxfId="447" priority="58">
      <formula>AND($H89&lt;&gt;"선금", $H89&lt;&gt;"")</formula>
    </cfRule>
  </conditionalFormatting>
  <conditionalFormatting sqref="D89">
    <cfRule type="expression" dxfId="446" priority="57">
      <formula>$H89="잔금"</formula>
    </cfRule>
  </conditionalFormatting>
  <conditionalFormatting sqref="L13">
    <cfRule type="expression" dxfId="445" priority="54">
      <formula>$H13="잔금"</formula>
    </cfRule>
  </conditionalFormatting>
  <conditionalFormatting sqref="Q92:Q94">
    <cfRule type="expression" dxfId="444" priority="53">
      <formula>$H92="잔금"</formula>
    </cfRule>
  </conditionalFormatting>
  <conditionalFormatting sqref="H93:I94 H92 O94 O92:P92 P93">
    <cfRule type="expression" dxfId="443" priority="52">
      <formula>$H92="잔금"</formula>
    </cfRule>
  </conditionalFormatting>
  <conditionalFormatting sqref="E93:E94">
    <cfRule type="expression" dxfId="442" priority="50">
      <formula>$H93="잔금"</formula>
    </cfRule>
    <cfRule type="expression" dxfId="441" priority="51">
      <formula>AND($H93&lt;&gt;"선금", $H93&lt;&gt;"")</formula>
    </cfRule>
  </conditionalFormatting>
  <conditionalFormatting sqref="C92:C94">
    <cfRule type="expression" dxfId="440" priority="49">
      <formula>$H92="잔금"</formula>
    </cfRule>
  </conditionalFormatting>
  <conditionalFormatting sqref="D93:D94">
    <cfRule type="expression" dxfId="439" priority="45">
      <formula>$H93="잔금"</formula>
    </cfRule>
    <cfRule type="expression" dxfId="438" priority="46">
      <formula>AND($H93&lt;&gt;"선금", $H93&lt;&gt;"")</formula>
    </cfRule>
  </conditionalFormatting>
  <conditionalFormatting sqref="E92">
    <cfRule type="expression" dxfId="437" priority="48">
      <formula>AND($H92&lt;&gt;"선금", $H92&lt;&gt;"")</formula>
    </cfRule>
  </conditionalFormatting>
  <conditionalFormatting sqref="E92:G92">
    <cfRule type="expression" dxfId="436" priority="47">
      <formula>$H92="잔금"</formula>
    </cfRule>
  </conditionalFormatting>
  <conditionalFormatting sqref="F93:G93 F94">
    <cfRule type="expression" dxfId="435" priority="44">
      <formula>$H93="잔금"</formula>
    </cfRule>
  </conditionalFormatting>
  <conditionalFormatting sqref="J92:N94">
    <cfRule type="expression" dxfId="434" priority="43">
      <formula>$H92="잔금"</formula>
    </cfRule>
  </conditionalFormatting>
  <conditionalFormatting sqref="I92">
    <cfRule type="expression" dxfId="433" priority="42">
      <formula>$H92="잔금"</formula>
    </cfRule>
  </conditionalFormatting>
  <conditionalFormatting sqref="S92:S94">
    <cfRule type="expression" dxfId="432" priority="41">
      <formula>$H92="잔금"</formula>
    </cfRule>
  </conditionalFormatting>
  <conditionalFormatting sqref="O93">
    <cfRule type="expression" dxfId="431" priority="40">
      <formula>$H93="잔금"</formula>
    </cfRule>
  </conditionalFormatting>
  <conditionalFormatting sqref="P94">
    <cfRule type="expression" dxfId="430" priority="39">
      <formula>$H94="잔금"</formula>
    </cfRule>
  </conditionalFormatting>
  <conditionalFormatting sqref="T92:T94">
    <cfRule type="expression" dxfId="429" priority="38">
      <formula>$H92="잔금"</formula>
    </cfRule>
  </conditionalFormatting>
  <conditionalFormatting sqref="G94">
    <cfRule type="expression" dxfId="428" priority="37">
      <formula>$H94="잔금"</formula>
    </cfRule>
  </conditionalFormatting>
  <conditionalFormatting sqref="V92:W94">
    <cfRule type="expression" dxfId="427" priority="36">
      <formula>$H92="잔금"</formula>
    </cfRule>
  </conditionalFormatting>
  <conditionalFormatting sqref="D92">
    <cfRule type="expression" dxfId="426" priority="32">
      <formula>$H92="잔금"</formula>
    </cfRule>
    <cfRule type="expression" dxfId="425" priority="33">
      <formula>AND($H92&lt;&gt;"선금", $H92&lt;&gt;"")</formula>
    </cfRule>
  </conditionalFormatting>
  <conditionalFormatting sqref="D92">
    <cfRule type="expression" dxfId="424" priority="35">
      <formula>AND($H92&lt;&gt;"선금", $H92&lt;&gt;"")</formula>
    </cfRule>
  </conditionalFormatting>
  <conditionalFormatting sqref="D92">
    <cfRule type="expression" dxfId="423" priority="34">
      <formula>$H92="잔금"</formula>
    </cfRule>
  </conditionalFormatting>
  <conditionalFormatting sqref="P88">
    <cfRule type="expression" dxfId="422" priority="31">
      <formula>$H88="잔금"</formula>
    </cfRule>
  </conditionalFormatting>
  <conditionalFormatting sqref="L88">
    <cfRule type="expression" dxfId="421" priority="30">
      <formula>$H88="잔금"</formula>
    </cfRule>
  </conditionalFormatting>
  <conditionalFormatting sqref="L31">
    <cfRule type="expression" dxfId="420" priority="29">
      <formula>$H31="잔금"</formula>
    </cfRule>
  </conditionalFormatting>
  <conditionalFormatting sqref="L49">
    <cfRule type="expression" dxfId="419" priority="28">
      <formula>$H49="잔금"</formula>
    </cfRule>
  </conditionalFormatting>
  <conditionalFormatting sqref="K46">
    <cfRule type="expression" dxfId="418" priority="27">
      <formula>$H46="잔금"</formula>
    </cfRule>
  </conditionalFormatting>
  <conditionalFormatting sqref="L43">
    <cfRule type="expression" dxfId="417" priority="26">
      <formula>$H43="잔금"</formula>
    </cfRule>
  </conditionalFormatting>
  <conditionalFormatting sqref="L46">
    <cfRule type="expression" dxfId="416" priority="25">
      <formula>$H46="잔금"</formula>
    </cfRule>
  </conditionalFormatting>
  <conditionalFormatting sqref="B95">
    <cfRule type="expression" dxfId="415" priority="24">
      <formula>$H95="잔금"</formula>
    </cfRule>
  </conditionalFormatting>
  <conditionalFormatting sqref="Q95">
    <cfRule type="expression" dxfId="414" priority="23">
      <formula>$H95="잔금"</formula>
    </cfRule>
  </conditionalFormatting>
  <conditionalFormatting sqref="H95:I95 O95">
    <cfRule type="expression" dxfId="413" priority="22">
      <formula>$H95="잔금"</formula>
    </cfRule>
  </conditionalFormatting>
  <conditionalFormatting sqref="J95:N95">
    <cfRule type="expression" dxfId="412" priority="15">
      <formula>$H95="잔금"</formula>
    </cfRule>
  </conditionalFormatting>
  <conditionalFormatting sqref="S95">
    <cfRule type="expression" dxfId="411" priority="14">
      <formula>$H95="잔금"</formula>
    </cfRule>
  </conditionalFormatting>
  <conditionalFormatting sqref="P95">
    <cfRule type="expression" dxfId="410" priority="13">
      <formula>$H95="잔금"</formula>
    </cfRule>
  </conditionalFormatting>
  <conditionalFormatting sqref="T95">
    <cfRule type="expression" dxfId="409" priority="12">
      <formula>$H95="잔금"</formula>
    </cfRule>
  </conditionalFormatting>
  <conditionalFormatting sqref="G95">
    <cfRule type="expression" dxfId="408" priority="11">
      <formula>$H95="잔금"</formula>
    </cfRule>
  </conditionalFormatting>
  <conditionalFormatting sqref="V95:W95">
    <cfRule type="expression" dxfId="407" priority="10">
      <formula>$H95="잔금"</formula>
    </cfRule>
  </conditionalFormatting>
  <conditionalFormatting sqref="C95">
    <cfRule type="expression" dxfId="406" priority="9">
      <formula>$H95="잔금"</formula>
    </cfRule>
  </conditionalFormatting>
  <conditionalFormatting sqref="F95">
    <cfRule type="expression" dxfId="405" priority="7">
      <formula>$H95="잔금"</formula>
    </cfRule>
  </conditionalFormatting>
  <conditionalFormatting sqref="D95">
    <cfRule type="expression" dxfId="404" priority="2">
      <formula>$H95="잔금"</formula>
    </cfRule>
  </conditionalFormatting>
  <conditionalFormatting sqref="E95">
    <cfRule type="expression" dxfId="403" priority="1">
      <formula>$H95="잔금"</formula>
    </cfRule>
  </conditionalFormatting>
  <pageMargins left="0.7" right="0.7" top="0.75" bottom="0.75" header="0.511811023622047" footer="0.511811023622047"/>
  <pageSetup paperSize="9" orientation="portrait" horizontalDpi="300" verticalDpi="300" r:id="rId1"/>
  <ignoredErrors>
    <ignoredError sqref="O5 O7" formula="1"/>
  </ignoredError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25"/>
  <sheetViews>
    <sheetView showGridLines="0" zoomScale="96" zoomScaleNormal="96" workbookViewId="0">
      <pane xSplit="3" ySplit="1" topLeftCell="D2" activePane="bottomRight" state="frozen"/>
      <selection activeCell="E64" sqref="E64"/>
      <selection pane="topRight" activeCell="E64" sqref="E64"/>
      <selection pane="bottomLeft" activeCell="E64" sqref="E64"/>
      <selection pane="bottomRight" activeCell="L24" sqref="L24:L25"/>
    </sheetView>
  </sheetViews>
  <sheetFormatPr defaultColWidth="9" defaultRowHeight="13.5"/>
  <cols>
    <col min="1" max="1" width="3" style="5" customWidth="1"/>
    <col min="2" max="2" width="5.125" style="5" customWidth="1"/>
    <col min="3" max="3" width="13.125" style="5" bestFit="1" customWidth="1"/>
    <col min="4" max="4" width="21" style="5" bestFit="1" customWidth="1"/>
    <col min="5" max="5" width="26.75" style="5" bestFit="1" customWidth="1"/>
    <col min="6" max="6" width="14.375" style="5" customWidth="1"/>
    <col min="7" max="7" width="13.125" style="112" customWidth="1"/>
    <col min="8" max="8" width="14.75" style="5" customWidth="1"/>
    <col min="9" max="9" width="14.75" style="105" customWidth="1"/>
    <col min="10" max="11" width="13.25" style="113" customWidth="1"/>
    <col min="12" max="12" width="12.375" style="5" customWidth="1"/>
    <col min="13" max="13" width="13.875" style="273" customWidth="1"/>
    <col min="14" max="14" width="13" style="114" customWidth="1"/>
    <col min="15" max="15" width="16" style="114" customWidth="1"/>
    <col min="16" max="16" width="12" style="114" customWidth="1"/>
    <col min="17" max="16384" width="9" style="5"/>
  </cols>
  <sheetData>
    <row r="1" spans="2:17" s="115" customFormat="1" ht="16.5" customHeight="1">
      <c r="B1" s="116" t="s">
        <v>37</v>
      </c>
      <c r="C1" s="116" t="s">
        <v>26</v>
      </c>
      <c r="D1" s="116" t="s">
        <v>38</v>
      </c>
      <c r="E1" s="116" t="s">
        <v>39</v>
      </c>
      <c r="F1" s="116" t="s">
        <v>79</v>
      </c>
      <c r="G1" s="116" t="s">
        <v>80</v>
      </c>
      <c r="H1" s="116" t="s">
        <v>81</v>
      </c>
      <c r="I1" s="116" t="s">
        <v>82</v>
      </c>
      <c r="J1" s="117" t="s">
        <v>83</v>
      </c>
      <c r="K1" s="117" t="s">
        <v>46</v>
      </c>
      <c r="L1" s="118" t="s">
        <v>47</v>
      </c>
      <c r="M1" s="271" t="s">
        <v>48</v>
      </c>
      <c r="N1" s="119" t="s">
        <v>84</v>
      </c>
      <c r="O1" s="107" t="s">
        <v>50</v>
      </c>
      <c r="P1" s="119" t="s">
        <v>53</v>
      </c>
      <c r="Q1" s="5"/>
    </row>
    <row r="2" spans="2:17" ht="16.5" customHeight="1">
      <c r="B2" s="109">
        <v>1</v>
      </c>
      <c r="C2" s="120" t="s">
        <v>29</v>
      </c>
      <c r="D2" s="120" t="s">
        <v>85</v>
      </c>
      <c r="E2" s="120" t="s">
        <v>563</v>
      </c>
      <c r="F2" s="121">
        <v>396000000</v>
      </c>
      <c r="G2" s="122">
        <v>0.01</v>
      </c>
      <c r="H2" s="123">
        <v>315000</v>
      </c>
      <c r="I2" s="124">
        <f>(F2*G2)-(H2*50%)</f>
        <v>3802500</v>
      </c>
      <c r="J2" s="100">
        <v>45999</v>
      </c>
      <c r="K2" s="100">
        <v>46027</v>
      </c>
      <c r="L2" s="125">
        <f>IF(K2&lt;&gt;"", K2+30, "")</f>
        <v>46057</v>
      </c>
      <c r="M2" s="272">
        <v>46112</v>
      </c>
      <c r="N2" s="121">
        <f>I2*1.1</f>
        <v>4182750.0000000005</v>
      </c>
      <c r="O2" s="95">
        <f>IF(K2="", 0, (I2*1.1)-N2)</f>
        <v>0</v>
      </c>
      <c r="P2" s="110" t="str">
        <f ca="1">IF(OR(K2="",O2=0),"",IF(TODAY()-K2&gt;=91,"장기미수",IF(TODAY()-K2&gt;=31,"입금지연","")))</f>
        <v/>
      </c>
    </row>
    <row r="3" spans="2:17" ht="16.5" customHeight="1">
      <c r="B3" s="111">
        <f>IF(E3="","",COUNTA($E$2:E3))</f>
        <v>2</v>
      </c>
      <c r="C3" s="126" t="s">
        <v>29</v>
      </c>
      <c r="D3" s="126" t="s">
        <v>86</v>
      </c>
      <c r="E3" s="126" t="s">
        <v>87</v>
      </c>
      <c r="F3" s="127">
        <v>809200000</v>
      </c>
      <c r="G3" s="128">
        <v>0.01</v>
      </c>
      <c r="H3" s="129">
        <v>15907900</v>
      </c>
      <c r="I3" s="124">
        <f>(F3*G3)-(H3*50%)</f>
        <v>138050</v>
      </c>
      <c r="J3" s="100">
        <v>46020</v>
      </c>
      <c r="K3" s="100">
        <v>46028</v>
      </c>
      <c r="L3" s="130">
        <f t="shared" ref="L3:L7" si="0">IF(K3&lt;&gt;"", K3+30, "")</f>
        <v>46058</v>
      </c>
      <c r="M3" s="272">
        <v>46091</v>
      </c>
      <c r="N3" s="127">
        <f t="shared" ref="N3:N8" si="1">I3*1.1</f>
        <v>151855</v>
      </c>
      <c r="O3" s="95">
        <f t="shared" ref="O3:O5" si="2">IF(K3="", 0, (I3*1.1)-N3)</f>
        <v>0</v>
      </c>
      <c r="P3" s="110" t="str">
        <f t="shared" ref="P3:P25" ca="1" si="3">IF(OR(K3="",O3=0),"",IF(TODAY()-K3&gt;=91,"장기미수",IF(TODAY()-K3&gt;=31,"입금지연","")))</f>
        <v/>
      </c>
    </row>
    <row r="4" spans="2:17" ht="16.5" customHeight="1">
      <c r="B4" s="111">
        <f>IF(E4="","",COUNTA($E$2:E4))</f>
        <v>3</v>
      </c>
      <c r="C4" s="126" t="s">
        <v>29</v>
      </c>
      <c r="D4" s="126" t="s">
        <v>86</v>
      </c>
      <c r="E4" s="126" t="s">
        <v>88</v>
      </c>
      <c r="F4" s="127">
        <v>830000000</v>
      </c>
      <c r="G4" s="128">
        <v>0.01</v>
      </c>
      <c r="H4" s="129">
        <v>3249900</v>
      </c>
      <c r="I4" s="124">
        <f>(F4*G4)-(H4*50%)</f>
        <v>6675050</v>
      </c>
      <c r="J4" s="100">
        <v>46020</v>
      </c>
      <c r="K4" s="100">
        <v>46028</v>
      </c>
      <c r="L4" s="130">
        <f t="shared" si="0"/>
        <v>46058</v>
      </c>
      <c r="M4" s="272">
        <v>46091</v>
      </c>
      <c r="N4" s="127">
        <f t="shared" si="1"/>
        <v>7342555.0000000009</v>
      </c>
      <c r="O4" s="95">
        <f t="shared" si="2"/>
        <v>0</v>
      </c>
      <c r="P4" s="110" t="str">
        <f t="shared" ca="1" si="3"/>
        <v/>
      </c>
    </row>
    <row r="5" spans="2:17" ht="16.5" customHeight="1">
      <c r="B5" s="111">
        <f>IF(E5="","",COUNTA($E$2:E5))</f>
        <v>4</v>
      </c>
      <c r="C5" s="126" t="s">
        <v>29</v>
      </c>
      <c r="D5" s="261" t="s">
        <v>391</v>
      </c>
      <c r="E5" s="261" t="s">
        <v>416</v>
      </c>
      <c r="F5" s="127">
        <v>17950000</v>
      </c>
      <c r="G5" s="128">
        <v>0.01</v>
      </c>
      <c r="H5" s="266">
        <v>0</v>
      </c>
      <c r="I5" s="124">
        <f>(F5*G5)-(H5*50%)</f>
        <v>179500</v>
      </c>
      <c r="J5" s="100">
        <v>46020</v>
      </c>
      <c r="K5" s="100">
        <v>46034</v>
      </c>
      <c r="L5" s="130">
        <f t="shared" si="0"/>
        <v>46064</v>
      </c>
      <c r="M5" s="272">
        <v>46037</v>
      </c>
      <c r="N5" s="127">
        <f t="shared" si="1"/>
        <v>197450.00000000003</v>
      </c>
      <c r="O5" s="95">
        <f t="shared" si="2"/>
        <v>0</v>
      </c>
      <c r="P5" s="110" t="str">
        <f t="shared" ca="1" si="3"/>
        <v/>
      </c>
    </row>
    <row r="6" spans="2:17" ht="16.5" customHeight="1">
      <c r="B6" s="111">
        <f>IF(E6="","",COUNTA($E$2:E6))</f>
        <v>5</v>
      </c>
      <c r="C6" s="126" t="s">
        <v>29</v>
      </c>
      <c r="D6" s="261" t="s">
        <v>528</v>
      </c>
      <c r="E6" s="261" t="s">
        <v>529</v>
      </c>
      <c r="F6" s="127">
        <v>289800000</v>
      </c>
      <c r="G6" s="128">
        <v>0.01</v>
      </c>
      <c r="H6" s="266">
        <v>4840000</v>
      </c>
      <c r="I6" s="124">
        <f>(F6*G6)-(H6*50%)</f>
        <v>478000</v>
      </c>
      <c r="J6" s="100">
        <v>46052</v>
      </c>
      <c r="K6" s="100">
        <v>46052</v>
      </c>
      <c r="L6" s="130">
        <f t="shared" si="0"/>
        <v>46082</v>
      </c>
      <c r="M6" s="272">
        <v>46059</v>
      </c>
      <c r="N6" s="127">
        <f t="shared" si="1"/>
        <v>525800</v>
      </c>
      <c r="O6" s="95">
        <f t="shared" ref="O6" si="4">IF(K6="", 0, (I6*1.1)-N6)</f>
        <v>0</v>
      </c>
      <c r="P6" s="110" t="str">
        <f t="shared" ca="1" si="3"/>
        <v/>
      </c>
    </row>
    <row r="7" spans="2:17" ht="16.5" customHeight="1">
      <c r="B7" s="111">
        <f>IF(E7="","",COUNTA($E$2:E7))</f>
        <v>6</v>
      </c>
      <c r="C7" s="126" t="s">
        <v>29</v>
      </c>
      <c r="D7" s="261" t="s">
        <v>580</v>
      </c>
      <c r="E7" s="261" t="s">
        <v>626</v>
      </c>
      <c r="F7" s="127"/>
      <c r="G7" s="128">
        <v>0.01</v>
      </c>
      <c r="H7" s="266"/>
      <c r="I7" s="124">
        <v>-883400</v>
      </c>
      <c r="J7" s="100">
        <v>46048</v>
      </c>
      <c r="K7" s="100">
        <v>46023</v>
      </c>
      <c r="L7" s="130">
        <f t="shared" si="0"/>
        <v>46053</v>
      </c>
      <c r="M7" s="272">
        <v>46052</v>
      </c>
      <c r="N7" s="127">
        <f t="shared" si="1"/>
        <v>-971740.00000000012</v>
      </c>
      <c r="O7" s="95">
        <f t="shared" ref="O7" si="5">IF(K7="", 0, (I7*1.1)-N7)</f>
        <v>0</v>
      </c>
      <c r="P7" s="110" t="str">
        <f t="shared" ca="1" si="3"/>
        <v/>
      </c>
    </row>
    <row r="8" spans="2:17" ht="16.5" customHeight="1">
      <c r="B8" s="111">
        <f>IF(E8="","",COUNTA($E$2:E8))</f>
        <v>7</v>
      </c>
      <c r="C8" s="126" t="s">
        <v>29</v>
      </c>
      <c r="D8" s="261" t="s">
        <v>530</v>
      </c>
      <c r="E8" s="261" t="s">
        <v>531</v>
      </c>
      <c r="F8" s="127">
        <v>245400000</v>
      </c>
      <c r="G8" s="128">
        <v>0.01</v>
      </c>
      <c r="H8" s="266">
        <v>2494600</v>
      </c>
      <c r="I8" s="124">
        <f>(F8*G8)-(H8*50%)</f>
        <v>1206700</v>
      </c>
      <c r="J8" s="100">
        <v>46020</v>
      </c>
      <c r="K8" s="100">
        <v>46058</v>
      </c>
      <c r="L8" s="130">
        <f t="shared" ref="L8:L22" si="6">IF(K8&lt;&gt;"", K8+30, "")</f>
        <v>46088</v>
      </c>
      <c r="M8" s="272">
        <v>46080</v>
      </c>
      <c r="N8" s="127">
        <f t="shared" si="1"/>
        <v>1327370</v>
      </c>
      <c r="O8" s="95">
        <f t="shared" ref="O8:O25" si="7">IF(K8="", 0, (I8*1.1)-N8)</f>
        <v>0</v>
      </c>
      <c r="P8" s="110" t="str">
        <f t="shared" ca="1" si="3"/>
        <v/>
      </c>
    </row>
    <row r="9" spans="2:17" ht="16.5" customHeight="1">
      <c r="B9" s="111">
        <f>IF(E9="","",COUNTA($E$2:E9))</f>
        <v>8</v>
      </c>
      <c r="C9" s="126" t="s">
        <v>29</v>
      </c>
      <c r="D9" s="381" t="s">
        <v>932</v>
      </c>
      <c r="E9" s="381" t="s">
        <v>933</v>
      </c>
      <c r="F9" s="127">
        <v>469000000</v>
      </c>
      <c r="G9" s="128">
        <v>0.01</v>
      </c>
      <c r="H9" s="266">
        <v>380000</v>
      </c>
      <c r="I9" s="124">
        <f>(F9*G9)-(H9*50%)</f>
        <v>4500000</v>
      </c>
      <c r="J9" s="100">
        <v>46055</v>
      </c>
      <c r="K9" s="100">
        <v>46092</v>
      </c>
      <c r="L9" s="130">
        <f t="shared" si="6"/>
        <v>46122</v>
      </c>
      <c r="M9" s="272">
        <v>46127</v>
      </c>
      <c r="N9" s="127">
        <f t="shared" ref="N9:N14" si="8">I9*1.1</f>
        <v>4950000</v>
      </c>
      <c r="O9" s="95">
        <f t="shared" si="7"/>
        <v>0</v>
      </c>
      <c r="P9" s="110" t="str">
        <f t="shared" ca="1" si="3"/>
        <v/>
      </c>
    </row>
    <row r="10" spans="2:17" ht="16.5" customHeight="1">
      <c r="B10" s="111">
        <f>IF(E10="","",COUNTA($E$2:E10))</f>
        <v>9</v>
      </c>
      <c r="C10" s="126" t="s">
        <v>29</v>
      </c>
      <c r="D10" s="381" t="s">
        <v>962</v>
      </c>
      <c r="E10" s="382" t="s">
        <v>963</v>
      </c>
      <c r="F10" s="127">
        <v>325000000</v>
      </c>
      <c r="G10" s="383">
        <v>5.0000000000000001E-3</v>
      </c>
      <c r="H10" s="266">
        <v>1335000</v>
      </c>
      <c r="I10" s="124">
        <v>1291250</v>
      </c>
      <c r="J10" s="100">
        <v>46093</v>
      </c>
      <c r="K10" s="100">
        <v>46094</v>
      </c>
      <c r="L10" s="130">
        <f t="shared" si="6"/>
        <v>46124</v>
      </c>
      <c r="M10" s="272">
        <v>46112</v>
      </c>
      <c r="N10" s="127">
        <f t="shared" si="8"/>
        <v>1420375</v>
      </c>
      <c r="O10" s="95">
        <f t="shared" si="7"/>
        <v>0</v>
      </c>
      <c r="P10" s="110" t="str">
        <f t="shared" ca="1" si="3"/>
        <v/>
      </c>
    </row>
    <row r="11" spans="2:17" ht="16.5" customHeight="1">
      <c r="B11" s="111">
        <f>IF(E11="","",COUNTA($E$2:E11))</f>
        <v>10</v>
      </c>
      <c r="C11" s="126" t="s">
        <v>29</v>
      </c>
      <c r="D11" s="382" t="s">
        <v>1246</v>
      </c>
      <c r="E11" s="382" t="s">
        <v>1638</v>
      </c>
      <c r="F11" s="127">
        <v>262800000</v>
      </c>
      <c r="G11" s="128">
        <v>0.01</v>
      </c>
      <c r="H11" s="266">
        <v>413000</v>
      </c>
      <c r="I11" s="124">
        <f t="shared" ref="I11:I22" si="9">(F11*G11)-(H11*50%)</f>
        <v>2421500</v>
      </c>
      <c r="J11" s="100">
        <v>46122</v>
      </c>
      <c r="K11" s="100">
        <v>46122</v>
      </c>
      <c r="L11" s="130">
        <f t="shared" si="6"/>
        <v>46152</v>
      </c>
      <c r="M11" s="272">
        <v>46127</v>
      </c>
      <c r="N11" s="127">
        <f t="shared" si="8"/>
        <v>2663650</v>
      </c>
      <c r="O11" s="95">
        <f t="shared" si="7"/>
        <v>0</v>
      </c>
      <c r="P11" s="110" t="str">
        <f t="shared" ca="1" si="3"/>
        <v/>
      </c>
    </row>
    <row r="12" spans="2:17" ht="16.5" customHeight="1">
      <c r="B12" s="111">
        <f>IF(E12="","",COUNTA($E$2:E12))</f>
        <v>11</v>
      </c>
      <c r="C12" s="126" t="s">
        <v>29</v>
      </c>
      <c r="D12" s="381" t="s">
        <v>1753</v>
      </c>
      <c r="E12" s="382" t="s">
        <v>1754</v>
      </c>
      <c r="F12" s="127">
        <v>39500000</v>
      </c>
      <c r="G12" s="128">
        <v>0.01</v>
      </c>
      <c r="H12" s="266">
        <v>190800</v>
      </c>
      <c r="I12" s="124">
        <f t="shared" si="9"/>
        <v>299600</v>
      </c>
      <c r="J12" s="100">
        <v>46020</v>
      </c>
      <c r="K12" s="100">
        <v>46126</v>
      </c>
      <c r="L12" s="130">
        <f t="shared" si="6"/>
        <v>46156</v>
      </c>
      <c r="M12" s="272">
        <v>46142</v>
      </c>
      <c r="N12" s="127">
        <f t="shared" si="8"/>
        <v>329560</v>
      </c>
      <c r="O12" s="95">
        <f t="shared" si="7"/>
        <v>0</v>
      </c>
      <c r="P12" s="110" t="str">
        <f t="shared" ca="1" si="3"/>
        <v/>
      </c>
    </row>
    <row r="13" spans="2:17" ht="16.5" customHeight="1">
      <c r="B13" s="111">
        <f>IF(E13="","",COUNTA($E$2:E13))</f>
        <v>12</v>
      </c>
      <c r="C13" s="126" t="s">
        <v>29</v>
      </c>
      <c r="D13" s="381" t="s">
        <v>1916</v>
      </c>
      <c r="E13" s="382" t="s">
        <v>2190</v>
      </c>
      <c r="F13" s="127">
        <v>142000000</v>
      </c>
      <c r="G13" s="128">
        <v>0.01</v>
      </c>
      <c r="H13" s="266">
        <v>896000</v>
      </c>
      <c r="I13" s="124">
        <f t="shared" si="9"/>
        <v>972000</v>
      </c>
      <c r="J13" s="100">
        <v>46134</v>
      </c>
      <c r="K13" s="100">
        <v>46134</v>
      </c>
      <c r="L13" s="130">
        <f t="shared" si="6"/>
        <v>46164</v>
      </c>
      <c r="M13" s="272">
        <v>46141</v>
      </c>
      <c r="N13" s="127">
        <f t="shared" si="8"/>
        <v>1069200</v>
      </c>
      <c r="O13" s="95">
        <f t="shared" si="7"/>
        <v>0</v>
      </c>
      <c r="P13" s="110" t="str">
        <f t="shared" ca="1" si="3"/>
        <v/>
      </c>
    </row>
    <row r="14" spans="2:17" ht="16.5" customHeight="1">
      <c r="B14" s="111">
        <f>IF(E14="","",COUNTA($E$2:E14))</f>
        <v>13</v>
      </c>
      <c r="C14" s="126" t="s">
        <v>29</v>
      </c>
      <c r="D14" s="381" t="s">
        <v>2189</v>
      </c>
      <c r="E14" s="382" t="s">
        <v>2191</v>
      </c>
      <c r="F14" s="127">
        <v>46700000</v>
      </c>
      <c r="G14" s="128">
        <v>0.01</v>
      </c>
      <c r="H14" s="266">
        <v>0</v>
      </c>
      <c r="I14" s="124">
        <f t="shared" si="9"/>
        <v>467000</v>
      </c>
      <c r="J14" s="100">
        <v>46140</v>
      </c>
      <c r="K14" s="100">
        <v>46141</v>
      </c>
      <c r="L14" s="130">
        <f t="shared" si="6"/>
        <v>46171</v>
      </c>
      <c r="M14" s="272">
        <v>46142</v>
      </c>
      <c r="N14" s="127">
        <f t="shared" si="8"/>
        <v>513700.00000000006</v>
      </c>
      <c r="O14" s="95">
        <f t="shared" si="7"/>
        <v>0</v>
      </c>
      <c r="P14" s="110" t="str">
        <f t="shared" ca="1" si="3"/>
        <v/>
      </c>
    </row>
    <row r="15" spans="2:17" ht="16.5" customHeight="1">
      <c r="B15" s="111">
        <f>IF(E15="","",COUNTA($E$2:E15))</f>
        <v>14</v>
      </c>
      <c r="C15" s="126" t="s">
        <v>29</v>
      </c>
      <c r="D15" s="381" t="s">
        <v>2494</v>
      </c>
      <c r="E15" s="382" t="s">
        <v>2725</v>
      </c>
      <c r="F15" s="127">
        <v>35000000</v>
      </c>
      <c r="G15" s="128">
        <v>0.01</v>
      </c>
      <c r="H15" s="266">
        <v>0</v>
      </c>
      <c r="I15" s="124">
        <f t="shared" si="9"/>
        <v>350000</v>
      </c>
      <c r="J15" s="100">
        <v>46153</v>
      </c>
      <c r="K15" s="100">
        <v>46154</v>
      </c>
      <c r="L15" s="130">
        <f t="shared" si="6"/>
        <v>46184</v>
      </c>
      <c r="M15" s="272">
        <v>46154</v>
      </c>
      <c r="N15" s="127">
        <f>I15*1.1</f>
        <v>385000.00000000006</v>
      </c>
      <c r="O15" s="95">
        <f t="shared" si="7"/>
        <v>0</v>
      </c>
      <c r="P15" s="110" t="str">
        <f t="shared" ca="1" si="3"/>
        <v/>
      </c>
    </row>
    <row r="16" spans="2:17" ht="16.5" customHeight="1">
      <c r="B16" s="111">
        <f>IF(E16="","",COUNTA($E$2:E16))</f>
        <v>15</v>
      </c>
      <c r="C16" s="126" t="s">
        <v>29</v>
      </c>
      <c r="D16" s="381" t="s">
        <v>2495</v>
      </c>
      <c r="E16" s="382" t="s">
        <v>2496</v>
      </c>
      <c r="F16" s="127">
        <v>138000000</v>
      </c>
      <c r="G16" s="128">
        <v>0.01</v>
      </c>
      <c r="H16" s="266">
        <v>0</v>
      </c>
      <c r="I16" s="124">
        <f t="shared" si="9"/>
        <v>1380000</v>
      </c>
      <c r="J16" s="100">
        <v>46153</v>
      </c>
      <c r="K16" s="100">
        <v>46154</v>
      </c>
      <c r="L16" s="130">
        <f t="shared" si="6"/>
        <v>46184</v>
      </c>
      <c r="M16" s="272"/>
      <c r="N16" s="127"/>
      <c r="O16" s="95">
        <f t="shared" si="7"/>
        <v>1518000.0000000002</v>
      </c>
      <c r="P16" s="110" t="str">
        <f t="shared" ca="1" si="3"/>
        <v/>
      </c>
    </row>
    <row r="17" spans="2:16" ht="16.5" customHeight="1">
      <c r="B17" s="111">
        <f>IF(E17="","",COUNTA($E$2:E17))</f>
        <v>16</v>
      </c>
      <c r="C17" s="126" t="s">
        <v>29</v>
      </c>
      <c r="D17" s="381" t="s">
        <v>2560</v>
      </c>
      <c r="E17" s="382" t="s">
        <v>2559</v>
      </c>
      <c r="F17" s="127">
        <v>1024669774</v>
      </c>
      <c r="G17" s="128">
        <v>0.01</v>
      </c>
      <c r="H17" s="266">
        <v>4628000</v>
      </c>
      <c r="I17" s="124">
        <f t="shared" si="9"/>
        <v>7932697.7400000002</v>
      </c>
      <c r="J17" s="100">
        <v>46155</v>
      </c>
      <c r="K17" s="100">
        <v>46155</v>
      </c>
      <c r="L17" s="130">
        <f t="shared" si="6"/>
        <v>46185</v>
      </c>
      <c r="M17" s="272">
        <v>46156</v>
      </c>
      <c r="N17" s="127">
        <f t="shared" ref="N17:N18" si="10">I17*1.1</f>
        <v>8725967.5140000004</v>
      </c>
      <c r="O17" s="95">
        <f t="shared" si="7"/>
        <v>0</v>
      </c>
      <c r="P17" s="110" t="str">
        <f t="shared" ca="1" si="3"/>
        <v/>
      </c>
    </row>
    <row r="18" spans="2:16" ht="16.5" customHeight="1">
      <c r="B18" s="111">
        <f>IF(E18="","",COUNTA($E$2:E18))</f>
        <v>17</v>
      </c>
      <c r="C18" s="126" t="s">
        <v>29</v>
      </c>
      <c r="D18" s="381" t="s">
        <v>2560</v>
      </c>
      <c r="E18" s="382" t="s">
        <v>2645</v>
      </c>
      <c r="F18" s="127">
        <v>155000000</v>
      </c>
      <c r="G18" s="128">
        <v>0.01</v>
      </c>
      <c r="H18" s="266">
        <v>0</v>
      </c>
      <c r="I18" s="124">
        <f t="shared" si="9"/>
        <v>1550000</v>
      </c>
      <c r="J18" s="100">
        <v>46155</v>
      </c>
      <c r="K18" s="100">
        <v>46157</v>
      </c>
      <c r="L18" s="130">
        <f t="shared" si="6"/>
        <v>46187</v>
      </c>
      <c r="M18" s="272">
        <v>46157</v>
      </c>
      <c r="N18" s="127">
        <f t="shared" si="10"/>
        <v>1705000.0000000002</v>
      </c>
      <c r="O18" s="95">
        <f t="shared" si="7"/>
        <v>0</v>
      </c>
      <c r="P18" s="110" t="str">
        <f t="shared" ca="1" si="3"/>
        <v/>
      </c>
    </row>
    <row r="19" spans="2:16" ht="16.5" customHeight="1">
      <c r="B19" s="111">
        <f>IF(E19="","",COUNTA($E$2:E19))</f>
        <v>18</v>
      </c>
      <c r="C19" s="126" t="s">
        <v>29</v>
      </c>
      <c r="D19" s="381" t="s">
        <v>2724</v>
      </c>
      <c r="E19" s="382" t="s">
        <v>2726</v>
      </c>
      <c r="F19" s="127">
        <v>333400000</v>
      </c>
      <c r="G19" s="128">
        <v>0.01</v>
      </c>
      <c r="H19" s="266">
        <v>889500</v>
      </c>
      <c r="I19" s="124">
        <f t="shared" si="9"/>
        <v>2889250</v>
      </c>
      <c r="J19" s="100">
        <v>46161</v>
      </c>
      <c r="K19" s="100">
        <v>46161</v>
      </c>
      <c r="L19" s="130">
        <f t="shared" si="6"/>
        <v>46191</v>
      </c>
      <c r="M19" s="272"/>
      <c r="N19" s="127"/>
      <c r="O19" s="95">
        <f t="shared" si="7"/>
        <v>3178175.0000000005</v>
      </c>
      <c r="P19" s="110" t="str">
        <f t="shared" ca="1" si="3"/>
        <v/>
      </c>
    </row>
    <row r="20" spans="2:16" ht="16.5" customHeight="1">
      <c r="B20" s="111">
        <f>IF(E20="","",COUNTA($E$2:E20))</f>
        <v>19</v>
      </c>
      <c r="C20" s="126" t="s">
        <v>29</v>
      </c>
      <c r="D20" s="381" t="s">
        <v>2866</v>
      </c>
      <c r="E20" s="382" t="s">
        <v>2867</v>
      </c>
      <c r="F20" s="127">
        <v>1102000000</v>
      </c>
      <c r="G20" s="128">
        <v>0.01</v>
      </c>
      <c r="H20" s="266">
        <v>2133800</v>
      </c>
      <c r="I20" s="124">
        <f t="shared" si="9"/>
        <v>9953100</v>
      </c>
      <c r="J20" s="100">
        <v>46155</v>
      </c>
      <c r="K20" s="100">
        <v>46169</v>
      </c>
      <c r="L20" s="130">
        <f t="shared" si="6"/>
        <v>46199</v>
      </c>
      <c r="M20" s="272"/>
      <c r="N20" s="127"/>
      <c r="O20" s="95">
        <f t="shared" si="7"/>
        <v>10948410</v>
      </c>
      <c r="P20" s="110" t="str">
        <f t="shared" ca="1" si="3"/>
        <v/>
      </c>
    </row>
    <row r="21" spans="2:16" ht="16.5" customHeight="1">
      <c r="B21" s="111">
        <f>IF(E21="","",COUNTA($E$2:E21))</f>
        <v>20</v>
      </c>
      <c r="C21" s="126" t="s">
        <v>29</v>
      </c>
      <c r="D21" s="381" t="s">
        <v>2914</v>
      </c>
      <c r="E21" s="382" t="s">
        <v>2915</v>
      </c>
      <c r="F21" s="127"/>
      <c r="G21" s="383"/>
      <c r="H21" s="266"/>
      <c r="I21" s="124">
        <f>10000000/1.1</f>
        <v>9090909.0909090899</v>
      </c>
      <c r="J21" s="100">
        <v>46170</v>
      </c>
      <c r="K21" s="100">
        <v>46170</v>
      </c>
      <c r="L21" s="130">
        <f t="shared" si="6"/>
        <v>46200</v>
      </c>
      <c r="M21" s="272">
        <v>46171</v>
      </c>
      <c r="N21" s="127">
        <f t="shared" ref="N21" si="11">I21*1.1</f>
        <v>10000000</v>
      </c>
      <c r="O21" s="95">
        <f t="shared" si="7"/>
        <v>0</v>
      </c>
      <c r="P21" s="110" t="str">
        <f t="shared" ca="1" si="3"/>
        <v/>
      </c>
    </row>
    <row r="22" spans="2:16" ht="16.5" customHeight="1">
      <c r="B22" s="111">
        <f>IF(E22="","",COUNTA($E$2:E22))</f>
        <v>21</v>
      </c>
      <c r="C22" s="126" t="s">
        <v>29</v>
      </c>
      <c r="D22" s="382" t="s">
        <v>2959</v>
      </c>
      <c r="E22" s="382" t="s">
        <v>2960</v>
      </c>
      <c r="F22" s="127">
        <v>135930000</v>
      </c>
      <c r="G22" s="128">
        <v>0.01</v>
      </c>
      <c r="H22" s="266">
        <v>2000200</v>
      </c>
      <c r="I22" s="124">
        <f t="shared" si="9"/>
        <v>359200</v>
      </c>
      <c r="J22" s="100">
        <v>46168</v>
      </c>
      <c r="K22" s="100">
        <v>46174</v>
      </c>
      <c r="L22" s="130">
        <f t="shared" si="6"/>
        <v>46204</v>
      </c>
      <c r="M22" s="272"/>
      <c r="N22" s="127"/>
      <c r="O22" s="95">
        <f t="shared" si="7"/>
        <v>395120.00000000006</v>
      </c>
      <c r="P22" s="110" t="str">
        <f t="shared" ca="1" si="3"/>
        <v/>
      </c>
    </row>
    <row r="23" spans="2:16" ht="16.5" customHeight="1">
      <c r="B23" s="111" t="str">
        <f>IF(E23="","",COUNTA($E$2:E23))</f>
        <v/>
      </c>
      <c r="C23" s="126"/>
      <c r="D23" s="381"/>
      <c r="E23" s="382"/>
      <c r="F23" s="127"/>
      <c r="G23" s="383"/>
      <c r="H23" s="266"/>
      <c r="I23" s="124"/>
      <c r="J23" s="100"/>
      <c r="K23" s="100"/>
      <c r="L23" s="130"/>
      <c r="M23" s="272"/>
      <c r="N23" s="127"/>
      <c r="O23" s="95">
        <f t="shared" si="7"/>
        <v>0</v>
      </c>
      <c r="P23" s="110" t="str">
        <f t="shared" ca="1" si="3"/>
        <v/>
      </c>
    </row>
    <row r="24" spans="2:16" ht="16.5" customHeight="1">
      <c r="B24" s="111" t="str">
        <f>IF(E24="","",COUNTA($E$2:E24))</f>
        <v/>
      </c>
      <c r="C24" s="126"/>
      <c r="D24" s="381"/>
      <c r="E24" s="382"/>
      <c r="F24" s="127"/>
      <c r="G24" s="383"/>
      <c r="H24" s="266"/>
      <c r="I24" s="124"/>
      <c r="J24" s="100"/>
      <c r="K24" s="100"/>
      <c r="L24" s="130"/>
      <c r="M24" s="272"/>
      <c r="N24" s="127"/>
      <c r="O24" s="95">
        <f t="shared" si="7"/>
        <v>0</v>
      </c>
      <c r="P24" s="110" t="str">
        <f t="shared" ca="1" si="3"/>
        <v/>
      </c>
    </row>
    <row r="25" spans="2:16" ht="16.5" customHeight="1">
      <c r="B25" s="111" t="str">
        <f>IF(E25="","",COUNTA($E$2:E25))</f>
        <v/>
      </c>
      <c r="C25" s="126"/>
      <c r="D25" s="381"/>
      <c r="E25" s="382"/>
      <c r="F25" s="127"/>
      <c r="G25" s="383"/>
      <c r="H25" s="266"/>
      <c r="I25" s="124"/>
      <c r="J25" s="100"/>
      <c r="K25" s="100"/>
      <c r="L25" s="130"/>
      <c r="M25" s="272"/>
      <c r="N25" s="127"/>
      <c r="O25" s="95">
        <f t="shared" si="7"/>
        <v>0</v>
      </c>
      <c r="P25" s="110" t="str">
        <f t="shared" ca="1" si="3"/>
        <v/>
      </c>
    </row>
  </sheetData>
  <autoFilter ref="B1:Q25"/>
  <phoneticPr fontId="46" type="noConversion"/>
  <conditionalFormatting sqref="B2:B25">
    <cfRule type="expression" dxfId="402" priority="3">
      <formula>$I2="잔금"</formula>
    </cfRule>
  </conditionalFormatting>
  <pageMargins left="0.7" right="0.7" top="0.75" bottom="0.75" header="0.511811023622047" footer="0.511811023622047"/>
  <pageSetup paperSize="9" orientation="portrait" horizontalDpi="300" verticalDpi="300" r:id="rId1"/>
  <ignoredErrors>
    <ignoredError sqref="I21"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V607"/>
  <sheetViews>
    <sheetView showGridLines="0" tabSelected="1" zoomScaleNormal="100" workbookViewId="0">
      <pane xSplit="11" ySplit="1" topLeftCell="L2" activePane="bottomRight" state="frozen"/>
      <selection activeCell="E64" sqref="E64"/>
      <selection pane="topRight" activeCell="E64" sqref="E64"/>
      <selection pane="bottomLeft" activeCell="E64" sqref="E64"/>
      <selection pane="bottomRight" activeCell="AG618" sqref="AG618"/>
    </sheetView>
  </sheetViews>
  <sheetFormatPr defaultColWidth="8.5" defaultRowHeight="16.5"/>
  <cols>
    <col min="1" max="1" width="11.125" style="4" customWidth="1"/>
    <col min="2" max="2" width="12.375" style="4" hidden="1" customWidth="1"/>
    <col min="3" max="3" width="9" style="4" hidden="1" customWidth="1"/>
    <col min="4" max="4" width="28.875" style="4" hidden="1" customWidth="1"/>
    <col min="5" max="5" width="10.25" style="4" hidden="1" customWidth="1"/>
    <col min="6" max="6" width="10.25" style="131" hidden="1" customWidth="1"/>
    <col min="7" max="7" width="9.25" style="4" hidden="1" customWidth="1"/>
    <col min="8" max="9" width="19.25" style="4" hidden="1" customWidth="1"/>
    <col min="10" max="10" width="11" style="4" hidden="1" customWidth="1"/>
    <col min="11" max="11" width="38.75" style="4" hidden="1" customWidth="1"/>
    <col min="12" max="12" width="14.625" style="4" customWidth="1"/>
    <col min="13" max="13" width="25.25" style="4" hidden="1" customWidth="1"/>
    <col min="14" max="14" width="22.375" style="4" hidden="1" customWidth="1"/>
    <col min="15" max="15" width="19" style="4" hidden="1" customWidth="1"/>
    <col min="16" max="16" width="12" style="268" customWidth="1"/>
    <col min="17" max="19" width="9" style="4" hidden="1" customWidth="1"/>
    <col min="20" max="20" width="10.25" style="4" hidden="1" customWidth="1"/>
    <col min="21" max="21" width="13" style="4" hidden="1" customWidth="1"/>
    <col min="22" max="22" width="9.25" style="4" hidden="1" customWidth="1"/>
    <col min="23" max="23" width="15.125" style="4" hidden="1" customWidth="1"/>
    <col min="24" max="32" width="13" style="4" hidden="1" customWidth="1"/>
    <col min="33" max="33" width="28.75" style="4" customWidth="1"/>
    <col min="34" max="34" width="13" style="4" customWidth="1"/>
    <col min="35" max="35" width="14.5" style="265" customWidth="1"/>
    <col min="36" max="36" width="13" style="268" customWidth="1"/>
    <col min="37" max="37" width="16" style="4" customWidth="1"/>
    <col min="38" max="38" width="8.5" customWidth="1"/>
    <col min="39" max="39" width="13" customWidth="1"/>
    <col min="40" max="40" width="8.5" customWidth="1"/>
    <col min="41" max="41" width="30.375" bestFit="1" customWidth="1"/>
    <col min="42" max="42" width="13" bestFit="1" customWidth="1"/>
    <col min="43" max="43" width="13.5" bestFit="1" customWidth="1"/>
    <col min="44" max="44" width="11.875" style="4" customWidth="1"/>
    <col min="46" max="46" width="13" style="4" customWidth="1"/>
    <col min="47" max="47" width="11.875" bestFit="1" customWidth="1"/>
    <col min="48" max="48" width="13.5" bestFit="1" customWidth="1"/>
  </cols>
  <sheetData>
    <row r="1" spans="1:48" s="133" customFormat="1" ht="25.5" customHeight="1">
      <c r="A1" s="60" t="s">
        <v>46</v>
      </c>
      <c r="B1" s="60" t="s">
        <v>89</v>
      </c>
      <c r="C1" s="60" t="s">
        <v>90</v>
      </c>
      <c r="D1" s="60" t="s">
        <v>91</v>
      </c>
      <c r="E1" s="60" t="s">
        <v>92</v>
      </c>
      <c r="F1" s="60" t="s">
        <v>93</v>
      </c>
      <c r="G1" s="60" t="s">
        <v>94</v>
      </c>
      <c r="H1" s="60" t="s">
        <v>95</v>
      </c>
      <c r="I1" s="60" t="s">
        <v>96</v>
      </c>
      <c r="J1" s="60" t="s">
        <v>97</v>
      </c>
      <c r="K1" s="60" t="s">
        <v>93</v>
      </c>
      <c r="L1" s="60" t="s">
        <v>38</v>
      </c>
      <c r="M1" s="60" t="s">
        <v>95</v>
      </c>
      <c r="N1" s="60" t="s">
        <v>96</v>
      </c>
      <c r="O1" s="60" t="s">
        <v>98</v>
      </c>
      <c r="P1" s="267" t="s">
        <v>82</v>
      </c>
      <c r="Q1" s="60" t="s">
        <v>99</v>
      </c>
      <c r="R1" s="60" t="s">
        <v>100</v>
      </c>
      <c r="S1" s="60"/>
      <c r="T1" s="60" t="s">
        <v>101</v>
      </c>
      <c r="U1" s="60" t="s">
        <v>102</v>
      </c>
      <c r="V1" s="60" t="s">
        <v>103</v>
      </c>
      <c r="W1" s="60" t="s">
        <v>104</v>
      </c>
      <c r="X1" s="60" t="s">
        <v>105</v>
      </c>
      <c r="Y1" s="60" t="s">
        <v>106</v>
      </c>
      <c r="Z1" s="60" t="s">
        <v>107</v>
      </c>
      <c r="AA1" s="60" t="s">
        <v>108</v>
      </c>
      <c r="AB1" s="60" t="s">
        <v>109</v>
      </c>
      <c r="AC1" s="60" t="s">
        <v>110</v>
      </c>
      <c r="AD1" s="60" t="s">
        <v>111</v>
      </c>
      <c r="AE1" s="60" t="s">
        <v>112</v>
      </c>
      <c r="AF1" s="60" t="s">
        <v>113</v>
      </c>
      <c r="AG1" s="60" t="s">
        <v>39</v>
      </c>
      <c r="AH1" s="60" t="s">
        <v>47</v>
      </c>
      <c r="AI1" s="249" t="s">
        <v>48</v>
      </c>
      <c r="AJ1" s="267" t="s">
        <v>84</v>
      </c>
      <c r="AK1" s="107" t="s">
        <v>50</v>
      </c>
      <c r="AL1" s="108" t="s">
        <v>53</v>
      </c>
      <c r="AM1" s="108" t="s">
        <v>2258</v>
      </c>
      <c r="AN1" s="108" t="s">
        <v>2256</v>
      </c>
      <c r="AO1" s="108" t="s">
        <v>2257</v>
      </c>
    </row>
    <row r="2" spans="1:48" ht="16.5" hidden="1" customHeight="1">
      <c r="A2" s="492" t="s">
        <v>114</v>
      </c>
      <c r="B2" s="493" t="s">
        <v>115</v>
      </c>
      <c r="C2" s="492" t="s">
        <v>114</v>
      </c>
      <c r="D2" s="492" t="s">
        <v>114</v>
      </c>
      <c r="E2" s="493" t="s">
        <v>116</v>
      </c>
      <c r="F2" s="493"/>
      <c r="G2" s="494" t="s">
        <v>117</v>
      </c>
      <c r="H2" s="494" t="s">
        <v>118</v>
      </c>
      <c r="I2" s="494" t="s">
        <v>119</v>
      </c>
      <c r="J2" s="493" t="s">
        <v>120</v>
      </c>
      <c r="K2" s="493"/>
      <c r="L2" s="493" t="s">
        <v>121</v>
      </c>
      <c r="M2" s="494" t="s">
        <v>122</v>
      </c>
      <c r="N2" s="494" t="s">
        <v>123</v>
      </c>
      <c r="O2" s="493">
        <v>28800200</v>
      </c>
      <c r="P2" s="439">
        <v>26182000</v>
      </c>
      <c r="Q2" s="493">
        <v>2618200</v>
      </c>
      <c r="R2" s="494" t="s">
        <v>124</v>
      </c>
      <c r="S2" s="494"/>
      <c r="T2" s="494" t="s">
        <v>125</v>
      </c>
      <c r="U2" s="494" t="s">
        <v>126</v>
      </c>
      <c r="V2" s="494" t="s">
        <v>127</v>
      </c>
      <c r="W2" s="493" t="s">
        <v>128</v>
      </c>
      <c r="X2" s="493" t="s">
        <v>129</v>
      </c>
      <c r="Y2" s="493"/>
      <c r="Z2" s="493" t="s">
        <v>114</v>
      </c>
      <c r="AA2" s="494" t="s">
        <v>130</v>
      </c>
      <c r="AB2" s="493"/>
      <c r="AC2" s="493" t="s">
        <v>131</v>
      </c>
      <c r="AD2" s="493" t="s">
        <v>132</v>
      </c>
      <c r="AE2" s="493">
        <v>26182000</v>
      </c>
      <c r="AF2" s="493">
        <v>2618200</v>
      </c>
      <c r="AG2" s="494" t="s">
        <v>133</v>
      </c>
      <c r="AH2" s="130">
        <f>IF(A2&lt;&gt;"", A2+40, "")</f>
        <v>46067</v>
      </c>
      <c r="AI2" s="495">
        <v>46092</v>
      </c>
      <c r="AJ2" s="439">
        <f t="shared" ref="AJ2:AJ10" si="0">P2*1.1</f>
        <v>28800200.000000004</v>
      </c>
      <c r="AK2" s="121">
        <f>IF(A2="", 0, (P2*1.1)-AJ2)</f>
        <v>0</v>
      </c>
      <c r="AL2" s="440" t="str">
        <f ca="1">IF(OR(A2="",AK2=0),"",IF(TODAY()-A2&gt;=91,"장기미수",IF(TODAY()-A2&gt;=41,"관리","")))</f>
        <v/>
      </c>
      <c r="AM2" s="440"/>
      <c r="AN2" s="440"/>
      <c r="AO2" s="440"/>
    </row>
    <row r="3" spans="1:48" ht="16.5" hidden="1" customHeight="1">
      <c r="A3" s="492" t="s">
        <v>114</v>
      </c>
      <c r="B3" s="493" t="s">
        <v>134</v>
      </c>
      <c r="C3" s="492" t="s">
        <v>114</v>
      </c>
      <c r="D3" s="492" t="s">
        <v>114</v>
      </c>
      <c r="E3" s="493" t="s">
        <v>116</v>
      </c>
      <c r="F3" s="493"/>
      <c r="G3" s="494" t="s">
        <v>117</v>
      </c>
      <c r="H3" s="494" t="s">
        <v>118</v>
      </c>
      <c r="I3" s="494" t="s">
        <v>119</v>
      </c>
      <c r="J3" s="493" t="s">
        <v>135</v>
      </c>
      <c r="K3" s="493"/>
      <c r="L3" s="493" t="s">
        <v>136</v>
      </c>
      <c r="M3" s="494" t="s">
        <v>137</v>
      </c>
      <c r="N3" s="494" t="s">
        <v>138</v>
      </c>
      <c r="O3" s="493">
        <v>1210000</v>
      </c>
      <c r="P3" s="439">
        <v>1100000</v>
      </c>
      <c r="Q3" s="493">
        <v>110000</v>
      </c>
      <c r="R3" s="494" t="s">
        <v>124</v>
      </c>
      <c r="S3" s="494"/>
      <c r="T3" s="494" t="s">
        <v>125</v>
      </c>
      <c r="U3" s="494" t="s">
        <v>126</v>
      </c>
      <c r="V3" s="494" t="s">
        <v>127</v>
      </c>
      <c r="W3" s="493" t="s">
        <v>128</v>
      </c>
      <c r="X3" s="493" t="s">
        <v>139</v>
      </c>
      <c r="Y3" s="493"/>
      <c r="Z3" s="493" t="s">
        <v>114</v>
      </c>
      <c r="AA3" s="494" t="s">
        <v>130</v>
      </c>
      <c r="AB3" s="493"/>
      <c r="AC3" s="493" t="s">
        <v>131</v>
      </c>
      <c r="AD3" s="493" t="s">
        <v>140</v>
      </c>
      <c r="AE3" s="493">
        <v>1100000</v>
      </c>
      <c r="AF3" s="493">
        <v>110000</v>
      </c>
      <c r="AG3" s="494" t="s">
        <v>141</v>
      </c>
      <c r="AH3" s="130">
        <f>IF(A3&lt;&gt;"", A3+40, "")</f>
        <v>46067</v>
      </c>
      <c r="AI3" s="495">
        <v>46112</v>
      </c>
      <c r="AJ3" s="439">
        <f t="shared" si="0"/>
        <v>1210000</v>
      </c>
      <c r="AK3" s="121">
        <f t="shared" ref="AK3:AK24" si="1">IF(A3="", 0, (P3*1.1)-AJ3)</f>
        <v>0</v>
      </c>
      <c r="AL3" s="440" t="str">
        <f t="shared" ref="AL3:AL66" ca="1" si="2">IF(OR(A3="",AK3=0),"",IF(TODAY()-A3&gt;=91,"장기미수",IF(TODAY()-A3&gt;=41,"관리","")))</f>
        <v/>
      </c>
      <c r="AM3" s="440"/>
      <c r="AN3" s="440"/>
      <c r="AO3" s="440"/>
    </row>
    <row r="4" spans="1:48" ht="16.5" hidden="1" customHeight="1">
      <c r="A4" s="492" t="s">
        <v>142</v>
      </c>
      <c r="B4" s="493" t="s">
        <v>143</v>
      </c>
      <c r="C4" s="492" t="s">
        <v>142</v>
      </c>
      <c r="D4" s="492" t="s">
        <v>142</v>
      </c>
      <c r="E4" s="493" t="s">
        <v>116</v>
      </c>
      <c r="F4" s="493"/>
      <c r="G4" s="494" t="s">
        <v>117</v>
      </c>
      <c r="H4" s="494" t="s">
        <v>118</v>
      </c>
      <c r="I4" s="494" t="s">
        <v>119</v>
      </c>
      <c r="J4" s="493" t="s">
        <v>120</v>
      </c>
      <c r="K4" s="493"/>
      <c r="L4" s="493" t="s">
        <v>121</v>
      </c>
      <c r="M4" s="494" t="s">
        <v>122</v>
      </c>
      <c r="N4" s="494" t="s">
        <v>123</v>
      </c>
      <c r="O4" s="493">
        <v>878900</v>
      </c>
      <c r="P4" s="439">
        <v>799000</v>
      </c>
      <c r="Q4" s="493">
        <v>79900</v>
      </c>
      <c r="R4" s="494" t="s">
        <v>124</v>
      </c>
      <c r="S4" s="494"/>
      <c r="T4" s="494" t="s">
        <v>125</v>
      </c>
      <c r="U4" s="494" t="s">
        <v>126</v>
      </c>
      <c r="V4" s="494" t="s">
        <v>127</v>
      </c>
      <c r="W4" s="493" t="s">
        <v>128</v>
      </c>
      <c r="X4" s="493" t="s">
        <v>129</v>
      </c>
      <c r="Y4" s="493"/>
      <c r="Z4" s="493" t="s">
        <v>142</v>
      </c>
      <c r="AA4" s="494" t="s">
        <v>130</v>
      </c>
      <c r="AB4" s="493"/>
      <c r="AC4" s="493" t="s">
        <v>131</v>
      </c>
      <c r="AD4" s="493" t="s">
        <v>144</v>
      </c>
      <c r="AE4" s="493">
        <v>799000</v>
      </c>
      <c r="AF4" s="493">
        <v>79900</v>
      </c>
      <c r="AG4" s="494" t="s">
        <v>133</v>
      </c>
      <c r="AH4" s="130">
        <f t="shared" ref="AH4:AH20" si="3">IF(A4&lt;&gt;"", A4+40, "")</f>
        <v>46068</v>
      </c>
      <c r="AI4" s="495">
        <v>46045</v>
      </c>
      <c r="AJ4" s="439">
        <f t="shared" si="0"/>
        <v>878900.00000000012</v>
      </c>
      <c r="AK4" s="121">
        <f t="shared" si="1"/>
        <v>0</v>
      </c>
      <c r="AL4" s="440" t="str">
        <f t="shared" ca="1" si="2"/>
        <v/>
      </c>
      <c r="AM4" s="440"/>
      <c r="AN4" s="440"/>
      <c r="AO4" s="440"/>
    </row>
    <row r="5" spans="1:48" ht="16.5" hidden="1" customHeight="1">
      <c r="A5" s="492" t="s">
        <v>142</v>
      </c>
      <c r="B5" s="493" t="s">
        <v>145</v>
      </c>
      <c r="C5" s="492" t="s">
        <v>142</v>
      </c>
      <c r="D5" s="492" t="s">
        <v>142</v>
      </c>
      <c r="E5" s="493" t="s">
        <v>116</v>
      </c>
      <c r="F5" s="493"/>
      <c r="G5" s="494" t="s">
        <v>117</v>
      </c>
      <c r="H5" s="494" t="s">
        <v>118</v>
      </c>
      <c r="I5" s="494" t="s">
        <v>119</v>
      </c>
      <c r="J5" s="493" t="s">
        <v>146</v>
      </c>
      <c r="K5" s="493"/>
      <c r="L5" s="493" t="s">
        <v>147</v>
      </c>
      <c r="M5" s="494" t="s">
        <v>148</v>
      </c>
      <c r="N5" s="494" t="s">
        <v>149</v>
      </c>
      <c r="O5" s="493">
        <v>3773000</v>
      </c>
      <c r="P5" s="439">
        <v>3430000</v>
      </c>
      <c r="Q5" s="493">
        <v>343000</v>
      </c>
      <c r="R5" s="494" t="s">
        <v>124</v>
      </c>
      <c r="S5" s="494"/>
      <c r="T5" s="494" t="s">
        <v>125</v>
      </c>
      <c r="U5" s="494" t="s">
        <v>126</v>
      </c>
      <c r="V5" s="494" t="s">
        <v>127</v>
      </c>
      <c r="W5" s="493" t="s">
        <v>128</v>
      </c>
      <c r="X5" s="493" t="s">
        <v>150</v>
      </c>
      <c r="Y5" s="493"/>
      <c r="Z5" s="493" t="s">
        <v>142</v>
      </c>
      <c r="AA5" s="494" t="s">
        <v>130</v>
      </c>
      <c r="AB5" s="493"/>
      <c r="AC5" s="493" t="s">
        <v>131</v>
      </c>
      <c r="AD5" s="493" t="s">
        <v>151</v>
      </c>
      <c r="AE5" s="493">
        <v>3430000</v>
      </c>
      <c r="AF5" s="493">
        <v>343000</v>
      </c>
      <c r="AG5" s="496" t="s">
        <v>490</v>
      </c>
      <c r="AH5" s="130">
        <f t="shared" si="3"/>
        <v>46068</v>
      </c>
      <c r="AI5" s="495">
        <v>46052</v>
      </c>
      <c r="AJ5" s="439">
        <f t="shared" si="0"/>
        <v>3773000.0000000005</v>
      </c>
      <c r="AK5" s="121">
        <f t="shared" si="1"/>
        <v>0</v>
      </c>
      <c r="AL5" s="440" t="str">
        <f t="shared" ca="1" si="2"/>
        <v/>
      </c>
      <c r="AM5" s="440"/>
      <c r="AN5" s="440"/>
      <c r="AO5" s="440"/>
    </row>
    <row r="6" spans="1:48" ht="16.5" hidden="1" customHeight="1">
      <c r="A6" s="492" t="s">
        <v>375</v>
      </c>
      <c r="B6" s="493" t="s">
        <v>376</v>
      </c>
      <c r="C6" s="492" t="s">
        <v>375</v>
      </c>
      <c r="D6" s="492" t="s">
        <v>375</v>
      </c>
      <c r="E6" s="493" t="s">
        <v>116</v>
      </c>
      <c r="F6" s="493" t="s">
        <v>377</v>
      </c>
      <c r="G6" s="493" t="s">
        <v>117</v>
      </c>
      <c r="H6" s="493" t="s">
        <v>118</v>
      </c>
      <c r="I6" s="493" t="s">
        <v>119</v>
      </c>
      <c r="J6" s="493" t="s">
        <v>378</v>
      </c>
      <c r="K6" s="493" t="s">
        <v>377</v>
      </c>
      <c r="L6" s="493" t="s">
        <v>379</v>
      </c>
      <c r="M6" s="493" t="s">
        <v>380</v>
      </c>
      <c r="N6" s="493" t="s">
        <v>381</v>
      </c>
      <c r="O6" s="493">
        <v>580800</v>
      </c>
      <c r="P6" s="439">
        <v>528000</v>
      </c>
      <c r="Q6" s="493">
        <v>52800</v>
      </c>
      <c r="R6" s="493" t="s">
        <v>124</v>
      </c>
      <c r="S6" s="493" t="s">
        <v>382</v>
      </c>
      <c r="T6" s="493" t="s">
        <v>125</v>
      </c>
      <c r="U6" s="493" t="s">
        <v>126</v>
      </c>
      <c r="V6" s="493" t="s">
        <v>127</v>
      </c>
      <c r="W6" s="493" t="s">
        <v>128</v>
      </c>
      <c r="X6" s="493" t="s">
        <v>383</v>
      </c>
      <c r="Y6" s="493" t="s">
        <v>377</v>
      </c>
      <c r="Z6" s="493" t="s">
        <v>375</v>
      </c>
      <c r="AA6" s="493" t="s">
        <v>130</v>
      </c>
      <c r="AB6" s="493" t="s">
        <v>377</v>
      </c>
      <c r="AC6" s="493" t="s">
        <v>131</v>
      </c>
      <c r="AD6" s="493" t="s">
        <v>384</v>
      </c>
      <c r="AE6" s="493">
        <v>528000</v>
      </c>
      <c r="AF6" s="493">
        <v>52800</v>
      </c>
      <c r="AG6" s="493" t="s">
        <v>564</v>
      </c>
      <c r="AH6" s="130">
        <f t="shared" si="3"/>
        <v>46070</v>
      </c>
      <c r="AI6" s="495">
        <v>46122</v>
      </c>
      <c r="AJ6" s="439">
        <f t="shared" si="0"/>
        <v>580800</v>
      </c>
      <c r="AK6" s="121">
        <f t="shared" si="1"/>
        <v>0</v>
      </c>
      <c r="AL6" s="440" t="str">
        <f t="shared" ca="1" si="2"/>
        <v/>
      </c>
      <c r="AM6" s="440"/>
      <c r="AN6" s="440"/>
      <c r="AO6" s="440"/>
      <c r="AP6" s="497"/>
      <c r="AQ6" s="498"/>
    </row>
    <row r="7" spans="1:48" ht="16.5" hidden="1" customHeight="1">
      <c r="A7" s="492" t="s">
        <v>389</v>
      </c>
      <c r="B7" s="493" t="s">
        <v>392</v>
      </c>
      <c r="C7" s="492" t="s">
        <v>389</v>
      </c>
      <c r="D7" s="492" t="s">
        <v>389</v>
      </c>
      <c r="E7" s="493" t="s">
        <v>116</v>
      </c>
      <c r="F7" s="493" t="s">
        <v>377</v>
      </c>
      <c r="G7" s="493" t="s">
        <v>117</v>
      </c>
      <c r="H7" s="493" t="s">
        <v>118</v>
      </c>
      <c r="I7" s="493" t="s">
        <v>119</v>
      </c>
      <c r="J7" s="493" t="s">
        <v>120</v>
      </c>
      <c r="K7" s="493" t="s">
        <v>377</v>
      </c>
      <c r="L7" s="493" t="s">
        <v>390</v>
      </c>
      <c r="M7" s="493" t="s">
        <v>122</v>
      </c>
      <c r="N7" s="493" t="s">
        <v>123</v>
      </c>
      <c r="O7" s="493">
        <v>638000</v>
      </c>
      <c r="P7" s="439">
        <v>580000</v>
      </c>
      <c r="Q7" s="493">
        <v>58000</v>
      </c>
      <c r="R7" s="493" t="s">
        <v>124</v>
      </c>
      <c r="S7" s="493" t="s">
        <v>382</v>
      </c>
      <c r="T7" s="493" t="s">
        <v>125</v>
      </c>
      <c r="U7" s="493" t="s">
        <v>126</v>
      </c>
      <c r="V7" s="493" t="s">
        <v>127</v>
      </c>
      <c r="W7" s="493" t="s">
        <v>128</v>
      </c>
      <c r="X7" s="493" t="s">
        <v>129</v>
      </c>
      <c r="Y7" s="493" t="s">
        <v>377</v>
      </c>
      <c r="Z7" s="493" t="s">
        <v>389</v>
      </c>
      <c r="AA7" s="493" t="s">
        <v>130</v>
      </c>
      <c r="AB7" s="493" t="s">
        <v>377</v>
      </c>
      <c r="AC7" s="493" t="s">
        <v>131</v>
      </c>
      <c r="AD7" s="493" t="s">
        <v>393</v>
      </c>
      <c r="AE7" s="493">
        <v>580000</v>
      </c>
      <c r="AF7" s="493">
        <v>58000</v>
      </c>
      <c r="AG7" s="493" t="s">
        <v>463</v>
      </c>
      <c r="AH7" s="130">
        <f t="shared" si="3"/>
        <v>46074</v>
      </c>
      <c r="AI7" s="495">
        <v>46045</v>
      </c>
      <c r="AJ7" s="439">
        <f t="shared" si="0"/>
        <v>638000</v>
      </c>
      <c r="AK7" s="121">
        <f t="shared" si="1"/>
        <v>0</v>
      </c>
      <c r="AL7" s="440" t="str">
        <f t="shared" ca="1" si="2"/>
        <v/>
      </c>
      <c r="AM7" s="440"/>
      <c r="AN7" s="440"/>
      <c r="AO7" s="440"/>
    </row>
    <row r="8" spans="1:48" ht="16.5" hidden="1" customHeight="1">
      <c r="A8" s="134" t="s">
        <v>389</v>
      </c>
      <c r="B8" s="111" t="s">
        <v>2552</v>
      </c>
      <c r="C8" s="134" t="s">
        <v>389</v>
      </c>
      <c r="D8" s="134" t="s">
        <v>389</v>
      </c>
      <c r="E8" s="111" t="s">
        <v>116</v>
      </c>
      <c r="F8" s="111" t="s">
        <v>377</v>
      </c>
      <c r="G8" s="111" t="s">
        <v>117</v>
      </c>
      <c r="H8" s="111" t="s">
        <v>118</v>
      </c>
      <c r="I8" s="111" t="s">
        <v>119</v>
      </c>
      <c r="J8" s="111" t="s">
        <v>120</v>
      </c>
      <c r="K8" s="111" t="s">
        <v>377</v>
      </c>
      <c r="L8" s="111" t="s">
        <v>390</v>
      </c>
      <c r="M8" s="111" t="s">
        <v>122</v>
      </c>
      <c r="N8" s="111" t="s">
        <v>123</v>
      </c>
      <c r="O8" s="111">
        <v>2420000</v>
      </c>
      <c r="P8" s="479">
        <v>2200000</v>
      </c>
      <c r="Q8" s="111">
        <v>220000</v>
      </c>
      <c r="R8" s="111" t="s">
        <v>124</v>
      </c>
      <c r="S8" s="111" t="s">
        <v>382</v>
      </c>
      <c r="T8" s="111" t="s">
        <v>125</v>
      </c>
      <c r="U8" s="111" t="s">
        <v>377</v>
      </c>
      <c r="V8" s="111" t="s">
        <v>127</v>
      </c>
      <c r="W8" s="111" t="s">
        <v>128</v>
      </c>
      <c r="X8" s="111" t="s">
        <v>129</v>
      </c>
      <c r="Y8" s="111" t="s">
        <v>377</v>
      </c>
      <c r="Z8" s="111" t="s">
        <v>389</v>
      </c>
      <c r="AA8" s="111" t="s">
        <v>130</v>
      </c>
      <c r="AB8" s="111" t="s">
        <v>377</v>
      </c>
      <c r="AC8" s="111" t="s">
        <v>131</v>
      </c>
      <c r="AD8" s="111" t="s">
        <v>2553</v>
      </c>
      <c r="AE8" s="111">
        <v>2200000</v>
      </c>
      <c r="AF8" s="111">
        <v>220000</v>
      </c>
      <c r="AG8" s="494" t="s">
        <v>133</v>
      </c>
      <c r="AH8" s="130">
        <f t="shared" si="3"/>
        <v>46074</v>
      </c>
      <c r="AI8" s="264"/>
      <c r="AJ8" s="439"/>
      <c r="AK8" s="121">
        <f t="shared" si="1"/>
        <v>2420000</v>
      </c>
      <c r="AL8" s="135"/>
      <c r="AM8" s="135"/>
      <c r="AN8" s="135"/>
      <c r="AO8" s="135" t="s">
        <v>2554</v>
      </c>
    </row>
    <row r="9" spans="1:48" ht="16.5" hidden="1" customHeight="1">
      <c r="A9" s="492" t="s">
        <v>389</v>
      </c>
      <c r="B9" s="493" t="s">
        <v>394</v>
      </c>
      <c r="C9" s="492" t="s">
        <v>389</v>
      </c>
      <c r="D9" s="492" t="s">
        <v>389</v>
      </c>
      <c r="E9" s="493" t="s">
        <v>116</v>
      </c>
      <c r="F9" s="493" t="s">
        <v>377</v>
      </c>
      <c r="G9" s="493" t="s">
        <v>117</v>
      </c>
      <c r="H9" s="493" t="s">
        <v>118</v>
      </c>
      <c r="I9" s="493" t="s">
        <v>119</v>
      </c>
      <c r="J9" s="493" t="s">
        <v>395</v>
      </c>
      <c r="K9" s="493" t="s">
        <v>377</v>
      </c>
      <c r="L9" s="493" t="s">
        <v>396</v>
      </c>
      <c r="M9" s="493" t="s">
        <v>397</v>
      </c>
      <c r="N9" s="493" t="s">
        <v>398</v>
      </c>
      <c r="O9" s="493">
        <v>3759800</v>
      </c>
      <c r="P9" s="439">
        <v>3418000</v>
      </c>
      <c r="Q9" s="493">
        <v>341800</v>
      </c>
      <c r="R9" s="493" t="s">
        <v>124</v>
      </c>
      <c r="S9" s="493" t="s">
        <v>382</v>
      </c>
      <c r="T9" s="493" t="s">
        <v>125</v>
      </c>
      <c r="U9" s="493" t="s">
        <v>126</v>
      </c>
      <c r="V9" s="493" t="s">
        <v>127</v>
      </c>
      <c r="W9" s="493" t="s">
        <v>128</v>
      </c>
      <c r="X9" s="493" t="s">
        <v>399</v>
      </c>
      <c r="Y9" s="493" t="s">
        <v>377</v>
      </c>
      <c r="Z9" s="493" t="s">
        <v>389</v>
      </c>
      <c r="AA9" s="493" t="s">
        <v>130</v>
      </c>
      <c r="AB9" s="493" t="s">
        <v>377</v>
      </c>
      <c r="AC9" s="493" t="s">
        <v>131</v>
      </c>
      <c r="AD9" s="493" t="s">
        <v>400</v>
      </c>
      <c r="AE9" s="493">
        <v>3418000</v>
      </c>
      <c r="AF9" s="493">
        <v>341800</v>
      </c>
      <c r="AG9" s="493" t="s">
        <v>401</v>
      </c>
      <c r="AH9" s="130">
        <f t="shared" si="3"/>
        <v>46074</v>
      </c>
      <c r="AI9" s="495">
        <v>46034</v>
      </c>
      <c r="AJ9" s="439">
        <f t="shared" si="0"/>
        <v>3759800.0000000005</v>
      </c>
      <c r="AK9" s="121">
        <f t="shared" si="1"/>
        <v>0</v>
      </c>
      <c r="AL9" s="440" t="str">
        <f t="shared" ca="1" si="2"/>
        <v/>
      </c>
      <c r="AM9" s="440"/>
      <c r="AN9" s="440"/>
      <c r="AO9" s="440"/>
      <c r="AT9" s="497"/>
    </row>
    <row r="10" spans="1:48" ht="16.5" hidden="1" customHeight="1">
      <c r="A10" s="492" t="s">
        <v>406</v>
      </c>
      <c r="B10" s="493" t="s">
        <v>407</v>
      </c>
      <c r="C10" s="492" t="s">
        <v>406</v>
      </c>
      <c r="D10" s="492" t="s">
        <v>406</v>
      </c>
      <c r="E10" s="493" t="s">
        <v>116</v>
      </c>
      <c r="F10" s="493" t="s">
        <v>377</v>
      </c>
      <c r="G10" s="493" t="s">
        <v>117</v>
      </c>
      <c r="H10" s="493" t="s">
        <v>118</v>
      </c>
      <c r="I10" s="493" t="s">
        <v>119</v>
      </c>
      <c r="J10" s="493" t="s">
        <v>408</v>
      </c>
      <c r="K10" s="493" t="s">
        <v>377</v>
      </c>
      <c r="L10" s="493" t="s">
        <v>409</v>
      </c>
      <c r="M10" s="493" t="s">
        <v>410</v>
      </c>
      <c r="N10" s="493" t="s">
        <v>411</v>
      </c>
      <c r="O10" s="493">
        <v>546150</v>
      </c>
      <c r="P10" s="439">
        <v>496500</v>
      </c>
      <c r="Q10" s="493">
        <v>49650</v>
      </c>
      <c r="R10" s="493" t="s">
        <v>124</v>
      </c>
      <c r="S10" s="493" t="s">
        <v>382</v>
      </c>
      <c r="T10" s="493" t="s">
        <v>125</v>
      </c>
      <c r="U10" s="493" t="s">
        <v>126</v>
      </c>
      <c r="V10" s="493" t="s">
        <v>127</v>
      </c>
      <c r="W10" s="493" t="s">
        <v>128</v>
      </c>
      <c r="X10" s="493" t="s">
        <v>412</v>
      </c>
      <c r="Y10" s="493" t="s">
        <v>377</v>
      </c>
      <c r="Z10" s="493" t="s">
        <v>406</v>
      </c>
      <c r="AA10" s="493" t="s">
        <v>130</v>
      </c>
      <c r="AB10" s="493" t="s">
        <v>377</v>
      </c>
      <c r="AC10" s="493" t="s">
        <v>131</v>
      </c>
      <c r="AD10" s="493" t="s">
        <v>413</v>
      </c>
      <c r="AE10" s="493">
        <v>496500</v>
      </c>
      <c r="AF10" s="493">
        <v>49650</v>
      </c>
      <c r="AG10" s="493" t="s">
        <v>414</v>
      </c>
      <c r="AH10" s="130">
        <f t="shared" si="3"/>
        <v>46076</v>
      </c>
      <c r="AI10" s="495">
        <v>46036</v>
      </c>
      <c r="AJ10" s="439">
        <f t="shared" si="0"/>
        <v>546150</v>
      </c>
      <c r="AK10" s="121">
        <f t="shared" si="1"/>
        <v>0</v>
      </c>
      <c r="AL10" s="440" t="str">
        <f t="shared" ca="1" si="2"/>
        <v/>
      </c>
      <c r="AM10" s="440"/>
      <c r="AN10" s="440"/>
      <c r="AO10" s="440"/>
    </row>
    <row r="11" spans="1:48" ht="16.5" hidden="1" customHeight="1">
      <c r="A11" s="492" t="s">
        <v>419</v>
      </c>
      <c r="B11" s="493" t="s">
        <v>420</v>
      </c>
      <c r="C11" s="492" t="s">
        <v>419</v>
      </c>
      <c r="D11" s="492" t="s">
        <v>419</v>
      </c>
      <c r="E11" s="493" t="s">
        <v>116</v>
      </c>
      <c r="F11" s="493" t="s">
        <v>377</v>
      </c>
      <c r="G11" s="493" t="s">
        <v>117</v>
      </c>
      <c r="H11" s="493" t="s">
        <v>118</v>
      </c>
      <c r="I11" s="493" t="s">
        <v>119</v>
      </c>
      <c r="J11" s="493" t="s">
        <v>421</v>
      </c>
      <c r="K11" s="493" t="s">
        <v>377</v>
      </c>
      <c r="L11" s="493" t="s">
        <v>422</v>
      </c>
      <c r="M11" s="493" t="s">
        <v>423</v>
      </c>
      <c r="N11" s="493" t="s">
        <v>424</v>
      </c>
      <c r="O11" s="493">
        <v>308000</v>
      </c>
      <c r="P11" s="439">
        <v>280000</v>
      </c>
      <c r="Q11" s="493">
        <v>28000</v>
      </c>
      <c r="R11" s="493" t="s">
        <v>124</v>
      </c>
      <c r="S11" s="493" t="s">
        <v>382</v>
      </c>
      <c r="T11" s="493" t="s">
        <v>125</v>
      </c>
      <c r="U11" s="493" t="s">
        <v>377</v>
      </c>
      <c r="V11" s="493" t="s">
        <v>127</v>
      </c>
      <c r="W11" s="493" t="s">
        <v>128</v>
      </c>
      <c r="X11" s="493" t="s">
        <v>425</v>
      </c>
      <c r="Y11" s="493" t="s">
        <v>377</v>
      </c>
      <c r="Z11" s="493" t="s">
        <v>419</v>
      </c>
      <c r="AA11" s="493" t="s">
        <v>130</v>
      </c>
      <c r="AB11" s="493" t="s">
        <v>377</v>
      </c>
      <c r="AC11" s="493" t="s">
        <v>131</v>
      </c>
      <c r="AD11" s="493" t="s">
        <v>377</v>
      </c>
      <c r="AE11" s="493">
        <v>280000</v>
      </c>
      <c r="AF11" s="493">
        <v>28000</v>
      </c>
      <c r="AG11" s="493" t="s">
        <v>658</v>
      </c>
      <c r="AH11" s="130">
        <f t="shared" si="3"/>
        <v>46078</v>
      </c>
      <c r="AI11" s="495">
        <v>46136</v>
      </c>
      <c r="AJ11" s="439">
        <f>P11*1.1</f>
        <v>308000</v>
      </c>
      <c r="AK11" s="121">
        <f t="shared" si="1"/>
        <v>0</v>
      </c>
      <c r="AL11" s="440" t="str">
        <f t="shared" ca="1" si="2"/>
        <v/>
      </c>
      <c r="AM11" s="440"/>
      <c r="AN11" s="440"/>
      <c r="AO11" s="440"/>
      <c r="AU11" s="497"/>
      <c r="AV11" s="497"/>
    </row>
    <row r="12" spans="1:48" ht="16.5" hidden="1" customHeight="1">
      <c r="A12" s="492" t="s">
        <v>419</v>
      </c>
      <c r="B12" s="493" t="s">
        <v>426</v>
      </c>
      <c r="C12" s="492" t="s">
        <v>419</v>
      </c>
      <c r="D12" s="492" t="s">
        <v>419</v>
      </c>
      <c r="E12" s="493" t="s">
        <v>116</v>
      </c>
      <c r="F12" s="493" t="s">
        <v>377</v>
      </c>
      <c r="G12" s="493" t="s">
        <v>117</v>
      </c>
      <c r="H12" s="493" t="s">
        <v>118</v>
      </c>
      <c r="I12" s="493" t="s">
        <v>119</v>
      </c>
      <c r="J12" s="493" t="s">
        <v>427</v>
      </c>
      <c r="K12" s="493" t="s">
        <v>377</v>
      </c>
      <c r="L12" s="493" t="s">
        <v>428</v>
      </c>
      <c r="M12" s="493" t="s">
        <v>429</v>
      </c>
      <c r="N12" s="493" t="s">
        <v>430</v>
      </c>
      <c r="O12" s="493">
        <v>418000</v>
      </c>
      <c r="P12" s="439">
        <v>380000</v>
      </c>
      <c r="Q12" s="493">
        <v>38000</v>
      </c>
      <c r="R12" s="493" t="s">
        <v>124</v>
      </c>
      <c r="S12" s="493" t="s">
        <v>382</v>
      </c>
      <c r="T12" s="493" t="s">
        <v>125</v>
      </c>
      <c r="U12" s="493" t="s">
        <v>126</v>
      </c>
      <c r="V12" s="493" t="s">
        <v>127</v>
      </c>
      <c r="W12" s="493" t="s">
        <v>128</v>
      </c>
      <c r="X12" s="493" t="s">
        <v>431</v>
      </c>
      <c r="Y12" s="493" t="s">
        <v>377</v>
      </c>
      <c r="Z12" s="493" t="s">
        <v>419</v>
      </c>
      <c r="AA12" s="493" t="s">
        <v>130</v>
      </c>
      <c r="AB12" s="493" t="s">
        <v>377</v>
      </c>
      <c r="AC12" s="493" t="s">
        <v>131</v>
      </c>
      <c r="AD12" s="493" t="s">
        <v>432</v>
      </c>
      <c r="AE12" s="493">
        <v>380000</v>
      </c>
      <c r="AF12" s="493">
        <v>38000</v>
      </c>
      <c r="AG12" s="493" t="s">
        <v>433</v>
      </c>
      <c r="AH12" s="130">
        <f t="shared" si="3"/>
        <v>46078</v>
      </c>
      <c r="AI12" s="495">
        <v>46038</v>
      </c>
      <c r="AJ12" s="439">
        <f t="shared" ref="AJ12:AJ27" si="4">P12*1.1</f>
        <v>418000.00000000006</v>
      </c>
      <c r="AK12" s="121">
        <f t="shared" si="1"/>
        <v>0</v>
      </c>
      <c r="AL12" s="440" t="str">
        <f t="shared" ca="1" si="2"/>
        <v/>
      </c>
      <c r="AM12" s="440"/>
      <c r="AN12" s="440"/>
      <c r="AO12" s="440"/>
      <c r="AV12" s="498"/>
    </row>
    <row r="13" spans="1:48" ht="16.5" hidden="1" customHeight="1">
      <c r="A13" s="492" t="s">
        <v>438</v>
      </c>
      <c r="B13" s="493" t="s">
        <v>439</v>
      </c>
      <c r="C13" s="492" t="s">
        <v>440</v>
      </c>
      <c r="D13" s="492" t="s">
        <v>440</v>
      </c>
      <c r="E13" s="493" t="s">
        <v>116</v>
      </c>
      <c r="F13" s="493" t="s">
        <v>377</v>
      </c>
      <c r="G13" s="493" t="s">
        <v>117</v>
      </c>
      <c r="H13" s="493" t="s">
        <v>118</v>
      </c>
      <c r="I13" s="493" t="s">
        <v>119</v>
      </c>
      <c r="J13" s="493" t="s">
        <v>120</v>
      </c>
      <c r="K13" s="493" t="s">
        <v>377</v>
      </c>
      <c r="L13" s="493" t="s">
        <v>390</v>
      </c>
      <c r="M13" s="493" t="s">
        <v>122</v>
      </c>
      <c r="N13" s="493" t="s">
        <v>123</v>
      </c>
      <c r="O13" s="493">
        <v>40497600</v>
      </c>
      <c r="P13" s="439">
        <v>36816000</v>
      </c>
      <c r="Q13" s="493">
        <v>3681600</v>
      </c>
      <c r="R13" s="493" t="s">
        <v>441</v>
      </c>
      <c r="S13" s="493" t="s">
        <v>442</v>
      </c>
      <c r="T13" s="493" t="s">
        <v>125</v>
      </c>
      <c r="U13" s="493" t="s">
        <v>443</v>
      </c>
      <c r="V13" s="493" t="s">
        <v>127</v>
      </c>
      <c r="W13" s="493" t="s">
        <v>128</v>
      </c>
      <c r="X13" s="493" t="s">
        <v>129</v>
      </c>
      <c r="Y13" s="493" t="s">
        <v>377</v>
      </c>
      <c r="Z13" s="493" t="s">
        <v>438</v>
      </c>
      <c r="AA13" s="493" t="s">
        <v>130</v>
      </c>
      <c r="AB13" s="493" t="s">
        <v>377</v>
      </c>
      <c r="AC13" s="493" t="s">
        <v>131</v>
      </c>
      <c r="AD13" s="493" t="s">
        <v>444</v>
      </c>
      <c r="AE13" s="493">
        <v>36816000</v>
      </c>
      <c r="AF13" s="493">
        <v>3681600</v>
      </c>
      <c r="AG13" s="494" t="s">
        <v>133</v>
      </c>
      <c r="AH13" s="130">
        <f t="shared" si="3"/>
        <v>46082</v>
      </c>
      <c r="AI13" s="495">
        <v>46112</v>
      </c>
      <c r="AJ13" s="439">
        <f t="shared" si="4"/>
        <v>40497600</v>
      </c>
      <c r="AK13" s="121">
        <f t="shared" si="1"/>
        <v>0</v>
      </c>
      <c r="AL13" s="440" t="str">
        <f t="shared" ca="1" si="2"/>
        <v/>
      </c>
      <c r="AM13" s="440"/>
      <c r="AN13" s="440"/>
      <c r="AO13" s="440"/>
      <c r="AR13" s="497"/>
    </row>
    <row r="14" spans="1:48" ht="16.5" hidden="1" customHeight="1">
      <c r="A14" s="492" t="s">
        <v>438</v>
      </c>
      <c r="B14" s="493" t="s">
        <v>446</v>
      </c>
      <c r="C14" s="492" t="s">
        <v>438</v>
      </c>
      <c r="D14" s="492" t="s">
        <v>438</v>
      </c>
      <c r="E14" s="493" t="s">
        <v>116</v>
      </c>
      <c r="F14" s="493" t="s">
        <v>377</v>
      </c>
      <c r="G14" s="493" t="s">
        <v>117</v>
      </c>
      <c r="H14" s="493" t="s">
        <v>118</v>
      </c>
      <c r="I14" s="493" t="s">
        <v>119</v>
      </c>
      <c r="J14" s="493" t="s">
        <v>120</v>
      </c>
      <c r="K14" s="493" t="s">
        <v>377</v>
      </c>
      <c r="L14" s="493" t="s">
        <v>390</v>
      </c>
      <c r="M14" s="493" t="s">
        <v>122</v>
      </c>
      <c r="N14" s="493" t="s">
        <v>123</v>
      </c>
      <c r="O14" s="493">
        <v>8129000</v>
      </c>
      <c r="P14" s="439">
        <v>7390000</v>
      </c>
      <c r="Q14" s="493">
        <v>739000</v>
      </c>
      <c r="R14" s="493" t="s">
        <v>124</v>
      </c>
      <c r="S14" s="493" t="s">
        <v>382</v>
      </c>
      <c r="T14" s="493" t="s">
        <v>125</v>
      </c>
      <c r="U14" s="493" t="s">
        <v>445</v>
      </c>
      <c r="V14" s="493" t="s">
        <v>127</v>
      </c>
      <c r="W14" s="493" t="s">
        <v>128</v>
      </c>
      <c r="X14" s="493" t="s">
        <v>129</v>
      </c>
      <c r="Y14" s="493" t="s">
        <v>377</v>
      </c>
      <c r="Z14" s="493" t="s">
        <v>438</v>
      </c>
      <c r="AA14" s="493" t="s">
        <v>130</v>
      </c>
      <c r="AB14" s="493" t="s">
        <v>377</v>
      </c>
      <c r="AC14" s="493" t="s">
        <v>131</v>
      </c>
      <c r="AD14" s="493" t="s">
        <v>447</v>
      </c>
      <c r="AE14" s="493">
        <v>7390000</v>
      </c>
      <c r="AF14" s="493">
        <v>739000</v>
      </c>
      <c r="AG14" s="493" t="s">
        <v>133</v>
      </c>
      <c r="AH14" s="130">
        <f>IF(A14&lt;&gt;"", A14+40, "")</f>
        <v>46082</v>
      </c>
      <c r="AI14" s="495">
        <v>46092</v>
      </c>
      <c r="AJ14" s="439">
        <f t="shared" si="4"/>
        <v>8129000.0000000009</v>
      </c>
      <c r="AK14" s="121">
        <f t="shared" si="1"/>
        <v>0</v>
      </c>
      <c r="AL14" s="440" t="str">
        <f t="shared" ca="1" si="2"/>
        <v/>
      </c>
      <c r="AM14" s="440"/>
      <c r="AN14" s="440"/>
      <c r="AO14" s="440"/>
    </row>
    <row r="15" spans="1:48" ht="16.5" hidden="1" customHeight="1">
      <c r="A15" s="492" t="s">
        <v>449</v>
      </c>
      <c r="B15" s="493" t="s">
        <v>450</v>
      </c>
      <c r="C15" s="492" t="s">
        <v>449</v>
      </c>
      <c r="D15" s="492" t="s">
        <v>449</v>
      </c>
      <c r="E15" s="493" t="s">
        <v>116</v>
      </c>
      <c r="F15" s="493" t="s">
        <v>377</v>
      </c>
      <c r="G15" s="493" t="s">
        <v>117</v>
      </c>
      <c r="H15" s="493" t="s">
        <v>118</v>
      </c>
      <c r="I15" s="493" t="s">
        <v>119</v>
      </c>
      <c r="J15" s="493" t="s">
        <v>120</v>
      </c>
      <c r="K15" s="493" t="s">
        <v>377</v>
      </c>
      <c r="L15" s="493" t="s">
        <v>390</v>
      </c>
      <c r="M15" s="493" t="s">
        <v>122</v>
      </c>
      <c r="N15" s="493" t="s">
        <v>123</v>
      </c>
      <c r="O15" s="493">
        <v>62447000</v>
      </c>
      <c r="P15" s="439">
        <v>56770000</v>
      </c>
      <c r="Q15" s="493">
        <v>5677000</v>
      </c>
      <c r="R15" s="493" t="s">
        <v>441</v>
      </c>
      <c r="S15" s="493" t="s">
        <v>442</v>
      </c>
      <c r="T15" s="493" t="s">
        <v>125</v>
      </c>
      <c r="U15" s="493" t="s">
        <v>451</v>
      </c>
      <c r="V15" s="493" t="s">
        <v>127</v>
      </c>
      <c r="W15" s="493" t="s">
        <v>128</v>
      </c>
      <c r="X15" s="493" t="s">
        <v>129</v>
      </c>
      <c r="Y15" s="493" t="s">
        <v>377</v>
      </c>
      <c r="Z15" s="493" t="s">
        <v>449</v>
      </c>
      <c r="AA15" s="493" t="s">
        <v>130</v>
      </c>
      <c r="AB15" s="493" t="s">
        <v>377</v>
      </c>
      <c r="AC15" s="493" t="s">
        <v>131</v>
      </c>
      <c r="AD15" s="493" t="s">
        <v>452</v>
      </c>
      <c r="AE15" s="493">
        <v>56770000</v>
      </c>
      <c r="AF15" s="493">
        <v>5677000</v>
      </c>
      <c r="AG15" s="493" t="s">
        <v>133</v>
      </c>
      <c r="AH15" s="130">
        <f t="shared" si="3"/>
        <v>46084</v>
      </c>
      <c r="AI15" s="495">
        <v>46112</v>
      </c>
      <c r="AJ15" s="439">
        <f t="shared" si="4"/>
        <v>62447000.000000007</v>
      </c>
      <c r="AK15" s="121">
        <f t="shared" si="1"/>
        <v>0</v>
      </c>
      <c r="AL15" s="440" t="str">
        <f t="shared" ca="1" si="2"/>
        <v/>
      </c>
      <c r="AM15" s="440"/>
      <c r="AN15" s="440"/>
      <c r="AO15" s="440"/>
    </row>
    <row r="16" spans="1:48" ht="16.5" hidden="1" customHeight="1">
      <c r="A16" s="492" t="s">
        <v>449</v>
      </c>
      <c r="B16" s="493" t="s">
        <v>453</v>
      </c>
      <c r="C16" s="492" t="s">
        <v>449</v>
      </c>
      <c r="D16" s="492" t="s">
        <v>449</v>
      </c>
      <c r="E16" s="493" t="s">
        <v>116</v>
      </c>
      <c r="F16" s="493" t="s">
        <v>377</v>
      </c>
      <c r="G16" s="493" t="s">
        <v>117</v>
      </c>
      <c r="H16" s="493" t="s">
        <v>118</v>
      </c>
      <c r="I16" s="493" t="s">
        <v>119</v>
      </c>
      <c r="J16" s="493" t="s">
        <v>454</v>
      </c>
      <c r="K16" s="493" t="s">
        <v>377</v>
      </c>
      <c r="L16" s="493" t="s">
        <v>455</v>
      </c>
      <c r="M16" s="493" t="s">
        <v>456</v>
      </c>
      <c r="N16" s="493" t="s">
        <v>457</v>
      </c>
      <c r="O16" s="493">
        <v>353100</v>
      </c>
      <c r="P16" s="439">
        <v>321000</v>
      </c>
      <c r="Q16" s="493">
        <v>32100</v>
      </c>
      <c r="R16" s="493" t="s">
        <v>124</v>
      </c>
      <c r="S16" s="493" t="s">
        <v>382</v>
      </c>
      <c r="T16" s="493" t="s">
        <v>125</v>
      </c>
      <c r="U16" s="493" t="s">
        <v>126</v>
      </c>
      <c r="V16" s="493" t="s">
        <v>127</v>
      </c>
      <c r="W16" s="493" t="s">
        <v>128</v>
      </c>
      <c r="X16" s="493" t="s">
        <v>458</v>
      </c>
      <c r="Y16" s="493" t="s">
        <v>377</v>
      </c>
      <c r="Z16" s="493" t="s">
        <v>449</v>
      </c>
      <c r="AA16" s="493" t="s">
        <v>130</v>
      </c>
      <c r="AB16" s="493" t="s">
        <v>377</v>
      </c>
      <c r="AC16" s="493" t="s">
        <v>131</v>
      </c>
      <c r="AD16" s="493" t="s">
        <v>459</v>
      </c>
      <c r="AE16" s="493">
        <v>321000</v>
      </c>
      <c r="AF16" s="493">
        <v>32100</v>
      </c>
      <c r="AG16" s="493" t="s">
        <v>484</v>
      </c>
      <c r="AH16" s="130">
        <f t="shared" si="3"/>
        <v>46084</v>
      </c>
      <c r="AI16" s="495">
        <v>46048</v>
      </c>
      <c r="AJ16" s="439">
        <f t="shared" si="4"/>
        <v>353100</v>
      </c>
      <c r="AK16" s="121">
        <f t="shared" si="1"/>
        <v>0</v>
      </c>
      <c r="AL16" s="440" t="str">
        <f t="shared" ca="1" si="2"/>
        <v/>
      </c>
      <c r="AM16" s="440"/>
      <c r="AN16" s="440"/>
      <c r="AO16" s="440"/>
    </row>
    <row r="17" spans="1:42" ht="16.5" hidden="1" customHeight="1">
      <c r="A17" s="492" t="s">
        <v>470</v>
      </c>
      <c r="B17" s="493" t="s">
        <v>471</v>
      </c>
      <c r="C17" s="492" t="s">
        <v>470</v>
      </c>
      <c r="D17" s="492" t="s">
        <v>470</v>
      </c>
      <c r="E17" s="493" t="s">
        <v>116</v>
      </c>
      <c r="F17" s="493" t="s">
        <v>377</v>
      </c>
      <c r="G17" s="493" t="s">
        <v>117</v>
      </c>
      <c r="H17" s="493" t="s">
        <v>118</v>
      </c>
      <c r="I17" s="493" t="s">
        <v>119</v>
      </c>
      <c r="J17" s="493" t="s">
        <v>120</v>
      </c>
      <c r="K17" s="493" t="s">
        <v>377</v>
      </c>
      <c r="L17" s="493" t="s">
        <v>390</v>
      </c>
      <c r="M17" s="493" t="s">
        <v>122</v>
      </c>
      <c r="N17" s="493" t="s">
        <v>123</v>
      </c>
      <c r="O17" s="493">
        <v>5262400</v>
      </c>
      <c r="P17" s="439">
        <v>4784000</v>
      </c>
      <c r="Q17" s="493">
        <v>478400</v>
      </c>
      <c r="R17" s="493" t="s">
        <v>124</v>
      </c>
      <c r="S17" s="493" t="s">
        <v>382</v>
      </c>
      <c r="T17" s="493" t="s">
        <v>125</v>
      </c>
      <c r="U17" s="493" t="s">
        <v>445</v>
      </c>
      <c r="V17" s="493" t="s">
        <v>127</v>
      </c>
      <c r="W17" s="493" t="s">
        <v>128</v>
      </c>
      <c r="X17" s="493" t="s">
        <v>129</v>
      </c>
      <c r="Y17" s="493" t="s">
        <v>377</v>
      </c>
      <c r="Z17" s="493" t="s">
        <v>470</v>
      </c>
      <c r="AA17" s="493" t="s">
        <v>130</v>
      </c>
      <c r="AB17" s="493" t="s">
        <v>377</v>
      </c>
      <c r="AC17" s="493" t="s">
        <v>131</v>
      </c>
      <c r="AD17" s="493" t="s">
        <v>472</v>
      </c>
      <c r="AE17" s="493">
        <v>4784000</v>
      </c>
      <c r="AF17" s="493">
        <v>478400</v>
      </c>
      <c r="AG17" s="493" t="s">
        <v>133</v>
      </c>
      <c r="AH17" s="130">
        <f t="shared" si="3"/>
        <v>46088</v>
      </c>
      <c r="AI17" s="495">
        <v>46112</v>
      </c>
      <c r="AJ17" s="439">
        <f t="shared" si="4"/>
        <v>5262400</v>
      </c>
      <c r="AK17" s="121">
        <f t="shared" si="1"/>
        <v>0</v>
      </c>
      <c r="AL17" s="440" t="str">
        <f t="shared" ca="1" si="2"/>
        <v/>
      </c>
      <c r="AM17" s="440"/>
      <c r="AN17" s="440"/>
      <c r="AO17" s="440"/>
    </row>
    <row r="18" spans="1:42" ht="16.5" hidden="1" customHeight="1">
      <c r="A18" s="492" t="s">
        <v>470</v>
      </c>
      <c r="B18" s="493" t="s">
        <v>473</v>
      </c>
      <c r="C18" s="492" t="s">
        <v>470</v>
      </c>
      <c r="D18" s="492" t="s">
        <v>470</v>
      </c>
      <c r="E18" s="493" t="s">
        <v>116</v>
      </c>
      <c r="F18" s="493" t="s">
        <v>377</v>
      </c>
      <c r="G18" s="493" t="s">
        <v>117</v>
      </c>
      <c r="H18" s="493" t="s">
        <v>118</v>
      </c>
      <c r="I18" s="493" t="s">
        <v>119</v>
      </c>
      <c r="J18" s="493" t="s">
        <v>474</v>
      </c>
      <c r="K18" s="493" t="s">
        <v>377</v>
      </c>
      <c r="L18" s="493" t="s">
        <v>475</v>
      </c>
      <c r="M18" s="493" t="s">
        <v>476</v>
      </c>
      <c r="N18" s="493" t="s">
        <v>477</v>
      </c>
      <c r="O18" s="493">
        <v>16892150</v>
      </c>
      <c r="P18" s="439">
        <v>15356500</v>
      </c>
      <c r="Q18" s="493">
        <v>1535650</v>
      </c>
      <c r="R18" s="493" t="s">
        <v>124</v>
      </c>
      <c r="S18" s="493" t="s">
        <v>382</v>
      </c>
      <c r="T18" s="493" t="s">
        <v>125</v>
      </c>
      <c r="U18" s="493" t="s">
        <v>126</v>
      </c>
      <c r="V18" s="493" t="s">
        <v>127</v>
      </c>
      <c r="W18" s="493" t="s">
        <v>128</v>
      </c>
      <c r="X18" s="493" t="s">
        <v>478</v>
      </c>
      <c r="Y18" s="493" t="s">
        <v>377</v>
      </c>
      <c r="Z18" s="493" t="s">
        <v>470</v>
      </c>
      <c r="AA18" s="493" t="s">
        <v>130</v>
      </c>
      <c r="AB18" s="493" t="s">
        <v>377</v>
      </c>
      <c r="AC18" s="493" t="s">
        <v>131</v>
      </c>
      <c r="AD18" s="493" t="s">
        <v>479</v>
      </c>
      <c r="AE18" s="493">
        <v>15356500</v>
      </c>
      <c r="AF18" s="493">
        <v>1535650</v>
      </c>
      <c r="AG18" s="493" t="s">
        <v>480</v>
      </c>
      <c r="AH18" s="130">
        <f t="shared" si="3"/>
        <v>46088</v>
      </c>
      <c r="AI18" s="495">
        <v>46063</v>
      </c>
      <c r="AJ18" s="439">
        <f t="shared" si="4"/>
        <v>16892150</v>
      </c>
      <c r="AK18" s="121">
        <f t="shared" si="1"/>
        <v>0</v>
      </c>
      <c r="AL18" s="440" t="str">
        <f t="shared" ca="1" si="2"/>
        <v/>
      </c>
      <c r="AM18" s="440"/>
      <c r="AN18" s="440"/>
      <c r="AO18" s="440"/>
    </row>
    <row r="19" spans="1:42" ht="16.5" hidden="1" customHeight="1">
      <c r="A19" s="492" t="s">
        <v>481</v>
      </c>
      <c r="B19" s="493" t="s">
        <v>482</v>
      </c>
      <c r="C19" s="492" t="s">
        <v>481</v>
      </c>
      <c r="D19" s="492" t="s">
        <v>481</v>
      </c>
      <c r="E19" s="493" t="s">
        <v>116</v>
      </c>
      <c r="F19" s="493" t="s">
        <v>377</v>
      </c>
      <c r="G19" s="493" t="s">
        <v>117</v>
      </c>
      <c r="H19" s="493" t="s">
        <v>118</v>
      </c>
      <c r="I19" s="493" t="s">
        <v>119</v>
      </c>
      <c r="J19" s="493" t="s">
        <v>120</v>
      </c>
      <c r="K19" s="493" t="s">
        <v>377</v>
      </c>
      <c r="L19" s="493" t="s">
        <v>390</v>
      </c>
      <c r="M19" s="493" t="s">
        <v>122</v>
      </c>
      <c r="N19" s="493" t="s">
        <v>123</v>
      </c>
      <c r="O19" s="493">
        <v>18975000</v>
      </c>
      <c r="P19" s="439">
        <v>17250000</v>
      </c>
      <c r="Q19" s="493">
        <v>1725000</v>
      </c>
      <c r="R19" s="493" t="s">
        <v>124</v>
      </c>
      <c r="S19" s="493" t="s">
        <v>382</v>
      </c>
      <c r="T19" s="493" t="s">
        <v>125</v>
      </c>
      <c r="U19" s="493" t="s">
        <v>126</v>
      </c>
      <c r="V19" s="493" t="s">
        <v>127</v>
      </c>
      <c r="W19" s="493" t="s">
        <v>128</v>
      </c>
      <c r="X19" s="493" t="s">
        <v>129</v>
      </c>
      <c r="Y19" s="493" t="s">
        <v>377</v>
      </c>
      <c r="Z19" s="493" t="s">
        <v>481</v>
      </c>
      <c r="AA19" s="493" t="s">
        <v>130</v>
      </c>
      <c r="AB19" s="493" t="s">
        <v>377</v>
      </c>
      <c r="AC19" s="493" t="s">
        <v>131</v>
      </c>
      <c r="AD19" s="493" t="s">
        <v>483</v>
      </c>
      <c r="AE19" s="493">
        <v>17250000</v>
      </c>
      <c r="AF19" s="493">
        <v>1725000</v>
      </c>
      <c r="AG19" s="3" t="s">
        <v>133</v>
      </c>
      <c r="AH19" s="130">
        <f t="shared" si="3"/>
        <v>46091</v>
      </c>
      <c r="AI19" s="495">
        <v>46112</v>
      </c>
      <c r="AJ19" s="439">
        <f t="shared" si="4"/>
        <v>18975000</v>
      </c>
      <c r="AK19" s="121">
        <f t="shared" si="1"/>
        <v>0</v>
      </c>
      <c r="AL19" s="440" t="str">
        <f t="shared" ca="1" si="2"/>
        <v/>
      </c>
      <c r="AM19" s="440"/>
      <c r="AN19" s="440"/>
      <c r="AO19" s="440"/>
    </row>
    <row r="20" spans="1:42" ht="16.5" hidden="1" customHeight="1">
      <c r="A20" s="492" t="s">
        <v>481</v>
      </c>
      <c r="B20" s="493" t="s">
        <v>486</v>
      </c>
      <c r="C20" s="492" t="s">
        <v>481</v>
      </c>
      <c r="D20" s="492" t="s">
        <v>481</v>
      </c>
      <c r="E20" s="493" t="s">
        <v>116</v>
      </c>
      <c r="F20" s="493" t="s">
        <v>377</v>
      </c>
      <c r="G20" s="493" t="s">
        <v>117</v>
      </c>
      <c r="H20" s="493" t="s">
        <v>118</v>
      </c>
      <c r="I20" s="493" t="s">
        <v>119</v>
      </c>
      <c r="J20" s="493" t="s">
        <v>120</v>
      </c>
      <c r="K20" s="493" t="s">
        <v>377</v>
      </c>
      <c r="L20" s="493" t="s">
        <v>390</v>
      </c>
      <c r="M20" s="493" t="s">
        <v>122</v>
      </c>
      <c r="N20" s="493" t="s">
        <v>123</v>
      </c>
      <c r="O20" s="493">
        <v>6325000</v>
      </c>
      <c r="P20" s="439">
        <v>5750000</v>
      </c>
      <c r="Q20" s="493">
        <v>575000</v>
      </c>
      <c r="R20" s="493" t="s">
        <v>124</v>
      </c>
      <c r="S20" s="493" t="s">
        <v>382</v>
      </c>
      <c r="T20" s="493" t="s">
        <v>125</v>
      </c>
      <c r="U20" s="493" t="s">
        <v>126</v>
      </c>
      <c r="V20" s="493" t="s">
        <v>127</v>
      </c>
      <c r="W20" s="493" t="s">
        <v>128</v>
      </c>
      <c r="X20" s="493" t="s">
        <v>129</v>
      </c>
      <c r="Y20" s="493" t="s">
        <v>377</v>
      </c>
      <c r="Z20" s="493" t="s">
        <v>481</v>
      </c>
      <c r="AA20" s="493" t="s">
        <v>130</v>
      </c>
      <c r="AB20" s="493" t="s">
        <v>377</v>
      </c>
      <c r="AC20" s="493" t="s">
        <v>131</v>
      </c>
      <c r="AD20" s="493" t="s">
        <v>487</v>
      </c>
      <c r="AE20" s="493">
        <v>5750000</v>
      </c>
      <c r="AF20" s="493">
        <v>575000</v>
      </c>
      <c r="AG20" s="493" t="s">
        <v>133</v>
      </c>
      <c r="AH20" s="130">
        <f t="shared" si="3"/>
        <v>46091</v>
      </c>
      <c r="AI20" s="495">
        <v>46112</v>
      </c>
      <c r="AJ20" s="439">
        <f t="shared" si="4"/>
        <v>6325000.0000000009</v>
      </c>
      <c r="AK20" s="121">
        <f t="shared" si="1"/>
        <v>0</v>
      </c>
      <c r="AL20" s="440" t="str">
        <f t="shared" ca="1" si="2"/>
        <v/>
      </c>
      <c r="AM20" s="440"/>
      <c r="AN20" s="440"/>
      <c r="AO20" s="440"/>
    </row>
    <row r="21" spans="1:42" ht="16.5" hidden="1" customHeight="1">
      <c r="A21" s="492" t="s">
        <v>576</v>
      </c>
      <c r="B21" s="493"/>
      <c r="C21" s="492"/>
      <c r="D21" s="492"/>
      <c r="E21" s="493"/>
      <c r="F21" s="493"/>
      <c r="G21" s="493"/>
      <c r="H21" s="493"/>
      <c r="I21" s="493"/>
      <c r="J21" s="493"/>
      <c r="K21" s="493"/>
      <c r="L21" s="493" t="s">
        <v>577</v>
      </c>
      <c r="M21" s="493"/>
      <c r="N21" s="493"/>
      <c r="O21" s="493"/>
      <c r="P21" s="439">
        <v>-3943480</v>
      </c>
      <c r="Q21" s="493"/>
      <c r="R21" s="493"/>
      <c r="S21" s="493"/>
      <c r="T21" s="493"/>
      <c r="U21" s="493"/>
      <c r="V21" s="493"/>
      <c r="W21" s="493"/>
      <c r="X21" s="493"/>
      <c r="Y21" s="493"/>
      <c r="Z21" s="493"/>
      <c r="AA21" s="493"/>
      <c r="AB21" s="493"/>
      <c r="AC21" s="493"/>
      <c r="AD21" s="493"/>
      <c r="AE21" s="493"/>
      <c r="AF21" s="493"/>
      <c r="AG21" s="493" t="s">
        <v>578</v>
      </c>
      <c r="AH21" s="130"/>
      <c r="AI21" s="495">
        <v>46064</v>
      </c>
      <c r="AJ21" s="439">
        <f t="shared" si="4"/>
        <v>-4337828</v>
      </c>
      <c r="AK21" s="121">
        <f t="shared" si="1"/>
        <v>0</v>
      </c>
      <c r="AL21" s="440" t="str">
        <f t="shared" ca="1" si="2"/>
        <v/>
      </c>
      <c r="AM21" s="440"/>
      <c r="AN21" s="440"/>
      <c r="AO21" s="440"/>
    </row>
    <row r="22" spans="1:42" ht="16.5" hidden="1" customHeight="1">
      <c r="A22" s="492" t="s">
        <v>501</v>
      </c>
      <c r="B22" s="493" t="s">
        <v>502</v>
      </c>
      <c r="C22" s="492" t="s">
        <v>501</v>
      </c>
      <c r="D22" s="492" t="s">
        <v>501</v>
      </c>
      <c r="E22" s="493" t="s">
        <v>116</v>
      </c>
      <c r="F22" s="493" t="s">
        <v>377</v>
      </c>
      <c r="G22" s="493" t="s">
        <v>117</v>
      </c>
      <c r="H22" s="493" t="s">
        <v>118</v>
      </c>
      <c r="I22" s="493" t="s">
        <v>119</v>
      </c>
      <c r="J22" s="493" t="s">
        <v>503</v>
      </c>
      <c r="K22" s="493" t="s">
        <v>377</v>
      </c>
      <c r="L22" s="493" t="s">
        <v>504</v>
      </c>
      <c r="M22" s="493" t="s">
        <v>505</v>
      </c>
      <c r="N22" s="493" t="s">
        <v>506</v>
      </c>
      <c r="O22" s="493">
        <v>254100</v>
      </c>
      <c r="P22" s="439">
        <v>231000</v>
      </c>
      <c r="Q22" s="493">
        <v>23100</v>
      </c>
      <c r="R22" s="493" t="s">
        <v>124</v>
      </c>
      <c r="S22" s="493" t="s">
        <v>382</v>
      </c>
      <c r="T22" s="493" t="s">
        <v>125</v>
      </c>
      <c r="U22" s="493" t="s">
        <v>126</v>
      </c>
      <c r="V22" s="493" t="s">
        <v>127</v>
      </c>
      <c r="W22" s="493" t="s">
        <v>128</v>
      </c>
      <c r="X22" s="493" t="s">
        <v>507</v>
      </c>
      <c r="Y22" s="493" t="s">
        <v>377</v>
      </c>
      <c r="Z22" s="493" t="s">
        <v>501</v>
      </c>
      <c r="AA22" s="493" t="s">
        <v>130</v>
      </c>
      <c r="AB22" s="493" t="s">
        <v>377</v>
      </c>
      <c r="AC22" s="493" t="s">
        <v>131</v>
      </c>
      <c r="AD22" s="493" t="s">
        <v>508</v>
      </c>
      <c r="AE22" s="493">
        <v>231000</v>
      </c>
      <c r="AF22" s="493">
        <v>23100</v>
      </c>
      <c r="AG22" s="493" t="s">
        <v>565</v>
      </c>
      <c r="AH22" s="130">
        <f>IF(A22&lt;&gt;"", A22+40, "")</f>
        <v>46095</v>
      </c>
      <c r="AI22" s="495">
        <v>46055</v>
      </c>
      <c r="AJ22" s="439">
        <f t="shared" si="4"/>
        <v>254100.00000000003</v>
      </c>
      <c r="AK22" s="121">
        <f t="shared" si="1"/>
        <v>0</v>
      </c>
      <c r="AL22" s="440" t="str">
        <f t="shared" ca="1" si="2"/>
        <v/>
      </c>
      <c r="AM22" s="440"/>
      <c r="AN22" s="440"/>
      <c r="AO22" s="440"/>
    </row>
    <row r="23" spans="1:42" ht="16.5" hidden="1" customHeight="1">
      <c r="A23" s="492" t="s">
        <v>501</v>
      </c>
      <c r="B23" s="493" t="s">
        <v>509</v>
      </c>
      <c r="C23" s="492" t="s">
        <v>501</v>
      </c>
      <c r="D23" s="492" t="s">
        <v>501</v>
      </c>
      <c r="E23" s="493" t="s">
        <v>116</v>
      </c>
      <c r="F23" s="493" t="s">
        <v>377</v>
      </c>
      <c r="G23" s="493" t="s">
        <v>117</v>
      </c>
      <c r="H23" s="493" t="s">
        <v>118</v>
      </c>
      <c r="I23" s="493" t="s">
        <v>119</v>
      </c>
      <c r="J23" s="493" t="s">
        <v>510</v>
      </c>
      <c r="K23" s="493" t="s">
        <v>377</v>
      </c>
      <c r="L23" s="493" t="s">
        <v>511</v>
      </c>
      <c r="M23" s="493" t="s">
        <v>512</v>
      </c>
      <c r="N23" s="493" t="s">
        <v>513</v>
      </c>
      <c r="O23" s="493">
        <v>240900</v>
      </c>
      <c r="P23" s="439">
        <v>219000</v>
      </c>
      <c r="Q23" s="493">
        <v>21900</v>
      </c>
      <c r="R23" s="493" t="s">
        <v>124</v>
      </c>
      <c r="S23" s="493" t="s">
        <v>382</v>
      </c>
      <c r="T23" s="493" t="s">
        <v>125</v>
      </c>
      <c r="U23" s="493" t="s">
        <v>445</v>
      </c>
      <c r="V23" s="493" t="s">
        <v>127</v>
      </c>
      <c r="W23" s="493" t="s">
        <v>128</v>
      </c>
      <c r="X23" s="493" t="s">
        <v>514</v>
      </c>
      <c r="Y23" s="493" t="s">
        <v>377</v>
      </c>
      <c r="Z23" s="493" t="s">
        <v>501</v>
      </c>
      <c r="AA23" s="493" t="s">
        <v>130</v>
      </c>
      <c r="AB23" s="493" t="s">
        <v>377</v>
      </c>
      <c r="AC23" s="493" t="s">
        <v>131</v>
      </c>
      <c r="AD23" s="493" t="s">
        <v>515</v>
      </c>
      <c r="AE23" s="493">
        <v>219000</v>
      </c>
      <c r="AF23" s="493">
        <v>21900</v>
      </c>
      <c r="AG23" s="493" t="s">
        <v>516</v>
      </c>
      <c r="AH23" s="130">
        <f t="shared" ref="AH23:AH85" si="5">IF(A23&lt;&gt;"", A23+40, "")</f>
        <v>46095</v>
      </c>
      <c r="AI23" s="495">
        <v>46112</v>
      </c>
      <c r="AJ23" s="439">
        <f t="shared" si="4"/>
        <v>240900.00000000003</v>
      </c>
      <c r="AK23" s="121">
        <f t="shared" si="1"/>
        <v>0</v>
      </c>
      <c r="AL23" s="440" t="str">
        <f t="shared" ca="1" si="2"/>
        <v/>
      </c>
      <c r="AM23" s="440" t="s">
        <v>783</v>
      </c>
      <c r="AN23" s="440"/>
      <c r="AO23" s="440"/>
    </row>
    <row r="24" spans="1:42" ht="16.5" hidden="1" customHeight="1">
      <c r="A24" s="492" t="s">
        <v>517</v>
      </c>
      <c r="B24" s="493" t="s">
        <v>518</v>
      </c>
      <c r="C24" s="492" t="s">
        <v>517</v>
      </c>
      <c r="D24" s="492" t="s">
        <v>517</v>
      </c>
      <c r="E24" s="493" t="s">
        <v>116</v>
      </c>
      <c r="F24" s="493" t="s">
        <v>377</v>
      </c>
      <c r="G24" s="493" t="s">
        <v>117</v>
      </c>
      <c r="H24" s="493" t="s">
        <v>118</v>
      </c>
      <c r="I24" s="493" t="s">
        <v>119</v>
      </c>
      <c r="J24" s="493" t="s">
        <v>519</v>
      </c>
      <c r="K24" s="493" t="s">
        <v>377</v>
      </c>
      <c r="L24" s="493" t="s">
        <v>520</v>
      </c>
      <c r="M24" s="493" t="s">
        <v>521</v>
      </c>
      <c r="N24" s="493" t="s">
        <v>522</v>
      </c>
      <c r="O24" s="493">
        <v>475200</v>
      </c>
      <c r="P24" s="439">
        <v>432000</v>
      </c>
      <c r="Q24" s="493">
        <v>43200</v>
      </c>
      <c r="R24" s="493" t="s">
        <v>124</v>
      </c>
      <c r="S24" s="493" t="s">
        <v>382</v>
      </c>
      <c r="T24" s="493" t="s">
        <v>125</v>
      </c>
      <c r="U24" s="493" t="s">
        <v>126</v>
      </c>
      <c r="V24" s="493" t="s">
        <v>127</v>
      </c>
      <c r="W24" s="493" t="s">
        <v>128</v>
      </c>
      <c r="X24" s="493" t="s">
        <v>523</v>
      </c>
      <c r="Y24" s="493" t="s">
        <v>377</v>
      </c>
      <c r="Z24" s="493" t="s">
        <v>517</v>
      </c>
      <c r="AA24" s="493" t="s">
        <v>130</v>
      </c>
      <c r="AB24" s="493" t="s">
        <v>377</v>
      </c>
      <c r="AC24" s="493" t="s">
        <v>131</v>
      </c>
      <c r="AD24" s="493" t="s">
        <v>524</v>
      </c>
      <c r="AE24" s="493">
        <v>432000</v>
      </c>
      <c r="AF24" s="493">
        <v>43200</v>
      </c>
      <c r="AG24" s="493" t="s">
        <v>525</v>
      </c>
      <c r="AH24" s="130">
        <f t="shared" si="5"/>
        <v>46096</v>
      </c>
      <c r="AI24" s="495">
        <v>46057</v>
      </c>
      <c r="AJ24" s="439">
        <f t="shared" si="4"/>
        <v>475200.00000000006</v>
      </c>
      <c r="AK24" s="121">
        <f t="shared" si="1"/>
        <v>0</v>
      </c>
      <c r="AL24" s="440" t="str">
        <f t="shared" ca="1" si="2"/>
        <v/>
      </c>
      <c r="AM24" s="440"/>
      <c r="AN24" s="440"/>
      <c r="AO24" s="440"/>
      <c r="AP24" s="499"/>
    </row>
    <row r="25" spans="1:42" ht="16.5" hidden="1" customHeight="1">
      <c r="A25" s="492" t="s">
        <v>556</v>
      </c>
      <c r="B25" s="493"/>
      <c r="C25" s="492"/>
      <c r="D25" s="492"/>
      <c r="E25" s="493"/>
      <c r="F25" s="493"/>
      <c r="G25" s="493"/>
      <c r="H25" s="493"/>
      <c r="I25" s="493"/>
      <c r="J25" s="493"/>
      <c r="K25" s="493"/>
      <c r="L25" s="493" t="s">
        <v>553</v>
      </c>
      <c r="M25" s="493"/>
      <c r="N25" s="493"/>
      <c r="O25" s="493"/>
      <c r="P25" s="439">
        <v>2627900</v>
      </c>
      <c r="Q25" s="493"/>
      <c r="R25" s="493"/>
      <c r="S25" s="493"/>
      <c r="T25" s="493"/>
      <c r="U25" s="493"/>
      <c r="V25" s="493"/>
      <c r="W25" s="493"/>
      <c r="X25" s="493"/>
      <c r="Y25" s="493"/>
      <c r="Z25" s="493"/>
      <c r="AA25" s="493"/>
      <c r="AB25" s="493"/>
      <c r="AC25" s="493"/>
      <c r="AD25" s="493"/>
      <c r="AE25" s="493"/>
      <c r="AF25" s="493"/>
      <c r="AG25" s="493" t="s">
        <v>554</v>
      </c>
      <c r="AH25" s="130">
        <f t="shared" si="5"/>
        <v>46102</v>
      </c>
      <c r="AI25" s="495">
        <v>46142</v>
      </c>
      <c r="AJ25" s="439">
        <f t="shared" si="4"/>
        <v>2890690.0000000005</v>
      </c>
      <c r="AK25" s="121">
        <f t="shared" ref="AK25" si="6">IF(A25="", 0, (P25*1.1)-AJ25)</f>
        <v>0</v>
      </c>
      <c r="AL25" s="440" t="str">
        <f t="shared" ca="1" si="2"/>
        <v/>
      </c>
      <c r="AM25" s="440"/>
      <c r="AN25" s="440"/>
      <c r="AO25" s="440"/>
      <c r="AP25" s="500"/>
    </row>
    <row r="26" spans="1:42" ht="16.5" hidden="1" customHeight="1">
      <c r="A26" s="492" t="s">
        <v>556</v>
      </c>
      <c r="B26" s="493"/>
      <c r="C26" s="492"/>
      <c r="D26" s="492"/>
      <c r="E26" s="493"/>
      <c r="F26" s="493"/>
      <c r="G26" s="493"/>
      <c r="H26" s="493"/>
      <c r="I26" s="493"/>
      <c r="J26" s="493"/>
      <c r="K26" s="493"/>
      <c r="L26" s="493" t="s">
        <v>396</v>
      </c>
      <c r="M26" s="493"/>
      <c r="N26" s="493"/>
      <c r="O26" s="493"/>
      <c r="P26" s="439">
        <v>1210000</v>
      </c>
      <c r="Q26" s="493"/>
      <c r="R26" s="493"/>
      <c r="S26" s="493"/>
      <c r="T26" s="493"/>
      <c r="U26" s="493"/>
      <c r="V26" s="493"/>
      <c r="W26" s="493"/>
      <c r="X26" s="493"/>
      <c r="Y26" s="493"/>
      <c r="Z26" s="493"/>
      <c r="AA26" s="493"/>
      <c r="AB26" s="493"/>
      <c r="AC26" s="493"/>
      <c r="AD26" s="493"/>
      <c r="AE26" s="493"/>
      <c r="AF26" s="493"/>
      <c r="AG26" s="493" t="s">
        <v>555</v>
      </c>
      <c r="AH26" s="130">
        <f t="shared" si="5"/>
        <v>46102</v>
      </c>
      <c r="AI26" s="495">
        <v>46062</v>
      </c>
      <c r="AJ26" s="439">
        <f>P26*1.1</f>
        <v>1331000</v>
      </c>
      <c r="AK26" s="121">
        <f t="shared" ref="AK26:AK34" si="7">(P26*1.1)-AJ26</f>
        <v>0</v>
      </c>
      <c r="AL26" s="440" t="str">
        <f t="shared" ca="1" si="2"/>
        <v/>
      </c>
      <c r="AM26" s="440"/>
      <c r="AN26" s="440"/>
      <c r="AO26" s="440"/>
    </row>
    <row r="27" spans="1:42" ht="16.5" hidden="1" customHeight="1">
      <c r="A27" s="492" t="s">
        <v>566</v>
      </c>
      <c r="B27" s="493"/>
      <c r="C27" s="492"/>
      <c r="D27" s="492"/>
      <c r="E27" s="493"/>
      <c r="F27" s="493"/>
      <c r="G27" s="493"/>
      <c r="H27" s="493"/>
      <c r="I27" s="493"/>
      <c r="J27" s="493"/>
      <c r="K27" s="493"/>
      <c r="L27" s="493" t="s">
        <v>553</v>
      </c>
      <c r="M27" s="493"/>
      <c r="N27" s="493"/>
      <c r="O27" s="493"/>
      <c r="P27" s="439">
        <v>216000</v>
      </c>
      <c r="Q27" s="493"/>
      <c r="R27" s="493"/>
      <c r="S27" s="493"/>
      <c r="T27" s="493"/>
      <c r="U27" s="493"/>
      <c r="V27" s="493"/>
      <c r="W27" s="493"/>
      <c r="X27" s="493"/>
      <c r="Y27" s="493"/>
      <c r="Z27" s="493"/>
      <c r="AA27" s="493"/>
      <c r="AB27" s="493"/>
      <c r="AC27" s="493"/>
      <c r="AD27" s="493"/>
      <c r="AE27" s="493"/>
      <c r="AF27" s="493"/>
      <c r="AG27" s="493" t="s">
        <v>567</v>
      </c>
      <c r="AH27" s="130">
        <f t="shared" si="5"/>
        <v>46103</v>
      </c>
      <c r="AI27" s="495">
        <v>46142</v>
      </c>
      <c r="AJ27" s="439">
        <f t="shared" si="4"/>
        <v>237600.00000000003</v>
      </c>
      <c r="AK27" s="121">
        <f t="shared" si="7"/>
        <v>0</v>
      </c>
      <c r="AL27" s="440" t="str">
        <f t="shared" ca="1" si="2"/>
        <v/>
      </c>
      <c r="AM27" s="440"/>
      <c r="AN27" s="440"/>
      <c r="AO27" s="440"/>
    </row>
    <row r="28" spans="1:42" ht="16.5" hidden="1" customHeight="1">
      <c r="A28" s="492" t="s">
        <v>566</v>
      </c>
      <c r="B28" s="493"/>
      <c r="C28" s="492"/>
      <c r="D28" s="492"/>
      <c r="E28" s="493"/>
      <c r="F28" s="493"/>
      <c r="G28" s="493"/>
      <c r="H28" s="493"/>
      <c r="I28" s="493"/>
      <c r="J28" s="493"/>
      <c r="K28" s="493"/>
      <c r="L28" s="493" t="s">
        <v>569</v>
      </c>
      <c r="M28" s="493"/>
      <c r="N28" s="493"/>
      <c r="O28" s="493"/>
      <c r="P28" s="439">
        <v>154300</v>
      </c>
      <c r="Q28" s="493"/>
      <c r="R28" s="493"/>
      <c r="S28" s="493"/>
      <c r="T28" s="493"/>
      <c r="U28" s="493"/>
      <c r="V28" s="493"/>
      <c r="W28" s="493"/>
      <c r="X28" s="493"/>
      <c r="Y28" s="493"/>
      <c r="Z28" s="493"/>
      <c r="AA28" s="493"/>
      <c r="AB28" s="493"/>
      <c r="AC28" s="493"/>
      <c r="AD28" s="493"/>
      <c r="AE28" s="493"/>
      <c r="AF28" s="493"/>
      <c r="AG28" s="493" t="s">
        <v>568</v>
      </c>
      <c r="AH28" s="130">
        <f t="shared" si="5"/>
        <v>46103</v>
      </c>
      <c r="AI28" s="495">
        <v>46065</v>
      </c>
      <c r="AJ28" s="439">
        <f>P28*1.1</f>
        <v>169730</v>
      </c>
      <c r="AK28" s="121">
        <f t="shared" si="7"/>
        <v>0</v>
      </c>
      <c r="AL28" s="440" t="str">
        <f t="shared" ca="1" si="2"/>
        <v/>
      </c>
      <c r="AM28" s="440"/>
      <c r="AN28" s="440"/>
      <c r="AO28" s="440"/>
    </row>
    <row r="29" spans="1:42" ht="16.5" hidden="1" customHeight="1">
      <c r="A29" s="492" t="s">
        <v>582</v>
      </c>
      <c r="B29" s="493"/>
      <c r="C29" s="492"/>
      <c r="D29" s="492"/>
      <c r="E29" s="493"/>
      <c r="F29" s="493"/>
      <c r="G29" s="493"/>
      <c r="H29" s="493"/>
      <c r="I29" s="493"/>
      <c r="J29" s="493"/>
      <c r="K29" s="493"/>
      <c r="L29" s="493" t="s">
        <v>553</v>
      </c>
      <c r="M29" s="493"/>
      <c r="N29" s="493"/>
      <c r="O29" s="493"/>
      <c r="P29" s="439">
        <v>1138000</v>
      </c>
      <c r="Q29" s="493"/>
      <c r="R29" s="493"/>
      <c r="S29" s="493"/>
      <c r="T29" s="493"/>
      <c r="U29" s="493"/>
      <c r="V29" s="493"/>
      <c r="W29" s="493"/>
      <c r="X29" s="493"/>
      <c r="Y29" s="493"/>
      <c r="Z29" s="493"/>
      <c r="AA29" s="493"/>
      <c r="AB29" s="493"/>
      <c r="AC29" s="493"/>
      <c r="AD29" s="493"/>
      <c r="AE29" s="493"/>
      <c r="AF29" s="493"/>
      <c r="AG29" s="493" t="s">
        <v>554</v>
      </c>
      <c r="AH29" s="130">
        <f t="shared" si="5"/>
        <v>46104</v>
      </c>
      <c r="AI29" s="495">
        <v>46142</v>
      </c>
      <c r="AJ29" s="439">
        <f t="shared" ref="AJ29" si="8">P29*1.1</f>
        <v>1251800</v>
      </c>
      <c r="AK29" s="121">
        <f t="shared" si="7"/>
        <v>0</v>
      </c>
      <c r="AL29" s="440" t="str">
        <f t="shared" ca="1" si="2"/>
        <v/>
      </c>
      <c r="AM29" s="440"/>
      <c r="AN29" s="440"/>
      <c r="AO29" s="440"/>
    </row>
    <row r="30" spans="1:42" ht="16.5" hidden="1" customHeight="1">
      <c r="A30" s="492" t="s">
        <v>582</v>
      </c>
      <c r="B30" s="493"/>
      <c r="C30" s="492"/>
      <c r="D30" s="492"/>
      <c r="E30" s="493"/>
      <c r="F30" s="493"/>
      <c r="G30" s="493"/>
      <c r="H30" s="493"/>
      <c r="I30" s="493"/>
      <c r="J30" s="493"/>
      <c r="K30" s="493"/>
      <c r="L30" s="493" t="s">
        <v>553</v>
      </c>
      <c r="M30" s="493"/>
      <c r="N30" s="493"/>
      <c r="O30" s="493"/>
      <c r="P30" s="439">
        <v>11632500</v>
      </c>
      <c r="Q30" s="493"/>
      <c r="R30" s="493"/>
      <c r="S30" s="493"/>
      <c r="T30" s="493"/>
      <c r="U30" s="493"/>
      <c r="V30" s="493"/>
      <c r="W30" s="493"/>
      <c r="X30" s="493"/>
      <c r="Y30" s="493"/>
      <c r="Z30" s="493"/>
      <c r="AA30" s="493"/>
      <c r="AB30" s="493"/>
      <c r="AC30" s="493"/>
      <c r="AD30" s="493"/>
      <c r="AE30" s="493"/>
      <c r="AF30" s="493"/>
      <c r="AG30" s="493" t="s">
        <v>581</v>
      </c>
      <c r="AH30" s="130">
        <f t="shared" si="5"/>
        <v>46104</v>
      </c>
      <c r="AI30" s="495">
        <v>46142</v>
      </c>
      <c r="AJ30" s="439">
        <f t="shared" ref="AJ30" si="9">P30*1.1</f>
        <v>12795750.000000002</v>
      </c>
      <c r="AK30" s="121">
        <f t="shared" si="7"/>
        <v>0</v>
      </c>
      <c r="AL30" s="440" t="str">
        <f t="shared" ca="1" si="2"/>
        <v/>
      </c>
      <c r="AM30" s="440"/>
      <c r="AN30" s="440"/>
      <c r="AO30" s="440"/>
    </row>
    <row r="31" spans="1:42" ht="16.5" hidden="1" customHeight="1">
      <c r="A31" s="492" t="s">
        <v>585</v>
      </c>
      <c r="B31" s="493"/>
      <c r="C31" s="492"/>
      <c r="D31" s="492"/>
      <c r="E31" s="493"/>
      <c r="F31" s="493"/>
      <c r="G31" s="493"/>
      <c r="H31" s="493"/>
      <c r="I31" s="493"/>
      <c r="J31" s="493"/>
      <c r="K31" s="493"/>
      <c r="L31" s="493" t="s">
        <v>390</v>
      </c>
      <c r="M31" s="493"/>
      <c r="N31" s="493"/>
      <c r="O31" s="493"/>
      <c r="P31" s="439">
        <v>7390000</v>
      </c>
      <c r="Q31" s="493"/>
      <c r="R31" s="493"/>
      <c r="S31" s="493"/>
      <c r="T31" s="493"/>
      <c r="U31" s="493"/>
      <c r="V31" s="493"/>
      <c r="W31" s="493"/>
      <c r="X31" s="493"/>
      <c r="Y31" s="493"/>
      <c r="Z31" s="493"/>
      <c r="AA31" s="493"/>
      <c r="AB31" s="493"/>
      <c r="AC31" s="493"/>
      <c r="AD31" s="493"/>
      <c r="AE31" s="493"/>
      <c r="AF31" s="493"/>
      <c r="AG31" s="493" t="s">
        <v>133</v>
      </c>
      <c r="AH31" s="130">
        <f t="shared" si="5"/>
        <v>46105</v>
      </c>
      <c r="AI31" s="495"/>
      <c r="AJ31" s="439"/>
      <c r="AK31" s="121">
        <f t="shared" si="7"/>
        <v>8129000.0000000009</v>
      </c>
      <c r="AL31" s="440" t="str">
        <f t="shared" ca="1" si="2"/>
        <v>장기미수</v>
      </c>
      <c r="AM31" s="440"/>
      <c r="AN31" s="440" t="s">
        <v>2259</v>
      </c>
      <c r="AO31" s="440"/>
    </row>
    <row r="32" spans="1:42" ht="16.5" hidden="1" customHeight="1">
      <c r="A32" s="492" t="s">
        <v>585</v>
      </c>
      <c r="B32" s="493"/>
      <c r="C32" s="492"/>
      <c r="D32" s="492"/>
      <c r="E32" s="493"/>
      <c r="F32" s="493"/>
      <c r="G32" s="493"/>
      <c r="H32" s="493"/>
      <c r="I32" s="493"/>
      <c r="J32" s="493"/>
      <c r="K32" s="493"/>
      <c r="L32" s="493" t="s">
        <v>586</v>
      </c>
      <c r="M32" s="493"/>
      <c r="N32" s="493"/>
      <c r="O32" s="493"/>
      <c r="P32" s="439">
        <v>651400</v>
      </c>
      <c r="Q32" s="493"/>
      <c r="R32" s="493"/>
      <c r="S32" s="493"/>
      <c r="T32" s="493"/>
      <c r="U32" s="493"/>
      <c r="V32" s="493"/>
      <c r="W32" s="493"/>
      <c r="X32" s="493"/>
      <c r="Y32" s="493"/>
      <c r="Z32" s="493"/>
      <c r="AA32" s="493"/>
      <c r="AB32" s="493"/>
      <c r="AC32" s="493"/>
      <c r="AD32" s="493"/>
      <c r="AE32" s="493"/>
      <c r="AF32" s="493"/>
      <c r="AG32" s="493" t="s">
        <v>591</v>
      </c>
      <c r="AH32" s="130">
        <f t="shared" si="5"/>
        <v>46105</v>
      </c>
      <c r="AI32" s="495">
        <v>46092</v>
      </c>
      <c r="AJ32" s="439">
        <f>P32*1.1</f>
        <v>716540</v>
      </c>
      <c r="AK32" s="121">
        <f t="shared" si="7"/>
        <v>0</v>
      </c>
      <c r="AL32" s="440" t="str">
        <f t="shared" ca="1" si="2"/>
        <v/>
      </c>
      <c r="AM32" s="440"/>
      <c r="AN32" s="440"/>
      <c r="AO32" s="440"/>
    </row>
    <row r="33" spans="1:41" ht="16.5" hidden="1" customHeight="1">
      <c r="A33" s="492" t="s">
        <v>585</v>
      </c>
      <c r="B33" s="493"/>
      <c r="C33" s="492"/>
      <c r="D33" s="492"/>
      <c r="E33" s="493"/>
      <c r="F33" s="493"/>
      <c r="G33" s="493"/>
      <c r="H33" s="493"/>
      <c r="I33" s="493"/>
      <c r="J33" s="493"/>
      <c r="K33" s="493"/>
      <c r="L33" s="493" t="s">
        <v>553</v>
      </c>
      <c r="M33" s="493"/>
      <c r="N33" s="493"/>
      <c r="O33" s="493"/>
      <c r="P33" s="439">
        <v>1997773</v>
      </c>
      <c r="Q33" s="493"/>
      <c r="R33" s="493"/>
      <c r="S33" s="493"/>
      <c r="T33" s="493"/>
      <c r="U33" s="493"/>
      <c r="V33" s="493"/>
      <c r="W33" s="493"/>
      <c r="X33" s="493"/>
      <c r="Y33" s="493"/>
      <c r="Z33" s="493"/>
      <c r="AA33" s="493"/>
      <c r="AB33" s="493"/>
      <c r="AC33" s="493"/>
      <c r="AD33" s="493"/>
      <c r="AE33" s="493"/>
      <c r="AF33" s="493"/>
      <c r="AG33" s="493" t="s">
        <v>554</v>
      </c>
      <c r="AH33" s="130">
        <f t="shared" si="5"/>
        <v>46105</v>
      </c>
      <c r="AI33" s="495">
        <v>46142</v>
      </c>
      <c r="AJ33" s="439">
        <f t="shared" ref="AJ33" si="10">P33*1.1</f>
        <v>2197550.3000000003</v>
      </c>
      <c r="AK33" s="121">
        <f t="shared" si="7"/>
        <v>0</v>
      </c>
      <c r="AL33" s="440" t="str">
        <f t="shared" ca="1" si="2"/>
        <v/>
      </c>
      <c r="AM33" s="440"/>
      <c r="AN33" s="440"/>
      <c r="AO33" s="440"/>
    </row>
    <row r="34" spans="1:41" ht="16.5" hidden="1" customHeight="1">
      <c r="A34" s="492" t="s">
        <v>587</v>
      </c>
      <c r="B34" s="493" t="s">
        <v>588</v>
      </c>
      <c r="C34" s="492" t="s">
        <v>587</v>
      </c>
      <c r="D34" s="492" t="s">
        <v>587</v>
      </c>
      <c r="E34" s="493" t="s">
        <v>116</v>
      </c>
      <c r="F34" s="493" t="s">
        <v>377</v>
      </c>
      <c r="G34" s="493" t="s">
        <v>117</v>
      </c>
      <c r="H34" s="493" t="s">
        <v>118</v>
      </c>
      <c r="I34" s="493" t="s">
        <v>119</v>
      </c>
      <c r="J34" s="493" t="s">
        <v>120</v>
      </c>
      <c r="K34" s="493" t="s">
        <v>377</v>
      </c>
      <c r="L34" s="493" t="s">
        <v>390</v>
      </c>
      <c r="M34" s="493" t="s">
        <v>122</v>
      </c>
      <c r="N34" s="493" t="s">
        <v>123</v>
      </c>
      <c r="O34" s="493">
        <v>38834400</v>
      </c>
      <c r="P34" s="439">
        <v>35304000</v>
      </c>
      <c r="Q34" s="493">
        <v>3530400</v>
      </c>
      <c r="R34" s="493" t="s">
        <v>124</v>
      </c>
      <c r="S34" s="493" t="s">
        <v>382</v>
      </c>
      <c r="T34" s="493" t="s">
        <v>125</v>
      </c>
      <c r="U34" s="493" t="s">
        <v>126</v>
      </c>
      <c r="V34" s="493" t="s">
        <v>127</v>
      </c>
      <c r="W34" s="493" t="s">
        <v>128</v>
      </c>
      <c r="X34" s="493" t="s">
        <v>129</v>
      </c>
      <c r="Y34" s="493" t="s">
        <v>377</v>
      </c>
      <c r="Z34" s="493" t="s">
        <v>587</v>
      </c>
      <c r="AA34" s="493" t="s">
        <v>130</v>
      </c>
      <c r="AB34" s="493" t="s">
        <v>377</v>
      </c>
      <c r="AC34" s="493" t="s">
        <v>131</v>
      </c>
      <c r="AD34" s="493" t="s">
        <v>589</v>
      </c>
      <c r="AE34" s="493">
        <v>35304000</v>
      </c>
      <c r="AF34" s="493">
        <v>3530400</v>
      </c>
      <c r="AG34" s="493" t="s">
        <v>590</v>
      </c>
      <c r="AH34" s="130">
        <f t="shared" si="5"/>
        <v>46106</v>
      </c>
      <c r="AI34" s="495"/>
      <c r="AJ34" s="439"/>
      <c r="AK34" s="121">
        <f t="shared" si="7"/>
        <v>38834400</v>
      </c>
      <c r="AL34" s="440" t="str">
        <f t="shared" ca="1" si="2"/>
        <v>장기미수</v>
      </c>
      <c r="AM34" s="440"/>
      <c r="AN34" s="440" t="s">
        <v>2259</v>
      </c>
      <c r="AO34" s="440"/>
    </row>
    <row r="35" spans="1:41" ht="16.5" hidden="1" customHeight="1">
      <c r="A35" s="492" t="s">
        <v>600</v>
      </c>
      <c r="B35" s="493" t="s">
        <v>601</v>
      </c>
      <c r="C35" s="492" t="s">
        <v>600</v>
      </c>
      <c r="D35" s="492" t="s">
        <v>600</v>
      </c>
      <c r="E35" s="493" t="s">
        <v>116</v>
      </c>
      <c r="F35" s="493" t="s">
        <v>377</v>
      </c>
      <c r="G35" s="493" t="s">
        <v>117</v>
      </c>
      <c r="H35" s="493" t="s">
        <v>118</v>
      </c>
      <c r="I35" s="493" t="s">
        <v>119</v>
      </c>
      <c r="J35" s="493" t="s">
        <v>602</v>
      </c>
      <c r="K35" s="493" t="s">
        <v>377</v>
      </c>
      <c r="L35" s="493" t="s">
        <v>603</v>
      </c>
      <c r="M35" s="493" t="s">
        <v>604</v>
      </c>
      <c r="N35" s="493" t="s">
        <v>605</v>
      </c>
      <c r="O35" s="493">
        <v>5980370</v>
      </c>
      <c r="P35" s="439">
        <v>5436700</v>
      </c>
      <c r="Q35" s="493">
        <v>543670</v>
      </c>
      <c r="R35" s="493" t="s">
        <v>124</v>
      </c>
      <c r="S35" s="493" t="s">
        <v>382</v>
      </c>
      <c r="T35" s="493" t="s">
        <v>125</v>
      </c>
      <c r="U35" s="493" t="s">
        <v>126</v>
      </c>
      <c r="V35" s="493" t="s">
        <v>127</v>
      </c>
      <c r="W35" s="493" t="s">
        <v>128</v>
      </c>
      <c r="X35" s="493" t="s">
        <v>606</v>
      </c>
      <c r="Y35" s="493" t="s">
        <v>377</v>
      </c>
      <c r="Z35" s="493" t="s">
        <v>600</v>
      </c>
      <c r="AA35" s="493" t="s">
        <v>130</v>
      </c>
      <c r="AB35" s="493" t="s">
        <v>377</v>
      </c>
      <c r="AC35" s="493" t="s">
        <v>131</v>
      </c>
      <c r="AD35" s="493" t="s">
        <v>607</v>
      </c>
      <c r="AE35" s="493">
        <v>5436700</v>
      </c>
      <c r="AF35" s="493">
        <v>543670</v>
      </c>
      <c r="AG35" s="493" t="s">
        <v>610</v>
      </c>
      <c r="AH35" s="130">
        <f t="shared" si="5"/>
        <v>46113</v>
      </c>
      <c r="AI35" s="495">
        <v>46073</v>
      </c>
      <c r="AJ35" s="439">
        <f t="shared" ref="AJ35:AJ41" si="11">P35*1.1</f>
        <v>5980370.0000000009</v>
      </c>
      <c r="AK35" s="121">
        <f>(P35*1.1)-AJ35</f>
        <v>0</v>
      </c>
      <c r="AL35" s="440" t="str">
        <f t="shared" ca="1" si="2"/>
        <v/>
      </c>
      <c r="AM35" s="440"/>
      <c r="AN35" s="440"/>
      <c r="AO35" s="440"/>
    </row>
    <row r="36" spans="1:41" ht="16.5" hidden="1" customHeight="1">
      <c r="A36" s="492" t="s">
        <v>600</v>
      </c>
      <c r="B36" s="493" t="s">
        <v>609</v>
      </c>
      <c r="C36" s="492" t="s">
        <v>600</v>
      </c>
      <c r="D36" s="492" t="s">
        <v>600</v>
      </c>
      <c r="E36" s="493" t="s">
        <v>116</v>
      </c>
      <c r="F36" s="493" t="s">
        <v>377</v>
      </c>
      <c r="G36" s="493" t="s">
        <v>117</v>
      </c>
      <c r="H36" s="493" t="s">
        <v>118</v>
      </c>
      <c r="I36" s="493" t="s">
        <v>119</v>
      </c>
      <c r="J36" s="493" t="s">
        <v>120</v>
      </c>
      <c r="K36" s="493" t="s">
        <v>377</v>
      </c>
      <c r="L36" s="493" t="s">
        <v>390</v>
      </c>
      <c r="M36" s="493" t="s">
        <v>122</v>
      </c>
      <c r="N36" s="493" t="s">
        <v>123</v>
      </c>
      <c r="O36" s="493">
        <v>41360000</v>
      </c>
      <c r="P36" s="439">
        <v>39250000</v>
      </c>
      <c r="Q36" s="493">
        <v>3760000</v>
      </c>
      <c r="R36" s="493" t="s">
        <v>124</v>
      </c>
      <c r="S36" s="493" t="s">
        <v>382</v>
      </c>
      <c r="T36" s="493" t="s">
        <v>125</v>
      </c>
      <c r="U36" s="493" t="s">
        <v>126</v>
      </c>
      <c r="V36" s="493" t="s">
        <v>127</v>
      </c>
      <c r="W36" s="493" t="s">
        <v>128</v>
      </c>
      <c r="X36" s="493" t="s">
        <v>129</v>
      </c>
      <c r="Y36" s="493" t="s">
        <v>377</v>
      </c>
      <c r="Z36" s="493" t="s">
        <v>600</v>
      </c>
      <c r="AA36" s="493" t="s">
        <v>130</v>
      </c>
      <c r="AB36" s="493" t="s">
        <v>377</v>
      </c>
      <c r="AC36" s="493" t="s">
        <v>131</v>
      </c>
      <c r="AD36" s="493" t="s">
        <v>608</v>
      </c>
      <c r="AE36" s="493">
        <v>37600000</v>
      </c>
      <c r="AF36" s="493">
        <v>3760000</v>
      </c>
      <c r="AG36" s="493" t="s">
        <v>463</v>
      </c>
      <c r="AH36" s="130">
        <f t="shared" si="5"/>
        <v>46113</v>
      </c>
      <c r="AI36" s="495">
        <v>46112</v>
      </c>
      <c r="AJ36" s="439">
        <f t="shared" si="11"/>
        <v>43175000</v>
      </c>
      <c r="AK36" s="121">
        <f t="shared" ref="AK36:AK90" si="12">(P36*1.1)-AJ36</f>
        <v>0</v>
      </c>
      <c r="AL36" s="440" t="str">
        <f t="shared" ca="1" si="2"/>
        <v/>
      </c>
      <c r="AM36" s="440"/>
      <c r="AN36" s="440"/>
      <c r="AO36" s="440"/>
    </row>
    <row r="37" spans="1:41" ht="16.5" hidden="1" customHeight="1">
      <c r="A37" s="492" t="s">
        <v>592</v>
      </c>
      <c r="B37" s="493" t="s">
        <v>593</v>
      </c>
      <c r="C37" s="492" t="s">
        <v>592</v>
      </c>
      <c r="D37" s="492" t="s">
        <v>592</v>
      </c>
      <c r="E37" s="493" t="s">
        <v>116</v>
      </c>
      <c r="F37" s="493" t="s">
        <v>377</v>
      </c>
      <c r="G37" s="493" t="s">
        <v>117</v>
      </c>
      <c r="H37" s="493" t="s">
        <v>118</v>
      </c>
      <c r="I37" s="493" t="s">
        <v>119</v>
      </c>
      <c r="J37" s="493" t="s">
        <v>594</v>
      </c>
      <c r="K37" s="493" t="s">
        <v>377</v>
      </c>
      <c r="L37" s="493" t="s">
        <v>595</v>
      </c>
      <c r="M37" s="493" t="s">
        <v>596</v>
      </c>
      <c r="N37" s="493" t="s">
        <v>597</v>
      </c>
      <c r="O37" s="493">
        <v>2976600</v>
      </c>
      <c r="P37" s="439">
        <v>2706000</v>
      </c>
      <c r="Q37" s="493">
        <v>270600</v>
      </c>
      <c r="R37" s="493" t="s">
        <v>124</v>
      </c>
      <c r="S37" s="493" t="s">
        <v>382</v>
      </c>
      <c r="T37" s="493" t="s">
        <v>125</v>
      </c>
      <c r="U37" s="493" t="s">
        <v>126</v>
      </c>
      <c r="V37" s="493" t="s">
        <v>127</v>
      </c>
      <c r="W37" s="493" t="s">
        <v>128</v>
      </c>
      <c r="X37" s="493" t="s">
        <v>598</v>
      </c>
      <c r="Y37" s="493" t="s">
        <v>377</v>
      </c>
      <c r="Z37" s="493" t="s">
        <v>592</v>
      </c>
      <c r="AA37" s="493" t="s">
        <v>130</v>
      </c>
      <c r="AB37" s="493" t="s">
        <v>377</v>
      </c>
      <c r="AC37" s="493" t="s">
        <v>131</v>
      </c>
      <c r="AD37" s="493" t="s">
        <v>599</v>
      </c>
      <c r="AE37" s="493">
        <v>2706000</v>
      </c>
      <c r="AF37" s="493">
        <v>270600</v>
      </c>
      <c r="AG37" s="493" t="s">
        <v>624</v>
      </c>
      <c r="AH37" s="130">
        <f t="shared" si="5"/>
        <v>46116</v>
      </c>
      <c r="AI37" s="495">
        <v>46076</v>
      </c>
      <c r="AJ37" s="439">
        <f t="shared" si="11"/>
        <v>2976600.0000000005</v>
      </c>
      <c r="AK37" s="121">
        <f>(P37*1.1)-AJ37</f>
        <v>0</v>
      </c>
      <c r="AL37" s="440" t="str">
        <f t="shared" ca="1" si="2"/>
        <v/>
      </c>
      <c r="AM37" s="440"/>
      <c r="AN37" s="440"/>
      <c r="AO37" s="440"/>
    </row>
    <row r="38" spans="1:41" ht="16.5" hidden="1" customHeight="1">
      <c r="A38" s="492" t="s">
        <v>592</v>
      </c>
      <c r="B38" s="493" t="s">
        <v>614</v>
      </c>
      <c r="C38" s="492" t="s">
        <v>592</v>
      </c>
      <c r="D38" s="492" t="s">
        <v>592</v>
      </c>
      <c r="E38" s="493" t="s">
        <v>116</v>
      </c>
      <c r="F38" s="493" t="s">
        <v>377</v>
      </c>
      <c r="G38" s="493" t="s">
        <v>117</v>
      </c>
      <c r="H38" s="493" t="s">
        <v>118</v>
      </c>
      <c r="I38" s="493" t="s">
        <v>119</v>
      </c>
      <c r="J38" s="493" t="s">
        <v>120</v>
      </c>
      <c r="K38" s="493" t="s">
        <v>377</v>
      </c>
      <c r="L38" s="493" t="s">
        <v>390</v>
      </c>
      <c r="M38" s="493" t="s">
        <v>122</v>
      </c>
      <c r="N38" s="493" t="s">
        <v>123</v>
      </c>
      <c r="O38" s="493">
        <v>12650000</v>
      </c>
      <c r="P38" s="439">
        <v>11500000</v>
      </c>
      <c r="Q38" s="493">
        <v>1150000</v>
      </c>
      <c r="R38" s="493" t="s">
        <v>124</v>
      </c>
      <c r="S38" s="493" t="s">
        <v>382</v>
      </c>
      <c r="T38" s="493" t="s">
        <v>125</v>
      </c>
      <c r="U38" s="493" t="s">
        <v>126</v>
      </c>
      <c r="V38" s="493" t="s">
        <v>127</v>
      </c>
      <c r="W38" s="493" t="s">
        <v>128</v>
      </c>
      <c r="X38" s="493" t="s">
        <v>129</v>
      </c>
      <c r="Y38" s="493" t="s">
        <v>377</v>
      </c>
      <c r="Z38" s="493" t="s">
        <v>592</v>
      </c>
      <c r="AA38" s="493" t="s">
        <v>130</v>
      </c>
      <c r="AB38" s="493" t="s">
        <v>377</v>
      </c>
      <c r="AC38" s="493" t="s">
        <v>131</v>
      </c>
      <c r="AD38" s="493" t="s">
        <v>615</v>
      </c>
      <c r="AE38" s="493">
        <v>11500000</v>
      </c>
      <c r="AF38" s="493">
        <v>1150000</v>
      </c>
      <c r="AG38" s="493" t="s">
        <v>463</v>
      </c>
      <c r="AH38" s="130">
        <f t="shared" si="5"/>
        <v>46116</v>
      </c>
      <c r="AI38" s="495">
        <v>46112</v>
      </c>
      <c r="AJ38" s="439">
        <f t="shared" si="11"/>
        <v>12650000.000000002</v>
      </c>
      <c r="AK38" s="121">
        <f t="shared" si="12"/>
        <v>0</v>
      </c>
      <c r="AL38" s="440" t="str">
        <f t="shared" ca="1" si="2"/>
        <v/>
      </c>
      <c r="AM38" s="440"/>
      <c r="AN38" s="440"/>
      <c r="AO38" s="440"/>
    </row>
    <row r="39" spans="1:41" ht="16.5" hidden="1" customHeight="1">
      <c r="A39" s="492" t="s">
        <v>592</v>
      </c>
      <c r="B39" s="493" t="s">
        <v>616</v>
      </c>
      <c r="C39" s="492" t="s">
        <v>592</v>
      </c>
      <c r="D39" s="492" t="s">
        <v>592</v>
      </c>
      <c r="E39" s="493" t="s">
        <v>116</v>
      </c>
      <c r="F39" s="493" t="s">
        <v>377</v>
      </c>
      <c r="G39" s="493" t="s">
        <v>117</v>
      </c>
      <c r="H39" s="493" t="s">
        <v>118</v>
      </c>
      <c r="I39" s="493" t="s">
        <v>119</v>
      </c>
      <c r="J39" s="493" t="s">
        <v>120</v>
      </c>
      <c r="K39" s="493" t="s">
        <v>377</v>
      </c>
      <c r="L39" s="493" t="s">
        <v>390</v>
      </c>
      <c r="M39" s="493" t="s">
        <v>122</v>
      </c>
      <c r="N39" s="493" t="s">
        <v>123</v>
      </c>
      <c r="O39" s="493">
        <v>3781800</v>
      </c>
      <c r="P39" s="439">
        <v>3438000</v>
      </c>
      <c r="Q39" s="493">
        <v>343800</v>
      </c>
      <c r="R39" s="493" t="s">
        <v>124</v>
      </c>
      <c r="S39" s="493" t="s">
        <v>382</v>
      </c>
      <c r="T39" s="493" t="s">
        <v>125</v>
      </c>
      <c r="U39" s="493" t="s">
        <v>126</v>
      </c>
      <c r="V39" s="493" t="s">
        <v>127</v>
      </c>
      <c r="W39" s="493" t="s">
        <v>128</v>
      </c>
      <c r="X39" s="493" t="s">
        <v>129</v>
      </c>
      <c r="Y39" s="493" t="s">
        <v>377</v>
      </c>
      <c r="Z39" s="493" t="s">
        <v>592</v>
      </c>
      <c r="AA39" s="493" t="s">
        <v>130</v>
      </c>
      <c r="AB39" s="493" t="s">
        <v>377</v>
      </c>
      <c r="AC39" s="493" t="s">
        <v>131</v>
      </c>
      <c r="AD39" s="493" t="s">
        <v>377</v>
      </c>
      <c r="AE39" s="493">
        <v>3438000</v>
      </c>
      <c r="AF39" s="493">
        <v>343800</v>
      </c>
      <c r="AG39" s="493" t="s">
        <v>463</v>
      </c>
      <c r="AH39" s="130">
        <f t="shared" si="5"/>
        <v>46116</v>
      </c>
      <c r="AI39" s="495">
        <v>46112</v>
      </c>
      <c r="AJ39" s="439">
        <f t="shared" si="11"/>
        <v>3781800.0000000005</v>
      </c>
      <c r="AK39" s="121">
        <f t="shared" si="12"/>
        <v>0</v>
      </c>
      <c r="AL39" s="440" t="str">
        <f t="shared" ca="1" si="2"/>
        <v/>
      </c>
      <c r="AM39" s="440"/>
      <c r="AN39" s="440"/>
      <c r="AO39" s="440"/>
    </row>
    <row r="40" spans="1:41" ht="16.5" hidden="1" customHeight="1">
      <c r="A40" s="492" t="s">
        <v>617</v>
      </c>
      <c r="B40" s="493" t="s">
        <v>618</v>
      </c>
      <c r="C40" s="492" t="s">
        <v>617</v>
      </c>
      <c r="D40" s="492" t="s">
        <v>617</v>
      </c>
      <c r="E40" s="493" t="s">
        <v>116</v>
      </c>
      <c r="F40" s="493" t="s">
        <v>377</v>
      </c>
      <c r="G40" s="493" t="s">
        <v>117</v>
      </c>
      <c r="H40" s="493" t="s">
        <v>118</v>
      </c>
      <c r="I40" s="493" t="s">
        <v>119</v>
      </c>
      <c r="J40" s="493" t="s">
        <v>619</v>
      </c>
      <c r="K40" s="493" t="s">
        <v>377</v>
      </c>
      <c r="L40" s="493" t="s">
        <v>569</v>
      </c>
      <c r="M40" s="493" t="s">
        <v>620</v>
      </c>
      <c r="N40" s="493" t="s">
        <v>621</v>
      </c>
      <c r="O40" s="493">
        <v>552530</v>
      </c>
      <c r="P40" s="439">
        <v>502300</v>
      </c>
      <c r="Q40" s="493">
        <v>50230</v>
      </c>
      <c r="R40" s="493" t="s">
        <v>124</v>
      </c>
      <c r="S40" s="493" t="s">
        <v>382</v>
      </c>
      <c r="T40" s="493" t="s">
        <v>125</v>
      </c>
      <c r="U40" s="493" t="s">
        <v>126</v>
      </c>
      <c r="V40" s="493" t="s">
        <v>127</v>
      </c>
      <c r="W40" s="493" t="s">
        <v>128</v>
      </c>
      <c r="X40" s="493" t="s">
        <v>622</v>
      </c>
      <c r="Y40" s="493" t="s">
        <v>377</v>
      </c>
      <c r="Z40" s="493" t="s">
        <v>617</v>
      </c>
      <c r="AA40" s="493" t="s">
        <v>130</v>
      </c>
      <c r="AB40" s="493" t="s">
        <v>377</v>
      </c>
      <c r="AC40" s="493" t="s">
        <v>131</v>
      </c>
      <c r="AD40" s="493" t="s">
        <v>623</v>
      </c>
      <c r="AE40" s="493">
        <v>502300</v>
      </c>
      <c r="AF40" s="493">
        <v>50230</v>
      </c>
      <c r="AG40" s="493" t="s">
        <v>625</v>
      </c>
      <c r="AH40" s="130">
        <f t="shared" si="5"/>
        <v>46117</v>
      </c>
      <c r="AI40" s="495">
        <v>46079</v>
      </c>
      <c r="AJ40" s="439">
        <f t="shared" si="11"/>
        <v>552530</v>
      </c>
      <c r="AK40" s="121">
        <f t="shared" si="12"/>
        <v>0</v>
      </c>
      <c r="AL40" s="440" t="str">
        <f t="shared" ca="1" si="2"/>
        <v/>
      </c>
      <c r="AM40" s="440"/>
      <c r="AN40" s="440"/>
      <c r="AO40" s="440"/>
    </row>
    <row r="41" spans="1:41" ht="16.5" hidden="1" customHeight="1">
      <c r="A41" s="492" t="s">
        <v>617</v>
      </c>
      <c r="B41" s="493" t="s">
        <v>627</v>
      </c>
      <c r="C41" s="492" t="s">
        <v>617</v>
      </c>
      <c r="D41" s="492" t="s">
        <v>617</v>
      </c>
      <c r="E41" s="493" t="s">
        <v>116</v>
      </c>
      <c r="F41" s="493" t="s">
        <v>377</v>
      </c>
      <c r="G41" s="493" t="s">
        <v>117</v>
      </c>
      <c r="H41" s="493" t="s">
        <v>118</v>
      </c>
      <c r="I41" s="493" t="s">
        <v>119</v>
      </c>
      <c r="J41" s="493" t="s">
        <v>628</v>
      </c>
      <c r="K41" s="493" t="s">
        <v>377</v>
      </c>
      <c r="L41" s="493" t="s">
        <v>629</v>
      </c>
      <c r="M41" s="493" t="s">
        <v>630</v>
      </c>
      <c r="N41" s="493" t="s">
        <v>631</v>
      </c>
      <c r="O41" s="493">
        <v>116820</v>
      </c>
      <c r="P41" s="439">
        <v>106200</v>
      </c>
      <c r="Q41" s="493">
        <v>10620</v>
      </c>
      <c r="R41" s="493" t="s">
        <v>124</v>
      </c>
      <c r="S41" s="493" t="s">
        <v>382</v>
      </c>
      <c r="T41" s="493" t="s">
        <v>125</v>
      </c>
      <c r="U41" s="493" t="s">
        <v>126</v>
      </c>
      <c r="V41" s="493" t="s">
        <v>127</v>
      </c>
      <c r="W41" s="493" t="s">
        <v>128</v>
      </c>
      <c r="X41" s="493" t="s">
        <v>632</v>
      </c>
      <c r="Y41" s="493" t="s">
        <v>377</v>
      </c>
      <c r="Z41" s="493" t="s">
        <v>617</v>
      </c>
      <c r="AA41" s="493" t="s">
        <v>130</v>
      </c>
      <c r="AB41" s="493" t="s">
        <v>377</v>
      </c>
      <c r="AC41" s="493" t="s">
        <v>131</v>
      </c>
      <c r="AD41" s="493" t="s">
        <v>633</v>
      </c>
      <c r="AE41" s="493">
        <v>106200</v>
      </c>
      <c r="AF41" s="493">
        <v>10620</v>
      </c>
      <c r="AG41" s="493" t="s">
        <v>648</v>
      </c>
      <c r="AH41" s="130">
        <f t="shared" si="5"/>
        <v>46117</v>
      </c>
      <c r="AI41" s="495">
        <v>46112</v>
      </c>
      <c r="AJ41" s="439">
        <f t="shared" si="11"/>
        <v>116820.00000000001</v>
      </c>
      <c r="AK41" s="121">
        <f t="shared" si="12"/>
        <v>0</v>
      </c>
      <c r="AL41" s="440" t="str">
        <f t="shared" ca="1" si="2"/>
        <v/>
      </c>
      <c r="AM41" s="440"/>
      <c r="AN41" s="440"/>
      <c r="AO41" s="440"/>
    </row>
    <row r="42" spans="1:41" ht="16.5" hidden="1" customHeight="1">
      <c r="A42" s="492" t="s">
        <v>642</v>
      </c>
      <c r="B42" s="493" t="s">
        <v>643</v>
      </c>
      <c r="C42" s="492" t="s">
        <v>642</v>
      </c>
      <c r="D42" s="492" t="s">
        <v>642</v>
      </c>
      <c r="E42" s="493" t="s">
        <v>116</v>
      </c>
      <c r="F42" s="493" t="s">
        <v>377</v>
      </c>
      <c r="G42" s="493" t="s">
        <v>117</v>
      </c>
      <c r="H42" s="493" t="s">
        <v>118</v>
      </c>
      <c r="I42" s="493" t="s">
        <v>119</v>
      </c>
      <c r="J42" s="493" t="s">
        <v>120</v>
      </c>
      <c r="K42" s="493" t="s">
        <v>377</v>
      </c>
      <c r="L42" s="493" t="s">
        <v>390</v>
      </c>
      <c r="M42" s="493" t="s">
        <v>122</v>
      </c>
      <c r="N42" s="493" t="s">
        <v>123</v>
      </c>
      <c r="O42" s="493">
        <v>5266250</v>
      </c>
      <c r="P42" s="439">
        <v>4787500</v>
      </c>
      <c r="Q42" s="493">
        <v>478750</v>
      </c>
      <c r="R42" s="493" t="s">
        <v>441</v>
      </c>
      <c r="S42" s="493" t="s">
        <v>442</v>
      </c>
      <c r="T42" s="493" t="s">
        <v>125</v>
      </c>
      <c r="U42" s="493" t="s">
        <v>644</v>
      </c>
      <c r="V42" s="493" t="s">
        <v>127</v>
      </c>
      <c r="W42" s="493" t="s">
        <v>128</v>
      </c>
      <c r="X42" s="493" t="s">
        <v>129</v>
      </c>
      <c r="Y42" s="493" t="s">
        <v>377</v>
      </c>
      <c r="Z42" s="493" t="s">
        <v>642</v>
      </c>
      <c r="AA42" s="493" t="s">
        <v>130</v>
      </c>
      <c r="AB42" s="493" t="s">
        <v>377</v>
      </c>
      <c r="AC42" s="493" t="s">
        <v>131</v>
      </c>
      <c r="AD42" s="493" t="s">
        <v>645</v>
      </c>
      <c r="AE42" s="493">
        <v>4787500</v>
      </c>
      <c r="AF42" s="493">
        <v>478750</v>
      </c>
      <c r="AG42" s="493" t="s">
        <v>647</v>
      </c>
      <c r="AH42" s="130">
        <f t="shared" si="5"/>
        <v>46118</v>
      </c>
      <c r="AI42" s="495"/>
      <c r="AJ42" s="439"/>
      <c r="AK42" s="121">
        <f t="shared" si="12"/>
        <v>5266250</v>
      </c>
      <c r="AL42" s="440" t="str">
        <f t="shared" ca="1" si="2"/>
        <v>장기미수</v>
      </c>
      <c r="AM42" s="440"/>
      <c r="AN42" s="440" t="s">
        <v>2259</v>
      </c>
      <c r="AO42" s="440"/>
    </row>
    <row r="43" spans="1:41" ht="16.5" hidden="1" customHeight="1">
      <c r="A43" s="492" t="s">
        <v>634</v>
      </c>
      <c r="B43" s="493" t="s">
        <v>649</v>
      </c>
      <c r="C43" s="492" t="s">
        <v>634</v>
      </c>
      <c r="D43" s="492" t="s">
        <v>634</v>
      </c>
      <c r="E43" s="493" t="s">
        <v>116</v>
      </c>
      <c r="F43" s="493" t="s">
        <v>377</v>
      </c>
      <c r="G43" s="493" t="s">
        <v>117</v>
      </c>
      <c r="H43" s="493" t="s">
        <v>118</v>
      </c>
      <c r="I43" s="493" t="s">
        <v>119</v>
      </c>
      <c r="J43" s="493" t="s">
        <v>650</v>
      </c>
      <c r="K43" s="493" t="s">
        <v>377</v>
      </c>
      <c r="L43" s="493" t="s">
        <v>651</v>
      </c>
      <c r="M43" s="493" t="s">
        <v>652</v>
      </c>
      <c r="N43" s="493" t="s">
        <v>653</v>
      </c>
      <c r="O43" s="493">
        <v>4917000</v>
      </c>
      <c r="P43" s="439">
        <v>4470000</v>
      </c>
      <c r="Q43" s="493">
        <v>447000</v>
      </c>
      <c r="R43" s="493" t="s">
        <v>441</v>
      </c>
      <c r="S43" s="493" t="s">
        <v>442</v>
      </c>
      <c r="T43" s="493" t="s">
        <v>125</v>
      </c>
      <c r="U43" s="493" t="s">
        <v>654</v>
      </c>
      <c r="V43" s="493" t="s">
        <v>127</v>
      </c>
      <c r="W43" s="493" t="s">
        <v>128</v>
      </c>
      <c r="X43" s="493" t="s">
        <v>655</v>
      </c>
      <c r="Y43" s="493" t="s">
        <v>377</v>
      </c>
      <c r="Z43" s="493" t="s">
        <v>634</v>
      </c>
      <c r="AA43" s="493" t="s">
        <v>130</v>
      </c>
      <c r="AB43" s="493" t="s">
        <v>377</v>
      </c>
      <c r="AC43" s="493" t="s">
        <v>131</v>
      </c>
      <c r="AD43" s="493" t="s">
        <v>656</v>
      </c>
      <c r="AE43" s="493">
        <v>4470000</v>
      </c>
      <c r="AF43" s="493">
        <v>447000</v>
      </c>
      <c r="AG43" s="493" t="s">
        <v>657</v>
      </c>
      <c r="AH43" s="130">
        <f t="shared" si="5"/>
        <v>46119</v>
      </c>
      <c r="AI43" s="495">
        <v>46079</v>
      </c>
      <c r="AJ43" s="439">
        <f t="shared" ref="AJ43:AJ50" si="13">P43*1.1</f>
        <v>4917000</v>
      </c>
      <c r="AK43" s="121">
        <f t="shared" si="12"/>
        <v>0</v>
      </c>
      <c r="AL43" s="440" t="str">
        <f t="shared" ca="1" si="2"/>
        <v/>
      </c>
      <c r="AM43" s="440"/>
      <c r="AN43" s="440"/>
      <c r="AO43" s="440"/>
    </row>
    <row r="44" spans="1:41" ht="16.5" hidden="1" customHeight="1">
      <c r="A44" s="492" t="s">
        <v>634</v>
      </c>
      <c r="B44" s="493" t="s">
        <v>635</v>
      </c>
      <c r="C44" s="492" t="s">
        <v>634</v>
      </c>
      <c r="D44" s="492" t="s">
        <v>634</v>
      </c>
      <c r="E44" s="493" t="s">
        <v>116</v>
      </c>
      <c r="F44" s="493" t="s">
        <v>377</v>
      </c>
      <c r="G44" s="493" t="s">
        <v>117</v>
      </c>
      <c r="H44" s="493" t="s">
        <v>118</v>
      </c>
      <c r="I44" s="493" t="s">
        <v>119</v>
      </c>
      <c r="J44" s="493" t="s">
        <v>636</v>
      </c>
      <c r="K44" s="493" t="s">
        <v>377</v>
      </c>
      <c r="L44" s="493" t="s">
        <v>637</v>
      </c>
      <c r="M44" s="493" t="s">
        <v>638</v>
      </c>
      <c r="N44" s="493" t="s">
        <v>639</v>
      </c>
      <c r="O44" s="493">
        <v>15243800</v>
      </c>
      <c r="P44" s="439">
        <v>13858000</v>
      </c>
      <c r="Q44" s="493">
        <v>1385800</v>
      </c>
      <c r="R44" s="493" t="s">
        <v>124</v>
      </c>
      <c r="S44" s="493" t="s">
        <v>382</v>
      </c>
      <c r="T44" s="493" t="s">
        <v>125</v>
      </c>
      <c r="U44" s="493" t="s">
        <v>126</v>
      </c>
      <c r="V44" s="493" t="s">
        <v>127</v>
      </c>
      <c r="W44" s="493" t="s">
        <v>128</v>
      </c>
      <c r="X44" s="493" t="s">
        <v>640</v>
      </c>
      <c r="Y44" s="493" t="s">
        <v>377</v>
      </c>
      <c r="Z44" s="493" t="s">
        <v>634</v>
      </c>
      <c r="AA44" s="493" t="s">
        <v>130</v>
      </c>
      <c r="AB44" s="493" t="s">
        <v>377</v>
      </c>
      <c r="AC44" s="493" t="s">
        <v>131</v>
      </c>
      <c r="AD44" s="493" t="s">
        <v>641</v>
      </c>
      <c r="AE44" s="493">
        <v>13858000</v>
      </c>
      <c r="AF44" s="493">
        <v>1385800</v>
      </c>
      <c r="AG44" s="493" t="s">
        <v>646</v>
      </c>
      <c r="AH44" s="130">
        <f t="shared" si="5"/>
        <v>46119</v>
      </c>
      <c r="AI44" s="495">
        <v>46080</v>
      </c>
      <c r="AJ44" s="439">
        <f t="shared" si="13"/>
        <v>15243800.000000002</v>
      </c>
      <c r="AK44" s="121">
        <f t="shared" si="12"/>
        <v>0</v>
      </c>
      <c r="AL44" s="440" t="str">
        <f t="shared" ca="1" si="2"/>
        <v/>
      </c>
      <c r="AM44" s="440"/>
      <c r="AN44" s="440"/>
      <c r="AO44" s="440"/>
    </row>
    <row r="45" spans="1:41" ht="16.5" hidden="1" customHeight="1">
      <c r="A45" s="492" t="s">
        <v>659</v>
      </c>
      <c r="B45" s="493" t="s">
        <v>660</v>
      </c>
      <c r="C45" s="492" t="s">
        <v>659</v>
      </c>
      <c r="D45" s="492" t="s">
        <v>659</v>
      </c>
      <c r="E45" s="493" t="s">
        <v>116</v>
      </c>
      <c r="F45" s="493" t="s">
        <v>377</v>
      </c>
      <c r="G45" s="493" t="s">
        <v>117</v>
      </c>
      <c r="H45" s="493" t="s">
        <v>118</v>
      </c>
      <c r="I45" s="493" t="s">
        <v>119</v>
      </c>
      <c r="J45" s="493" t="s">
        <v>661</v>
      </c>
      <c r="K45" s="493" t="s">
        <v>377</v>
      </c>
      <c r="L45" s="493" t="s">
        <v>662</v>
      </c>
      <c r="M45" s="493" t="s">
        <v>663</v>
      </c>
      <c r="N45" s="493" t="s">
        <v>664</v>
      </c>
      <c r="O45" s="493">
        <v>231000</v>
      </c>
      <c r="P45" s="439">
        <v>210000</v>
      </c>
      <c r="Q45" s="493">
        <v>21000</v>
      </c>
      <c r="R45" s="493" t="s">
        <v>124</v>
      </c>
      <c r="S45" s="493" t="s">
        <v>382</v>
      </c>
      <c r="T45" s="493" t="s">
        <v>125</v>
      </c>
      <c r="U45" s="493" t="s">
        <v>126</v>
      </c>
      <c r="V45" s="493" t="s">
        <v>127</v>
      </c>
      <c r="W45" s="493" t="s">
        <v>128</v>
      </c>
      <c r="X45" s="493" t="s">
        <v>665</v>
      </c>
      <c r="Y45" s="493" t="s">
        <v>377</v>
      </c>
      <c r="Z45" s="493" t="s">
        <v>659</v>
      </c>
      <c r="AA45" s="493" t="s">
        <v>130</v>
      </c>
      <c r="AB45" s="493" t="s">
        <v>377</v>
      </c>
      <c r="AC45" s="493" t="s">
        <v>131</v>
      </c>
      <c r="AD45" s="493" t="s">
        <v>666</v>
      </c>
      <c r="AE45" s="493">
        <v>210000</v>
      </c>
      <c r="AF45" s="493">
        <v>21000</v>
      </c>
      <c r="AG45" s="493" t="s">
        <v>696</v>
      </c>
      <c r="AH45" s="130">
        <f>IF(A45&lt;&gt;"", A45+40, "")</f>
        <v>46120</v>
      </c>
      <c r="AI45" s="495">
        <v>46080</v>
      </c>
      <c r="AJ45" s="439">
        <f t="shared" si="13"/>
        <v>231000.00000000003</v>
      </c>
      <c r="AK45" s="121">
        <f t="shared" si="12"/>
        <v>0</v>
      </c>
      <c r="AL45" s="440" t="str">
        <f t="shared" ca="1" si="2"/>
        <v/>
      </c>
      <c r="AM45" s="440"/>
      <c r="AN45" s="440"/>
      <c r="AO45" s="440"/>
    </row>
    <row r="46" spans="1:41" ht="16.5" hidden="1" customHeight="1">
      <c r="A46" s="492" t="s">
        <v>659</v>
      </c>
      <c r="B46" s="493" t="s">
        <v>667</v>
      </c>
      <c r="C46" s="492" t="s">
        <v>659</v>
      </c>
      <c r="D46" s="492" t="s">
        <v>659</v>
      </c>
      <c r="E46" s="493" t="s">
        <v>116</v>
      </c>
      <c r="F46" s="493" t="s">
        <v>377</v>
      </c>
      <c r="G46" s="493" t="s">
        <v>117</v>
      </c>
      <c r="H46" s="493" t="s">
        <v>118</v>
      </c>
      <c r="I46" s="493" t="s">
        <v>119</v>
      </c>
      <c r="J46" s="493" t="s">
        <v>668</v>
      </c>
      <c r="K46" s="493" t="s">
        <v>377</v>
      </c>
      <c r="L46" s="493" t="s">
        <v>530</v>
      </c>
      <c r="M46" s="493" t="s">
        <v>669</v>
      </c>
      <c r="N46" s="493" t="s">
        <v>670</v>
      </c>
      <c r="O46" s="493">
        <v>982300</v>
      </c>
      <c r="P46" s="439">
        <v>893000</v>
      </c>
      <c r="Q46" s="493">
        <v>89300</v>
      </c>
      <c r="R46" s="493" t="s">
        <v>124</v>
      </c>
      <c r="S46" s="493" t="s">
        <v>382</v>
      </c>
      <c r="T46" s="493" t="s">
        <v>125</v>
      </c>
      <c r="U46" s="493" t="s">
        <v>126</v>
      </c>
      <c r="V46" s="493" t="s">
        <v>127</v>
      </c>
      <c r="W46" s="493" t="s">
        <v>128</v>
      </c>
      <c r="X46" s="493" t="s">
        <v>671</v>
      </c>
      <c r="Y46" s="493" t="s">
        <v>377</v>
      </c>
      <c r="Z46" s="493" t="s">
        <v>659</v>
      </c>
      <c r="AA46" s="493" t="s">
        <v>130</v>
      </c>
      <c r="AB46" s="493" t="s">
        <v>377</v>
      </c>
      <c r="AC46" s="493" t="s">
        <v>131</v>
      </c>
      <c r="AD46" s="493" t="s">
        <v>672</v>
      </c>
      <c r="AE46" s="493">
        <v>893000</v>
      </c>
      <c r="AF46" s="493">
        <v>89300</v>
      </c>
      <c r="AG46" s="493" t="s">
        <v>697</v>
      </c>
      <c r="AH46" s="130">
        <f t="shared" si="5"/>
        <v>46120</v>
      </c>
      <c r="AI46" s="495">
        <v>46142</v>
      </c>
      <c r="AJ46" s="439">
        <f t="shared" si="13"/>
        <v>982300.00000000012</v>
      </c>
      <c r="AK46" s="121">
        <f t="shared" si="12"/>
        <v>0</v>
      </c>
      <c r="AL46" s="440" t="str">
        <f t="shared" ca="1" si="2"/>
        <v/>
      </c>
      <c r="AM46" s="440"/>
      <c r="AN46" s="440"/>
      <c r="AO46" s="440"/>
    </row>
    <row r="47" spans="1:41" ht="16.5" hidden="1" customHeight="1">
      <c r="A47" s="492" t="s">
        <v>659</v>
      </c>
      <c r="B47" s="493" t="s">
        <v>673</v>
      </c>
      <c r="C47" s="492" t="s">
        <v>659</v>
      </c>
      <c r="D47" s="492" t="s">
        <v>659</v>
      </c>
      <c r="E47" s="493" t="s">
        <v>116</v>
      </c>
      <c r="F47" s="493" t="s">
        <v>377</v>
      </c>
      <c r="G47" s="493" t="s">
        <v>117</v>
      </c>
      <c r="H47" s="493" t="s">
        <v>118</v>
      </c>
      <c r="I47" s="493" t="s">
        <v>119</v>
      </c>
      <c r="J47" s="493" t="s">
        <v>674</v>
      </c>
      <c r="K47" s="493" t="s">
        <v>377</v>
      </c>
      <c r="L47" s="493" t="s">
        <v>675</v>
      </c>
      <c r="M47" s="493" t="s">
        <v>676</v>
      </c>
      <c r="N47" s="493" t="s">
        <v>677</v>
      </c>
      <c r="O47" s="493">
        <v>4939000</v>
      </c>
      <c r="P47" s="439">
        <v>4490000</v>
      </c>
      <c r="Q47" s="493">
        <v>449000</v>
      </c>
      <c r="R47" s="493" t="s">
        <v>124</v>
      </c>
      <c r="S47" s="493" t="s">
        <v>382</v>
      </c>
      <c r="T47" s="493" t="s">
        <v>125</v>
      </c>
      <c r="U47" s="493" t="s">
        <v>126</v>
      </c>
      <c r="V47" s="493" t="s">
        <v>127</v>
      </c>
      <c r="W47" s="493" t="s">
        <v>128</v>
      </c>
      <c r="X47" s="493" t="s">
        <v>678</v>
      </c>
      <c r="Y47" s="493" t="s">
        <v>377</v>
      </c>
      <c r="Z47" s="493" t="s">
        <v>659</v>
      </c>
      <c r="AA47" s="493" t="s">
        <v>130</v>
      </c>
      <c r="AB47" s="493" t="s">
        <v>377</v>
      </c>
      <c r="AC47" s="493" t="s">
        <v>131</v>
      </c>
      <c r="AD47" s="493" t="s">
        <v>679</v>
      </c>
      <c r="AE47" s="493">
        <v>4490000</v>
      </c>
      <c r="AF47" s="493">
        <v>449000</v>
      </c>
      <c r="AG47" s="493" t="s">
        <v>698</v>
      </c>
      <c r="AH47" s="130">
        <f t="shared" si="5"/>
        <v>46120</v>
      </c>
      <c r="AI47" s="495">
        <v>46142</v>
      </c>
      <c r="AJ47" s="439">
        <f t="shared" si="13"/>
        <v>4939000</v>
      </c>
      <c r="AK47" s="121">
        <f t="shared" si="12"/>
        <v>0</v>
      </c>
      <c r="AL47" s="440" t="str">
        <f t="shared" ca="1" si="2"/>
        <v/>
      </c>
      <c r="AM47" s="440"/>
      <c r="AN47" s="440"/>
      <c r="AO47" s="440"/>
    </row>
    <row r="48" spans="1:41" ht="16.5" hidden="1" customHeight="1">
      <c r="A48" s="492" t="s">
        <v>659</v>
      </c>
      <c r="B48" s="493" t="s">
        <v>680</v>
      </c>
      <c r="C48" s="492" t="s">
        <v>659</v>
      </c>
      <c r="D48" s="492" t="s">
        <v>659</v>
      </c>
      <c r="E48" s="493" t="s">
        <v>116</v>
      </c>
      <c r="F48" s="493" t="s">
        <v>377</v>
      </c>
      <c r="G48" s="493" t="s">
        <v>117</v>
      </c>
      <c r="H48" s="493" t="s">
        <v>118</v>
      </c>
      <c r="I48" s="493" t="s">
        <v>119</v>
      </c>
      <c r="J48" s="493" t="s">
        <v>681</v>
      </c>
      <c r="K48" s="493" t="s">
        <v>377</v>
      </c>
      <c r="L48" s="493" t="s">
        <v>682</v>
      </c>
      <c r="M48" s="493" t="s">
        <v>683</v>
      </c>
      <c r="N48" s="493" t="s">
        <v>684</v>
      </c>
      <c r="O48" s="493">
        <v>1667600</v>
      </c>
      <c r="P48" s="439">
        <v>1516000</v>
      </c>
      <c r="Q48" s="493">
        <v>151600</v>
      </c>
      <c r="R48" s="493" t="s">
        <v>124</v>
      </c>
      <c r="S48" s="493" t="s">
        <v>382</v>
      </c>
      <c r="T48" s="493" t="s">
        <v>125</v>
      </c>
      <c r="U48" s="493" t="s">
        <v>126</v>
      </c>
      <c r="V48" s="493" t="s">
        <v>127</v>
      </c>
      <c r="W48" s="493" t="s">
        <v>128</v>
      </c>
      <c r="X48" s="493" t="s">
        <v>685</v>
      </c>
      <c r="Y48" s="493" t="s">
        <v>377</v>
      </c>
      <c r="Z48" s="493" t="s">
        <v>659</v>
      </c>
      <c r="AA48" s="493" t="s">
        <v>130</v>
      </c>
      <c r="AB48" s="493" t="s">
        <v>377</v>
      </c>
      <c r="AC48" s="493" t="s">
        <v>131</v>
      </c>
      <c r="AD48" s="493" t="s">
        <v>686</v>
      </c>
      <c r="AE48" s="493">
        <v>1516000</v>
      </c>
      <c r="AF48" s="493">
        <v>151600</v>
      </c>
      <c r="AG48" s="493" t="s">
        <v>699</v>
      </c>
      <c r="AH48" s="130">
        <f t="shared" si="5"/>
        <v>46120</v>
      </c>
      <c r="AI48" s="495">
        <v>46098</v>
      </c>
      <c r="AJ48" s="439">
        <f t="shared" si="13"/>
        <v>1667600.0000000002</v>
      </c>
      <c r="AK48" s="121">
        <f t="shared" si="12"/>
        <v>0</v>
      </c>
      <c r="AL48" s="440" t="str">
        <f t="shared" ca="1" si="2"/>
        <v/>
      </c>
      <c r="AM48" s="440"/>
      <c r="AN48" s="440"/>
      <c r="AO48" s="440"/>
    </row>
    <row r="49" spans="1:41" ht="16.5" hidden="1" customHeight="1">
      <c r="A49" s="492" t="s">
        <v>659</v>
      </c>
      <c r="B49" s="493" t="s">
        <v>687</v>
      </c>
      <c r="C49" s="492" t="s">
        <v>659</v>
      </c>
      <c r="D49" s="492" t="s">
        <v>659</v>
      </c>
      <c r="E49" s="493" t="s">
        <v>116</v>
      </c>
      <c r="F49" s="493" t="s">
        <v>377</v>
      </c>
      <c r="G49" s="493" t="s">
        <v>117</v>
      </c>
      <c r="H49" s="493" t="s">
        <v>118</v>
      </c>
      <c r="I49" s="493" t="s">
        <v>119</v>
      </c>
      <c r="J49" s="493" t="s">
        <v>421</v>
      </c>
      <c r="K49" s="493" t="s">
        <v>377</v>
      </c>
      <c r="L49" s="493" t="s">
        <v>422</v>
      </c>
      <c r="M49" s="493" t="s">
        <v>423</v>
      </c>
      <c r="N49" s="493" t="s">
        <v>424</v>
      </c>
      <c r="O49" s="493">
        <v>573100</v>
      </c>
      <c r="P49" s="439">
        <v>521000</v>
      </c>
      <c r="Q49" s="493">
        <v>52100</v>
      </c>
      <c r="R49" s="493" t="s">
        <v>124</v>
      </c>
      <c r="S49" s="493" t="s">
        <v>382</v>
      </c>
      <c r="T49" s="493" t="s">
        <v>125</v>
      </c>
      <c r="U49" s="493" t="s">
        <v>126</v>
      </c>
      <c r="V49" s="493" t="s">
        <v>127</v>
      </c>
      <c r="W49" s="493" t="s">
        <v>128</v>
      </c>
      <c r="X49" s="493" t="s">
        <v>425</v>
      </c>
      <c r="Y49" s="493" t="s">
        <v>377</v>
      </c>
      <c r="Z49" s="493" t="s">
        <v>659</v>
      </c>
      <c r="AA49" s="493" t="s">
        <v>130</v>
      </c>
      <c r="AB49" s="493" t="s">
        <v>377</v>
      </c>
      <c r="AC49" s="493" t="s">
        <v>131</v>
      </c>
      <c r="AD49" s="493" t="s">
        <v>688</v>
      </c>
      <c r="AE49" s="493">
        <v>521000</v>
      </c>
      <c r="AF49" s="493">
        <v>52100</v>
      </c>
      <c r="AG49" s="493" t="s">
        <v>435</v>
      </c>
      <c r="AH49" s="130">
        <f t="shared" si="5"/>
        <v>46120</v>
      </c>
      <c r="AI49" s="495">
        <v>46136</v>
      </c>
      <c r="AJ49" s="439">
        <f t="shared" si="13"/>
        <v>573100</v>
      </c>
      <c r="AK49" s="121">
        <f t="shared" si="12"/>
        <v>0</v>
      </c>
      <c r="AL49" s="440" t="str">
        <f t="shared" ca="1" si="2"/>
        <v/>
      </c>
      <c r="AM49" s="440"/>
      <c r="AN49" s="440"/>
      <c r="AO49" s="440"/>
    </row>
    <row r="50" spans="1:41" ht="16.5" hidden="1" customHeight="1">
      <c r="A50" s="492" t="s">
        <v>659</v>
      </c>
      <c r="B50" s="493" t="s">
        <v>689</v>
      </c>
      <c r="C50" s="492" t="s">
        <v>659</v>
      </c>
      <c r="D50" s="492" t="s">
        <v>659</v>
      </c>
      <c r="E50" s="493" t="s">
        <v>116</v>
      </c>
      <c r="F50" s="493" t="s">
        <v>377</v>
      </c>
      <c r="G50" s="493" t="s">
        <v>117</v>
      </c>
      <c r="H50" s="493" t="s">
        <v>118</v>
      </c>
      <c r="I50" s="493" t="s">
        <v>119</v>
      </c>
      <c r="J50" s="493" t="s">
        <v>690</v>
      </c>
      <c r="K50" s="493" t="s">
        <v>377</v>
      </c>
      <c r="L50" s="493" t="s">
        <v>691</v>
      </c>
      <c r="M50" s="493" t="s">
        <v>692</v>
      </c>
      <c r="N50" s="493" t="s">
        <v>693</v>
      </c>
      <c r="O50" s="493">
        <v>7172660</v>
      </c>
      <c r="P50" s="439">
        <v>6520600</v>
      </c>
      <c r="Q50" s="493">
        <v>652060</v>
      </c>
      <c r="R50" s="493" t="s">
        <v>124</v>
      </c>
      <c r="S50" s="493" t="s">
        <v>382</v>
      </c>
      <c r="T50" s="493" t="s">
        <v>125</v>
      </c>
      <c r="U50" s="493" t="s">
        <v>126</v>
      </c>
      <c r="V50" s="493" t="s">
        <v>127</v>
      </c>
      <c r="W50" s="493" t="s">
        <v>128</v>
      </c>
      <c r="X50" s="493" t="s">
        <v>694</v>
      </c>
      <c r="Y50" s="493" t="s">
        <v>377</v>
      </c>
      <c r="Z50" s="493" t="s">
        <v>659</v>
      </c>
      <c r="AA50" s="493" t="s">
        <v>130</v>
      </c>
      <c r="AB50" s="493" t="s">
        <v>377</v>
      </c>
      <c r="AC50" s="493" t="s">
        <v>131</v>
      </c>
      <c r="AD50" s="493" t="s">
        <v>695</v>
      </c>
      <c r="AE50" s="493">
        <v>6520600</v>
      </c>
      <c r="AF50" s="493">
        <v>652060</v>
      </c>
      <c r="AG50" s="493" t="s">
        <v>700</v>
      </c>
      <c r="AH50" s="130">
        <f t="shared" si="5"/>
        <v>46120</v>
      </c>
      <c r="AI50" s="495">
        <v>46112</v>
      </c>
      <c r="AJ50" s="439">
        <f t="shared" si="13"/>
        <v>7172660.0000000009</v>
      </c>
      <c r="AK50" s="121">
        <f t="shared" si="12"/>
        <v>0</v>
      </c>
      <c r="AL50" s="440" t="str">
        <f t="shared" ca="1" si="2"/>
        <v/>
      </c>
      <c r="AM50" s="440"/>
      <c r="AN50" s="440"/>
      <c r="AO50" s="440"/>
    </row>
    <row r="51" spans="1:41" ht="16.5" hidden="1" customHeight="1">
      <c r="A51" s="492" t="s">
        <v>701</v>
      </c>
      <c r="B51" s="493" t="s">
        <v>702</v>
      </c>
      <c r="C51" s="492" t="s">
        <v>701</v>
      </c>
      <c r="D51" s="492" t="s">
        <v>701</v>
      </c>
      <c r="E51" s="493" t="s">
        <v>116</v>
      </c>
      <c r="F51" s="493" t="s">
        <v>377</v>
      </c>
      <c r="G51" s="493" t="s">
        <v>117</v>
      </c>
      <c r="H51" s="493" t="s">
        <v>118</v>
      </c>
      <c r="I51" s="493" t="s">
        <v>119</v>
      </c>
      <c r="J51" s="493" t="s">
        <v>703</v>
      </c>
      <c r="K51" s="493" t="s">
        <v>377</v>
      </c>
      <c r="L51" s="493" t="s">
        <v>704</v>
      </c>
      <c r="M51" s="493" t="s">
        <v>705</v>
      </c>
      <c r="N51" s="493" t="s">
        <v>706</v>
      </c>
      <c r="O51" s="493">
        <v>2563000</v>
      </c>
      <c r="P51" s="439">
        <v>2330000</v>
      </c>
      <c r="Q51" s="493">
        <v>233000</v>
      </c>
      <c r="R51" s="493" t="s">
        <v>124</v>
      </c>
      <c r="S51" s="493" t="s">
        <v>382</v>
      </c>
      <c r="T51" s="493" t="s">
        <v>125</v>
      </c>
      <c r="U51" s="493" t="s">
        <v>126</v>
      </c>
      <c r="V51" s="493" t="s">
        <v>127</v>
      </c>
      <c r="W51" s="493" t="s">
        <v>128</v>
      </c>
      <c r="X51" s="493" t="s">
        <v>707</v>
      </c>
      <c r="Y51" s="493" t="s">
        <v>377</v>
      </c>
      <c r="Z51" s="493" t="s">
        <v>701</v>
      </c>
      <c r="AA51" s="493" t="s">
        <v>130</v>
      </c>
      <c r="AB51" s="493" t="s">
        <v>377</v>
      </c>
      <c r="AC51" s="493" t="s">
        <v>131</v>
      </c>
      <c r="AD51" s="493" t="s">
        <v>708</v>
      </c>
      <c r="AE51" s="493">
        <v>2330000</v>
      </c>
      <c r="AF51" s="493">
        <v>233000</v>
      </c>
      <c r="AG51" s="493" t="s">
        <v>747</v>
      </c>
      <c r="AH51" s="130">
        <f t="shared" si="5"/>
        <v>46124</v>
      </c>
      <c r="AI51" s="495">
        <v>46168</v>
      </c>
      <c r="AJ51" s="439">
        <f>P51*1.1</f>
        <v>2563000</v>
      </c>
      <c r="AK51" s="121">
        <f t="shared" si="12"/>
        <v>0</v>
      </c>
      <c r="AL51" s="440" t="str">
        <f t="shared" ca="1" si="2"/>
        <v/>
      </c>
      <c r="AM51" s="440"/>
      <c r="AN51" s="440"/>
      <c r="AO51" s="440"/>
    </row>
    <row r="52" spans="1:41" ht="16.5" hidden="1" customHeight="1">
      <c r="A52" s="492" t="s">
        <v>701</v>
      </c>
      <c r="B52" s="493" t="s">
        <v>709</v>
      </c>
      <c r="C52" s="492" t="s">
        <v>701</v>
      </c>
      <c r="D52" s="492" t="s">
        <v>701</v>
      </c>
      <c r="E52" s="493" t="s">
        <v>116</v>
      </c>
      <c r="F52" s="493" t="s">
        <v>377</v>
      </c>
      <c r="G52" s="493" t="s">
        <v>117</v>
      </c>
      <c r="H52" s="493" t="s">
        <v>118</v>
      </c>
      <c r="I52" s="493" t="s">
        <v>119</v>
      </c>
      <c r="J52" s="493" t="s">
        <v>710</v>
      </c>
      <c r="K52" s="493" t="s">
        <v>377</v>
      </c>
      <c r="L52" s="493" t="s">
        <v>586</v>
      </c>
      <c r="M52" s="493" t="s">
        <v>711</v>
      </c>
      <c r="N52" s="493" t="s">
        <v>712</v>
      </c>
      <c r="O52" s="493">
        <v>57420</v>
      </c>
      <c r="P52" s="439">
        <v>52200</v>
      </c>
      <c r="Q52" s="493">
        <v>5220</v>
      </c>
      <c r="R52" s="493" t="s">
        <v>124</v>
      </c>
      <c r="S52" s="493" t="s">
        <v>382</v>
      </c>
      <c r="T52" s="493" t="s">
        <v>125</v>
      </c>
      <c r="U52" s="493" t="s">
        <v>126</v>
      </c>
      <c r="V52" s="493" t="s">
        <v>127</v>
      </c>
      <c r="W52" s="493" t="s">
        <v>128</v>
      </c>
      <c r="X52" s="493" t="s">
        <v>713</v>
      </c>
      <c r="Y52" s="493" t="s">
        <v>377</v>
      </c>
      <c r="Z52" s="493" t="s">
        <v>701</v>
      </c>
      <c r="AA52" s="493" t="s">
        <v>130</v>
      </c>
      <c r="AB52" s="493" t="s">
        <v>377</v>
      </c>
      <c r="AC52" s="493" t="s">
        <v>131</v>
      </c>
      <c r="AD52" s="493" t="s">
        <v>714</v>
      </c>
      <c r="AE52" s="493">
        <v>52200</v>
      </c>
      <c r="AF52" s="493">
        <v>5220</v>
      </c>
      <c r="AG52" s="493" t="s">
        <v>748</v>
      </c>
      <c r="AH52" s="130">
        <f t="shared" si="5"/>
        <v>46124</v>
      </c>
      <c r="AI52" s="495">
        <v>46122</v>
      </c>
      <c r="AJ52" s="439">
        <f>P52*1.1</f>
        <v>57420.000000000007</v>
      </c>
      <c r="AK52" s="121">
        <f t="shared" si="12"/>
        <v>0</v>
      </c>
      <c r="AL52" s="440" t="str">
        <f t="shared" ca="1" si="2"/>
        <v/>
      </c>
      <c r="AM52" s="440"/>
      <c r="AN52" s="440"/>
      <c r="AO52" s="440"/>
    </row>
    <row r="53" spans="1:41" ht="16.5" hidden="1" customHeight="1">
      <c r="A53" s="492" t="s">
        <v>701</v>
      </c>
      <c r="B53" s="493" t="s">
        <v>715</v>
      </c>
      <c r="C53" s="492" t="s">
        <v>701</v>
      </c>
      <c r="D53" s="492" t="s">
        <v>701</v>
      </c>
      <c r="E53" s="493" t="s">
        <v>116</v>
      </c>
      <c r="F53" s="493" t="s">
        <v>377</v>
      </c>
      <c r="G53" s="493" t="s">
        <v>117</v>
      </c>
      <c r="H53" s="493" t="s">
        <v>118</v>
      </c>
      <c r="I53" s="493" t="s">
        <v>119</v>
      </c>
      <c r="J53" s="493" t="s">
        <v>703</v>
      </c>
      <c r="K53" s="493" t="s">
        <v>377</v>
      </c>
      <c r="L53" s="493" t="s">
        <v>704</v>
      </c>
      <c r="M53" s="493" t="s">
        <v>705</v>
      </c>
      <c r="N53" s="493" t="s">
        <v>706</v>
      </c>
      <c r="O53" s="493">
        <v>8386400</v>
      </c>
      <c r="P53" s="439">
        <v>7624000</v>
      </c>
      <c r="Q53" s="493">
        <v>762400</v>
      </c>
      <c r="R53" s="493" t="s">
        <v>124</v>
      </c>
      <c r="S53" s="493" t="s">
        <v>382</v>
      </c>
      <c r="T53" s="493" t="s">
        <v>125</v>
      </c>
      <c r="U53" s="493" t="s">
        <v>126</v>
      </c>
      <c r="V53" s="493" t="s">
        <v>127</v>
      </c>
      <c r="W53" s="493" t="s">
        <v>128</v>
      </c>
      <c r="X53" s="493" t="s">
        <v>707</v>
      </c>
      <c r="Y53" s="493" t="s">
        <v>377</v>
      </c>
      <c r="Z53" s="493" t="s">
        <v>701</v>
      </c>
      <c r="AA53" s="493" t="s">
        <v>130</v>
      </c>
      <c r="AB53" s="493" t="s">
        <v>377</v>
      </c>
      <c r="AC53" s="493" t="s">
        <v>131</v>
      </c>
      <c r="AD53" s="493" t="s">
        <v>716</v>
      </c>
      <c r="AE53" s="493">
        <v>7624000</v>
      </c>
      <c r="AF53" s="493">
        <v>762400</v>
      </c>
      <c r="AG53" s="493" t="s">
        <v>749</v>
      </c>
      <c r="AH53" s="130">
        <f t="shared" si="5"/>
        <v>46124</v>
      </c>
      <c r="AI53" s="495">
        <v>46168</v>
      </c>
      <c r="AJ53" s="439">
        <f>P53*1.1</f>
        <v>8386400.0000000009</v>
      </c>
      <c r="AK53" s="121">
        <f t="shared" si="12"/>
        <v>0</v>
      </c>
      <c r="AL53" s="440" t="str">
        <f t="shared" ca="1" si="2"/>
        <v/>
      </c>
      <c r="AM53" s="440"/>
      <c r="AN53" s="440"/>
      <c r="AO53" s="440"/>
    </row>
    <row r="54" spans="1:41" ht="16.5" hidden="1" customHeight="1">
      <c r="A54" s="492" t="s">
        <v>701</v>
      </c>
      <c r="B54" s="493" t="s">
        <v>717</v>
      </c>
      <c r="C54" s="492" t="s">
        <v>701</v>
      </c>
      <c r="D54" s="492" t="s">
        <v>701</v>
      </c>
      <c r="E54" s="493" t="s">
        <v>116</v>
      </c>
      <c r="F54" s="493" t="s">
        <v>377</v>
      </c>
      <c r="G54" s="493" t="s">
        <v>117</v>
      </c>
      <c r="H54" s="493" t="s">
        <v>118</v>
      </c>
      <c r="I54" s="493" t="s">
        <v>119</v>
      </c>
      <c r="J54" s="493" t="s">
        <v>718</v>
      </c>
      <c r="K54" s="493" t="s">
        <v>377</v>
      </c>
      <c r="L54" s="493" t="s">
        <v>719</v>
      </c>
      <c r="M54" s="493" t="s">
        <v>720</v>
      </c>
      <c r="N54" s="493" t="s">
        <v>721</v>
      </c>
      <c r="O54" s="493">
        <v>4411000</v>
      </c>
      <c r="P54" s="439">
        <v>4010000</v>
      </c>
      <c r="Q54" s="493">
        <v>401000</v>
      </c>
      <c r="R54" s="493" t="s">
        <v>124</v>
      </c>
      <c r="S54" s="493" t="s">
        <v>382</v>
      </c>
      <c r="T54" s="493" t="s">
        <v>125</v>
      </c>
      <c r="U54" s="493" t="s">
        <v>126</v>
      </c>
      <c r="V54" s="493" t="s">
        <v>127</v>
      </c>
      <c r="W54" s="493" t="s">
        <v>128</v>
      </c>
      <c r="X54" s="493" t="s">
        <v>722</v>
      </c>
      <c r="Y54" s="493" t="s">
        <v>377</v>
      </c>
      <c r="Z54" s="493" t="s">
        <v>701</v>
      </c>
      <c r="AA54" s="493" t="s">
        <v>130</v>
      </c>
      <c r="AB54" s="493" t="s">
        <v>377</v>
      </c>
      <c r="AC54" s="493" t="s">
        <v>131</v>
      </c>
      <c r="AD54" s="493" t="s">
        <v>723</v>
      </c>
      <c r="AE54" s="493">
        <v>4010000</v>
      </c>
      <c r="AF54" s="493">
        <v>401000</v>
      </c>
      <c r="AG54" s="493" t="s">
        <v>750</v>
      </c>
      <c r="AH54" s="130">
        <f t="shared" si="5"/>
        <v>46124</v>
      </c>
      <c r="AI54" s="495">
        <v>46091</v>
      </c>
      <c r="AJ54" s="439">
        <f t="shared" ref="AJ54:AJ59" si="14">P54*1.1</f>
        <v>4411000</v>
      </c>
      <c r="AK54" s="121">
        <f t="shared" si="12"/>
        <v>0</v>
      </c>
      <c r="AL54" s="440" t="str">
        <f t="shared" ca="1" si="2"/>
        <v/>
      </c>
      <c r="AM54" s="440"/>
      <c r="AN54" s="440"/>
      <c r="AO54" s="440"/>
    </row>
    <row r="55" spans="1:41" ht="16.5" hidden="1" customHeight="1">
      <c r="A55" s="492" t="s">
        <v>701</v>
      </c>
      <c r="B55" s="493" t="s">
        <v>724</v>
      </c>
      <c r="C55" s="492" t="s">
        <v>701</v>
      </c>
      <c r="D55" s="492" t="s">
        <v>701</v>
      </c>
      <c r="E55" s="493" t="s">
        <v>116</v>
      </c>
      <c r="F55" s="493" t="s">
        <v>377</v>
      </c>
      <c r="G55" s="493" t="s">
        <v>117</v>
      </c>
      <c r="H55" s="493" t="s">
        <v>118</v>
      </c>
      <c r="I55" s="493" t="s">
        <v>119</v>
      </c>
      <c r="J55" s="493" t="s">
        <v>636</v>
      </c>
      <c r="K55" s="493" t="s">
        <v>377</v>
      </c>
      <c r="L55" s="493" t="s">
        <v>637</v>
      </c>
      <c r="M55" s="493" t="s">
        <v>638</v>
      </c>
      <c r="N55" s="493" t="s">
        <v>639</v>
      </c>
      <c r="O55" s="493">
        <v>978450</v>
      </c>
      <c r="P55" s="439">
        <v>889500</v>
      </c>
      <c r="Q55" s="493">
        <v>88950</v>
      </c>
      <c r="R55" s="493" t="s">
        <v>124</v>
      </c>
      <c r="S55" s="493" t="s">
        <v>382</v>
      </c>
      <c r="T55" s="493" t="s">
        <v>125</v>
      </c>
      <c r="U55" s="493" t="s">
        <v>126</v>
      </c>
      <c r="V55" s="493" t="s">
        <v>127</v>
      </c>
      <c r="W55" s="493" t="s">
        <v>128</v>
      </c>
      <c r="X55" s="493" t="s">
        <v>640</v>
      </c>
      <c r="Y55" s="493" t="s">
        <v>377</v>
      </c>
      <c r="Z55" s="493" t="s">
        <v>701</v>
      </c>
      <c r="AA55" s="493" t="s">
        <v>130</v>
      </c>
      <c r="AB55" s="493" t="s">
        <v>377</v>
      </c>
      <c r="AC55" s="493" t="s">
        <v>131</v>
      </c>
      <c r="AD55" s="493" t="s">
        <v>725</v>
      </c>
      <c r="AE55" s="493">
        <v>889500</v>
      </c>
      <c r="AF55" s="493">
        <v>88950</v>
      </c>
      <c r="AG55" s="493" t="s">
        <v>751</v>
      </c>
      <c r="AH55" s="130">
        <f t="shared" si="5"/>
        <v>46124</v>
      </c>
      <c r="AI55" s="495">
        <v>46092</v>
      </c>
      <c r="AJ55" s="439">
        <f t="shared" si="14"/>
        <v>978450.00000000012</v>
      </c>
      <c r="AK55" s="121">
        <f t="shared" si="12"/>
        <v>0</v>
      </c>
      <c r="AL55" s="440" t="str">
        <f t="shared" ca="1" si="2"/>
        <v/>
      </c>
      <c r="AM55" s="440"/>
      <c r="AN55" s="440"/>
      <c r="AO55" s="440"/>
    </row>
    <row r="56" spans="1:41" ht="16.5" hidden="1" customHeight="1">
      <c r="A56" s="492" t="s">
        <v>701</v>
      </c>
      <c r="B56" s="493" t="s">
        <v>726</v>
      </c>
      <c r="C56" s="492" t="s">
        <v>701</v>
      </c>
      <c r="D56" s="492" t="s">
        <v>701</v>
      </c>
      <c r="E56" s="493" t="s">
        <v>116</v>
      </c>
      <c r="F56" s="493" t="s">
        <v>377</v>
      </c>
      <c r="G56" s="493" t="s">
        <v>117</v>
      </c>
      <c r="H56" s="493" t="s">
        <v>118</v>
      </c>
      <c r="I56" s="493" t="s">
        <v>119</v>
      </c>
      <c r="J56" s="493" t="s">
        <v>727</v>
      </c>
      <c r="K56" s="493" t="s">
        <v>377</v>
      </c>
      <c r="L56" s="493" t="s">
        <v>728</v>
      </c>
      <c r="M56" s="493" t="s">
        <v>729</v>
      </c>
      <c r="N56" s="493" t="s">
        <v>730</v>
      </c>
      <c r="O56" s="493">
        <v>2717000</v>
      </c>
      <c r="P56" s="439">
        <v>2470000</v>
      </c>
      <c r="Q56" s="493">
        <v>247000</v>
      </c>
      <c r="R56" s="493" t="s">
        <v>124</v>
      </c>
      <c r="S56" s="493" t="s">
        <v>382</v>
      </c>
      <c r="T56" s="493" t="s">
        <v>125</v>
      </c>
      <c r="U56" s="493" t="s">
        <v>126</v>
      </c>
      <c r="V56" s="493" t="s">
        <v>127</v>
      </c>
      <c r="W56" s="493" t="s">
        <v>128</v>
      </c>
      <c r="X56" s="493" t="s">
        <v>731</v>
      </c>
      <c r="Y56" s="493" t="s">
        <v>377</v>
      </c>
      <c r="Z56" s="493" t="s">
        <v>701</v>
      </c>
      <c r="AA56" s="493" t="s">
        <v>130</v>
      </c>
      <c r="AB56" s="493" t="s">
        <v>377</v>
      </c>
      <c r="AC56" s="493" t="s">
        <v>131</v>
      </c>
      <c r="AD56" s="493" t="s">
        <v>732</v>
      </c>
      <c r="AE56" s="493">
        <v>2470000</v>
      </c>
      <c r="AF56" s="493">
        <v>247000</v>
      </c>
      <c r="AG56" s="493" t="s">
        <v>752</v>
      </c>
      <c r="AH56" s="130">
        <f t="shared" si="5"/>
        <v>46124</v>
      </c>
      <c r="AI56" s="495">
        <v>46091</v>
      </c>
      <c r="AJ56" s="439">
        <f t="shared" si="14"/>
        <v>2717000</v>
      </c>
      <c r="AK56" s="121">
        <f t="shared" si="12"/>
        <v>0</v>
      </c>
      <c r="AL56" s="440" t="str">
        <f t="shared" ca="1" si="2"/>
        <v/>
      </c>
      <c r="AM56" s="440"/>
      <c r="AN56" s="440"/>
      <c r="AO56" s="440"/>
    </row>
    <row r="57" spans="1:41" ht="16.5" hidden="1" customHeight="1">
      <c r="A57" s="492" t="s">
        <v>701</v>
      </c>
      <c r="B57" s="493" t="s">
        <v>733</v>
      </c>
      <c r="C57" s="492" t="s">
        <v>701</v>
      </c>
      <c r="D57" s="492" t="s">
        <v>701</v>
      </c>
      <c r="E57" s="493" t="s">
        <v>116</v>
      </c>
      <c r="F57" s="493" t="s">
        <v>377</v>
      </c>
      <c r="G57" s="493" t="s">
        <v>117</v>
      </c>
      <c r="H57" s="493" t="s">
        <v>118</v>
      </c>
      <c r="I57" s="493" t="s">
        <v>119</v>
      </c>
      <c r="J57" s="493" t="s">
        <v>734</v>
      </c>
      <c r="K57" s="493" t="s">
        <v>377</v>
      </c>
      <c r="L57" s="493" t="s">
        <v>735</v>
      </c>
      <c r="M57" s="493" t="s">
        <v>736</v>
      </c>
      <c r="N57" s="493" t="s">
        <v>737</v>
      </c>
      <c r="O57" s="493">
        <v>80231360</v>
      </c>
      <c r="P57" s="439">
        <v>72937600</v>
      </c>
      <c r="Q57" s="493">
        <v>7293760</v>
      </c>
      <c r="R57" s="493" t="s">
        <v>124</v>
      </c>
      <c r="S57" s="493" t="s">
        <v>382</v>
      </c>
      <c r="T57" s="493" t="s">
        <v>125</v>
      </c>
      <c r="U57" s="493" t="s">
        <v>126</v>
      </c>
      <c r="V57" s="493" t="s">
        <v>127</v>
      </c>
      <c r="W57" s="493" t="s">
        <v>128</v>
      </c>
      <c r="X57" s="493" t="s">
        <v>738</v>
      </c>
      <c r="Y57" s="493" t="s">
        <v>377</v>
      </c>
      <c r="Z57" s="493" t="s">
        <v>701</v>
      </c>
      <c r="AA57" s="493" t="s">
        <v>130</v>
      </c>
      <c r="AB57" s="493" t="s">
        <v>377</v>
      </c>
      <c r="AC57" s="493" t="s">
        <v>131</v>
      </c>
      <c r="AD57" s="493" t="s">
        <v>739</v>
      </c>
      <c r="AE57" s="493">
        <v>72937600</v>
      </c>
      <c r="AF57" s="493">
        <v>7293760</v>
      </c>
      <c r="AG57" s="493" t="s">
        <v>753</v>
      </c>
      <c r="AH57" s="130">
        <f t="shared" si="5"/>
        <v>46124</v>
      </c>
      <c r="AI57" s="495">
        <v>46112</v>
      </c>
      <c r="AJ57" s="439">
        <f t="shared" si="14"/>
        <v>80231360</v>
      </c>
      <c r="AK57" s="121">
        <f t="shared" si="12"/>
        <v>0</v>
      </c>
      <c r="AL57" s="440" t="str">
        <f t="shared" ca="1" si="2"/>
        <v/>
      </c>
      <c r="AM57" s="440"/>
      <c r="AN57" s="440"/>
      <c r="AO57" s="440"/>
    </row>
    <row r="58" spans="1:41" ht="16.5" hidden="1" customHeight="1">
      <c r="A58" s="492" t="s">
        <v>701</v>
      </c>
      <c r="B58" s="493" t="s">
        <v>740</v>
      </c>
      <c r="C58" s="492" t="s">
        <v>701</v>
      </c>
      <c r="D58" s="492" t="s">
        <v>701</v>
      </c>
      <c r="E58" s="493" t="s">
        <v>116</v>
      </c>
      <c r="F58" s="493" t="s">
        <v>377</v>
      </c>
      <c r="G58" s="493" t="s">
        <v>117</v>
      </c>
      <c r="H58" s="493" t="s">
        <v>118</v>
      </c>
      <c r="I58" s="493" t="s">
        <v>119</v>
      </c>
      <c r="J58" s="493" t="s">
        <v>741</v>
      </c>
      <c r="K58" s="493" t="s">
        <v>377</v>
      </c>
      <c r="L58" s="493" t="s">
        <v>742</v>
      </c>
      <c r="M58" s="493" t="s">
        <v>743</v>
      </c>
      <c r="N58" s="493" t="s">
        <v>744</v>
      </c>
      <c r="O58" s="493">
        <v>5970690</v>
      </c>
      <c r="P58" s="439">
        <v>5427900</v>
      </c>
      <c r="Q58" s="493">
        <v>542790</v>
      </c>
      <c r="R58" s="493" t="s">
        <v>124</v>
      </c>
      <c r="S58" s="493" t="s">
        <v>382</v>
      </c>
      <c r="T58" s="493" t="s">
        <v>125</v>
      </c>
      <c r="U58" s="493" t="s">
        <v>126</v>
      </c>
      <c r="V58" s="493" t="s">
        <v>127</v>
      </c>
      <c r="W58" s="493" t="s">
        <v>128</v>
      </c>
      <c r="X58" s="493" t="s">
        <v>745</v>
      </c>
      <c r="Y58" s="493" t="s">
        <v>377</v>
      </c>
      <c r="Z58" s="493" t="s">
        <v>701</v>
      </c>
      <c r="AA58" s="493" t="s">
        <v>130</v>
      </c>
      <c r="AB58" s="493" t="s">
        <v>377</v>
      </c>
      <c r="AC58" s="493" t="s">
        <v>131</v>
      </c>
      <c r="AD58" s="493" t="s">
        <v>746</v>
      </c>
      <c r="AE58" s="493">
        <v>5427900</v>
      </c>
      <c r="AF58" s="493">
        <v>542790</v>
      </c>
      <c r="AG58" s="493" t="s">
        <v>754</v>
      </c>
      <c r="AH58" s="130">
        <f>IF(A58&lt;&gt;"", A58+40, "")</f>
        <v>46124</v>
      </c>
      <c r="AI58" s="495">
        <v>46080</v>
      </c>
      <c r="AJ58" s="439">
        <f t="shared" si="14"/>
        <v>5970690.0000000009</v>
      </c>
      <c r="AK58" s="121">
        <f t="shared" si="12"/>
        <v>0</v>
      </c>
      <c r="AL58" s="440" t="str">
        <f t="shared" ca="1" si="2"/>
        <v/>
      </c>
      <c r="AM58" s="440"/>
      <c r="AN58" s="440"/>
      <c r="AO58" s="440"/>
    </row>
    <row r="59" spans="1:41" ht="16.5" hidden="1" customHeight="1">
      <c r="A59" s="492" t="s">
        <v>760</v>
      </c>
      <c r="B59" s="493" t="s">
        <v>772</v>
      </c>
      <c r="C59" s="492" t="s">
        <v>760</v>
      </c>
      <c r="D59" s="492" t="s">
        <v>760</v>
      </c>
      <c r="E59" s="493" t="s">
        <v>116</v>
      </c>
      <c r="F59" s="493" t="s">
        <v>377</v>
      </c>
      <c r="G59" s="493" t="s">
        <v>117</v>
      </c>
      <c r="H59" s="493" t="s">
        <v>118</v>
      </c>
      <c r="I59" s="493" t="s">
        <v>119</v>
      </c>
      <c r="J59" s="493" t="s">
        <v>636</v>
      </c>
      <c r="K59" s="493" t="s">
        <v>377</v>
      </c>
      <c r="L59" s="493" t="s">
        <v>637</v>
      </c>
      <c r="M59" s="493" t="s">
        <v>638</v>
      </c>
      <c r="N59" s="493" t="s">
        <v>639</v>
      </c>
      <c r="O59" s="493">
        <v>6352500</v>
      </c>
      <c r="P59" s="439">
        <v>5775000</v>
      </c>
      <c r="Q59" s="493">
        <v>577500</v>
      </c>
      <c r="R59" s="493" t="s">
        <v>124</v>
      </c>
      <c r="S59" s="493" t="s">
        <v>382</v>
      </c>
      <c r="T59" s="493" t="s">
        <v>125</v>
      </c>
      <c r="U59" s="493" t="s">
        <v>126</v>
      </c>
      <c r="V59" s="493" t="s">
        <v>127</v>
      </c>
      <c r="W59" s="493" t="s">
        <v>128</v>
      </c>
      <c r="X59" s="493" t="s">
        <v>640</v>
      </c>
      <c r="Y59" s="493" t="s">
        <v>377</v>
      </c>
      <c r="Z59" s="493" t="s">
        <v>760</v>
      </c>
      <c r="AA59" s="493" t="s">
        <v>130</v>
      </c>
      <c r="AB59" s="493" t="s">
        <v>377</v>
      </c>
      <c r="AC59" s="493" t="s">
        <v>131</v>
      </c>
      <c r="AD59" s="493" t="s">
        <v>764</v>
      </c>
      <c r="AE59" s="493">
        <v>5775000</v>
      </c>
      <c r="AF59" s="493">
        <v>577500</v>
      </c>
      <c r="AG59" s="493" t="s">
        <v>646</v>
      </c>
      <c r="AH59" s="130">
        <f t="shared" si="5"/>
        <v>46126</v>
      </c>
      <c r="AI59" s="495">
        <v>46126</v>
      </c>
      <c r="AJ59" s="439">
        <f t="shared" si="14"/>
        <v>6352500.0000000009</v>
      </c>
      <c r="AK59" s="121">
        <f t="shared" si="12"/>
        <v>0</v>
      </c>
      <c r="AL59" s="440" t="str">
        <f t="shared" ca="1" si="2"/>
        <v/>
      </c>
      <c r="AM59" s="440"/>
      <c r="AN59" s="440"/>
      <c r="AO59" s="440"/>
    </row>
    <row r="60" spans="1:41" ht="16.5" hidden="1" customHeight="1">
      <c r="A60" s="492" t="s">
        <v>760</v>
      </c>
      <c r="B60" s="493" t="s">
        <v>773</v>
      </c>
      <c r="C60" s="492" t="s">
        <v>760</v>
      </c>
      <c r="D60" s="492" t="s">
        <v>760</v>
      </c>
      <c r="E60" s="493" t="s">
        <v>116</v>
      </c>
      <c r="F60" s="493" t="s">
        <v>377</v>
      </c>
      <c r="G60" s="493" t="s">
        <v>117</v>
      </c>
      <c r="H60" s="493" t="s">
        <v>118</v>
      </c>
      <c r="I60" s="493" t="s">
        <v>119</v>
      </c>
      <c r="J60" s="493" t="s">
        <v>674</v>
      </c>
      <c r="K60" s="493" t="s">
        <v>377</v>
      </c>
      <c r="L60" s="493" t="s">
        <v>675</v>
      </c>
      <c r="M60" s="493" t="s">
        <v>676</v>
      </c>
      <c r="N60" s="493" t="s">
        <v>677</v>
      </c>
      <c r="O60" s="493">
        <v>2486000</v>
      </c>
      <c r="P60" s="439">
        <v>2260000</v>
      </c>
      <c r="Q60" s="493">
        <v>226000</v>
      </c>
      <c r="R60" s="493" t="s">
        <v>124</v>
      </c>
      <c r="S60" s="493" t="s">
        <v>382</v>
      </c>
      <c r="T60" s="493" t="s">
        <v>125</v>
      </c>
      <c r="U60" s="493" t="s">
        <v>126</v>
      </c>
      <c r="V60" s="493" t="s">
        <v>127</v>
      </c>
      <c r="W60" s="493" t="s">
        <v>128</v>
      </c>
      <c r="X60" s="493" t="s">
        <v>678</v>
      </c>
      <c r="Y60" s="493" t="s">
        <v>377</v>
      </c>
      <c r="Z60" s="493" t="s">
        <v>760</v>
      </c>
      <c r="AA60" s="493" t="s">
        <v>130</v>
      </c>
      <c r="AB60" s="493" t="s">
        <v>377</v>
      </c>
      <c r="AC60" s="493" t="s">
        <v>131</v>
      </c>
      <c r="AD60" s="493" t="s">
        <v>765</v>
      </c>
      <c r="AE60" s="493">
        <v>2260000</v>
      </c>
      <c r="AF60" s="493">
        <v>226000</v>
      </c>
      <c r="AG60" s="493" t="s">
        <v>698</v>
      </c>
      <c r="AH60" s="130">
        <f t="shared" si="5"/>
        <v>46126</v>
      </c>
      <c r="AI60" s="495">
        <v>46142</v>
      </c>
      <c r="AJ60" s="439">
        <f>P60*1.1</f>
        <v>2486000</v>
      </c>
      <c r="AK60" s="121">
        <f t="shared" si="12"/>
        <v>0</v>
      </c>
      <c r="AL60" s="440" t="str">
        <f t="shared" ca="1" si="2"/>
        <v/>
      </c>
      <c r="AM60" s="440"/>
      <c r="AN60" s="440"/>
      <c r="AO60" s="440"/>
    </row>
    <row r="61" spans="1:41" ht="16.5" hidden="1" customHeight="1">
      <c r="A61" s="492" t="s">
        <v>760</v>
      </c>
      <c r="B61" s="493" t="s">
        <v>774</v>
      </c>
      <c r="C61" s="492" t="s">
        <v>760</v>
      </c>
      <c r="D61" s="492" t="s">
        <v>760</v>
      </c>
      <c r="E61" s="493" t="s">
        <v>116</v>
      </c>
      <c r="F61" s="493" t="s">
        <v>377</v>
      </c>
      <c r="G61" s="493" t="s">
        <v>117</v>
      </c>
      <c r="H61" s="493" t="s">
        <v>118</v>
      </c>
      <c r="I61" s="493" t="s">
        <v>119</v>
      </c>
      <c r="J61" s="493" t="s">
        <v>135</v>
      </c>
      <c r="K61" s="493" t="s">
        <v>377</v>
      </c>
      <c r="L61" s="493" t="s">
        <v>579</v>
      </c>
      <c r="M61" s="493" t="s">
        <v>137</v>
      </c>
      <c r="N61" s="493" t="s">
        <v>138</v>
      </c>
      <c r="O61" s="493">
        <v>260700</v>
      </c>
      <c r="P61" s="439">
        <v>237000</v>
      </c>
      <c r="Q61" s="493">
        <v>23700</v>
      </c>
      <c r="R61" s="493" t="s">
        <v>124</v>
      </c>
      <c r="S61" s="493" t="s">
        <v>382</v>
      </c>
      <c r="T61" s="493" t="s">
        <v>125</v>
      </c>
      <c r="U61" s="493" t="s">
        <v>126</v>
      </c>
      <c r="V61" s="493" t="s">
        <v>127</v>
      </c>
      <c r="W61" s="493" t="s">
        <v>128</v>
      </c>
      <c r="X61" s="493" t="s">
        <v>139</v>
      </c>
      <c r="Y61" s="493" t="s">
        <v>377</v>
      </c>
      <c r="Z61" s="493" t="s">
        <v>760</v>
      </c>
      <c r="AA61" s="493" t="s">
        <v>130</v>
      </c>
      <c r="AB61" s="493" t="s">
        <v>377</v>
      </c>
      <c r="AC61" s="493" t="s">
        <v>131</v>
      </c>
      <c r="AD61" s="493" t="s">
        <v>766</v>
      </c>
      <c r="AE61" s="493">
        <v>237000</v>
      </c>
      <c r="AF61" s="493">
        <v>23700</v>
      </c>
      <c r="AG61" s="493" t="s">
        <v>819</v>
      </c>
      <c r="AH61" s="130">
        <f t="shared" si="5"/>
        <v>46126</v>
      </c>
      <c r="AI61" s="495">
        <v>46171</v>
      </c>
      <c r="AJ61" s="439">
        <f t="shared" ref="AJ61" si="15">P61*1.1</f>
        <v>260700.00000000003</v>
      </c>
      <c r="AK61" s="121">
        <f t="shared" si="12"/>
        <v>0</v>
      </c>
      <c r="AL61" s="440" t="str">
        <f t="shared" ca="1" si="2"/>
        <v/>
      </c>
      <c r="AM61" s="440"/>
      <c r="AN61" s="440"/>
      <c r="AO61" s="440"/>
    </row>
    <row r="62" spans="1:41" ht="16.5" hidden="1" customHeight="1">
      <c r="A62" s="492" t="s">
        <v>760</v>
      </c>
      <c r="B62" s="493" t="s">
        <v>775</v>
      </c>
      <c r="C62" s="492" t="s">
        <v>760</v>
      </c>
      <c r="D62" s="492" t="s">
        <v>760</v>
      </c>
      <c r="E62" s="493" t="s">
        <v>116</v>
      </c>
      <c r="F62" s="493" t="s">
        <v>377</v>
      </c>
      <c r="G62" s="493" t="s">
        <v>117</v>
      </c>
      <c r="H62" s="493" t="s">
        <v>118</v>
      </c>
      <c r="I62" s="493" t="s">
        <v>119</v>
      </c>
      <c r="J62" s="493" t="s">
        <v>776</v>
      </c>
      <c r="K62" s="493" t="s">
        <v>377</v>
      </c>
      <c r="L62" s="493" t="s">
        <v>761</v>
      </c>
      <c r="M62" s="493" t="s">
        <v>762</v>
      </c>
      <c r="N62" s="493" t="s">
        <v>763</v>
      </c>
      <c r="O62" s="493">
        <v>184250</v>
      </c>
      <c r="P62" s="439">
        <v>167500</v>
      </c>
      <c r="Q62" s="493">
        <v>16750</v>
      </c>
      <c r="R62" s="493" t="s">
        <v>124</v>
      </c>
      <c r="S62" s="493" t="s">
        <v>382</v>
      </c>
      <c r="T62" s="493" t="s">
        <v>125</v>
      </c>
      <c r="U62" s="493" t="s">
        <v>126</v>
      </c>
      <c r="V62" s="493" t="s">
        <v>127</v>
      </c>
      <c r="W62" s="493" t="s">
        <v>128</v>
      </c>
      <c r="X62" s="493" t="s">
        <v>784</v>
      </c>
      <c r="Y62" s="493" t="s">
        <v>377</v>
      </c>
      <c r="Z62" s="493" t="s">
        <v>760</v>
      </c>
      <c r="AA62" s="493" t="s">
        <v>130</v>
      </c>
      <c r="AB62" s="493" t="s">
        <v>377</v>
      </c>
      <c r="AC62" s="493" t="s">
        <v>131</v>
      </c>
      <c r="AD62" s="493" t="s">
        <v>767</v>
      </c>
      <c r="AE62" s="493">
        <v>167500</v>
      </c>
      <c r="AF62" s="493">
        <v>16750</v>
      </c>
      <c r="AG62" s="493" t="s">
        <v>785</v>
      </c>
      <c r="AH62" s="130">
        <f t="shared" si="5"/>
        <v>46126</v>
      </c>
      <c r="AI62" s="495">
        <v>46112</v>
      </c>
      <c r="AJ62" s="439">
        <f>P62*1.1</f>
        <v>184250.00000000003</v>
      </c>
      <c r="AK62" s="121">
        <f t="shared" si="12"/>
        <v>0</v>
      </c>
      <c r="AL62" s="440" t="str">
        <f t="shared" ca="1" si="2"/>
        <v/>
      </c>
      <c r="AM62" s="440"/>
      <c r="AN62" s="440"/>
      <c r="AO62" s="440"/>
    </row>
    <row r="63" spans="1:41" ht="16.5" hidden="1" customHeight="1">
      <c r="A63" s="492" t="s">
        <v>760</v>
      </c>
      <c r="B63" s="493" t="s">
        <v>777</v>
      </c>
      <c r="C63" s="492" t="s">
        <v>760</v>
      </c>
      <c r="D63" s="492" t="s">
        <v>760</v>
      </c>
      <c r="E63" s="493" t="s">
        <v>116</v>
      </c>
      <c r="F63" s="493" t="s">
        <v>377</v>
      </c>
      <c r="G63" s="493" t="s">
        <v>117</v>
      </c>
      <c r="H63" s="493" t="s">
        <v>118</v>
      </c>
      <c r="I63" s="493" t="s">
        <v>119</v>
      </c>
      <c r="J63" s="493" t="s">
        <v>510</v>
      </c>
      <c r="K63" s="493" t="s">
        <v>377</v>
      </c>
      <c r="L63" s="493" t="s">
        <v>511</v>
      </c>
      <c r="M63" s="493" t="s">
        <v>512</v>
      </c>
      <c r="N63" s="493" t="s">
        <v>513</v>
      </c>
      <c r="O63" s="493">
        <v>3497560</v>
      </c>
      <c r="P63" s="439">
        <v>3179600</v>
      </c>
      <c r="Q63" s="493">
        <v>317960</v>
      </c>
      <c r="R63" s="493" t="s">
        <v>124</v>
      </c>
      <c r="S63" s="493" t="s">
        <v>382</v>
      </c>
      <c r="T63" s="493" t="s">
        <v>125</v>
      </c>
      <c r="U63" s="493" t="s">
        <v>126</v>
      </c>
      <c r="V63" s="493" t="s">
        <v>127</v>
      </c>
      <c r="W63" s="493" t="s">
        <v>128</v>
      </c>
      <c r="X63" s="493" t="s">
        <v>514</v>
      </c>
      <c r="Y63" s="493" t="s">
        <v>377</v>
      </c>
      <c r="Z63" s="493" t="s">
        <v>760</v>
      </c>
      <c r="AA63" s="493" t="s">
        <v>130</v>
      </c>
      <c r="AB63" s="493" t="s">
        <v>377</v>
      </c>
      <c r="AC63" s="493" t="s">
        <v>131</v>
      </c>
      <c r="AD63" s="493" t="s">
        <v>768</v>
      </c>
      <c r="AE63" s="493">
        <v>3179600</v>
      </c>
      <c r="AF63" s="493">
        <v>317960</v>
      </c>
      <c r="AG63" s="493" t="s">
        <v>786</v>
      </c>
      <c r="AH63" s="130">
        <f t="shared" si="5"/>
        <v>46126</v>
      </c>
      <c r="AI63" s="495">
        <v>46141</v>
      </c>
      <c r="AJ63" s="439">
        <f>P63*1.1</f>
        <v>3497560.0000000005</v>
      </c>
      <c r="AK63" s="121">
        <f t="shared" si="12"/>
        <v>0</v>
      </c>
      <c r="AL63" s="440" t="str">
        <f t="shared" ca="1" si="2"/>
        <v/>
      </c>
      <c r="AM63" s="440"/>
      <c r="AN63" s="440"/>
      <c r="AO63" s="440"/>
    </row>
    <row r="64" spans="1:41" ht="16.5" hidden="1" customHeight="1">
      <c r="A64" s="492" t="s">
        <v>760</v>
      </c>
      <c r="B64" s="493" t="s">
        <v>778</v>
      </c>
      <c r="C64" s="492" t="s">
        <v>760</v>
      </c>
      <c r="D64" s="492" t="s">
        <v>760</v>
      </c>
      <c r="E64" s="493" t="s">
        <v>116</v>
      </c>
      <c r="F64" s="493" t="s">
        <v>377</v>
      </c>
      <c r="G64" s="493" t="s">
        <v>117</v>
      </c>
      <c r="H64" s="493" t="s">
        <v>118</v>
      </c>
      <c r="I64" s="493" t="s">
        <v>119</v>
      </c>
      <c r="J64" s="493" t="s">
        <v>703</v>
      </c>
      <c r="K64" s="493" t="s">
        <v>377</v>
      </c>
      <c r="L64" s="493" t="s">
        <v>704</v>
      </c>
      <c r="M64" s="493" t="s">
        <v>705</v>
      </c>
      <c r="N64" s="493" t="s">
        <v>706</v>
      </c>
      <c r="O64" s="493">
        <v>6050000</v>
      </c>
      <c r="P64" s="439">
        <v>5500000</v>
      </c>
      <c r="Q64" s="493">
        <v>550000</v>
      </c>
      <c r="R64" s="493" t="s">
        <v>124</v>
      </c>
      <c r="S64" s="493" t="s">
        <v>382</v>
      </c>
      <c r="T64" s="493" t="s">
        <v>125</v>
      </c>
      <c r="U64" s="493" t="s">
        <v>126</v>
      </c>
      <c r="V64" s="493" t="s">
        <v>127</v>
      </c>
      <c r="W64" s="493" t="s">
        <v>128</v>
      </c>
      <c r="X64" s="493" t="s">
        <v>707</v>
      </c>
      <c r="Y64" s="493" t="s">
        <v>377</v>
      </c>
      <c r="Z64" s="493" t="s">
        <v>760</v>
      </c>
      <c r="AA64" s="493" t="s">
        <v>130</v>
      </c>
      <c r="AB64" s="493" t="s">
        <v>377</v>
      </c>
      <c r="AC64" s="493" t="s">
        <v>131</v>
      </c>
      <c r="AD64" s="493" t="s">
        <v>769</v>
      </c>
      <c r="AE64" s="493">
        <v>5500000</v>
      </c>
      <c r="AF64" s="493">
        <v>550000</v>
      </c>
      <c r="AG64" s="493" t="s">
        <v>747</v>
      </c>
      <c r="AH64" s="130">
        <f t="shared" si="5"/>
        <v>46126</v>
      </c>
      <c r="AI64" s="495">
        <v>46170</v>
      </c>
      <c r="AJ64" s="439">
        <f>P64*1.1</f>
        <v>6050000.0000000009</v>
      </c>
      <c r="AK64" s="121">
        <f t="shared" si="12"/>
        <v>0</v>
      </c>
      <c r="AL64" s="440" t="str">
        <f t="shared" ca="1" si="2"/>
        <v/>
      </c>
      <c r="AM64" s="440"/>
      <c r="AN64" s="440"/>
      <c r="AO64" s="440"/>
    </row>
    <row r="65" spans="1:41" ht="16.5" hidden="1" customHeight="1">
      <c r="A65" s="492" t="s">
        <v>760</v>
      </c>
      <c r="B65" s="493" t="s">
        <v>779</v>
      </c>
      <c r="C65" s="492" t="s">
        <v>760</v>
      </c>
      <c r="D65" s="492" t="s">
        <v>760</v>
      </c>
      <c r="E65" s="493" t="s">
        <v>116</v>
      </c>
      <c r="F65" s="493" t="s">
        <v>377</v>
      </c>
      <c r="G65" s="493" t="s">
        <v>117</v>
      </c>
      <c r="H65" s="493" t="s">
        <v>118</v>
      </c>
      <c r="I65" s="493" t="s">
        <v>119</v>
      </c>
      <c r="J65" s="493" t="s">
        <v>703</v>
      </c>
      <c r="K65" s="493" t="s">
        <v>377</v>
      </c>
      <c r="L65" s="493" t="s">
        <v>704</v>
      </c>
      <c r="M65" s="493" t="s">
        <v>705</v>
      </c>
      <c r="N65" s="493" t="s">
        <v>706</v>
      </c>
      <c r="O65" s="493">
        <v>1981100</v>
      </c>
      <c r="P65" s="439">
        <v>1801000</v>
      </c>
      <c r="Q65" s="493">
        <v>180100</v>
      </c>
      <c r="R65" s="493" t="s">
        <v>124</v>
      </c>
      <c r="S65" s="493" t="s">
        <v>382</v>
      </c>
      <c r="T65" s="493" t="s">
        <v>125</v>
      </c>
      <c r="U65" s="493" t="s">
        <v>126</v>
      </c>
      <c r="V65" s="493" t="s">
        <v>127</v>
      </c>
      <c r="W65" s="493" t="s">
        <v>128</v>
      </c>
      <c r="X65" s="493" t="s">
        <v>707</v>
      </c>
      <c r="Y65" s="493" t="s">
        <v>377</v>
      </c>
      <c r="Z65" s="493" t="s">
        <v>760</v>
      </c>
      <c r="AA65" s="493" t="s">
        <v>130</v>
      </c>
      <c r="AB65" s="493" t="s">
        <v>377</v>
      </c>
      <c r="AC65" s="493" t="s">
        <v>131</v>
      </c>
      <c r="AD65" s="493" t="s">
        <v>770</v>
      </c>
      <c r="AE65" s="493">
        <v>1801000</v>
      </c>
      <c r="AF65" s="493">
        <v>180100</v>
      </c>
      <c r="AG65" s="493" t="s">
        <v>747</v>
      </c>
      <c r="AH65" s="130">
        <f t="shared" si="5"/>
        <v>46126</v>
      </c>
      <c r="AI65" s="495">
        <v>46168</v>
      </c>
      <c r="AJ65" s="439">
        <f>P65*1.1</f>
        <v>1981100.0000000002</v>
      </c>
      <c r="AK65" s="121">
        <f t="shared" si="12"/>
        <v>0</v>
      </c>
      <c r="AL65" s="440" t="str">
        <f t="shared" ca="1" si="2"/>
        <v/>
      </c>
      <c r="AM65" s="440"/>
      <c r="AN65" s="440"/>
      <c r="AO65" s="440"/>
    </row>
    <row r="66" spans="1:41" ht="16.5" hidden="1" customHeight="1">
      <c r="A66" s="492" t="s">
        <v>760</v>
      </c>
      <c r="B66" s="493" t="s">
        <v>780</v>
      </c>
      <c r="C66" s="492" t="s">
        <v>760</v>
      </c>
      <c r="D66" s="492" t="s">
        <v>760</v>
      </c>
      <c r="E66" s="493" t="s">
        <v>116</v>
      </c>
      <c r="F66" s="493" t="s">
        <v>377</v>
      </c>
      <c r="G66" s="493" t="s">
        <v>117</v>
      </c>
      <c r="H66" s="493" t="s">
        <v>118</v>
      </c>
      <c r="I66" s="493" t="s">
        <v>119</v>
      </c>
      <c r="J66" s="493" t="s">
        <v>703</v>
      </c>
      <c r="K66" s="493" t="s">
        <v>377</v>
      </c>
      <c r="L66" s="493" t="s">
        <v>704</v>
      </c>
      <c r="M66" s="493" t="s">
        <v>705</v>
      </c>
      <c r="N66" s="493" t="s">
        <v>706</v>
      </c>
      <c r="O66" s="493">
        <v>7040550</v>
      </c>
      <c r="P66" s="439">
        <v>6400500</v>
      </c>
      <c r="Q66" s="493">
        <v>640050</v>
      </c>
      <c r="R66" s="493" t="s">
        <v>124</v>
      </c>
      <c r="S66" s="493" t="s">
        <v>382</v>
      </c>
      <c r="T66" s="493" t="s">
        <v>125</v>
      </c>
      <c r="U66" s="493" t="s">
        <v>126</v>
      </c>
      <c r="V66" s="493" t="s">
        <v>127</v>
      </c>
      <c r="W66" s="493" t="s">
        <v>128</v>
      </c>
      <c r="X66" s="493" t="s">
        <v>707</v>
      </c>
      <c r="Y66" s="493" t="s">
        <v>377</v>
      </c>
      <c r="Z66" s="493" t="s">
        <v>760</v>
      </c>
      <c r="AA66" s="493" t="s">
        <v>130</v>
      </c>
      <c r="AB66" s="493" t="s">
        <v>377</v>
      </c>
      <c r="AC66" s="493" t="s">
        <v>131</v>
      </c>
      <c r="AD66" s="493" t="s">
        <v>771</v>
      </c>
      <c r="AE66" s="493">
        <v>6400500</v>
      </c>
      <c r="AF66" s="493">
        <v>640050</v>
      </c>
      <c r="AG66" s="493" t="s">
        <v>787</v>
      </c>
      <c r="AH66" s="130">
        <f t="shared" si="5"/>
        <v>46126</v>
      </c>
      <c r="AI66" s="495">
        <v>46170</v>
      </c>
      <c r="AJ66" s="439">
        <f>P66*1.1</f>
        <v>7040550.0000000009</v>
      </c>
      <c r="AK66" s="121">
        <f t="shared" si="12"/>
        <v>0</v>
      </c>
      <c r="AL66" s="440" t="str">
        <f t="shared" ca="1" si="2"/>
        <v/>
      </c>
      <c r="AM66" s="440"/>
      <c r="AN66" s="440"/>
      <c r="AO66" s="440"/>
    </row>
    <row r="67" spans="1:41" ht="16.5" hidden="1" customHeight="1">
      <c r="A67" s="492" t="s">
        <v>788</v>
      </c>
      <c r="B67" s="493" t="s">
        <v>789</v>
      </c>
      <c r="C67" s="492" t="s">
        <v>788</v>
      </c>
      <c r="D67" s="492" t="s">
        <v>788</v>
      </c>
      <c r="E67" s="493" t="s">
        <v>116</v>
      </c>
      <c r="F67" s="493" t="s">
        <v>377</v>
      </c>
      <c r="G67" s="493" t="s">
        <v>117</v>
      </c>
      <c r="H67" s="493" t="s">
        <v>118</v>
      </c>
      <c r="I67" s="493" t="s">
        <v>119</v>
      </c>
      <c r="J67" s="493" t="s">
        <v>503</v>
      </c>
      <c r="K67" s="493" t="s">
        <v>377</v>
      </c>
      <c r="L67" s="493" t="s">
        <v>504</v>
      </c>
      <c r="M67" s="493" t="s">
        <v>505</v>
      </c>
      <c r="N67" s="493" t="s">
        <v>506</v>
      </c>
      <c r="O67" s="493">
        <v>828300</v>
      </c>
      <c r="P67" s="439">
        <v>753000</v>
      </c>
      <c r="Q67" s="493">
        <v>75300</v>
      </c>
      <c r="R67" s="493" t="s">
        <v>124</v>
      </c>
      <c r="S67" s="493" t="s">
        <v>382</v>
      </c>
      <c r="T67" s="493" t="s">
        <v>125</v>
      </c>
      <c r="U67" s="493" t="s">
        <v>126</v>
      </c>
      <c r="V67" s="493" t="s">
        <v>127</v>
      </c>
      <c r="W67" s="493" t="s">
        <v>128</v>
      </c>
      <c r="X67" s="493" t="s">
        <v>507</v>
      </c>
      <c r="Y67" s="493" t="s">
        <v>377</v>
      </c>
      <c r="Z67" s="493" t="s">
        <v>788</v>
      </c>
      <c r="AA67" s="493" t="s">
        <v>130</v>
      </c>
      <c r="AB67" s="493" t="s">
        <v>377</v>
      </c>
      <c r="AC67" s="493" t="s">
        <v>131</v>
      </c>
      <c r="AD67" s="493" t="s">
        <v>790</v>
      </c>
      <c r="AE67" s="493">
        <v>753000</v>
      </c>
      <c r="AF67" s="493">
        <v>75300</v>
      </c>
      <c r="AG67" s="493" t="s">
        <v>816</v>
      </c>
      <c r="AH67" s="130">
        <f t="shared" si="5"/>
        <v>46127</v>
      </c>
      <c r="AI67" s="495">
        <v>46087</v>
      </c>
      <c r="AJ67" s="439">
        <f t="shared" ref="AJ67:AJ72" si="16">P67*1.1</f>
        <v>828300.00000000012</v>
      </c>
      <c r="AK67" s="121">
        <f t="shared" si="12"/>
        <v>0</v>
      </c>
      <c r="AL67" s="440" t="str">
        <f t="shared" ref="AL67:AL130" ca="1" si="17">IF(OR(A67="",AK67=0),"",IF(TODAY()-A67&gt;=91,"장기미수",IF(TODAY()-A67&gt;=41,"관리","")))</f>
        <v/>
      </c>
      <c r="AM67" s="440"/>
      <c r="AN67" s="440"/>
      <c r="AO67" s="440"/>
    </row>
    <row r="68" spans="1:41" ht="16.5" hidden="1" customHeight="1">
      <c r="A68" s="492" t="s">
        <v>788</v>
      </c>
      <c r="B68" s="493" t="s">
        <v>791</v>
      </c>
      <c r="C68" s="492" t="s">
        <v>788</v>
      </c>
      <c r="D68" s="492" t="s">
        <v>788</v>
      </c>
      <c r="E68" s="493" t="s">
        <v>116</v>
      </c>
      <c r="F68" s="493" t="s">
        <v>377</v>
      </c>
      <c r="G68" s="493" t="s">
        <v>117</v>
      </c>
      <c r="H68" s="493" t="s">
        <v>118</v>
      </c>
      <c r="I68" s="493" t="s">
        <v>119</v>
      </c>
      <c r="J68" s="493" t="s">
        <v>636</v>
      </c>
      <c r="K68" s="493" t="s">
        <v>377</v>
      </c>
      <c r="L68" s="493" t="s">
        <v>637</v>
      </c>
      <c r="M68" s="493" t="s">
        <v>638</v>
      </c>
      <c r="N68" s="493" t="s">
        <v>639</v>
      </c>
      <c r="O68" s="493">
        <v>3553000</v>
      </c>
      <c r="P68" s="439">
        <v>3230000</v>
      </c>
      <c r="Q68" s="493">
        <v>323000</v>
      </c>
      <c r="R68" s="493" t="s">
        <v>124</v>
      </c>
      <c r="S68" s="493" t="s">
        <v>382</v>
      </c>
      <c r="T68" s="493" t="s">
        <v>125</v>
      </c>
      <c r="U68" s="493" t="s">
        <v>126</v>
      </c>
      <c r="V68" s="493" t="s">
        <v>127</v>
      </c>
      <c r="W68" s="493" t="s">
        <v>128</v>
      </c>
      <c r="X68" s="493" t="s">
        <v>640</v>
      </c>
      <c r="Y68" s="493" t="s">
        <v>377</v>
      </c>
      <c r="Z68" s="493" t="s">
        <v>788</v>
      </c>
      <c r="AA68" s="493" t="s">
        <v>130</v>
      </c>
      <c r="AB68" s="493" t="s">
        <v>377</v>
      </c>
      <c r="AC68" s="493" t="s">
        <v>131</v>
      </c>
      <c r="AD68" s="493" t="s">
        <v>792</v>
      </c>
      <c r="AE68" s="493">
        <v>3230000</v>
      </c>
      <c r="AF68" s="493">
        <v>323000</v>
      </c>
      <c r="AG68" s="493" t="s">
        <v>646</v>
      </c>
      <c r="AH68" s="130">
        <f t="shared" si="5"/>
        <v>46127</v>
      </c>
      <c r="AI68" s="495">
        <v>46126</v>
      </c>
      <c r="AJ68" s="439">
        <f t="shared" si="16"/>
        <v>3553000.0000000005</v>
      </c>
      <c r="AK68" s="121">
        <f t="shared" si="12"/>
        <v>0</v>
      </c>
      <c r="AL68" s="440" t="str">
        <f t="shared" ca="1" si="17"/>
        <v/>
      </c>
      <c r="AM68" s="440"/>
      <c r="AN68" s="440"/>
      <c r="AO68" s="440"/>
    </row>
    <row r="69" spans="1:41" ht="16.5" hidden="1" customHeight="1">
      <c r="A69" s="492" t="s">
        <v>788</v>
      </c>
      <c r="B69" s="493" t="s">
        <v>793</v>
      </c>
      <c r="C69" s="492" t="s">
        <v>788</v>
      </c>
      <c r="D69" s="492" t="s">
        <v>788</v>
      </c>
      <c r="E69" s="493" t="s">
        <v>116</v>
      </c>
      <c r="F69" s="493" t="s">
        <v>377</v>
      </c>
      <c r="G69" s="493" t="s">
        <v>117</v>
      </c>
      <c r="H69" s="493" t="s">
        <v>118</v>
      </c>
      <c r="I69" s="493" t="s">
        <v>119</v>
      </c>
      <c r="J69" s="493" t="s">
        <v>519</v>
      </c>
      <c r="K69" s="493" t="s">
        <v>377</v>
      </c>
      <c r="L69" s="493" t="s">
        <v>520</v>
      </c>
      <c r="M69" s="493" t="s">
        <v>521</v>
      </c>
      <c r="N69" s="493" t="s">
        <v>522</v>
      </c>
      <c r="O69" s="493">
        <v>5533715</v>
      </c>
      <c r="P69" s="439">
        <v>5030650</v>
      </c>
      <c r="Q69" s="493">
        <v>503065</v>
      </c>
      <c r="R69" s="493" t="s">
        <v>441</v>
      </c>
      <c r="S69" s="493" t="s">
        <v>442</v>
      </c>
      <c r="T69" s="493" t="s">
        <v>125</v>
      </c>
      <c r="U69" s="493" t="s">
        <v>794</v>
      </c>
      <c r="V69" s="493" t="s">
        <v>127</v>
      </c>
      <c r="W69" s="493" t="s">
        <v>128</v>
      </c>
      <c r="X69" s="493" t="s">
        <v>523</v>
      </c>
      <c r="Y69" s="493" t="s">
        <v>377</v>
      </c>
      <c r="Z69" s="493" t="s">
        <v>788</v>
      </c>
      <c r="AA69" s="493" t="s">
        <v>130</v>
      </c>
      <c r="AB69" s="493" t="s">
        <v>377</v>
      </c>
      <c r="AC69" s="493" t="s">
        <v>131</v>
      </c>
      <c r="AD69" s="493" t="s">
        <v>795</v>
      </c>
      <c r="AE69" s="493">
        <v>5030650</v>
      </c>
      <c r="AF69" s="493">
        <v>503065</v>
      </c>
      <c r="AG69" s="493" t="s">
        <v>818</v>
      </c>
      <c r="AH69" s="130">
        <f t="shared" si="5"/>
        <v>46127</v>
      </c>
      <c r="AI69" s="495">
        <v>46087</v>
      </c>
      <c r="AJ69" s="439">
        <f t="shared" si="16"/>
        <v>5533715</v>
      </c>
      <c r="AK69" s="121">
        <f t="shared" si="12"/>
        <v>0</v>
      </c>
      <c r="AL69" s="440" t="str">
        <f t="shared" ca="1" si="17"/>
        <v/>
      </c>
      <c r="AM69" s="440"/>
      <c r="AN69" s="440"/>
      <c r="AO69" s="440"/>
    </row>
    <row r="70" spans="1:41" ht="16.5" hidden="1" customHeight="1">
      <c r="A70" s="492" t="s">
        <v>788</v>
      </c>
      <c r="B70" s="493" t="s">
        <v>796</v>
      </c>
      <c r="C70" s="492" t="s">
        <v>788</v>
      </c>
      <c r="D70" s="492" t="s">
        <v>788</v>
      </c>
      <c r="E70" s="493" t="s">
        <v>116</v>
      </c>
      <c r="F70" s="493" t="s">
        <v>377</v>
      </c>
      <c r="G70" s="493" t="s">
        <v>117</v>
      </c>
      <c r="H70" s="493" t="s">
        <v>118</v>
      </c>
      <c r="I70" s="493" t="s">
        <v>119</v>
      </c>
      <c r="J70" s="493" t="s">
        <v>797</v>
      </c>
      <c r="K70" s="493" t="s">
        <v>377</v>
      </c>
      <c r="L70" s="493" t="s">
        <v>798</v>
      </c>
      <c r="M70" s="493" t="s">
        <v>799</v>
      </c>
      <c r="N70" s="493" t="s">
        <v>800</v>
      </c>
      <c r="O70" s="493">
        <v>10054550</v>
      </c>
      <c r="P70" s="439">
        <v>9140500</v>
      </c>
      <c r="Q70" s="493">
        <v>914050</v>
      </c>
      <c r="R70" s="493" t="s">
        <v>124</v>
      </c>
      <c r="S70" s="493" t="s">
        <v>382</v>
      </c>
      <c r="T70" s="493" t="s">
        <v>125</v>
      </c>
      <c r="U70" s="493" t="s">
        <v>126</v>
      </c>
      <c r="V70" s="493" t="s">
        <v>127</v>
      </c>
      <c r="W70" s="493" t="s">
        <v>128</v>
      </c>
      <c r="X70" s="493" t="s">
        <v>801</v>
      </c>
      <c r="Y70" s="493" t="s">
        <v>377</v>
      </c>
      <c r="Z70" s="493" t="s">
        <v>788</v>
      </c>
      <c r="AA70" s="493" t="s">
        <v>130</v>
      </c>
      <c r="AB70" s="493" t="s">
        <v>377</v>
      </c>
      <c r="AC70" s="493" t="s">
        <v>131</v>
      </c>
      <c r="AD70" s="493" t="s">
        <v>802</v>
      </c>
      <c r="AE70" s="493">
        <v>9140500</v>
      </c>
      <c r="AF70" s="493">
        <v>914050</v>
      </c>
      <c r="AG70" s="493" t="s">
        <v>814</v>
      </c>
      <c r="AH70" s="130">
        <f t="shared" si="5"/>
        <v>46127</v>
      </c>
      <c r="AI70" s="495">
        <v>46097</v>
      </c>
      <c r="AJ70" s="439">
        <f t="shared" si="16"/>
        <v>10054550</v>
      </c>
      <c r="AK70" s="121">
        <f t="shared" si="12"/>
        <v>0</v>
      </c>
      <c r="AL70" s="440" t="str">
        <f t="shared" ca="1" si="17"/>
        <v/>
      </c>
      <c r="AM70" s="440"/>
      <c r="AN70" s="440"/>
      <c r="AO70" s="440"/>
    </row>
    <row r="71" spans="1:41" ht="16.5" hidden="1" customHeight="1">
      <c r="A71" s="492" t="s">
        <v>788</v>
      </c>
      <c r="B71" s="493" t="s">
        <v>803</v>
      </c>
      <c r="C71" s="492" t="s">
        <v>788</v>
      </c>
      <c r="D71" s="492" t="s">
        <v>788</v>
      </c>
      <c r="E71" s="493" t="s">
        <v>116</v>
      </c>
      <c r="F71" s="493" t="s">
        <v>377</v>
      </c>
      <c r="G71" s="493" t="s">
        <v>117</v>
      </c>
      <c r="H71" s="493" t="s">
        <v>118</v>
      </c>
      <c r="I71" s="493" t="s">
        <v>119</v>
      </c>
      <c r="J71" s="493" t="s">
        <v>718</v>
      </c>
      <c r="K71" s="493" t="s">
        <v>377</v>
      </c>
      <c r="L71" s="493" t="s">
        <v>719</v>
      </c>
      <c r="M71" s="493" t="s">
        <v>720</v>
      </c>
      <c r="N71" s="493" t="s">
        <v>721</v>
      </c>
      <c r="O71" s="493">
        <v>18364500</v>
      </c>
      <c r="P71" s="439">
        <v>16695000</v>
      </c>
      <c r="Q71" s="493">
        <v>1669500</v>
      </c>
      <c r="R71" s="493" t="s">
        <v>124</v>
      </c>
      <c r="S71" s="493" t="s">
        <v>382</v>
      </c>
      <c r="T71" s="493" t="s">
        <v>125</v>
      </c>
      <c r="U71" s="493" t="s">
        <v>126</v>
      </c>
      <c r="V71" s="493" t="s">
        <v>127</v>
      </c>
      <c r="W71" s="493" t="s">
        <v>128</v>
      </c>
      <c r="X71" s="493" t="s">
        <v>722</v>
      </c>
      <c r="Y71" s="493" t="s">
        <v>377</v>
      </c>
      <c r="Z71" s="493" t="s">
        <v>788</v>
      </c>
      <c r="AA71" s="493" t="s">
        <v>130</v>
      </c>
      <c r="AB71" s="493" t="s">
        <v>377</v>
      </c>
      <c r="AC71" s="493" t="s">
        <v>131</v>
      </c>
      <c r="AD71" s="493" t="s">
        <v>804</v>
      </c>
      <c r="AE71" s="493">
        <v>16695000</v>
      </c>
      <c r="AF71" s="493">
        <v>1669500</v>
      </c>
      <c r="AG71" s="493" t="s">
        <v>817</v>
      </c>
      <c r="AH71" s="130">
        <f t="shared" si="5"/>
        <v>46127</v>
      </c>
      <c r="AI71" s="495">
        <v>46112</v>
      </c>
      <c r="AJ71" s="439">
        <f t="shared" si="16"/>
        <v>18364500</v>
      </c>
      <c r="AK71" s="121">
        <f t="shared" si="12"/>
        <v>0</v>
      </c>
      <c r="AL71" s="440" t="str">
        <f t="shared" ca="1" si="17"/>
        <v/>
      </c>
      <c r="AM71" s="440"/>
      <c r="AN71" s="440"/>
      <c r="AO71" s="440"/>
    </row>
    <row r="72" spans="1:41" ht="16.5" hidden="1" customHeight="1">
      <c r="A72" s="492" t="s">
        <v>788</v>
      </c>
      <c r="B72" s="493" t="s">
        <v>805</v>
      </c>
      <c r="C72" s="492" t="s">
        <v>788</v>
      </c>
      <c r="D72" s="492" t="s">
        <v>788</v>
      </c>
      <c r="E72" s="493" t="s">
        <v>116</v>
      </c>
      <c r="F72" s="493" t="s">
        <v>377</v>
      </c>
      <c r="G72" s="493" t="s">
        <v>117</v>
      </c>
      <c r="H72" s="493" t="s">
        <v>118</v>
      </c>
      <c r="I72" s="493" t="s">
        <v>119</v>
      </c>
      <c r="J72" s="493" t="s">
        <v>718</v>
      </c>
      <c r="K72" s="493" t="s">
        <v>377</v>
      </c>
      <c r="L72" s="493" t="s">
        <v>719</v>
      </c>
      <c r="M72" s="493" t="s">
        <v>720</v>
      </c>
      <c r="N72" s="493" t="s">
        <v>721</v>
      </c>
      <c r="O72" s="493">
        <v>2057000</v>
      </c>
      <c r="P72" s="439">
        <v>1870000</v>
      </c>
      <c r="Q72" s="493">
        <v>187000</v>
      </c>
      <c r="R72" s="493" t="s">
        <v>124</v>
      </c>
      <c r="S72" s="493" t="s">
        <v>382</v>
      </c>
      <c r="T72" s="493" t="s">
        <v>125</v>
      </c>
      <c r="U72" s="493" t="s">
        <v>126</v>
      </c>
      <c r="V72" s="493" t="s">
        <v>127</v>
      </c>
      <c r="W72" s="493" t="s">
        <v>128</v>
      </c>
      <c r="X72" s="493" t="s">
        <v>722</v>
      </c>
      <c r="Y72" s="493" t="s">
        <v>377</v>
      </c>
      <c r="Z72" s="493" t="s">
        <v>788</v>
      </c>
      <c r="AA72" s="493" t="s">
        <v>130</v>
      </c>
      <c r="AB72" s="493" t="s">
        <v>377</v>
      </c>
      <c r="AC72" s="493" t="s">
        <v>131</v>
      </c>
      <c r="AD72" s="493" t="s">
        <v>806</v>
      </c>
      <c r="AE72" s="493">
        <v>1870000</v>
      </c>
      <c r="AF72" s="493">
        <v>187000</v>
      </c>
      <c r="AG72" s="493" t="s">
        <v>817</v>
      </c>
      <c r="AH72" s="130">
        <f t="shared" si="5"/>
        <v>46127</v>
      </c>
      <c r="AI72" s="495">
        <v>46112</v>
      </c>
      <c r="AJ72" s="439">
        <f t="shared" si="16"/>
        <v>2057000.0000000002</v>
      </c>
      <c r="AK72" s="121">
        <f t="shared" si="12"/>
        <v>0</v>
      </c>
      <c r="AL72" s="440" t="str">
        <f t="shared" ca="1" si="17"/>
        <v/>
      </c>
      <c r="AM72" s="440"/>
      <c r="AN72" s="440"/>
      <c r="AO72" s="440"/>
    </row>
    <row r="73" spans="1:41" ht="16.5" hidden="1" customHeight="1">
      <c r="A73" s="492" t="s">
        <v>788</v>
      </c>
      <c r="B73" s="493" t="s">
        <v>807</v>
      </c>
      <c r="C73" s="492" t="s">
        <v>788</v>
      </c>
      <c r="D73" s="492" t="s">
        <v>788</v>
      </c>
      <c r="E73" s="493" t="s">
        <v>116</v>
      </c>
      <c r="F73" s="493" t="s">
        <v>377</v>
      </c>
      <c r="G73" s="493" t="s">
        <v>117</v>
      </c>
      <c r="H73" s="493" t="s">
        <v>118</v>
      </c>
      <c r="I73" s="493" t="s">
        <v>119</v>
      </c>
      <c r="J73" s="493" t="s">
        <v>808</v>
      </c>
      <c r="K73" s="493" t="s">
        <v>377</v>
      </c>
      <c r="L73" s="493" t="s">
        <v>809</v>
      </c>
      <c r="M73" s="493" t="s">
        <v>810</v>
      </c>
      <c r="N73" s="493" t="s">
        <v>811</v>
      </c>
      <c r="O73" s="493">
        <v>13725800</v>
      </c>
      <c r="P73" s="439">
        <v>12478000</v>
      </c>
      <c r="Q73" s="493">
        <v>1247800</v>
      </c>
      <c r="R73" s="493" t="s">
        <v>124</v>
      </c>
      <c r="S73" s="493" t="s">
        <v>382</v>
      </c>
      <c r="T73" s="493" t="s">
        <v>125</v>
      </c>
      <c r="U73" s="493" t="s">
        <v>126</v>
      </c>
      <c r="V73" s="493" t="s">
        <v>127</v>
      </c>
      <c r="W73" s="493" t="s">
        <v>128</v>
      </c>
      <c r="X73" s="493" t="s">
        <v>812</v>
      </c>
      <c r="Y73" s="493" t="s">
        <v>377</v>
      </c>
      <c r="Z73" s="493" t="s">
        <v>788</v>
      </c>
      <c r="AA73" s="493" t="s">
        <v>130</v>
      </c>
      <c r="AB73" s="493" t="s">
        <v>377</v>
      </c>
      <c r="AC73" s="493" t="s">
        <v>131</v>
      </c>
      <c r="AD73" s="493" t="s">
        <v>813</v>
      </c>
      <c r="AE73" s="493">
        <v>12478000</v>
      </c>
      <c r="AF73" s="493">
        <v>1247800</v>
      </c>
      <c r="AG73" s="493" t="s">
        <v>815</v>
      </c>
      <c r="AH73" s="130">
        <f t="shared" si="5"/>
        <v>46127</v>
      </c>
      <c r="AI73" s="495">
        <v>46150</v>
      </c>
      <c r="AJ73" s="439">
        <f>P73*1.1</f>
        <v>13725800.000000002</v>
      </c>
      <c r="AK73" s="121">
        <f t="shared" si="12"/>
        <v>0</v>
      </c>
      <c r="AL73" s="440" t="str">
        <f t="shared" ca="1" si="17"/>
        <v/>
      </c>
      <c r="AM73" s="440"/>
      <c r="AN73" s="440"/>
      <c r="AO73" s="440"/>
    </row>
    <row r="74" spans="1:41" ht="16.5" hidden="1" customHeight="1">
      <c r="A74" s="492" t="s">
        <v>824</v>
      </c>
      <c r="B74" s="493" t="s">
        <v>825</v>
      </c>
      <c r="C74" s="492" t="s">
        <v>824</v>
      </c>
      <c r="D74" s="492" t="s">
        <v>824</v>
      </c>
      <c r="E74" s="493" t="s">
        <v>116</v>
      </c>
      <c r="F74" s="493" t="s">
        <v>377</v>
      </c>
      <c r="G74" s="493" t="s">
        <v>117</v>
      </c>
      <c r="H74" s="493" t="s">
        <v>118</v>
      </c>
      <c r="I74" s="493" t="s">
        <v>119</v>
      </c>
      <c r="J74" s="493" t="s">
        <v>650</v>
      </c>
      <c r="K74" s="493" t="s">
        <v>377</v>
      </c>
      <c r="L74" s="493" t="s">
        <v>651</v>
      </c>
      <c r="M74" s="493" t="s">
        <v>652</v>
      </c>
      <c r="N74" s="493" t="s">
        <v>653</v>
      </c>
      <c r="O74" s="493">
        <v>3729000</v>
      </c>
      <c r="P74" s="439">
        <v>3390000</v>
      </c>
      <c r="Q74" s="493">
        <v>339000</v>
      </c>
      <c r="R74" s="493" t="s">
        <v>124</v>
      </c>
      <c r="S74" s="493" t="s">
        <v>382</v>
      </c>
      <c r="T74" s="493" t="s">
        <v>125</v>
      </c>
      <c r="U74" s="493" t="s">
        <v>126</v>
      </c>
      <c r="V74" s="493" t="s">
        <v>127</v>
      </c>
      <c r="W74" s="493" t="s">
        <v>128</v>
      </c>
      <c r="X74" s="493" t="s">
        <v>655</v>
      </c>
      <c r="Y74" s="493" t="s">
        <v>377</v>
      </c>
      <c r="Z74" s="493" t="s">
        <v>824</v>
      </c>
      <c r="AA74" s="493" t="s">
        <v>130</v>
      </c>
      <c r="AB74" s="493" t="s">
        <v>377</v>
      </c>
      <c r="AC74" s="493" t="s">
        <v>131</v>
      </c>
      <c r="AD74" s="493" t="s">
        <v>826</v>
      </c>
      <c r="AE74" s="493">
        <v>3390000</v>
      </c>
      <c r="AF74" s="493">
        <v>339000</v>
      </c>
      <c r="AG74" s="493" t="s">
        <v>657</v>
      </c>
      <c r="AH74" s="130">
        <f t="shared" si="5"/>
        <v>46130</v>
      </c>
      <c r="AI74" s="495">
        <v>46142</v>
      </c>
      <c r="AJ74" s="439">
        <f t="shared" ref="AJ74" si="18">P74*1.1</f>
        <v>3729000.0000000005</v>
      </c>
      <c r="AK74" s="121">
        <f t="shared" si="12"/>
        <v>0</v>
      </c>
      <c r="AL74" s="440" t="str">
        <f t="shared" ca="1" si="17"/>
        <v/>
      </c>
      <c r="AM74" s="440"/>
      <c r="AN74" s="440"/>
      <c r="AO74" s="440"/>
    </row>
    <row r="75" spans="1:41" ht="16.5" hidden="1" customHeight="1">
      <c r="A75" s="492" t="s">
        <v>824</v>
      </c>
      <c r="B75" s="493" t="s">
        <v>827</v>
      </c>
      <c r="C75" s="492" t="s">
        <v>824</v>
      </c>
      <c r="D75" s="492" t="s">
        <v>824</v>
      </c>
      <c r="E75" s="493" t="s">
        <v>116</v>
      </c>
      <c r="F75" s="493" t="s">
        <v>377</v>
      </c>
      <c r="G75" s="493" t="s">
        <v>117</v>
      </c>
      <c r="H75" s="493" t="s">
        <v>118</v>
      </c>
      <c r="I75" s="493" t="s">
        <v>119</v>
      </c>
      <c r="J75" s="493" t="s">
        <v>828</v>
      </c>
      <c r="K75" s="493" t="s">
        <v>377</v>
      </c>
      <c r="L75" s="493" t="s">
        <v>829</v>
      </c>
      <c r="M75" s="493" t="s">
        <v>830</v>
      </c>
      <c r="N75" s="493" t="s">
        <v>831</v>
      </c>
      <c r="O75" s="493">
        <v>10054550</v>
      </c>
      <c r="P75" s="439">
        <v>9140500</v>
      </c>
      <c r="Q75" s="493">
        <v>914050</v>
      </c>
      <c r="R75" s="493" t="s">
        <v>124</v>
      </c>
      <c r="S75" s="493" t="s">
        <v>382</v>
      </c>
      <c r="T75" s="493" t="s">
        <v>125</v>
      </c>
      <c r="U75" s="493" t="s">
        <v>126</v>
      </c>
      <c r="V75" s="493" t="s">
        <v>127</v>
      </c>
      <c r="W75" s="493" t="s">
        <v>128</v>
      </c>
      <c r="X75" s="493" t="s">
        <v>832</v>
      </c>
      <c r="Y75" s="493" t="s">
        <v>377</v>
      </c>
      <c r="Z75" s="493" t="s">
        <v>824</v>
      </c>
      <c r="AA75" s="493" t="s">
        <v>130</v>
      </c>
      <c r="AB75" s="493" t="s">
        <v>377</v>
      </c>
      <c r="AC75" s="493" t="s">
        <v>131</v>
      </c>
      <c r="AD75" s="493" t="s">
        <v>802</v>
      </c>
      <c r="AE75" s="493">
        <v>9140500</v>
      </c>
      <c r="AF75" s="493">
        <v>914050</v>
      </c>
      <c r="AG75" s="493" t="s">
        <v>814</v>
      </c>
      <c r="AH75" s="130">
        <f t="shared" si="5"/>
        <v>46130</v>
      </c>
      <c r="AI75" s="495">
        <v>46134</v>
      </c>
      <c r="AJ75" s="439">
        <f>P75*1.1</f>
        <v>10054550</v>
      </c>
      <c r="AK75" s="121">
        <f t="shared" si="12"/>
        <v>0</v>
      </c>
      <c r="AL75" s="440" t="str">
        <f t="shared" ca="1" si="17"/>
        <v/>
      </c>
      <c r="AM75" s="440"/>
      <c r="AN75" s="440"/>
      <c r="AO75" s="440"/>
    </row>
    <row r="76" spans="1:41" ht="16.5" hidden="1" customHeight="1">
      <c r="A76" s="492" t="s">
        <v>824</v>
      </c>
      <c r="B76" s="493" t="s">
        <v>833</v>
      </c>
      <c r="C76" s="492" t="s">
        <v>824</v>
      </c>
      <c r="D76" s="492" t="s">
        <v>824</v>
      </c>
      <c r="E76" s="493" t="s">
        <v>116</v>
      </c>
      <c r="F76" s="493" t="s">
        <v>377</v>
      </c>
      <c r="G76" s="493" t="s">
        <v>117</v>
      </c>
      <c r="H76" s="493" t="s">
        <v>118</v>
      </c>
      <c r="I76" s="493" t="s">
        <v>119</v>
      </c>
      <c r="J76" s="493" t="s">
        <v>674</v>
      </c>
      <c r="K76" s="493" t="s">
        <v>377</v>
      </c>
      <c r="L76" s="493" t="s">
        <v>675</v>
      </c>
      <c r="M76" s="493" t="s">
        <v>676</v>
      </c>
      <c r="N76" s="493" t="s">
        <v>677</v>
      </c>
      <c r="O76" s="493">
        <v>5191450</v>
      </c>
      <c r="P76" s="439">
        <v>4719500</v>
      </c>
      <c r="Q76" s="493">
        <v>471950</v>
      </c>
      <c r="R76" s="493" t="s">
        <v>124</v>
      </c>
      <c r="S76" s="493" t="s">
        <v>382</v>
      </c>
      <c r="T76" s="493" t="s">
        <v>125</v>
      </c>
      <c r="U76" s="493" t="s">
        <v>126</v>
      </c>
      <c r="V76" s="493" t="s">
        <v>127</v>
      </c>
      <c r="W76" s="493" t="s">
        <v>128</v>
      </c>
      <c r="X76" s="493" t="s">
        <v>678</v>
      </c>
      <c r="Y76" s="493" t="s">
        <v>377</v>
      </c>
      <c r="Z76" s="493" t="s">
        <v>824</v>
      </c>
      <c r="AA76" s="493" t="s">
        <v>130</v>
      </c>
      <c r="AB76" s="493" t="s">
        <v>377</v>
      </c>
      <c r="AC76" s="493" t="s">
        <v>131</v>
      </c>
      <c r="AD76" s="493" t="s">
        <v>834</v>
      </c>
      <c r="AE76" s="493">
        <v>4719500</v>
      </c>
      <c r="AF76" s="493">
        <v>471950</v>
      </c>
      <c r="AG76" s="493" t="s">
        <v>842</v>
      </c>
      <c r="AH76" s="130">
        <f t="shared" si="5"/>
        <v>46130</v>
      </c>
      <c r="AI76" s="495">
        <v>46142</v>
      </c>
      <c r="AJ76" s="439">
        <f>P76*1.1</f>
        <v>5191450</v>
      </c>
      <c r="AK76" s="121">
        <f t="shared" si="12"/>
        <v>0</v>
      </c>
      <c r="AL76" s="440" t="str">
        <f t="shared" ca="1" si="17"/>
        <v/>
      </c>
      <c r="AM76" s="440"/>
      <c r="AN76" s="440"/>
      <c r="AO76" s="440"/>
    </row>
    <row r="77" spans="1:41" ht="16.5" hidden="1" customHeight="1">
      <c r="A77" s="492" t="s">
        <v>824</v>
      </c>
      <c r="B77" s="493" t="s">
        <v>835</v>
      </c>
      <c r="C77" s="492" t="s">
        <v>824</v>
      </c>
      <c r="D77" s="492" t="s">
        <v>824</v>
      </c>
      <c r="E77" s="493" t="s">
        <v>116</v>
      </c>
      <c r="F77" s="493" t="s">
        <v>377</v>
      </c>
      <c r="G77" s="493" t="s">
        <v>117</v>
      </c>
      <c r="H77" s="493" t="s">
        <v>118</v>
      </c>
      <c r="I77" s="493" t="s">
        <v>119</v>
      </c>
      <c r="J77" s="493" t="s">
        <v>836</v>
      </c>
      <c r="K77" s="493" t="s">
        <v>377</v>
      </c>
      <c r="L77" s="493" t="s">
        <v>837</v>
      </c>
      <c r="M77" s="493" t="s">
        <v>838</v>
      </c>
      <c r="N77" s="493" t="s">
        <v>839</v>
      </c>
      <c r="O77" s="493">
        <v>42388060</v>
      </c>
      <c r="P77" s="439">
        <v>38534600</v>
      </c>
      <c r="Q77" s="493">
        <v>3853460</v>
      </c>
      <c r="R77" s="493" t="s">
        <v>124</v>
      </c>
      <c r="S77" s="493" t="s">
        <v>382</v>
      </c>
      <c r="T77" s="493" t="s">
        <v>125</v>
      </c>
      <c r="U77" s="493" t="s">
        <v>126</v>
      </c>
      <c r="V77" s="493" t="s">
        <v>127</v>
      </c>
      <c r="W77" s="493" t="s">
        <v>128</v>
      </c>
      <c r="X77" s="493" t="s">
        <v>840</v>
      </c>
      <c r="Y77" s="493" t="s">
        <v>377</v>
      </c>
      <c r="Z77" s="493" t="s">
        <v>824</v>
      </c>
      <c r="AA77" s="493" t="s">
        <v>130</v>
      </c>
      <c r="AB77" s="493" t="s">
        <v>377</v>
      </c>
      <c r="AC77" s="493" t="s">
        <v>131</v>
      </c>
      <c r="AD77" s="493" t="s">
        <v>841</v>
      </c>
      <c r="AE77" s="493">
        <v>38534600</v>
      </c>
      <c r="AF77" s="493">
        <v>3853460</v>
      </c>
      <c r="AG77" s="493" t="s">
        <v>843</v>
      </c>
      <c r="AH77" s="130">
        <f t="shared" si="5"/>
        <v>46130</v>
      </c>
      <c r="AI77" s="495">
        <v>46091</v>
      </c>
      <c r="AJ77" s="439">
        <f>P77*1.1</f>
        <v>42388060</v>
      </c>
      <c r="AK77" s="121">
        <f t="shared" si="12"/>
        <v>0</v>
      </c>
      <c r="AL77" s="440" t="str">
        <f t="shared" ca="1" si="17"/>
        <v/>
      </c>
      <c r="AM77" s="440"/>
      <c r="AN77" s="440"/>
      <c r="AO77" s="440"/>
    </row>
    <row r="78" spans="1:41" ht="16.5" hidden="1" customHeight="1">
      <c r="A78" s="492" t="s">
        <v>849</v>
      </c>
      <c r="B78" s="493" t="s">
        <v>850</v>
      </c>
      <c r="C78" s="492" t="s">
        <v>849</v>
      </c>
      <c r="D78" s="492" t="s">
        <v>849</v>
      </c>
      <c r="E78" s="493" t="s">
        <v>116</v>
      </c>
      <c r="F78" s="493" t="s">
        <v>377</v>
      </c>
      <c r="G78" s="493" t="s">
        <v>117</v>
      </c>
      <c r="H78" s="493" t="s">
        <v>118</v>
      </c>
      <c r="I78" s="493" t="s">
        <v>119</v>
      </c>
      <c r="J78" s="493" t="s">
        <v>703</v>
      </c>
      <c r="K78" s="493" t="s">
        <v>377</v>
      </c>
      <c r="L78" s="493" t="s">
        <v>704</v>
      </c>
      <c r="M78" s="493" t="s">
        <v>705</v>
      </c>
      <c r="N78" s="493" t="s">
        <v>706</v>
      </c>
      <c r="O78" s="493">
        <v>9240000</v>
      </c>
      <c r="P78" s="439">
        <v>8400000</v>
      </c>
      <c r="Q78" s="493">
        <v>840000</v>
      </c>
      <c r="R78" s="493" t="s">
        <v>124</v>
      </c>
      <c r="S78" s="493" t="s">
        <v>382</v>
      </c>
      <c r="T78" s="493" t="s">
        <v>125</v>
      </c>
      <c r="U78" s="493" t="s">
        <v>126</v>
      </c>
      <c r="V78" s="493" t="s">
        <v>127</v>
      </c>
      <c r="W78" s="493" t="s">
        <v>128</v>
      </c>
      <c r="X78" s="493" t="s">
        <v>707</v>
      </c>
      <c r="Y78" s="493" t="s">
        <v>377</v>
      </c>
      <c r="Z78" s="493" t="s">
        <v>849</v>
      </c>
      <c r="AA78" s="493" t="s">
        <v>130</v>
      </c>
      <c r="AB78" s="493" t="s">
        <v>377</v>
      </c>
      <c r="AC78" s="493" t="s">
        <v>131</v>
      </c>
      <c r="AD78" s="493" t="s">
        <v>851</v>
      </c>
      <c r="AE78" s="493">
        <v>8400000</v>
      </c>
      <c r="AF78" s="493">
        <v>840000</v>
      </c>
      <c r="AG78" s="493" t="s">
        <v>787</v>
      </c>
      <c r="AH78" s="130">
        <f t="shared" si="5"/>
        <v>46131</v>
      </c>
      <c r="AI78" s="495">
        <v>46170</v>
      </c>
      <c r="AJ78" s="439">
        <f>P78*1.1</f>
        <v>9240000</v>
      </c>
      <c r="AK78" s="121">
        <f t="shared" si="12"/>
        <v>0</v>
      </c>
      <c r="AL78" s="440" t="str">
        <f t="shared" ca="1" si="17"/>
        <v/>
      </c>
      <c r="AM78" s="440"/>
      <c r="AN78" s="440"/>
      <c r="AO78" s="440"/>
    </row>
    <row r="79" spans="1:41" ht="16.5" hidden="1" customHeight="1">
      <c r="A79" s="492" t="s">
        <v>849</v>
      </c>
      <c r="B79" s="493" t="s">
        <v>852</v>
      </c>
      <c r="C79" s="492" t="s">
        <v>849</v>
      </c>
      <c r="D79" s="492" t="s">
        <v>849</v>
      </c>
      <c r="E79" s="493" t="s">
        <v>116</v>
      </c>
      <c r="F79" s="493" t="s">
        <v>377</v>
      </c>
      <c r="G79" s="493" t="s">
        <v>117</v>
      </c>
      <c r="H79" s="493" t="s">
        <v>118</v>
      </c>
      <c r="I79" s="493" t="s">
        <v>119</v>
      </c>
      <c r="J79" s="493" t="s">
        <v>120</v>
      </c>
      <c r="K79" s="493" t="s">
        <v>377</v>
      </c>
      <c r="L79" s="493" t="s">
        <v>390</v>
      </c>
      <c r="M79" s="493" t="s">
        <v>122</v>
      </c>
      <c r="N79" s="493" t="s">
        <v>123</v>
      </c>
      <c r="O79" s="493">
        <v>50910200</v>
      </c>
      <c r="P79" s="439">
        <v>46282000</v>
      </c>
      <c r="Q79" s="493">
        <v>4628200</v>
      </c>
      <c r="R79" s="493" t="s">
        <v>124</v>
      </c>
      <c r="S79" s="493" t="s">
        <v>382</v>
      </c>
      <c r="T79" s="493" t="s">
        <v>125</v>
      </c>
      <c r="U79" s="493" t="s">
        <v>126</v>
      </c>
      <c r="V79" s="493" t="s">
        <v>127</v>
      </c>
      <c r="W79" s="493" t="s">
        <v>128</v>
      </c>
      <c r="X79" s="493" t="s">
        <v>129</v>
      </c>
      <c r="Y79" s="493" t="s">
        <v>377</v>
      </c>
      <c r="Z79" s="493" t="s">
        <v>849</v>
      </c>
      <c r="AA79" s="493" t="s">
        <v>130</v>
      </c>
      <c r="AB79" s="493" t="s">
        <v>377</v>
      </c>
      <c r="AC79" s="493" t="s">
        <v>131</v>
      </c>
      <c r="AD79" s="493" t="s">
        <v>853</v>
      </c>
      <c r="AE79" s="493">
        <v>46282000</v>
      </c>
      <c r="AF79" s="493">
        <v>4628200</v>
      </c>
      <c r="AG79" s="493" t="s">
        <v>463</v>
      </c>
      <c r="AH79" s="130">
        <f t="shared" si="5"/>
        <v>46131</v>
      </c>
      <c r="AI79" s="495"/>
      <c r="AJ79" s="439"/>
      <c r="AK79" s="121">
        <f t="shared" si="12"/>
        <v>50910200.000000007</v>
      </c>
      <c r="AL79" s="440" t="str">
        <f t="shared" ca="1" si="17"/>
        <v>관리</v>
      </c>
      <c r="AM79" s="440"/>
      <c r="AN79" s="440" t="s">
        <v>2259</v>
      </c>
      <c r="AO79" s="440"/>
    </row>
    <row r="80" spans="1:41" ht="16.5" hidden="1" customHeight="1">
      <c r="A80" s="492" t="s">
        <v>849</v>
      </c>
      <c r="B80" s="493" t="s">
        <v>854</v>
      </c>
      <c r="C80" s="492" t="s">
        <v>849</v>
      </c>
      <c r="D80" s="492" t="s">
        <v>849</v>
      </c>
      <c r="E80" s="493" t="s">
        <v>116</v>
      </c>
      <c r="F80" s="493" t="s">
        <v>377</v>
      </c>
      <c r="G80" s="493" t="s">
        <v>117</v>
      </c>
      <c r="H80" s="493" t="s">
        <v>118</v>
      </c>
      <c r="I80" s="493" t="s">
        <v>119</v>
      </c>
      <c r="J80" s="493" t="s">
        <v>855</v>
      </c>
      <c r="K80" s="493" t="s">
        <v>377</v>
      </c>
      <c r="L80" s="493" t="s">
        <v>856</v>
      </c>
      <c r="M80" s="493" t="s">
        <v>857</v>
      </c>
      <c r="N80" s="493" t="s">
        <v>858</v>
      </c>
      <c r="O80" s="493">
        <v>2015750</v>
      </c>
      <c r="P80" s="439">
        <v>1832500</v>
      </c>
      <c r="Q80" s="493">
        <v>183250</v>
      </c>
      <c r="R80" s="493" t="s">
        <v>124</v>
      </c>
      <c r="S80" s="493" t="s">
        <v>382</v>
      </c>
      <c r="T80" s="493" t="s">
        <v>125</v>
      </c>
      <c r="U80" s="493" t="s">
        <v>126</v>
      </c>
      <c r="V80" s="493" t="s">
        <v>127</v>
      </c>
      <c r="W80" s="493" t="s">
        <v>128</v>
      </c>
      <c r="X80" s="493" t="s">
        <v>859</v>
      </c>
      <c r="Y80" s="493" t="s">
        <v>377</v>
      </c>
      <c r="Z80" s="493" t="s">
        <v>849</v>
      </c>
      <c r="AA80" s="493" t="s">
        <v>130</v>
      </c>
      <c r="AB80" s="493" t="s">
        <v>377</v>
      </c>
      <c r="AC80" s="493" t="s">
        <v>131</v>
      </c>
      <c r="AD80" s="493" t="s">
        <v>860</v>
      </c>
      <c r="AE80" s="493">
        <v>1832500</v>
      </c>
      <c r="AF80" s="493">
        <v>183250</v>
      </c>
      <c r="AG80" s="493" t="s">
        <v>890</v>
      </c>
      <c r="AH80" s="130">
        <f t="shared" si="5"/>
        <v>46131</v>
      </c>
      <c r="AI80" s="495">
        <v>46092</v>
      </c>
      <c r="AJ80" s="439">
        <f>P80*1.1</f>
        <v>2015750.0000000002</v>
      </c>
      <c r="AK80" s="121">
        <f t="shared" si="12"/>
        <v>0</v>
      </c>
      <c r="AL80" s="440" t="str">
        <f t="shared" ca="1" si="17"/>
        <v/>
      </c>
      <c r="AM80" s="440"/>
      <c r="AN80" s="440"/>
      <c r="AO80" s="440"/>
    </row>
    <row r="81" spans="1:41" ht="16.5" hidden="1" customHeight="1">
      <c r="A81" s="492" t="s">
        <v>849</v>
      </c>
      <c r="B81" s="493" t="s">
        <v>861</v>
      </c>
      <c r="C81" s="492" t="s">
        <v>849</v>
      </c>
      <c r="D81" s="492" t="s">
        <v>849</v>
      </c>
      <c r="E81" s="493" t="s">
        <v>116</v>
      </c>
      <c r="F81" s="493" t="s">
        <v>377</v>
      </c>
      <c r="G81" s="493" t="s">
        <v>117</v>
      </c>
      <c r="H81" s="493" t="s">
        <v>118</v>
      </c>
      <c r="I81" s="493" t="s">
        <v>119</v>
      </c>
      <c r="J81" s="493" t="s">
        <v>454</v>
      </c>
      <c r="K81" s="493" t="s">
        <v>377</v>
      </c>
      <c r="L81" s="493" t="s">
        <v>455</v>
      </c>
      <c r="M81" s="493" t="s">
        <v>456</v>
      </c>
      <c r="N81" s="493" t="s">
        <v>457</v>
      </c>
      <c r="O81" s="493">
        <v>244200</v>
      </c>
      <c r="P81" s="439">
        <v>222000</v>
      </c>
      <c r="Q81" s="493">
        <v>22200</v>
      </c>
      <c r="R81" s="493" t="s">
        <v>124</v>
      </c>
      <c r="S81" s="493" t="s">
        <v>382</v>
      </c>
      <c r="T81" s="493" t="s">
        <v>125</v>
      </c>
      <c r="U81" s="493" t="s">
        <v>126</v>
      </c>
      <c r="V81" s="493" t="s">
        <v>127</v>
      </c>
      <c r="W81" s="493" t="s">
        <v>128</v>
      </c>
      <c r="X81" s="493" t="s">
        <v>458</v>
      </c>
      <c r="Y81" s="493" t="s">
        <v>377</v>
      </c>
      <c r="Z81" s="493" t="s">
        <v>849</v>
      </c>
      <c r="AA81" s="493" t="s">
        <v>130</v>
      </c>
      <c r="AB81" s="493" t="s">
        <v>377</v>
      </c>
      <c r="AC81" s="493" t="s">
        <v>131</v>
      </c>
      <c r="AD81" s="493" t="s">
        <v>862</v>
      </c>
      <c r="AE81" s="493">
        <v>222000</v>
      </c>
      <c r="AF81" s="493">
        <v>22200</v>
      </c>
      <c r="AG81" s="493" t="s">
        <v>891</v>
      </c>
      <c r="AH81" s="130">
        <f t="shared" si="5"/>
        <v>46131</v>
      </c>
      <c r="AI81" s="495">
        <v>46094</v>
      </c>
      <c r="AJ81" s="439">
        <f>P81*1.1</f>
        <v>244200.00000000003</v>
      </c>
      <c r="AK81" s="121">
        <f t="shared" si="12"/>
        <v>0</v>
      </c>
      <c r="AL81" s="440" t="str">
        <f t="shared" ca="1" si="17"/>
        <v/>
      </c>
      <c r="AM81" s="440"/>
      <c r="AN81" s="440"/>
      <c r="AO81" s="440"/>
    </row>
    <row r="82" spans="1:41" ht="16.5" hidden="1" customHeight="1">
      <c r="A82" s="492" t="s">
        <v>849</v>
      </c>
      <c r="B82" s="493" t="s">
        <v>863</v>
      </c>
      <c r="C82" s="492" t="s">
        <v>849</v>
      </c>
      <c r="D82" s="492" t="s">
        <v>849</v>
      </c>
      <c r="E82" s="493" t="s">
        <v>116</v>
      </c>
      <c r="F82" s="493" t="s">
        <v>377</v>
      </c>
      <c r="G82" s="493" t="s">
        <v>117</v>
      </c>
      <c r="H82" s="493" t="s">
        <v>118</v>
      </c>
      <c r="I82" s="493" t="s">
        <v>119</v>
      </c>
      <c r="J82" s="493" t="s">
        <v>828</v>
      </c>
      <c r="K82" s="493" t="s">
        <v>377</v>
      </c>
      <c r="L82" s="493" t="s">
        <v>829</v>
      </c>
      <c r="M82" s="493" t="s">
        <v>830</v>
      </c>
      <c r="N82" s="493" t="s">
        <v>831</v>
      </c>
      <c r="O82" s="493">
        <v>15488000</v>
      </c>
      <c r="P82" s="439">
        <v>14080000</v>
      </c>
      <c r="Q82" s="493">
        <v>1408000</v>
      </c>
      <c r="R82" s="493" t="s">
        <v>124</v>
      </c>
      <c r="S82" s="493" t="s">
        <v>382</v>
      </c>
      <c r="T82" s="493" t="s">
        <v>125</v>
      </c>
      <c r="U82" s="493" t="s">
        <v>126</v>
      </c>
      <c r="V82" s="493" t="s">
        <v>127</v>
      </c>
      <c r="W82" s="493" t="s">
        <v>128</v>
      </c>
      <c r="X82" s="493" t="s">
        <v>832</v>
      </c>
      <c r="Y82" s="493" t="s">
        <v>377</v>
      </c>
      <c r="Z82" s="493" t="s">
        <v>849</v>
      </c>
      <c r="AA82" s="493" t="s">
        <v>130</v>
      </c>
      <c r="AB82" s="493" t="s">
        <v>377</v>
      </c>
      <c r="AC82" s="493" t="s">
        <v>131</v>
      </c>
      <c r="AD82" s="493" t="s">
        <v>864</v>
      </c>
      <c r="AE82" s="493">
        <v>14080000</v>
      </c>
      <c r="AF82" s="493">
        <v>1408000</v>
      </c>
      <c r="AG82" s="493" t="s">
        <v>814</v>
      </c>
      <c r="AH82" s="130">
        <f t="shared" si="5"/>
        <v>46131</v>
      </c>
      <c r="AI82" s="495">
        <v>46128</v>
      </c>
      <c r="AJ82" s="439">
        <f>P82*1.1</f>
        <v>15488000.000000002</v>
      </c>
      <c r="AK82" s="121">
        <f t="shared" si="12"/>
        <v>0</v>
      </c>
      <c r="AL82" s="440" t="str">
        <f t="shared" ca="1" si="17"/>
        <v/>
      </c>
      <c r="AM82" s="440"/>
      <c r="AN82" s="440"/>
      <c r="AO82" s="440"/>
    </row>
    <row r="83" spans="1:41" ht="16.5" hidden="1" customHeight="1">
      <c r="A83" s="492" t="s">
        <v>849</v>
      </c>
      <c r="B83" s="493" t="s">
        <v>865</v>
      </c>
      <c r="C83" s="492" t="s">
        <v>849</v>
      </c>
      <c r="D83" s="492" t="s">
        <v>849</v>
      </c>
      <c r="E83" s="493" t="s">
        <v>116</v>
      </c>
      <c r="F83" s="493" t="s">
        <v>377</v>
      </c>
      <c r="G83" s="493" t="s">
        <v>117</v>
      </c>
      <c r="H83" s="493" t="s">
        <v>118</v>
      </c>
      <c r="I83" s="493" t="s">
        <v>119</v>
      </c>
      <c r="J83" s="493" t="s">
        <v>797</v>
      </c>
      <c r="K83" s="493" t="s">
        <v>377</v>
      </c>
      <c r="L83" s="493" t="s">
        <v>798</v>
      </c>
      <c r="M83" s="493" t="s">
        <v>799</v>
      </c>
      <c r="N83" s="493" t="s">
        <v>800</v>
      </c>
      <c r="O83" s="493">
        <v>15488000</v>
      </c>
      <c r="P83" s="439">
        <v>14080000</v>
      </c>
      <c r="Q83" s="493">
        <v>1408000</v>
      </c>
      <c r="R83" s="493" t="s">
        <v>124</v>
      </c>
      <c r="S83" s="493" t="s">
        <v>382</v>
      </c>
      <c r="T83" s="493" t="s">
        <v>125</v>
      </c>
      <c r="U83" s="493" t="s">
        <v>126</v>
      </c>
      <c r="V83" s="493" t="s">
        <v>127</v>
      </c>
      <c r="W83" s="493" t="s">
        <v>128</v>
      </c>
      <c r="X83" s="493" t="s">
        <v>801</v>
      </c>
      <c r="Y83" s="493" t="s">
        <v>377</v>
      </c>
      <c r="Z83" s="493" t="s">
        <v>849</v>
      </c>
      <c r="AA83" s="493" t="s">
        <v>130</v>
      </c>
      <c r="AB83" s="493" t="s">
        <v>377</v>
      </c>
      <c r="AC83" s="493" t="s">
        <v>131</v>
      </c>
      <c r="AD83" s="493" t="s">
        <v>864</v>
      </c>
      <c r="AE83" s="493">
        <v>14080000</v>
      </c>
      <c r="AF83" s="493">
        <v>1408000</v>
      </c>
      <c r="AG83" s="493" t="s">
        <v>814</v>
      </c>
      <c r="AH83" s="130">
        <f t="shared" si="5"/>
        <v>46131</v>
      </c>
      <c r="AI83" s="495">
        <v>46097</v>
      </c>
      <c r="AJ83" s="439">
        <f>P83*1.1</f>
        <v>15488000.000000002</v>
      </c>
      <c r="AK83" s="121">
        <f t="shared" si="12"/>
        <v>0</v>
      </c>
      <c r="AL83" s="440" t="str">
        <f t="shared" ca="1" si="17"/>
        <v/>
      </c>
      <c r="AM83" s="440"/>
      <c r="AN83" s="440"/>
      <c r="AO83" s="440"/>
    </row>
    <row r="84" spans="1:41" ht="16.5" hidden="1" customHeight="1">
      <c r="A84" s="492" t="s">
        <v>849</v>
      </c>
      <c r="B84" s="493" t="s">
        <v>866</v>
      </c>
      <c r="C84" s="492" t="s">
        <v>849</v>
      </c>
      <c r="D84" s="492" t="s">
        <v>849</v>
      </c>
      <c r="E84" s="493" t="s">
        <v>116</v>
      </c>
      <c r="F84" s="493" t="s">
        <v>377</v>
      </c>
      <c r="G84" s="493" t="s">
        <v>117</v>
      </c>
      <c r="H84" s="493" t="s">
        <v>118</v>
      </c>
      <c r="I84" s="493" t="s">
        <v>119</v>
      </c>
      <c r="J84" s="493" t="s">
        <v>741</v>
      </c>
      <c r="K84" s="493" t="s">
        <v>377</v>
      </c>
      <c r="L84" s="493" t="s">
        <v>742</v>
      </c>
      <c r="M84" s="493" t="s">
        <v>743</v>
      </c>
      <c r="N84" s="493" t="s">
        <v>744</v>
      </c>
      <c r="O84" s="493">
        <v>1305260</v>
      </c>
      <c r="P84" s="439">
        <v>1186600</v>
      </c>
      <c r="Q84" s="493">
        <v>118660</v>
      </c>
      <c r="R84" s="493" t="s">
        <v>124</v>
      </c>
      <c r="S84" s="493" t="s">
        <v>382</v>
      </c>
      <c r="T84" s="493" t="s">
        <v>125</v>
      </c>
      <c r="U84" s="493" t="s">
        <v>126</v>
      </c>
      <c r="V84" s="493" t="s">
        <v>127</v>
      </c>
      <c r="W84" s="493" t="s">
        <v>128</v>
      </c>
      <c r="X84" s="493" t="s">
        <v>745</v>
      </c>
      <c r="Y84" s="493" t="s">
        <v>377</v>
      </c>
      <c r="Z84" s="493" t="s">
        <v>849</v>
      </c>
      <c r="AA84" s="493" t="s">
        <v>130</v>
      </c>
      <c r="AB84" s="493" t="s">
        <v>377</v>
      </c>
      <c r="AC84" s="493" t="s">
        <v>131</v>
      </c>
      <c r="AD84" s="493" t="s">
        <v>867</v>
      </c>
      <c r="AE84" s="493">
        <v>1186600</v>
      </c>
      <c r="AF84" s="493">
        <v>118660</v>
      </c>
      <c r="AG84" s="493" t="s">
        <v>754</v>
      </c>
      <c r="AH84" s="130">
        <f t="shared" si="5"/>
        <v>46131</v>
      </c>
      <c r="AI84" s="495"/>
      <c r="AJ84" s="439"/>
      <c r="AK84" s="121">
        <f t="shared" si="12"/>
        <v>1305260</v>
      </c>
      <c r="AL84" s="440" t="str">
        <f t="shared" ca="1" si="17"/>
        <v>관리</v>
      </c>
      <c r="AM84" s="440"/>
      <c r="AN84" s="440"/>
      <c r="AO84" s="440"/>
    </row>
    <row r="85" spans="1:41" ht="16.5" hidden="1" customHeight="1">
      <c r="A85" s="492" t="s">
        <v>849</v>
      </c>
      <c r="B85" s="493" t="s">
        <v>868</v>
      </c>
      <c r="C85" s="492" t="s">
        <v>849</v>
      </c>
      <c r="D85" s="492" t="s">
        <v>849</v>
      </c>
      <c r="E85" s="493" t="s">
        <v>116</v>
      </c>
      <c r="F85" s="493" t="s">
        <v>377</v>
      </c>
      <c r="G85" s="493" t="s">
        <v>117</v>
      </c>
      <c r="H85" s="493" t="s">
        <v>118</v>
      </c>
      <c r="I85" s="493" t="s">
        <v>119</v>
      </c>
      <c r="J85" s="493" t="s">
        <v>869</v>
      </c>
      <c r="K85" s="493" t="s">
        <v>377</v>
      </c>
      <c r="L85" s="493" t="s">
        <v>870</v>
      </c>
      <c r="M85" s="493" t="s">
        <v>871</v>
      </c>
      <c r="N85" s="493" t="s">
        <v>872</v>
      </c>
      <c r="O85" s="493">
        <v>297000</v>
      </c>
      <c r="P85" s="439">
        <v>270000</v>
      </c>
      <c r="Q85" s="493">
        <v>27000</v>
      </c>
      <c r="R85" s="493" t="s">
        <v>124</v>
      </c>
      <c r="S85" s="493" t="s">
        <v>382</v>
      </c>
      <c r="T85" s="493" t="s">
        <v>125</v>
      </c>
      <c r="U85" s="493" t="s">
        <v>126</v>
      </c>
      <c r="V85" s="493" t="s">
        <v>127</v>
      </c>
      <c r="W85" s="493" t="s">
        <v>128</v>
      </c>
      <c r="X85" s="493" t="s">
        <v>873</v>
      </c>
      <c r="Y85" s="493" t="s">
        <v>377</v>
      </c>
      <c r="Z85" s="493" t="s">
        <v>849</v>
      </c>
      <c r="AA85" s="493" t="s">
        <v>130</v>
      </c>
      <c r="AB85" s="493" t="s">
        <v>377</v>
      </c>
      <c r="AC85" s="493" t="s">
        <v>131</v>
      </c>
      <c r="AD85" s="493" t="s">
        <v>874</v>
      </c>
      <c r="AE85" s="493">
        <v>270000</v>
      </c>
      <c r="AF85" s="493">
        <v>27000</v>
      </c>
      <c r="AG85" s="493" t="s">
        <v>892</v>
      </c>
      <c r="AH85" s="130">
        <f t="shared" si="5"/>
        <v>46131</v>
      </c>
      <c r="AI85" s="495">
        <v>46136</v>
      </c>
      <c r="AJ85" s="439">
        <f>P85*1.1</f>
        <v>297000</v>
      </c>
      <c r="AK85" s="121">
        <f t="shared" si="12"/>
        <v>0</v>
      </c>
      <c r="AL85" s="440" t="str">
        <f t="shared" ca="1" si="17"/>
        <v/>
      </c>
      <c r="AM85" s="440"/>
      <c r="AN85" s="440"/>
      <c r="AO85" s="440"/>
    </row>
    <row r="86" spans="1:41" ht="16.5" hidden="1" customHeight="1">
      <c r="A86" s="492" t="s">
        <v>849</v>
      </c>
      <c r="B86" s="493" t="s">
        <v>875</v>
      </c>
      <c r="C86" s="492" t="s">
        <v>849</v>
      </c>
      <c r="D86" s="492" t="s">
        <v>849</v>
      </c>
      <c r="E86" s="493" t="s">
        <v>116</v>
      </c>
      <c r="F86" s="493" t="s">
        <v>377</v>
      </c>
      <c r="G86" s="493" t="s">
        <v>117</v>
      </c>
      <c r="H86" s="493" t="s">
        <v>118</v>
      </c>
      <c r="I86" s="493" t="s">
        <v>119</v>
      </c>
      <c r="J86" s="493" t="s">
        <v>120</v>
      </c>
      <c r="K86" s="493" t="s">
        <v>377</v>
      </c>
      <c r="L86" s="493" t="s">
        <v>390</v>
      </c>
      <c r="M86" s="493" t="s">
        <v>122</v>
      </c>
      <c r="N86" s="493" t="s">
        <v>123</v>
      </c>
      <c r="O86" s="493">
        <v>6503200</v>
      </c>
      <c r="P86" s="439">
        <v>5912000</v>
      </c>
      <c r="Q86" s="493">
        <v>591200</v>
      </c>
      <c r="R86" s="493" t="s">
        <v>124</v>
      </c>
      <c r="S86" s="493" t="s">
        <v>382</v>
      </c>
      <c r="T86" s="493" t="s">
        <v>125</v>
      </c>
      <c r="U86" s="493" t="s">
        <v>126</v>
      </c>
      <c r="V86" s="493" t="s">
        <v>127</v>
      </c>
      <c r="W86" s="493" t="s">
        <v>128</v>
      </c>
      <c r="X86" s="493" t="s">
        <v>129</v>
      </c>
      <c r="Y86" s="493" t="s">
        <v>377</v>
      </c>
      <c r="Z86" s="493" t="s">
        <v>849</v>
      </c>
      <c r="AA86" s="493" t="s">
        <v>130</v>
      </c>
      <c r="AB86" s="493" t="s">
        <v>377</v>
      </c>
      <c r="AC86" s="493" t="s">
        <v>131</v>
      </c>
      <c r="AD86" s="493" t="s">
        <v>876</v>
      </c>
      <c r="AE86" s="493">
        <v>5912000</v>
      </c>
      <c r="AF86" s="493">
        <v>591200</v>
      </c>
      <c r="AG86" s="493" t="s">
        <v>463</v>
      </c>
      <c r="AH86" s="130">
        <f t="shared" ref="AH86:AH150" si="19">IF(A86&lt;&gt;"", A86+40, "")</f>
        <v>46131</v>
      </c>
      <c r="AI86" s="495"/>
      <c r="AJ86" s="439"/>
      <c r="AK86" s="121">
        <f t="shared" si="12"/>
        <v>6503200.0000000009</v>
      </c>
      <c r="AL86" s="440" t="str">
        <f t="shared" ca="1" si="17"/>
        <v>관리</v>
      </c>
      <c r="AM86" s="440"/>
      <c r="AN86" s="440" t="s">
        <v>2259</v>
      </c>
      <c r="AO86" s="440"/>
    </row>
    <row r="87" spans="1:41" ht="16.5" hidden="1" customHeight="1">
      <c r="A87" s="492" t="s">
        <v>849</v>
      </c>
      <c r="B87" s="493" t="s">
        <v>877</v>
      </c>
      <c r="C87" s="492" t="s">
        <v>849</v>
      </c>
      <c r="D87" s="492" t="s">
        <v>849</v>
      </c>
      <c r="E87" s="493" t="s">
        <v>116</v>
      </c>
      <c r="F87" s="493" t="s">
        <v>377</v>
      </c>
      <c r="G87" s="493" t="s">
        <v>117</v>
      </c>
      <c r="H87" s="493" t="s">
        <v>118</v>
      </c>
      <c r="I87" s="493" t="s">
        <v>119</v>
      </c>
      <c r="J87" s="493" t="s">
        <v>120</v>
      </c>
      <c r="K87" s="493" t="s">
        <v>377</v>
      </c>
      <c r="L87" s="493" t="s">
        <v>390</v>
      </c>
      <c r="M87" s="493" t="s">
        <v>122</v>
      </c>
      <c r="N87" s="493" t="s">
        <v>123</v>
      </c>
      <c r="O87" s="493">
        <v>5491200</v>
      </c>
      <c r="P87" s="439">
        <v>4992000</v>
      </c>
      <c r="Q87" s="493">
        <v>499200</v>
      </c>
      <c r="R87" s="493" t="s">
        <v>124</v>
      </c>
      <c r="S87" s="493" t="s">
        <v>382</v>
      </c>
      <c r="T87" s="493" t="s">
        <v>125</v>
      </c>
      <c r="U87" s="493" t="s">
        <v>126</v>
      </c>
      <c r="V87" s="493" t="s">
        <v>127</v>
      </c>
      <c r="W87" s="493" t="s">
        <v>128</v>
      </c>
      <c r="X87" s="493" t="s">
        <v>129</v>
      </c>
      <c r="Y87" s="493" t="s">
        <v>377</v>
      </c>
      <c r="Z87" s="493" t="s">
        <v>849</v>
      </c>
      <c r="AA87" s="493" t="s">
        <v>130</v>
      </c>
      <c r="AB87" s="493" t="s">
        <v>377</v>
      </c>
      <c r="AC87" s="493" t="s">
        <v>131</v>
      </c>
      <c r="AD87" s="493" t="s">
        <v>878</v>
      </c>
      <c r="AE87" s="493">
        <v>4992000</v>
      </c>
      <c r="AF87" s="493">
        <v>499200</v>
      </c>
      <c r="AG87" s="493" t="s">
        <v>463</v>
      </c>
      <c r="AH87" s="130">
        <f t="shared" si="19"/>
        <v>46131</v>
      </c>
      <c r="AI87" s="495"/>
      <c r="AJ87" s="439"/>
      <c r="AK87" s="121">
        <f t="shared" si="12"/>
        <v>5491200</v>
      </c>
      <c r="AL87" s="440" t="str">
        <f t="shared" ca="1" si="17"/>
        <v>관리</v>
      </c>
      <c r="AM87" s="440"/>
      <c r="AN87" s="440" t="s">
        <v>2259</v>
      </c>
      <c r="AO87" s="440"/>
    </row>
    <row r="88" spans="1:41" ht="16.5" hidden="1" customHeight="1">
      <c r="A88" s="492" t="s">
        <v>849</v>
      </c>
      <c r="B88" s="493" t="s">
        <v>879</v>
      </c>
      <c r="C88" s="492" t="s">
        <v>849</v>
      </c>
      <c r="D88" s="492" t="s">
        <v>849</v>
      </c>
      <c r="E88" s="493" t="s">
        <v>116</v>
      </c>
      <c r="F88" s="493" t="s">
        <v>377</v>
      </c>
      <c r="G88" s="493" t="s">
        <v>117</v>
      </c>
      <c r="H88" s="493" t="s">
        <v>118</v>
      </c>
      <c r="I88" s="493" t="s">
        <v>119</v>
      </c>
      <c r="J88" s="493" t="s">
        <v>519</v>
      </c>
      <c r="K88" s="493" t="s">
        <v>377</v>
      </c>
      <c r="L88" s="493" t="s">
        <v>520</v>
      </c>
      <c r="M88" s="493" t="s">
        <v>521</v>
      </c>
      <c r="N88" s="493" t="s">
        <v>522</v>
      </c>
      <c r="O88" s="493">
        <v>1045385</v>
      </c>
      <c r="P88" s="439">
        <v>950350</v>
      </c>
      <c r="Q88" s="493">
        <v>95035</v>
      </c>
      <c r="R88" s="493" t="s">
        <v>124</v>
      </c>
      <c r="S88" s="493" t="s">
        <v>382</v>
      </c>
      <c r="T88" s="493" t="s">
        <v>125</v>
      </c>
      <c r="U88" s="493" t="s">
        <v>126</v>
      </c>
      <c r="V88" s="493" t="s">
        <v>127</v>
      </c>
      <c r="W88" s="493" t="s">
        <v>128</v>
      </c>
      <c r="X88" s="493" t="s">
        <v>523</v>
      </c>
      <c r="Y88" s="493" t="s">
        <v>377</v>
      </c>
      <c r="Z88" s="493" t="s">
        <v>849</v>
      </c>
      <c r="AA88" s="493" t="s">
        <v>130</v>
      </c>
      <c r="AB88" s="493" t="s">
        <v>377</v>
      </c>
      <c r="AC88" s="493" t="s">
        <v>131</v>
      </c>
      <c r="AD88" s="493" t="s">
        <v>880</v>
      </c>
      <c r="AE88" s="493">
        <v>950350</v>
      </c>
      <c r="AF88" s="493">
        <v>95035</v>
      </c>
      <c r="AG88" s="493" t="s">
        <v>818</v>
      </c>
      <c r="AH88" s="130">
        <f t="shared" si="19"/>
        <v>46131</v>
      </c>
      <c r="AI88" s="495">
        <v>46091</v>
      </c>
      <c r="AJ88" s="439">
        <f t="shared" ref="AJ88:AJ95" si="20">P88*1.1</f>
        <v>1045385.0000000001</v>
      </c>
      <c r="AK88" s="121">
        <f t="shared" si="12"/>
        <v>0</v>
      </c>
      <c r="AL88" s="440" t="str">
        <f t="shared" ca="1" si="17"/>
        <v/>
      </c>
      <c r="AM88" s="440"/>
      <c r="AN88" s="440"/>
      <c r="AO88" s="440"/>
    </row>
    <row r="89" spans="1:41" ht="16.5" hidden="1" customHeight="1">
      <c r="A89" s="492" t="s">
        <v>849</v>
      </c>
      <c r="B89" s="493" t="s">
        <v>881</v>
      </c>
      <c r="C89" s="492" t="s">
        <v>849</v>
      </c>
      <c r="D89" s="492" t="s">
        <v>849</v>
      </c>
      <c r="E89" s="493" t="s">
        <v>116</v>
      </c>
      <c r="F89" s="493" t="s">
        <v>377</v>
      </c>
      <c r="G89" s="493" t="s">
        <v>117</v>
      </c>
      <c r="H89" s="493" t="s">
        <v>118</v>
      </c>
      <c r="I89" s="493" t="s">
        <v>119</v>
      </c>
      <c r="J89" s="493" t="s">
        <v>674</v>
      </c>
      <c r="K89" s="493" t="s">
        <v>377</v>
      </c>
      <c r="L89" s="493" t="s">
        <v>675</v>
      </c>
      <c r="M89" s="493" t="s">
        <v>676</v>
      </c>
      <c r="N89" s="493" t="s">
        <v>677</v>
      </c>
      <c r="O89" s="493">
        <v>847440</v>
      </c>
      <c r="P89" s="439">
        <v>770400</v>
      </c>
      <c r="Q89" s="493">
        <v>77040</v>
      </c>
      <c r="R89" s="493" t="s">
        <v>124</v>
      </c>
      <c r="S89" s="493" t="s">
        <v>382</v>
      </c>
      <c r="T89" s="493" t="s">
        <v>125</v>
      </c>
      <c r="U89" s="493" t="s">
        <v>126</v>
      </c>
      <c r="V89" s="493" t="s">
        <v>127</v>
      </c>
      <c r="W89" s="493" t="s">
        <v>128</v>
      </c>
      <c r="X89" s="493" t="s">
        <v>678</v>
      </c>
      <c r="Y89" s="493" t="s">
        <v>377</v>
      </c>
      <c r="Z89" s="493" t="s">
        <v>849</v>
      </c>
      <c r="AA89" s="493" t="s">
        <v>130</v>
      </c>
      <c r="AB89" s="493" t="s">
        <v>377</v>
      </c>
      <c r="AC89" s="493" t="s">
        <v>131</v>
      </c>
      <c r="AD89" s="493" t="s">
        <v>882</v>
      </c>
      <c r="AE89" s="493">
        <v>770400</v>
      </c>
      <c r="AF89" s="493">
        <v>77040</v>
      </c>
      <c r="AG89" s="493" t="s">
        <v>698</v>
      </c>
      <c r="AH89" s="130">
        <f t="shared" si="19"/>
        <v>46131</v>
      </c>
      <c r="AI89" s="495">
        <v>46142</v>
      </c>
      <c r="AJ89" s="439">
        <f t="shared" si="20"/>
        <v>847440.00000000012</v>
      </c>
      <c r="AK89" s="121">
        <f t="shared" si="12"/>
        <v>0</v>
      </c>
      <c r="AL89" s="440" t="str">
        <f t="shared" ca="1" si="17"/>
        <v/>
      </c>
      <c r="AM89" s="440"/>
      <c r="AN89" s="440"/>
      <c r="AO89" s="440"/>
    </row>
    <row r="90" spans="1:41" ht="16.5" hidden="1" customHeight="1">
      <c r="A90" s="492" t="s">
        <v>849</v>
      </c>
      <c r="B90" s="493" t="s">
        <v>883</v>
      </c>
      <c r="C90" s="492" t="s">
        <v>849</v>
      </c>
      <c r="D90" s="492" t="s">
        <v>849</v>
      </c>
      <c r="E90" s="493" t="s">
        <v>116</v>
      </c>
      <c r="F90" s="493" t="s">
        <v>377</v>
      </c>
      <c r="G90" s="493" t="s">
        <v>117</v>
      </c>
      <c r="H90" s="493" t="s">
        <v>118</v>
      </c>
      <c r="I90" s="493" t="s">
        <v>119</v>
      </c>
      <c r="J90" s="493" t="s">
        <v>884</v>
      </c>
      <c r="K90" s="493" t="s">
        <v>377</v>
      </c>
      <c r="L90" s="493" t="s">
        <v>885</v>
      </c>
      <c r="M90" s="493" t="s">
        <v>886</v>
      </c>
      <c r="N90" s="493" t="s">
        <v>887</v>
      </c>
      <c r="O90" s="493">
        <v>520960</v>
      </c>
      <c r="P90" s="439">
        <v>473600</v>
      </c>
      <c r="Q90" s="493">
        <v>47360</v>
      </c>
      <c r="R90" s="493" t="s">
        <v>124</v>
      </c>
      <c r="S90" s="493" t="s">
        <v>382</v>
      </c>
      <c r="T90" s="493" t="s">
        <v>125</v>
      </c>
      <c r="U90" s="493" t="s">
        <v>126</v>
      </c>
      <c r="V90" s="493" t="s">
        <v>127</v>
      </c>
      <c r="W90" s="493" t="s">
        <v>128</v>
      </c>
      <c r="X90" s="493" t="s">
        <v>888</v>
      </c>
      <c r="Y90" s="493" t="s">
        <v>377</v>
      </c>
      <c r="Z90" s="493" t="s">
        <v>849</v>
      </c>
      <c r="AA90" s="493" t="s">
        <v>130</v>
      </c>
      <c r="AB90" s="493" t="s">
        <v>377</v>
      </c>
      <c r="AC90" s="493" t="s">
        <v>131</v>
      </c>
      <c r="AD90" s="493" t="s">
        <v>889</v>
      </c>
      <c r="AE90" s="493">
        <v>473600</v>
      </c>
      <c r="AF90" s="493">
        <v>47360</v>
      </c>
      <c r="AG90" s="493" t="s">
        <v>893</v>
      </c>
      <c r="AH90" s="130">
        <f t="shared" si="19"/>
        <v>46131</v>
      </c>
      <c r="AI90" s="495">
        <v>46091</v>
      </c>
      <c r="AJ90" s="439">
        <f t="shared" si="20"/>
        <v>520960.00000000006</v>
      </c>
      <c r="AK90" s="121">
        <f t="shared" si="12"/>
        <v>0</v>
      </c>
      <c r="AL90" s="440" t="str">
        <f t="shared" ca="1" si="17"/>
        <v/>
      </c>
      <c r="AM90" s="440"/>
      <c r="AN90" s="440"/>
      <c r="AO90" s="440"/>
    </row>
    <row r="91" spans="1:41" ht="16.5" hidden="1" customHeight="1">
      <c r="A91" s="492" t="s">
        <v>896</v>
      </c>
      <c r="B91" s="493" t="s">
        <v>897</v>
      </c>
      <c r="C91" s="492" t="s">
        <v>896</v>
      </c>
      <c r="D91" s="492" t="s">
        <v>896</v>
      </c>
      <c r="E91" s="493" t="s">
        <v>116</v>
      </c>
      <c r="F91" s="493" t="s">
        <v>377</v>
      </c>
      <c r="G91" s="493" t="s">
        <v>117</v>
      </c>
      <c r="H91" s="493" t="s">
        <v>118</v>
      </c>
      <c r="I91" s="493" t="s">
        <v>119</v>
      </c>
      <c r="J91" s="493" t="s">
        <v>898</v>
      </c>
      <c r="K91" s="493" t="s">
        <v>377</v>
      </c>
      <c r="L91" s="493" t="s">
        <v>899</v>
      </c>
      <c r="M91" s="493" t="s">
        <v>900</v>
      </c>
      <c r="N91" s="493" t="s">
        <v>901</v>
      </c>
      <c r="O91" s="493">
        <v>133650</v>
      </c>
      <c r="P91" s="439">
        <v>121500</v>
      </c>
      <c r="Q91" s="493">
        <v>12150</v>
      </c>
      <c r="R91" s="493" t="s">
        <v>124</v>
      </c>
      <c r="S91" s="493" t="s">
        <v>382</v>
      </c>
      <c r="T91" s="493" t="s">
        <v>125</v>
      </c>
      <c r="U91" s="493" t="s">
        <v>126</v>
      </c>
      <c r="V91" s="493" t="s">
        <v>127</v>
      </c>
      <c r="W91" s="493" t="s">
        <v>128</v>
      </c>
      <c r="X91" s="493" t="s">
        <v>377</v>
      </c>
      <c r="Y91" s="493" t="s">
        <v>902</v>
      </c>
      <c r="Z91" s="493" t="s">
        <v>896</v>
      </c>
      <c r="AA91" s="493" t="s">
        <v>130</v>
      </c>
      <c r="AB91" s="493" t="s">
        <v>377</v>
      </c>
      <c r="AC91" s="493" t="s">
        <v>131</v>
      </c>
      <c r="AD91" s="493" t="s">
        <v>903</v>
      </c>
      <c r="AE91" s="493">
        <v>121500</v>
      </c>
      <c r="AF91" s="493">
        <v>12150</v>
      </c>
      <c r="AG91" s="493" t="s">
        <v>929</v>
      </c>
      <c r="AH91" s="130">
        <f t="shared" si="19"/>
        <v>46132</v>
      </c>
      <c r="AI91" s="495">
        <v>46101</v>
      </c>
      <c r="AJ91" s="439">
        <f t="shared" si="20"/>
        <v>133650</v>
      </c>
      <c r="AK91" s="121">
        <f t="shared" ref="AK91:AK97" si="21">(P91*1.1)-AJ91</f>
        <v>0</v>
      </c>
      <c r="AL91" s="440" t="str">
        <f t="shared" ca="1" si="17"/>
        <v/>
      </c>
      <c r="AM91" s="440"/>
      <c r="AN91" s="440"/>
      <c r="AO91" s="440"/>
    </row>
    <row r="92" spans="1:41" ht="16.5" hidden="1" customHeight="1">
      <c r="A92" s="492" t="s">
        <v>896</v>
      </c>
      <c r="B92" s="493" t="s">
        <v>904</v>
      </c>
      <c r="C92" s="492" t="s">
        <v>896</v>
      </c>
      <c r="D92" s="492" t="s">
        <v>896</v>
      </c>
      <c r="E92" s="493" t="s">
        <v>116</v>
      </c>
      <c r="F92" s="493" t="s">
        <v>377</v>
      </c>
      <c r="G92" s="493" t="s">
        <v>117</v>
      </c>
      <c r="H92" s="493" t="s">
        <v>118</v>
      </c>
      <c r="I92" s="493" t="s">
        <v>119</v>
      </c>
      <c r="J92" s="493" t="s">
        <v>905</v>
      </c>
      <c r="K92" s="493" t="s">
        <v>377</v>
      </c>
      <c r="L92" s="493" t="s">
        <v>2188</v>
      </c>
      <c r="M92" s="493" t="s">
        <v>906</v>
      </c>
      <c r="N92" s="493" t="s">
        <v>907</v>
      </c>
      <c r="O92" s="493">
        <v>18500790</v>
      </c>
      <c r="P92" s="439">
        <v>16818900</v>
      </c>
      <c r="Q92" s="493">
        <v>1681890</v>
      </c>
      <c r="R92" s="493" t="s">
        <v>124</v>
      </c>
      <c r="S92" s="493" t="s">
        <v>382</v>
      </c>
      <c r="T92" s="493" t="s">
        <v>125</v>
      </c>
      <c r="U92" s="493" t="s">
        <v>126</v>
      </c>
      <c r="V92" s="493" t="s">
        <v>127</v>
      </c>
      <c r="W92" s="493" t="s">
        <v>128</v>
      </c>
      <c r="X92" s="493" t="s">
        <v>908</v>
      </c>
      <c r="Y92" s="493" t="s">
        <v>377</v>
      </c>
      <c r="Z92" s="493" t="s">
        <v>896</v>
      </c>
      <c r="AA92" s="493" t="s">
        <v>130</v>
      </c>
      <c r="AB92" s="493" t="s">
        <v>377</v>
      </c>
      <c r="AC92" s="493" t="s">
        <v>131</v>
      </c>
      <c r="AD92" s="493" t="s">
        <v>909</v>
      </c>
      <c r="AE92" s="493">
        <v>16818900</v>
      </c>
      <c r="AF92" s="493">
        <v>1681890</v>
      </c>
      <c r="AG92" s="493" t="s">
        <v>931</v>
      </c>
      <c r="AH92" s="130">
        <f t="shared" si="19"/>
        <v>46132</v>
      </c>
      <c r="AI92" s="495">
        <v>46164</v>
      </c>
      <c r="AJ92" s="439">
        <f t="shared" si="20"/>
        <v>18500790</v>
      </c>
      <c r="AK92" s="121">
        <f t="shared" si="21"/>
        <v>0</v>
      </c>
      <c r="AL92" s="440" t="str">
        <f t="shared" ca="1" si="17"/>
        <v/>
      </c>
      <c r="AM92" s="440"/>
      <c r="AN92" s="440"/>
      <c r="AO92" s="440"/>
    </row>
    <row r="93" spans="1:41" ht="16.5" hidden="1" customHeight="1">
      <c r="A93" s="492" t="s">
        <v>896</v>
      </c>
      <c r="B93" s="493" t="s">
        <v>910</v>
      </c>
      <c r="C93" s="492" t="s">
        <v>896</v>
      </c>
      <c r="D93" s="492" t="s">
        <v>896</v>
      </c>
      <c r="E93" s="493" t="s">
        <v>116</v>
      </c>
      <c r="F93" s="493" t="s">
        <v>377</v>
      </c>
      <c r="G93" s="493" t="s">
        <v>117</v>
      </c>
      <c r="H93" s="493" t="s">
        <v>118</v>
      </c>
      <c r="I93" s="493" t="s">
        <v>119</v>
      </c>
      <c r="J93" s="493" t="s">
        <v>911</v>
      </c>
      <c r="K93" s="493" t="s">
        <v>377</v>
      </c>
      <c r="L93" s="493" t="s">
        <v>912</v>
      </c>
      <c r="M93" s="493" t="s">
        <v>913</v>
      </c>
      <c r="N93" s="493" t="s">
        <v>914</v>
      </c>
      <c r="O93" s="493">
        <v>324280</v>
      </c>
      <c r="P93" s="439">
        <v>294800</v>
      </c>
      <c r="Q93" s="493">
        <v>29480</v>
      </c>
      <c r="R93" s="493" t="s">
        <v>124</v>
      </c>
      <c r="S93" s="493" t="s">
        <v>382</v>
      </c>
      <c r="T93" s="493" t="s">
        <v>125</v>
      </c>
      <c r="U93" s="493" t="s">
        <v>126</v>
      </c>
      <c r="V93" s="493" t="s">
        <v>127</v>
      </c>
      <c r="W93" s="493" t="s">
        <v>128</v>
      </c>
      <c r="X93" s="493" t="s">
        <v>915</v>
      </c>
      <c r="Y93" s="493" t="s">
        <v>377</v>
      </c>
      <c r="Z93" s="493" t="s">
        <v>896</v>
      </c>
      <c r="AA93" s="493" t="s">
        <v>130</v>
      </c>
      <c r="AB93" s="493" t="s">
        <v>377</v>
      </c>
      <c r="AC93" s="493" t="s">
        <v>131</v>
      </c>
      <c r="AD93" s="493" t="s">
        <v>916</v>
      </c>
      <c r="AE93" s="493">
        <v>294800</v>
      </c>
      <c r="AF93" s="493">
        <v>29480</v>
      </c>
      <c r="AG93" s="493" t="s">
        <v>1541</v>
      </c>
      <c r="AH93" s="130">
        <f t="shared" si="19"/>
        <v>46132</v>
      </c>
      <c r="AI93" s="495">
        <v>46101</v>
      </c>
      <c r="AJ93" s="439">
        <f t="shared" si="20"/>
        <v>324280</v>
      </c>
      <c r="AK93" s="121">
        <f t="shared" si="21"/>
        <v>0</v>
      </c>
      <c r="AL93" s="440" t="str">
        <f t="shared" ca="1" si="17"/>
        <v/>
      </c>
      <c r="AM93" s="440"/>
      <c r="AN93" s="440"/>
      <c r="AO93" s="440"/>
    </row>
    <row r="94" spans="1:41" ht="16.5" hidden="1" customHeight="1">
      <c r="A94" s="492" t="s">
        <v>896</v>
      </c>
      <c r="B94" s="493" t="s">
        <v>917</v>
      </c>
      <c r="C94" s="492" t="s">
        <v>896</v>
      </c>
      <c r="D94" s="492" t="s">
        <v>896</v>
      </c>
      <c r="E94" s="493" t="s">
        <v>116</v>
      </c>
      <c r="F94" s="493" t="s">
        <v>377</v>
      </c>
      <c r="G94" s="493" t="s">
        <v>117</v>
      </c>
      <c r="H94" s="493" t="s">
        <v>118</v>
      </c>
      <c r="I94" s="493" t="s">
        <v>119</v>
      </c>
      <c r="J94" s="493" t="s">
        <v>421</v>
      </c>
      <c r="K94" s="493" t="s">
        <v>377</v>
      </c>
      <c r="L94" s="493" t="s">
        <v>422</v>
      </c>
      <c r="M94" s="493" t="s">
        <v>423</v>
      </c>
      <c r="N94" s="493" t="s">
        <v>424</v>
      </c>
      <c r="O94" s="493">
        <v>353100</v>
      </c>
      <c r="P94" s="439">
        <v>321000</v>
      </c>
      <c r="Q94" s="493">
        <v>32100</v>
      </c>
      <c r="R94" s="493" t="s">
        <v>124</v>
      </c>
      <c r="S94" s="493" t="s">
        <v>382</v>
      </c>
      <c r="T94" s="493" t="s">
        <v>125</v>
      </c>
      <c r="U94" s="493" t="s">
        <v>126</v>
      </c>
      <c r="V94" s="493" t="s">
        <v>127</v>
      </c>
      <c r="W94" s="493" t="s">
        <v>128</v>
      </c>
      <c r="X94" s="493" t="s">
        <v>425</v>
      </c>
      <c r="Y94" s="493" t="s">
        <v>377</v>
      </c>
      <c r="Z94" s="493" t="s">
        <v>896</v>
      </c>
      <c r="AA94" s="493" t="s">
        <v>130</v>
      </c>
      <c r="AB94" s="493" t="s">
        <v>377</v>
      </c>
      <c r="AC94" s="493" t="s">
        <v>131</v>
      </c>
      <c r="AD94" s="493" t="s">
        <v>459</v>
      </c>
      <c r="AE94" s="493">
        <v>321000</v>
      </c>
      <c r="AF94" s="493">
        <v>32100</v>
      </c>
      <c r="AG94" s="493" t="s">
        <v>435</v>
      </c>
      <c r="AH94" s="130">
        <f t="shared" si="19"/>
        <v>46132</v>
      </c>
      <c r="AI94" s="495">
        <v>46136</v>
      </c>
      <c r="AJ94" s="439">
        <f t="shared" si="20"/>
        <v>353100</v>
      </c>
      <c r="AK94" s="121">
        <f t="shared" si="21"/>
        <v>0</v>
      </c>
      <c r="AL94" s="440" t="str">
        <f t="shared" ca="1" si="17"/>
        <v/>
      </c>
      <c r="AM94" s="440"/>
      <c r="AN94" s="440"/>
      <c r="AO94" s="440"/>
    </row>
    <row r="95" spans="1:41" ht="16.5" hidden="1" customHeight="1">
      <c r="A95" s="492" t="s">
        <v>896</v>
      </c>
      <c r="B95" s="493" t="s">
        <v>918</v>
      </c>
      <c r="C95" s="492" t="s">
        <v>896</v>
      </c>
      <c r="D95" s="492" t="s">
        <v>896</v>
      </c>
      <c r="E95" s="493" t="s">
        <v>116</v>
      </c>
      <c r="F95" s="493" t="s">
        <v>377</v>
      </c>
      <c r="G95" s="493" t="s">
        <v>117</v>
      </c>
      <c r="H95" s="493" t="s">
        <v>118</v>
      </c>
      <c r="I95" s="493" t="s">
        <v>119</v>
      </c>
      <c r="J95" s="493" t="s">
        <v>919</v>
      </c>
      <c r="K95" s="493" t="s">
        <v>377</v>
      </c>
      <c r="L95" s="493" t="s">
        <v>920</v>
      </c>
      <c r="M95" s="493" t="s">
        <v>921</v>
      </c>
      <c r="N95" s="493" t="s">
        <v>922</v>
      </c>
      <c r="O95" s="493">
        <v>1402940</v>
      </c>
      <c r="P95" s="439">
        <v>1275400</v>
      </c>
      <c r="Q95" s="493">
        <v>127540</v>
      </c>
      <c r="R95" s="493" t="s">
        <v>124</v>
      </c>
      <c r="S95" s="493" t="s">
        <v>382</v>
      </c>
      <c r="T95" s="493" t="s">
        <v>125</v>
      </c>
      <c r="U95" s="493" t="s">
        <v>126</v>
      </c>
      <c r="V95" s="493" t="s">
        <v>127</v>
      </c>
      <c r="W95" s="493" t="s">
        <v>128</v>
      </c>
      <c r="X95" s="493" t="s">
        <v>923</v>
      </c>
      <c r="Y95" s="493" t="s">
        <v>377</v>
      </c>
      <c r="Z95" s="493" t="s">
        <v>896</v>
      </c>
      <c r="AA95" s="493" t="s">
        <v>130</v>
      </c>
      <c r="AB95" s="493" t="s">
        <v>377</v>
      </c>
      <c r="AC95" s="493" t="s">
        <v>131</v>
      </c>
      <c r="AD95" s="493" t="s">
        <v>924</v>
      </c>
      <c r="AE95" s="493">
        <v>1275400</v>
      </c>
      <c r="AF95" s="493">
        <v>127540</v>
      </c>
      <c r="AG95" s="493" t="s">
        <v>930</v>
      </c>
      <c r="AH95" s="130">
        <f t="shared" si="19"/>
        <v>46132</v>
      </c>
      <c r="AI95" s="495">
        <v>46154</v>
      </c>
      <c r="AJ95" s="439">
        <f t="shared" si="20"/>
        <v>1402940</v>
      </c>
      <c r="AK95" s="121">
        <f t="shared" si="21"/>
        <v>0</v>
      </c>
      <c r="AL95" s="440" t="str">
        <f t="shared" ca="1" si="17"/>
        <v/>
      </c>
      <c r="AM95" s="440"/>
      <c r="AN95" s="440"/>
      <c r="AO95" s="440"/>
    </row>
    <row r="96" spans="1:41" ht="16.5" hidden="1" customHeight="1">
      <c r="A96" s="492" t="s">
        <v>896</v>
      </c>
      <c r="B96" s="493" t="s">
        <v>925</v>
      </c>
      <c r="C96" s="492" t="s">
        <v>896</v>
      </c>
      <c r="D96" s="492" t="s">
        <v>896</v>
      </c>
      <c r="E96" s="493" t="s">
        <v>116</v>
      </c>
      <c r="F96" s="493" t="s">
        <v>377</v>
      </c>
      <c r="G96" s="493" t="s">
        <v>117</v>
      </c>
      <c r="H96" s="493" t="s">
        <v>118</v>
      </c>
      <c r="I96" s="493" t="s">
        <v>119</v>
      </c>
      <c r="J96" s="493" t="s">
        <v>120</v>
      </c>
      <c r="K96" s="493" t="s">
        <v>377</v>
      </c>
      <c r="L96" s="493" t="s">
        <v>390</v>
      </c>
      <c r="M96" s="493" t="s">
        <v>122</v>
      </c>
      <c r="N96" s="493" t="s">
        <v>123</v>
      </c>
      <c r="O96" s="493">
        <v>12100000</v>
      </c>
      <c r="P96" s="439">
        <v>11000000</v>
      </c>
      <c r="Q96" s="493">
        <v>1100000</v>
      </c>
      <c r="R96" s="493" t="s">
        <v>124</v>
      </c>
      <c r="S96" s="493" t="s">
        <v>382</v>
      </c>
      <c r="T96" s="493" t="s">
        <v>125</v>
      </c>
      <c r="U96" s="493" t="s">
        <v>126</v>
      </c>
      <c r="V96" s="493" t="s">
        <v>127</v>
      </c>
      <c r="W96" s="493" t="s">
        <v>128</v>
      </c>
      <c r="X96" s="493" t="s">
        <v>129</v>
      </c>
      <c r="Y96" s="493" t="s">
        <v>377</v>
      </c>
      <c r="Z96" s="493" t="s">
        <v>896</v>
      </c>
      <c r="AA96" s="493" t="s">
        <v>130</v>
      </c>
      <c r="AB96" s="493" t="s">
        <v>377</v>
      </c>
      <c r="AC96" s="493" t="s">
        <v>131</v>
      </c>
      <c r="AD96" s="493" t="s">
        <v>926</v>
      </c>
      <c r="AE96" s="493">
        <v>11000000</v>
      </c>
      <c r="AF96" s="493">
        <v>1100000</v>
      </c>
      <c r="AG96" s="493" t="s">
        <v>463</v>
      </c>
      <c r="AH96" s="130">
        <f t="shared" si="19"/>
        <v>46132</v>
      </c>
      <c r="AI96" s="495"/>
      <c r="AJ96" s="439"/>
      <c r="AK96" s="121">
        <f t="shared" si="21"/>
        <v>12100000.000000002</v>
      </c>
      <c r="AL96" s="440" t="str">
        <f t="shared" ca="1" si="17"/>
        <v>관리</v>
      </c>
      <c r="AM96" s="440"/>
      <c r="AN96" s="440" t="s">
        <v>2259</v>
      </c>
      <c r="AO96" s="440"/>
    </row>
    <row r="97" spans="1:41" ht="16.5" hidden="1" customHeight="1">
      <c r="A97" s="492" t="s">
        <v>896</v>
      </c>
      <c r="B97" s="493" t="s">
        <v>927</v>
      </c>
      <c r="C97" s="492" t="s">
        <v>896</v>
      </c>
      <c r="D97" s="492" t="s">
        <v>896</v>
      </c>
      <c r="E97" s="493" t="s">
        <v>116</v>
      </c>
      <c r="F97" s="493" t="s">
        <v>377</v>
      </c>
      <c r="G97" s="493" t="s">
        <v>117</v>
      </c>
      <c r="H97" s="493" t="s">
        <v>118</v>
      </c>
      <c r="I97" s="493" t="s">
        <v>119</v>
      </c>
      <c r="J97" s="493" t="s">
        <v>135</v>
      </c>
      <c r="K97" s="493" t="s">
        <v>377</v>
      </c>
      <c r="L97" s="493" t="s">
        <v>579</v>
      </c>
      <c r="M97" s="493" t="s">
        <v>137</v>
      </c>
      <c r="N97" s="493" t="s">
        <v>138</v>
      </c>
      <c r="O97" s="493">
        <v>6023050</v>
      </c>
      <c r="P97" s="439">
        <v>5475500</v>
      </c>
      <c r="Q97" s="493">
        <v>547550</v>
      </c>
      <c r="R97" s="493" t="s">
        <v>124</v>
      </c>
      <c r="S97" s="493" t="s">
        <v>382</v>
      </c>
      <c r="T97" s="493" t="s">
        <v>125</v>
      </c>
      <c r="U97" s="493" t="s">
        <v>126</v>
      </c>
      <c r="V97" s="493" t="s">
        <v>127</v>
      </c>
      <c r="W97" s="493" t="s">
        <v>128</v>
      </c>
      <c r="X97" s="493" t="s">
        <v>139</v>
      </c>
      <c r="Y97" s="493" t="s">
        <v>377</v>
      </c>
      <c r="Z97" s="493" t="s">
        <v>896</v>
      </c>
      <c r="AA97" s="493" t="s">
        <v>130</v>
      </c>
      <c r="AB97" s="493" t="s">
        <v>377</v>
      </c>
      <c r="AC97" s="493" t="s">
        <v>131</v>
      </c>
      <c r="AD97" s="493" t="s">
        <v>928</v>
      </c>
      <c r="AE97" s="493">
        <v>5475500</v>
      </c>
      <c r="AF97" s="493">
        <v>547550</v>
      </c>
      <c r="AG97" s="493" t="s">
        <v>819</v>
      </c>
      <c r="AH97" s="130">
        <f t="shared" si="19"/>
        <v>46132</v>
      </c>
      <c r="AI97" s="495">
        <v>46171</v>
      </c>
      <c r="AJ97" s="439">
        <f t="shared" ref="AJ97" si="22">P97*1.1</f>
        <v>6023050.0000000009</v>
      </c>
      <c r="AK97" s="121">
        <f t="shared" si="21"/>
        <v>0</v>
      </c>
      <c r="AL97" s="440" t="str">
        <f t="shared" ca="1" si="17"/>
        <v/>
      </c>
      <c r="AM97" s="440"/>
      <c r="AN97" s="440"/>
      <c r="AO97" s="440"/>
    </row>
    <row r="98" spans="1:41" ht="16.5" hidden="1" customHeight="1">
      <c r="A98" s="492" t="s">
        <v>934</v>
      </c>
      <c r="B98" s="493" t="s">
        <v>935</v>
      </c>
      <c r="C98" s="492" t="s">
        <v>934</v>
      </c>
      <c r="D98" s="492" t="s">
        <v>934</v>
      </c>
      <c r="E98" s="493" t="s">
        <v>116</v>
      </c>
      <c r="F98" s="493" t="s">
        <v>377</v>
      </c>
      <c r="G98" s="493" t="s">
        <v>117</v>
      </c>
      <c r="H98" s="493" t="s">
        <v>118</v>
      </c>
      <c r="I98" s="493" t="s">
        <v>119</v>
      </c>
      <c r="J98" s="493" t="s">
        <v>884</v>
      </c>
      <c r="K98" s="493" t="s">
        <v>377</v>
      </c>
      <c r="L98" s="493" t="s">
        <v>885</v>
      </c>
      <c r="M98" s="493" t="s">
        <v>886</v>
      </c>
      <c r="N98" s="493" t="s">
        <v>887</v>
      </c>
      <c r="O98" s="493">
        <v>343200</v>
      </c>
      <c r="P98" s="439">
        <v>312000</v>
      </c>
      <c r="Q98" s="493">
        <v>31200</v>
      </c>
      <c r="R98" s="493" t="s">
        <v>124</v>
      </c>
      <c r="S98" s="493" t="s">
        <v>382</v>
      </c>
      <c r="T98" s="493" t="s">
        <v>125</v>
      </c>
      <c r="U98" s="493" t="s">
        <v>126</v>
      </c>
      <c r="V98" s="493" t="s">
        <v>127</v>
      </c>
      <c r="W98" s="493" t="s">
        <v>128</v>
      </c>
      <c r="X98" s="493" t="s">
        <v>888</v>
      </c>
      <c r="Y98" s="493" t="s">
        <v>377</v>
      </c>
      <c r="Z98" s="493" t="s">
        <v>934</v>
      </c>
      <c r="AA98" s="493" t="s">
        <v>130</v>
      </c>
      <c r="AB98" s="493" t="s">
        <v>377</v>
      </c>
      <c r="AC98" s="493" t="s">
        <v>131</v>
      </c>
      <c r="AD98" s="493" t="s">
        <v>936</v>
      </c>
      <c r="AE98" s="493">
        <v>312000</v>
      </c>
      <c r="AF98" s="493">
        <v>31200</v>
      </c>
      <c r="AG98" s="493" t="s">
        <v>929</v>
      </c>
      <c r="AH98" s="130">
        <f t="shared" si="19"/>
        <v>46133</v>
      </c>
      <c r="AI98" s="495">
        <v>46093</v>
      </c>
      <c r="AJ98" s="439">
        <f>P98*1.1</f>
        <v>343200</v>
      </c>
      <c r="AK98" s="121">
        <f t="shared" ref="AK98:AK104" si="23">(P98*1.1)-AJ98</f>
        <v>0</v>
      </c>
      <c r="AL98" s="440" t="str">
        <f t="shared" ca="1" si="17"/>
        <v/>
      </c>
      <c r="AM98" s="440"/>
      <c r="AN98" s="440"/>
      <c r="AO98" s="440"/>
    </row>
    <row r="99" spans="1:41" ht="16.5" hidden="1" customHeight="1">
      <c r="A99" s="492" t="s">
        <v>934</v>
      </c>
      <c r="B99" s="493" t="s">
        <v>938</v>
      </c>
      <c r="C99" s="492" t="s">
        <v>934</v>
      </c>
      <c r="D99" s="492" t="s">
        <v>934</v>
      </c>
      <c r="E99" s="493" t="s">
        <v>116</v>
      </c>
      <c r="F99" s="493" t="s">
        <v>377</v>
      </c>
      <c r="G99" s="493" t="s">
        <v>117</v>
      </c>
      <c r="H99" s="493" t="s">
        <v>118</v>
      </c>
      <c r="I99" s="493" t="s">
        <v>119</v>
      </c>
      <c r="J99" s="493" t="s">
        <v>939</v>
      </c>
      <c r="K99" s="493" t="s">
        <v>377</v>
      </c>
      <c r="L99" s="493" t="s">
        <v>940</v>
      </c>
      <c r="M99" s="493" t="s">
        <v>941</v>
      </c>
      <c r="N99" s="493" t="s">
        <v>942</v>
      </c>
      <c r="O99" s="493">
        <v>1100550</v>
      </c>
      <c r="P99" s="439">
        <v>1000500</v>
      </c>
      <c r="Q99" s="493">
        <v>100050</v>
      </c>
      <c r="R99" s="493" t="s">
        <v>124</v>
      </c>
      <c r="S99" s="493" t="s">
        <v>382</v>
      </c>
      <c r="T99" s="493" t="s">
        <v>125</v>
      </c>
      <c r="U99" s="493" t="s">
        <v>126</v>
      </c>
      <c r="V99" s="493" t="s">
        <v>127</v>
      </c>
      <c r="W99" s="493" t="s">
        <v>128</v>
      </c>
      <c r="X99" s="493" t="s">
        <v>943</v>
      </c>
      <c r="Y99" s="493" t="s">
        <v>377</v>
      </c>
      <c r="Z99" s="493" t="s">
        <v>934</v>
      </c>
      <c r="AA99" s="493" t="s">
        <v>130</v>
      </c>
      <c r="AB99" s="493" t="s">
        <v>377</v>
      </c>
      <c r="AC99" s="493" t="s">
        <v>131</v>
      </c>
      <c r="AD99" s="493" t="s">
        <v>944</v>
      </c>
      <c r="AE99" s="493">
        <v>1000500</v>
      </c>
      <c r="AF99" s="493">
        <v>100050</v>
      </c>
      <c r="AG99" s="493" t="s">
        <v>959</v>
      </c>
      <c r="AH99" s="130">
        <f t="shared" si="19"/>
        <v>46133</v>
      </c>
      <c r="AI99" s="495">
        <v>46142</v>
      </c>
      <c r="AJ99" s="439">
        <f>P99*1.1</f>
        <v>1100550</v>
      </c>
      <c r="AK99" s="121">
        <f t="shared" si="23"/>
        <v>0</v>
      </c>
      <c r="AL99" s="440" t="str">
        <f t="shared" ca="1" si="17"/>
        <v/>
      </c>
      <c r="AM99" s="440"/>
      <c r="AN99" s="440"/>
      <c r="AO99" s="440"/>
    </row>
    <row r="100" spans="1:41" ht="16.5" hidden="1" customHeight="1">
      <c r="A100" s="492" t="s">
        <v>934</v>
      </c>
      <c r="B100" s="493" t="s">
        <v>945</v>
      </c>
      <c r="C100" s="492" t="s">
        <v>934</v>
      </c>
      <c r="D100" s="492" t="s">
        <v>934</v>
      </c>
      <c r="E100" s="493" t="s">
        <v>116</v>
      </c>
      <c r="F100" s="493" t="s">
        <v>377</v>
      </c>
      <c r="G100" s="493" t="s">
        <v>117</v>
      </c>
      <c r="H100" s="493" t="s">
        <v>118</v>
      </c>
      <c r="I100" s="493" t="s">
        <v>119</v>
      </c>
      <c r="J100" s="493" t="s">
        <v>636</v>
      </c>
      <c r="K100" s="493" t="s">
        <v>377</v>
      </c>
      <c r="L100" s="493" t="s">
        <v>637</v>
      </c>
      <c r="M100" s="493" t="s">
        <v>638</v>
      </c>
      <c r="N100" s="493" t="s">
        <v>639</v>
      </c>
      <c r="O100" s="493">
        <v>6352500</v>
      </c>
      <c r="P100" s="439">
        <v>5775000</v>
      </c>
      <c r="Q100" s="493">
        <v>577500</v>
      </c>
      <c r="R100" s="493" t="s">
        <v>124</v>
      </c>
      <c r="S100" s="493" t="s">
        <v>382</v>
      </c>
      <c r="T100" s="493" t="s">
        <v>125</v>
      </c>
      <c r="U100" s="493" t="s">
        <v>126</v>
      </c>
      <c r="V100" s="493" t="s">
        <v>127</v>
      </c>
      <c r="W100" s="493" t="s">
        <v>128</v>
      </c>
      <c r="X100" s="493" t="s">
        <v>640</v>
      </c>
      <c r="Y100" s="493" t="s">
        <v>377</v>
      </c>
      <c r="Z100" s="493" t="s">
        <v>934</v>
      </c>
      <c r="AA100" s="493" t="s">
        <v>130</v>
      </c>
      <c r="AB100" s="493" t="s">
        <v>377</v>
      </c>
      <c r="AC100" s="493" t="s">
        <v>131</v>
      </c>
      <c r="AD100" s="493" t="s">
        <v>764</v>
      </c>
      <c r="AE100" s="493">
        <v>5775000</v>
      </c>
      <c r="AF100" s="493">
        <v>577500</v>
      </c>
      <c r="AG100" s="493" t="s">
        <v>646</v>
      </c>
      <c r="AH100" s="130">
        <f t="shared" si="19"/>
        <v>46133</v>
      </c>
      <c r="AI100" s="495">
        <v>46126</v>
      </c>
      <c r="AJ100" s="439">
        <f>P100*1.1</f>
        <v>6352500.0000000009</v>
      </c>
      <c r="AK100" s="121">
        <f t="shared" si="23"/>
        <v>0</v>
      </c>
      <c r="AL100" s="440" t="str">
        <f t="shared" ca="1" si="17"/>
        <v/>
      </c>
      <c r="AM100" s="440"/>
      <c r="AN100" s="440"/>
      <c r="AO100" s="440"/>
    </row>
    <row r="101" spans="1:41" ht="16.5" hidden="1" customHeight="1">
      <c r="A101" s="492" t="s">
        <v>934</v>
      </c>
      <c r="B101" s="493" t="s">
        <v>946</v>
      </c>
      <c r="C101" s="492" t="s">
        <v>934</v>
      </c>
      <c r="D101" s="492" t="s">
        <v>934</v>
      </c>
      <c r="E101" s="493" t="s">
        <v>116</v>
      </c>
      <c r="F101" s="493" t="s">
        <v>377</v>
      </c>
      <c r="G101" s="493" t="s">
        <v>117</v>
      </c>
      <c r="H101" s="493" t="s">
        <v>118</v>
      </c>
      <c r="I101" s="493" t="s">
        <v>119</v>
      </c>
      <c r="J101" s="493" t="s">
        <v>650</v>
      </c>
      <c r="K101" s="493" t="s">
        <v>377</v>
      </c>
      <c r="L101" s="493" t="s">
        <v>651</v>
      </c>
      <c r="M101" s="493" t="s">
        <v>652</v>
      </c>
      <c r="N101" s="493" t="s">
        <v>653</v>
      </c>
      <c r="O101" s="493">
        <v>1309000</v>
      </c>
      <c r="P101" s="439">
        <v>1190000</v>
      </c>
      <c r="Q101" s="493">
        <v>119000</v>
      </c>
      <c r="R101" s="493" t="s">
        <v>124</v>
      </c>
      <c r="S101" s="493" t="s">
        <v>382</v>
      </c>
      <c r="T101" s="493" t="s">
        <v>125</v>
      </c>
      <c r="U101" s="493" t="s">
        <v>126</v>
      </c>
      <c r="V101" s="493" t="s">
        <v>127</v>
      </c>
      <c r="W101" s="493" t="s">
        <v>128</v>
      </c>
      <c r="X101" s="493" t="s">
        <v>655</v>
      </c>
      <c r="Y101" s="493" t="s">
        <v>377</v>
      </c>
      <c r="Z101" s="493" t="s">
        <v>934</v>
      </c>
      <c r="AA101" s="493" t="s">
        <v>130</v>
      </c>
      <c r="AB101" s="493" t="s">
        <v>377</v>
      </c>
      <c r="AC101" s="493" t="s">
        <v>131</v>
      </c>
      <c r="AD101" s="493" t="s">
        <v>947</v>
      </c>
      <c r="AE101" s="493">
        <v>1190000</v>
      </c>
      <c r="AF101" s="493">
        <v>119000</v>
      </c>
      <c r="AG101" s="493" t="s">
        <v>657</v>
      </c>
      <c r="AH101" s="130">
        <f t="shared" si="19"/>
        <v>46133</v>
      </c>
      <c r="AI101" s="495">
        <v>46142</v>
      </c>
      <c r="AJ101" s="439">
        <f t="shared" ref="AJ101" si="24">P101*1.1</f>
        <v>1309000</v>
      </c>
      <c r="AK101" s="121">
        <f t="shared" si="23"/>
        <v>0</v>
      </c>
      <c r="AL101" s="440" t="str">
        <f t="shared" ca="1" si="17"/>
        <v/>
      </c>
      <c r="AM101" s="440"/>
      <c r="AN101" s="440"/>
      <c r="AO101" s="440"/>
    </row>
    <row r="102" spans="1:41" ht="16.5" hidden="1" customHeight="1">
      <c r="A102" s="492" t="s">
        <v>934</v>
      </c>
      <c r="B102" s="493" t="s">
        <v>948</v>
      </c>
      <c r="C102" s="492" t="s">
        <v>934</v>
      </c>
      <c r="D102" s="492" t="s">
        <v>934</v>
      </c>
      <c r="E102" s="493" t="s">
        <v>116</v>
      </c>
      <c r="F102" s="493" t="s">
        <v>377</v>
      </c>
      <c r="G102" s="493" t="s">
        <v>117</v>
      </c>
      <c r="H102" s="493" t="s">
        <v>118</v>
      </c>
      <c r="I102" s="493" t="s">
        <v>119</v>
      </c>
      <c r="J102" s="493" t="s">
        <v>949</v>
      </c>
      <c r="K102" s="493" t="s">
        <v>377</v>
      </c>
      <c r="L102" s="493" t="s">
        <v>86</v>
      </c>
      <c r="M102" s="493" t="s">
        <v>950</v>
      </c>
      <c r="N102" s="493" t="s">
        <v>951</v>
      </c>
      <c r="O102" s="493">
        <v>12262580</v>
      </c>
      <c r="P102" s="439">
        <v>11147800</v>
      </c>
      <c r="Q102" s="493">
        <v>1114780</v>
      </c>
      <c r="R102" s="493" t="s">
        <v>124</v>
      </c>
      <c r="S102" s="493" t="s">
        <v>382</v>
      </c>
      <c r="T102" s="493" t="s">
        <v>125</v>
      </c>
      <c r="U102" s="493" t="s">
        <v>126</v>
      </c>
      <c r="V102" s="493" t="s">
        <v>127</v>
      </c>
      <c r="W102" s="493" t="s">
        <v>128</v>
      </c>
      <c r="X102" s="493" t="s">
        <v>952</v>
      </c>
      <c r="Y102" s="493" t="s">
        <v>377</v>
      </c>
      <c r="Z102" s="493" t="s">
        <v>934</v>
      </c>
      <c r="AA102" s="493" t="s">
        <v>130</v>
      </c>
      <c r="AB102" s="493" t="s">
        <v>377</v>
      </c>
      <c r="AC102" s="493" t="s">
        <v>131</v>
      </c>
      <c r="AD102" s="493" t="s">
        <v>953</v>
      </c>
      <c r="AE102" s="493">
        <v>11147800</v>
      </c>
      <c r="AF102" s="493">
        <v>1114780</v>
      </c>
      <c r="AG102" s="493" t="s">
        <v>960</v>
      </c>
      <c r="AH102" s="130">
        <f t="shared" si="19"/>
        <v>46133</v>
      </c>
      <c r="AI102" s="495">
        <v>46157</v>
      </c>
      <c r="AJ102" s="439">
        <f>P102*1.1</f>
        <v>12262580.000000002</v>
      </c>
      <c r="AK102" s="121">
        <f t="shared" si="23"/>
        <v>0</v>
      </c>
      <c r="AL102" s="440" t="str">
        <f t="shared" ca="1" si="17"/>
        <v/>
      </c>
      <c r="AM102" s="440"/>
      <c r="AN102" s="440"/>
      <c r="AO102" s="440"/>
    </row>
    <row r="103" spans="1:41" ht="16.5" hidden="1" customHeight="1">
      <c r="A103" s="492" t="s">
        <v>934</v>
      </c>
      <c r="B103" s="493" t="s">
        <v>954</v>
      </c>
      <c r="C103" s="492" t="s">
        <v>934</v>
      </c>
      <c r="D103" s="492" t="s">
        <v>934</v>
      </c>
      <c r="E103" s="493" t="s">
        <v>116</v>
      </c>
      <c r="F103" s="493" t="s">
        <v>377</v>
      </c>
      <c r="G103" s="493" t="s">
        <v>117</v>
      </c>
      <c r="H103" s="493" t="s">
        <v>118</v>
      </c>
      <c r="I103" s="493" t="s">
        <v>119</v>
      </c>
      <c r="J103" s="493" t="s">
        <v>703</v>
      </c>
      <c r="K103" s="493" t="s">
        <v>377</v>
      </c>
      <c r="L103" s="493" t="s">
        <v>704</v>
      </c>
      <c r="M103" s="493" t="s">
        <v>705</v>
      </c>
      <c r="N103" s="493" t="s">
        <v>706</v>
      </c>
      <c r="O103" s="493">
        <v>2874300</v>
      </c>
      <c r="P103" s="439">
        <v>2613000</v>
      </c>
      <c r="Q103" s="493">
        <v>261300</v>
      </c>
      <c r="R103" s="493" t="s">
        <v>124</v>
      </c>
      <c r="S103" s="493" t="s">
        <v>382</v>
      </c>
      <c r="T103" s="493" t="s">
        <v>125</v>
      </c>
      <c r="U103" s="493" t="s">
        <v>126</v>
      </c>
      <c r="V103" s="493" t="s">
        <v>127</v>
      </c>
      <c r="W103" s="493" t="s">
        <v>128</v>
      </c>
      <c r="X103" s="493" t="s">
        <v>707</v>
      </c>
      <c r="Y103" s="493" t="s">
        <v>377</v>
      </c>
      <c r="Z103" s="493" t="s">
        <v>934</v>
      </c>
      <c r="AA103" s="493" t="s">
        <v>130</v>
      </c>
      <c r="AB103" s="493" t="s">
        <v>377</v>
      </c>
      <c r="AC103" s="493" t="s">
        <v>131</v>
      </c>
      <c r="AD103" s="493" t="s">
        <v>955</v>
      </c>
      <c r="AE103" s="493">
        <v>2613000</v>
      </c>
      <c r="AF103" s="493">
        <v>261300</v>
      </c>
      <c r="AG103" s="493" t="s">
        <v>749</v>
      </c>
      <c r="AH103" s="130">
        <f t="shared" si="19"/>
        <v>46133</v>
      </c>
      <c r="AI103" s="495">
        <v>46170</v>
      </c>
      <c r="AJ103" s="439">
        <f>P103*1.1</f>
        <v>2874300</v>
      </c>
      <c r="AK103" s="121">
        <f t="shared" si="23"/>
        <v>0</v>
      </c>
      <c r="AL103" s="440" t="str">
        <f t="shared" ca="1" si="17"/>
        <v/>
      </c>
      <c r="AM103" s="440"/>
      <c r="AN103" s="440"/>
      <c r="AO103" s="440"/>
    </row>
    <row r="104" spans="1:41" ht="16.5" hidden="1" customHeight="1">
      <c r="A104" s="492" t="s">
        <v>934</v>
      </c>
      <c r="B104" s="493" t="s">
        <v>956</v>
      </c>
      <c r="C104" s="492" t="s">
        <v>934</v>
      </c>
      <c r="D104" s="492" t="s">
        <v>934</v>
      </c>
      <c r="E104" s="493" t="s">
        <v>116</v>
      </c>
      <c r="F104" s="493" t="s">
        <v>377</v>
      </c>
      <c r="G104" s="493" t="s">
        <v>117</v>
      </c>
      <c r="H104" s="493" t="s">
        <v>118</v>
      </c>
      <c r="I104" s="493" t="s">
        <v>119</v>
      </c>
      <c r="J104" s="493" t="s">
        <v>378</v>
      </c>
      <c r="K104" s="493" t="s">
        <v>377</v>
      </c>
      <c r="L104" s="493" t="s">
        <v>379</v>
      </c>
      <c r="M104" s="493" t="s">
        <v>380</v>
      </c>
      <c r="N104" s="493" t="s">
        <v>381</v>
      </c>
      <c r="O104" s="493">
        <v>8072900</v>
      </c>
      <c r="P104" s="439">
        <v>7339000</v>
      </c>
      <c r="Q104" s="493">
        <v>733900</v>
      </c>
      <c r="R104" s="493" t="s">
        <v>124</v>
      </c>
      <c r="S104" s="493" t="s">
        <v>382</v>
      </c>
      <c r="T104" s="493" t="s">
        <v>125</v>
      </c>
      <c r="U104" s="493" t="s">
        <v>126</v>
      </c>
      <c r="V104" s="493" t="s">
        <v>127</v>
      </c>
      <c r="W104" s="493" t="s">
        <v>128</v>
      </c>
      <c r="X104" s="493" t="s">
        <v>383</v>
      </c>
      <c r="Y104" s="493" t="s">
        <v>377</v>
      </c>
      <c r="Z104" s="493" t="s">
        <v>934</v>
      </c>
      <c r="AA104" s="493" t="s">
        <v>130</v>
      </c>
      <c r="AB104" s="493" t="s">
        <v>377</v>
      </c>
      <c r="AC104" s="493" t="s">
        <v>131</v>
      </c>
      <c r="AD104" s="493" t="s">
        <v>957</v>
      </c>
      <c r="AE104" s="493">
        <v>7339000</v>
      </c>
      <c r="AF104" s="493">
        <v>733900</v>
      </c>
      <c r="AG104" s="493" t="s">
        <v>961</v>
      </c>
      <c r="AH104" s="130">
        <f t="shared" si="19"/>
        <v>46133</v>
      </c>
      <c r="AI104" s="495"/>
      <c r="AJ104" s="439"/>
      <c r="AK104" s="121">
        <f t="shared" si="23"/>
        <v>8072900.0000000009</v>
      </c>
      <c r="AL104" s="440" t="str">
        <f t="shared" ca="1" si="17"/>
        <v>관리</v>
      </c>
      <c r="AM104" s="440"/>
      <c r="AN104" s="440"/>
      <c r="AO104" s="440"/>
    </row>
    <row r="105" spans="1:41" ht="16.5" hidden="1" customHeight="1">
      <c r="A105" s="492" t="s">
        <v>964</v>
      </c>
      <c r="B105" s="493" t="s">
        <v>965</v>
      </c>
      <c r="C105" s="492" t="s">
        <v>964</v>
      </c>
      <c r="D105" s="492" t="s">
        <v>964</v>
      </c>
      <c r="E105" s="493" t="s">
        <v>116</v>
      </c>
      <c r="F105" s="493" t="s">
        <v>377</v>
      </c>
      <c r="G105" s="493" t="s">
        <v>117</v>
      </c>
      <c r="H105" s="493" t="s">
        <v>118</v>
      </c>
      <c r="I105" s="493" t="s">
        <v>119</v>
      </c>
      <c r="J105" s="493" t="s">
        <v>966</v>
      </c>
      <c r="K105" s="493" t="s">
        <v>377</v>
      </c>
      <c r="L105" s="493" t="s">
        <v>967</v>
      </c>
      <c r="M105" s="493" t="s">
        <v>968</v>
      </c>
      <c r="N105" s="493" t="s">
        <v>969</v>
      </c>
      <c r="O105" s="493">
        <v>550550</v>
      </c>
      <c r="P105" s="439">
        <v>500500</v>
      </c>
      <c r="Q105" s="493">
        <v>50050</v>
      </c>
      <c r="R105" s="493" t="s">
        <v>124</v>
      </c>
      <c r="S105" s="493" t="s">
        <v>382</v>
      </c>
      <c r="T105" s="493" t="s">
        <v>125</v>
      </c>
      <c r="U105" s="493" t="s">
        <v>377</v>
      </c>
      <c r="V105" s="493" t="s">
        <v>127</v>
      </c>
      <c r="W105" s="493" t="s">
        <v>128</v>
      </c>
      <c r="X105" s="493" t="s">
        <v>970</v>
      </c>
      <c r="Y105" s="493" t="s">
        <v>377</v>
      </c>
      <c r="Z105" s="493" t="s">
        <v>964</v>
      </c>
      <c r="AA105" s="493" t="s">
        <v>130</v>
      </c>
      <c r="AB105" s="493" t="s">
        <v>377</v>
      </c>
      <c r="AC105" s="493" t="s">
        <v>131</v>
      </c>
      <c r="AD105" s="493" t="s">
        <v>937</v>
      </c>
      <c r="AE105" s="493">
        <v>500500</v>
      </c>
      <c r="AF105" s="493">
        <v>50050</v>
      </c>
      <c r="AG105" s="493" t="s">
        <v>958</v>
      </c>
      <c r="AH105" s="130">
        <f t="shared" si="19"/>
        <v>46134</v>
      </c>
      <c r="AI105" s="495"/>
      <c r="AJ105" s="439"/>
      <c r="AK105" s="121">
        <f t="shared" ref="AK105:AK111" si="25">(P105*1.1)-AJ105</f>
        <v>550550</v>
      </c>
      <c r="AL105" s="440" t="str">
        <f t="shared" ca="1" si="17"/>
        <v>관리</v>
      </c>
      <c r="AM105" s="440"/>
      <c r="AN105" s="440"/>
      <c r="AO105" s="440"/>
    </row>
    <row r="106" spans="1:41" ht="16.5" hidden="1" customHeight="1">
      <c r="A106" s="492" t="s">
        <v>964</v>
      </c>
      <c r="B106" s="493" t="s">
        <v>971</v>
      </c>
      <c r="C106" s="492" t="s">
        <v>964</v>
      </c>
      <c r="D106" s="492" t="s">
        <v>964</v>
      </c>
      <c r="E106" s="493" t="s">
        <v>116</v>
      </c>
      <c r="F106" s="493" t="s">
        <v>377</v>
      </c>
      <c r="G106" s="493" t="s">
        <v>117</v>
      </c>
      <c r="H106" s="493" t="s">
        <v>118</v>
      </c>
      <c r="I106" s="493" t="s">
        <v>119</v>
      </c>
      <c r="J106" s="493" t="s">
        <v>120</v>
      </c>
      <c r="K106" s="493" t="s">
        <v>377</v>
      </c>
      <c r="L106" s="493" t="s">
        <v>390</v>
      </c>
      <c r="M106" s="493" t="s">
        <v>122</v>
      </c>
      <c r="N106" s="493" t="s">
        <v>123</v>
      </c>
      <c r="O106" s="493">
        <v>3792800</v>
      </c>
      <c r="P106" s="439">
        <v>3448000</v>
      </c>
      <c r="Q106" s="493">
        <v>344800</v>
      </c>
      <c r="R106" s="493" t="s">
        <v>124</v>
      </c>
      <c r="S106" s="493" t="s">
        <v>382</v>
      </c>
      <c r="T106" s="493" t="s">
        <v>125</v>
      </c>
      <c r="U106" s="493" t="s">
        <v>126</v>
      </c>
      <c r="V106" s="493" t="s">
        <v>127</v>
      </c>
      <c r="W106" s="493" t="s">
        <v>128</v>
      </c>
      <c r="X106" s="493" t="s">
        <v>129</v>
      </c>
      <c r="Y106" s="493" t="s">
        <v>377</v>
      </c>
      <c r="Z106" s="493" t="s">
        <v>964</v>
      </c>
      <c r="AA106" s="493" t="s">
        <v>130</v>
      </c>
      <c r="AB106" s="493" t="s">
        <v>377</v>
      </c>
      <c r="AC106" s="493" t="s">
        <v>131</v>
      </c>
      <c r="AD106" s="493" t="s">
        <v>972</v>
      </c>
      <c r="AE106" s="493">
        <v>3448000</v>
      </c>
      <c r="AF106" s="493">
        <v>344800</v>
      </c>
      <c r="AG106" s="493" t="s">
        <v>1032</v>
      </c>
      <c r="AH106" s="130">
        <f t="shared" si="19"/>
        <v>46134</v>
      </c>
      <c r="AI106" s="495"/>
      <c r="AJ106" s="439"/>
      <c r="AK106" s="121">
        <f t="shared" si="25"/>
        <v>3792800.0000000005</v>
      </c>
      <c r="AL106" s="440" t="str">
        <f t="shared" ca="1" si="17"/>
        <v>관리</v>
      </c>
      <c r="AM106" s="440"/>
      <c r="AN106" s="440" t="s">
        <v>2259</v>
      </c>
      <c r="AO106" s="440"/>
    </row>
    <row r="107" spans="1:41" ht="16.5" hidden="1" customHeight="1">
      <c r="A107" s="492" t="s">
        <v>964</v>
      </c>
      <c r="B107" s="493" t="s">
        <v>973</v>
      </c>
      <c r="C107" s="492" t="s">
        <v>964</v>
      </c>
      <c r="D107" s="492" t="s">
        <v>964</v>
      </c>
      <c r="E107" s="493" t="s">
        <v>116</v>
      </c>
      <c r="F107" s="493" t="s">
        <v>377</v>
      </c>
      <c r="G107" s="493" t="s">
        <v>117</v>
      </c>
      <c r="H107" s="493" t="s">
        <v>118</v>
      </c>
      <c r="I107" s="493" t="s">
        <v>119</v>
      </c>
      <c r="J107" s="493" t="s">
        <v>120</v>
      </c>
      <c r="K107" s="493" t="s">
        <v>377</v>
      </c>
      <c r="L107" s="493" t="s">
        <v>390</v>
      </c>
      <c r="M107" s="493" t="s">
        <v>122</v>
      </c>
      <c r="N107" s="493" t="s">
        <v>123</v>
      </c>
      <c r="O107" s="493">
        <v>31625000</v>
      </c>
      <c r="P107" s="439">
        <v>28750000</v>
      </c>
      <c r="Q107" s="493">
        <v>2875000</v>
      </c>
      <c r="R107" s="493" t="s">
        <v>124</v>
      </c>
      <c r="S107" s="493" t="s">
        <v>382</v>
      </c>
      <c r="T107" s="493" t="s">
        <v>125</v>
      </c>
      <c r="U107" s="493" t="s">
        <v>126</v>
      </c>
      <c r="V107" s="493" t="s">
        <v>127</v>
      </c>
      <c r="W107" s="493" t="s">
        <v>128</v>
      </c>
      <c r="X107" s="493" t="s">
        <v>129</v>
      </c>
      <c r="Y107" s="493" t="s">
        <v>377</v>
      </c>
      <c r="Z107" s="493" t="s">
        <v>964</v>
      </c>
      <c r="AA107" s="493" t="s">
        <v>130</v>
      </c>
      <c r="AB107" s="493" t="s">
        <v>377</v>
      </c>
      <c r="AC107" s="493" t="s">
        <v>131</v>
      </c>
      <c r="AD107" s="493" t="s">
        <v>974</v>
      </c>
      <c r="AE107" s="493">
        <v>28750000</v>
      </c>
      <c r="AF107" s="493">
        <v>2875000</v>
      </c>
      <c r="AG107" s="493" t="s">
        <v>463</v>
      </c>
      <c r="AH107" s="130">
        <f t="shared" si="19"/>
        <v>46134</v>
      </c>
      <c r="AI107" s="495"/>
      <c r="AJ107" s="439"/>
      <c r="AK107" s="121">
        <f t="shared" si="25"/>
        <v>31625000.000000004</v>
      </c>
      <c r="AL107" s="440" t="str">
        <f t="shared" ca="1" si="17"/>
        <v>관리</v>
      </c>
      <c r="AM107" s="440"/>
      <c r="AN107" s="440" t="s">
        <v>2259</v>
      </c>
      <c r="AO107" s="440"/>
    </row>
    <row r="108" spans="1:41" ht="16.5" hidden="1" customHeight="1">
      <c r="A108" s="492" t="s">
        <v>964</v>
      </c>
      <c r="B108" s="493" t="s">
        <v>975</v>
      </c>
      <c r="C108" s="492" t="s">
        <v>964</v>
      </c>
      <c r="D108" s="492" t="s">
        <v>964</v>
      </c>
      <c r="E108" s="493" t="s">
        <v>116</v>
      </c>
      <c r="F108" s="493" t="s">
        <v>377</v>
      </c>
      <c r="G108" s="493" t="s">
        <v>117</v>
      </c>
      <c r="H108" s="493" t="s">
        <v>118</v>
      </c>
      <c r="I108" s="493" t="s">
        <v>119</v>
      </c>
      <c r="J108" s="493" t="s">
        <v>727</v>
      </c>
      <c r="K108" s="493" t="s">
        <v>377</v>
      </c>
      <c r="L108" s="493" t="s">
        <v>728</v>
      </c>
      <c r="M108" s="493" t="s">
        <v>729</v>
      </c>
      <c r="N108" s="493" t="s">
        <v>730</v>
      </c>
      <c r="O108" s="493">
        <v>3773000</v>
      </c>
      <c r="P108" s="439">
        <v>3430000</v>
      </c>
      <c r="Q108" s="493">
        <v>343000</v>
      </c>
      <c r="R108" s="493" t="s">
        <v>124</v>
      </c>
      <c r="S108" s="493" t="s">
        <v>382</v>
      </c>
      <c r="T108" s="493" t="s">
        <v>125</v>
      </c>
      <c r="U108" s="493" t="s">
        <v>126</v>
      </c>
      <c r="V108" s="493" t="s">
        <v>127</v>
      </c>
      <c r="W108" s="493" t="s">
        <v>128</v>
      </c>
      <c r="X108" s="493" t="s">
        <v>731</v>
      </c>
      <c r="Y108" s="493" t="s">
        <v>377</v>
      </c>
      <c r="Z108" s="493" t="s">
        <v>964</v>
      </c>
      <c r="AA108" s="493" t="s">
        <v>130</v>
      </c>
      <c r="AB108" s="493" t="s">
        <v>377</v>
      </c>
      <c r="AC108" s="493" t="s">
        <v>131</v>
      </c>
      <c r="AD108" s="493" t="s">
        <v>151</v>
      </c>
      <c r="AE108" s="493">
        <v>3430000</v>
      </c>
      <c r="AF108" s="493">
        <v>343000</v>
      </c>
      <c r="AG108" s="493" t="s">
        <v>987</v>
      </c>
      <c r="AH108" s="130">
        <f t="shared" si="19"/>
        <v>46134</v>
      </c>
      <c r="AI108" s="495">
        <v>46097</v>
      </c>
      <c r="AJ108" s="439">
        <f>P108*1.1</f>
        <v>3773000.0000000005</v>
      </c>
      <c r="AK108" s="121">
        <f t="shared" si="25"/>
        <v>0</v>
      </c>
      <c r="AL108" s="440" t="str">
        <f t="shared" ca="1" si="17"/>
        <v/>
      </c>
      <c r="AM108" s="440"/>
      <c r="AN108" s="440"/>
      <c r="AO108" s="440"/>
    </row>
    <row r="109" spans="1:41" ht="16.5" hidden="1" customHeight="1">
      <c r="A109" s="492" t="s">
        <v>964</v>
      </c>
      <c r="B109" s="493" t="s">
        <v>976</v>
      </c>
      <c r="C109" s="492" t="s">
        <v>964</v>
      </c>
      <c r="D109" s="492" t="s">
        <v>964</v>
      </c>
      <c r="E109" s="493" t="s">
        <v>116</v>
      </c>
      <c r="F109" s="493" t="s">
        <v>377</v>
      </c>
      <c r="G109" s="493" t="s">
        <v>117</v>
      </c>
      <c r="H109" s="493" t="s">
        <v>118</v>
      </c>
      <c r="I109" s="493" t="s">
        <v>119</v>
      </c>
      <c r="J109" s="493" t="s">
        <v>703</v>
      </c>
      <c r="K109" s="493" t="s">
        <v>377</v>
      </c>
      <c r="L109" s="493" t="s">
        <v>704</v>
      </c>
      <c r="M109" s="493" t="s">
        <v>705</v>
      </c>
      <c r="N109" s="493" t="s">
        <v>706</v>
      </c>
      <c r="O109" s="493">
        <v>16170000</v>
      </c>
      <c r="P109" s="439">
        <v>14700000</v>
      </c>
      <c r="Q109" s="493">
        <v>1470000</v>
      </c>
      <c r="R109" s="493" t="s">
        <v>124</v>
      </c>
      <c r="S109" s="493" t="s">
        <v>382</v>
      </c>
      <c r="T109" s="493" t="s">
        <v>125</v>
      </c>
      <c r="U109" s="493" t="s">
        <v>126</v>
      </c>
      <c r="V109" s="493" t="s">
        <v>127</v>
      </c>
      <c r="W109" s="493" t="s">
        <v>128</v>
      </c>
      <c r="X109" s="493" t="s">
        <v>707</v>
      </c>
      <c r="Y109" s="493" t="s">
        <v>377</v>
      </c>
      <c r="Z109" s="493" t="s">
        <v>964</v>
      </c>
      <c r="AA109" s="493" t="s">
        <v>130</v>
      </c>
      <c r="AB109" s="493" t="s">
        <v>377</v>
      </c>
      <c r="AC109" s="493" t="s">
        <v>131</v>
      </c>
      <c r="AD109" s="493" t="s">
        <v>977</v>
      </c>
      <c r="AE109" s="493">
        <v>14700000</v>
      </c>
      <c r="AF109" s="493">
        <v>1470000</v>
      </c>
      <c r="AG109" s="493" t="s">
        <v>787</v>
      </c>
      <c r="AH109" s="130">
        <f t="shared" si="19"/>
        <v>46134</v>
      </c>
      <c r="AI109" s="495"/>
      <c r="AJ109" s="439"/>
      <c r="AK109" s="121">
        <f t="shared" si="25"/>
        <v>16170000.000000002</v>
      </c>
      <c r="AL109" s="440" t="str">
        <f t="shared" ca="1" si="17"/>
        <v>관리</v>
      </c>
      <c r="AM109" s="440"/>
      <c r="AN109" s="440"/>
      <c r="AO109" s="440"/>
    </row>
    <row r="110" spans="1:41" ht="16.5" hidden="1" customHeight="1">
      <c r="A110" s="492" t="s">
        <v>964</v>
      </c>
      <c r="B110" s="493" t="s">
        <v>978</v>
      </c>
      <c r="C110" s="492" t="s">
        <v>964</v>
      </c>
      <c r="D110" s="492" t="s">
        <v>964</v>
      </c>
      <c r="E110" s="493" t="s">
        <v>116</v>
      </c>
      <c r="F110" s="493" t="s">
        <v>377</v>
      </c>
      <c r="G110" s="493" t="s">
        <v>117</v>
      </c>
      <c r="H110" s="493" t="s">
        <v>118</v>
      </c>
      <c r="I110" s="493" t="s">
        <v>119</v>
      </c>
      <c r="J110" s="493" t="s">
        <v>979</v>
      </c>
      <c r="K110" s="493" t="s">
        <v>377</v>
      </c>
      <c r="L110" s="493" t="s">
        <v>980</v>
      </c>
      <c r="M110" s="493" t="s">
        <v>981</v>
      </c>
      <c r="N110" s="493" t="s">
        <v>982</v>
      </c>
      <c r="O110" s="493">
        <v>858000</v>
      </c>
      <c r="P110" s="439">
        <v>780000</v>
      </c>
      <c r="Q110" s="493">
        <v>78000</v>
      </c>
      <c r="R110" s="493" t="s">
        <v>124</v>
      </c>
      <c r="S110" s="493" t="s">
        <v>382</v>
      </c>
      <c r="T110" s="493" t="s">
        <v>125</v>
      </c>
      <c r="U110" s="493" t="s">
        <v>126</v>
      </c>
      <c r="V110" s="493" t="s">
        <v>127</v>
      </c>
      <c r="W110" s="493" t="s">
        <v>128</v>
      </c>
      <c r="X110" s="493" t="s">
        <v>983</v>
      </c>
      <c r="Y110" s="493" t="s">
        <v>377</v>
      </c>
      <c r="Z110" s="493" t="s">
        <v>964</v>
      </c>
      <c r="AA110" s="493" t="s">
        <v>130</v>
      </c>
      <c r="AB110" s="493" t="s">
        <v>377</v>
      </c>
      <c r="AC110" s="493" t="s">
        <v>131</v>
      </c>
      <c r="AD110" s="493" t="s">
        <v>984</v>
      </c>
      <c r="AE110" s="493">
        <v>780000</v>
      </c>
      <c r="AF110" s="493">
        <v>78000</v>
      </c>
      <c r="AG110" s="493" t="s">
        <v>988</v>
      </c>
      <c r="AH110" s="130">
        <f t="shared" si="19"/>
        <v>46134</v>
      </c>
      <c r="AI110" s="495">
        <v>46164</v>
      </c>
      <c r="AJ110" s="439">
        <f>P110*1.1</f>
        <v>858000.00000000012</v>
      </c>
      <c r="AK110" s="121">
        <f t="shared" si="25"/>
        <v>0</v>
      </c>
      <c r="AL110" s="440" t="str">
        <f t="shared" ca="1" si="17"/>
        <v/>
      </c>
      <c r="AM110" s="440"/>
      <c r="AN110" s="440"/>
      <c r="AO110" s="440"/>
    </row>
    <row r="111" spans="1:41" ht="16.5" hidden="1" customHeight="1">
      <c r="A111" s="492" t="s">
        <v>964</v>
      </c>
      <c r="B111" s="493" t="s">
        <v>985</v>
      </c>
      <c r="C111" s="492" t="s">
        <v>964</v>
      </c>
      <c r="D111" s="492" t="s">
        <v>964</v>
      </c>
      <c r="E111" s="493" t="s">
        <v>116</v>
      </c>
      <c r="F111" s="493" t="s">
        <v>377</v>
      </c>
      <c r="G111" s="493" t="s">
        <v>117</v>
      </c>
      <c r="H111" s="493" t="s">
        <v>118</v>
      </c>
      <c r="I111" s="493" t="s">
        <v>119</v>
      </c>
      <c r="J111" s="493" t="s">
        <v>628</v>
      </c>
      <c r="K111" s="493" t="s">
        <v>377</v>
      </c>
      <c r="L111" s="493" t="s">
        <v>629</v>
      </c>
      <c r="M111" s="493" t="s">
        <v>630</v>
      </c>
      <c r="N111" s="493" t="s">
        <v>631</v>
      </c>
      <c r="O111" s="493">
        <v>242110</v>
      </c>
      <c r="P111" s="439">
        <v>220100</v>
      </c>
      <c r="Q111" s="493">
        <v>22010</v>
      </c>
      <c r="R111" s="493" t="s">
        <v>124</v>
      </c>
      <c r="S111" s="493" t="s">
        <v>382</v>
      </c>
      <c r="T111" s="493" t="s">
        <v>125</v>
      </c>
      <c r="U111" s="493" t="s">
        <v>126</v>
      </c>
      <c r="V111" s="493" t="s">
        <v>127</v>
      </c>
      <c r="W111" s="493" t="s">
        <v>128</v>
      </c>
      <c r="X111" s="493" t="s">
        <v>632</v>
      </c>
      <c r="Y111" s="493" t="s">
        <v>377</v>
      </c>
      <c r="Z111" s="493" t="s">
        <v>964</v>
      </c>
      <c r="AA111" s="493" t="s">
        <v>130</v>
      </c>
      <c r="AB111" s="493" t="s">
        <v>377</v>
      </c>
      <c r="AC111" s="493" t="s">
        <v>131</v>
      </c>
      <c r="AD111" s="493" t="s">
        <v>986</v>
      </c>
      <c r="AE111" s="493">
        <v>220100</v>
      </c>
      <c r="AF111" s="493">
        <v>22010</v>
      </c>
      <c r="AG111" s="493" t="s">
        <v>989</v>
      </c>
      <c r="AH111" s="130">
        <f t="shared" si="19"/>
        <v>46134</v>
      </c>
      <c r="AI111" s="495">
        <v>46112</v>
      </c>
      <c r="AJ111" s="439">
        <f>P111*1.1</f>
        <v>242110.00000000003</v>
      </c>
      <c r="AK111" s="121">
        <f t="shared" si="25"/>
        <v>0</v>
      </c>
      <c r="AL111" s="440" t="str">
        <f t="shared" ca="1" si="17"/>
        <v/>
      </c>
      <c r="AM111" s="440"/>
      <c r="AN111" s="440"/>
      <c r="AO111" s="440"/>
    </row>
    <row r="112" spans="1:41" ht="16.5" hidden="1" customHeight="1">
      <c r="A112" s="492" t="s">
        <v>990</v>
      </c>
      <c r="B112" s="493" t="s">
        <v>991</v>
      </c>
      <c r="C112" s="492" t="s">
        <v>990</v>
      </c>
      <c r="D112" s="492" t="s">
        <v>990</v>
      </c>
      <c r="E112" s="493" t="s">
        <v>116</v>
      </c>
      <c r="F112" s="493" t="s">
        <v>377</v>
      </c>
      <c r="G112" s="493" t="s">
        <v>117</v>
      </c>
      <c r="H112" s="493" t="s">
        <v>118</v>
      </c>
      <c r="I112" s="493" t="s">
        <v>119</v>
      </c>
      <c r="J112" s="493" t="s">
        <v>510</v>
      </c>
      <c r="K112" s="493" t="s">
        <v>377</v>
      </c>
      <c r="L112" s="493" t="s">
        <v>511</v>
      </c>
      <c r="M112" s="493" t="s">
        <v>512</v>
      </c>
      <c r="N112" s="493" t="s">
        <v>513</v>
      </c>
      <c r="O112" s="493">
        <v>21414140</v>
      </c>
      <c r="P112" s="439">
        <v>19467400</v>
      </c>
      <c r="Q112" s="493">
        <v>1946740</v>
      </c>
      <c r="R112" s="493" t="s">
        <v>124</v>
      </c>
      <c r="S112" s="493" t="s">
        <v>382</v>
      </c>
      <c r="T112" s="493" t="s">
        <v>125</v>
      </c>
      <c r="U112" s="493" t="s">
        <v>126</v>
      </c>
      <c r="V112" s="493" t="s">
        <v>127</v>
      </c>
      <c r="W112" s="493" t="s">
        <v>128</v>
      </c>
      <c r="X112" s="493" t="s">
        <v>514</v>
      </c>
      <c r="Y112" s="493" t="s">
        <v>377</v>
      </c>
      <c r="Z112" s="493" t="s">
        <v>990</v>
      </c>
      <c r="AA112" s="493" t="s">
        <v>130</v>
      </c>
      <c r="AB112" s="493" t="s">
        <v>377</v>
      </c>
      <c r="AC112" s="493" t="s">
        <v>131</v>
      </c>
      <c r="AD112" s="493" t="s">
        <v>992</v>
      </c>
      <c r="AE112" s="493">
        <v>19467400</v>
      </c>
      <c r="AF112" s="493">
        <v>1946740</v>
      </c>
      <c r="AG112" s="493" t="s">
        <v>1023</v>
      </c>
      <c r="AH112" s="130">
        <f t="shared" si="19"/>
        <v>46138</v>
      </c>
      <c r="AI112" s="495">
        <v>46141</v>
      </c>
      <c r="AJ112" s="439">
        <f>P112*1.1</f>
        <v>21414140</v>
      </c>
      <c r="AK112" s="121">
        <f t="shared" ref="AK112:AK125" si="26">(P112*1.1)-AJ112</f>
        <v>0</v>
      </c>
      <c r="AL112" s="440" t="str">
        <f t="shared" ca="1" si="17"/>
        <v/>
      </c>
      <c r="AM112" s="440"/>
      <c r="AN112" s="440"/>
      <c r="AO112" s="440"/>
    </row>
    <row r="113" spans="1:41" ht="16.5" hidden="1" customHeight="1">
      <c r="A113" s="492" t="s">
        <v>990</v>
      </c>
      <c r="B113" s="493" t="s">
        <v>993</v>
      </c>
      <c r="C113" s="492" t="s">
        <v>990</v>
      </c>
      <c r="D113" s="492" t="s">
        <v>990</v>
      </c>
      <c r="E113" s="493" t="s">
        <v>116</v>
      </c>
      <c r="F113" s="493" t="s">
        <v>377</v>
      </c>
      <c r="G113" s="493" t="s">
        <v>117</v>
      </c>
      <c r="H113" s="493" t="s">
        <v>118</v>
      </c>
      <c r="I113" s="493" t="s">
        <v>119</v>
      </c>
      <c r="J113" s="493" t="s">
        <v>510</v>
      </c>
      <c r="K113" s="493" t="s">
        <v>377</v>
      </c>
      <c r="L113" s="493" t="s">
        <v>511</v>
      </c>
      <c r="M113" s="493" t="s">
        <v>512</v>
      </c>
      <c r="N113" s="493" t="s">
        <v>513</v>
      </c>
      <c r="O113" s="493">
        <v>5241500</v>
      </c>
      <c r="P113" s="439">
        <v>4765000</v>
      </c>
      <c r="Q113" s="493">
        <v>476500</v>
      </c>
      <c r="R113" s="493" t="s">
        <v>124</v>
      </c>
      <c r="S113" s="493" t="s">
        <v>382</v>
      </c>
      <c r="T113" s="493" t="s">
        <v>125</v>
      </c>
      <c r="U113" s="493" t="s">
        <v>445</v>
      </c>
      <c r="V113" s="493" t="s">
        <v>127</v>
      </c>
      <c r="W113" s="493" t="s">
        <v>128</v>
      </c>
      <c r="X113" s="493" t="s">
        <v>514</v>
      </c>
      <c r="Y113" s="493" t="s">
        <v>377</v>
      </c>
      <c r="Z113" s="493" t="s">
        <v>990</v>
      </c>
      <c r="AA113" s="493" t="s">
        <v>130</v>
      </c>
      <c r="AB113" s="493" t="s">
        <v>377</v>
      </c>
      <c r="AC113" s="493" t="s">
        <v>131</v>
      </c>
      <c r="AD113" s="493" t="s">
        <v>994</v>
      </c>
      <c r="AE113" s="493">
        <v>4765000</v>
      </c>
      <c r="AF113" s="493">
        <v>476500</v>
      </c>
      <c r="AG113" s="493" t="s">
        <v>1023</v>
      </c>
      <c r="AH113" s="130">
        <f t="shared" si="19"/>
        <v>46138</v>
      </c>
      <c r="AI113" s="495">
        <v>46141</v>
      </c>
      <c r="AJ113" s="439">
        <f>P113*1.1</f>
        <v>5241500</v>
      </c>
      <c r="AK113" s="121">
        <f t="shared" si="26"/>
        <v>0</v>
      </c>
      <c r="AL113" s="440" t="str">
        <f t="shared" ca="1" si="17"/>
        <v/>
      </c>
      <c r="AM113" s="440" t="s">
        <v>783</v>
      </c>
      <c r="AN113" s="440"/>
      <c r="AO113" s="440"/>
    </row>
    <row r="114" spans="1:41" ht="16.5" hidden="1" customHeight="1">
      <c r="A114" s="492" t="s">
        <v>990</v>
      </c>
      <c r="B114" s="493" t="s">
        <v>995</v>
      </c>
      <c r="C114" s="492" t="s">
        <v>990</v>
      </c>
      <c r="D114" s="492" t="s">
        <v>990</v>
      </c>
      <c r="E114" s="493" t="s">
        <v>116</v>
      </c>
      <c r="F114" s="493" t="s">
        <v>377</v>
      </c>
      <c r="G114" s="493" t="s">
        <v>117</v>
      </c>
      <c r="H114" s="493" t="s">
        <v>118</v>
      </c>
      <c r="I114" s="493" t="s">
        <v>119</v>
      </c>
      <c r="J114" s="493" t="s">
        <v>741</v>
      </c>
      <c r="K114" s="493" t="s">
        <v>377</v>
      </c>
      <c r="L114" s="493" t="s">
        <v>742</v>
      </c>
      <c r="M114" s="493" t="s">
        <v>743</v>
      </c>
      <c r="N114" s="493" t="s">
        <v>744</v>
      </c>
      <c r="O114" s="493">
        <v>1049950</v>
      </c>
      <c r="P114" s="439">
        <v>954500</v>
      </c>
      <c r="Q114" s="493">
        <v>95450</v>
      </c>
      <c r="R114" s="493" t="s">
        <v>124</v>
      </c>
      <c r="S114" s="493" t="s">
        <v>382</v>
      </c>
      <c r="T114" s="493" t="s">
        <v>125</v>
      </c>
      <c r="U114" s="493" t="s">
        <v>126</v>
      </c>
      <c r="V114" s="493" t="s">
        <v>127</v>
      </c>
      <c r="W114" s="493" t="s">
        <v>128</v>
      </c>
      <c r="X114" s="493" t="s">
        <v>745</v>
      </c>
      <c r="Y114" s="493" t="s">
        <v>377</v>
      </c>
      <c r="Z114" s="493" t="s">
        <v>990</v>
      </c>
      <c r="AA114" s="493" t="s">
        <v>130</v>
      </c>
      <c r="AB114" s="493" t="s">
        <v>377</v>
      </c>
      <c r="AC114" s="493" t="s">
        <v>131</v>
      </c>
      <c r="AD114" s="493" t="s">
        <v>996</v>
      </c>
      <c r="AE114" s="493">
        <v>954500</v>
      </c>
      <c r="AF114" s="493">
        <v>95450</v>
      </c>
      <c r="AG114" s="493" t="s">
        <v>754</v>
      </c>
      <c r="AH114" s="130">
        <f t="shared" si="19"/>
        <v>46138</v>
      </c>
      <c r="AI114" s="495"/>
      <c r="AJ114" s="439"/>
      <c r="AK114" s="121">
        <f t="shared" si="26"/>
        <v>1049950</v>
      </c>
      <c r="AL114" s="440" t="str">
        <f t="shared" ca="1" si="17"/>
        <v>관리</v>
      </c>
      <c r="AM114" s="440"/>
      <c r="AN114" s="440"/>
      <c r="AO114" s="440"/>
    </row>
    <row r="115" spans="1:41" ht="16.5" hidden="1" customHeight="1">
      <c r="A115" s="492" t="s">
        <v>990</v>
      </c>
      <c r="B115" s="493" t="s">
        <v>997</v>
      </c>
      <c r="C115" s="492" t="s">
        <v>990</v>
      </c>
      <c r="D115" s="492" t="s">
        <v>990</v>
      </c>
      <c r="E115" s="493" t="s">
        <v>116</v>
      </c>
      <c r="F115" s="493" t="s">
        <v>377</v>
      </c>
      <c r="G115" s="493" t="s">
        <v>117</v>
      </c>
      <c r="H115" s="493" t="s">
        <v>118</v>
      </c>
      <c r="I115" s="493" t="s">
        <v>119</v>
      </c>
      <c r="J115" s="493" t="s">
        <v>949</v>
      </c>
      <c r="K115" s="493" t="s">
        <v>377</v>
      </c>
      <c r="L115" s="493" t="s">
        <v>86</v>
      </c>
      <c r="M115" s="493" t="s">
        <v>950</v>
      </c>
      <c r="N115" s="493" t="s">
        <v>951</v>
      </c>
      <c r="O115" s="493">
        <v>10594100</v>
      </c>
      <c r="P115" s="439">
        <v>9631000</v>
      </c>
      <c r="Q115" s="493">
        <v>963100</v>
      </c>
      <c r="R115" s="493" t="s">
        <v>124</v>
      </c>
      <c r="S115" s="493" t="s">
        <v>382</v>
      </c>
      <c r="T115" s="493" t="s">
        <v>125</v>
      </c>
      <c r="U115" s="493" t="s">
        <v>126</v>
      </c>
      <c r="V115" s="493" t="s">
        <v>127</v>
      </c>
      <c r="W115" s="493" t="s">
        <v>128</v>
      </c>
      <c r="X115" s="493" t="s">
        <v>952</v>
      </c>
      <c r="Y115" s="493" t="s">
        <v>377</v>
      </c>
      <c r="Z115" s="493" t="s">
        <v>990</v>
      </c>
      <c r="AA115" s="493" t="s">
        <v>130</v>
      </c>
      <c r="AB115" s="493" t="s">
        <v>377</v>
      </c>
      <c r="AC115" s="493" t="s">
        <v>131</v>
      </c>
      <c r="AD115" s="493" t="s">
        <v>998</v>
      </c>
      <c r="AE115" s="493">
        <v>9631000</v>
      </c>
      <c r="AF115" s="493">
        <v>963100</v>
      </c>
      <c r="AG115" s="493" t="s">
        <v>1024</v>
      </c>
      <c r="AH115" s="130">
        <f t="shared" si="19"/>
        <v>46138</v>
      </c>
      <c r="AI115" s="495">
        <v>46157</v>
      </c>
      <c r="AJ115" s="439">
        <f>P115*1.1</f>
        <v>10594100</v>
      </c>
      <c r="AK115" s="121">
        <f t="shared" si="26"/>
        <v>0</v>
      </c>
      <c r="AL115" s="440" t="str">
        <f t="shared" ca="1" si="17"/>
        <v/>
      </c>
      <c r="AM115" s="440"/>
      <c r="AN115" s="440"/>
      <c r="AO115" s="440"/>
    </row>
    <row r="116" spans="1:41" ht="16.5" hidden="1" customHeight="1">
      <c r="A116" s="492" t="s">
        <v>990</v>
      </c>
      <c r="B116" s="493" t="s">
        <v>999</v>
      </c>
      <c r="C116" s="492" t="s">
        <v>990</v>
      </c>
      <c r="D116" s="492" t="s">
        <v>990</v>
      </c>
      <c r="E116" s="493" t="s">
        <v>116</v>
      </c>
      <c r="F116" s="493" t="s">
        <v>377</v>
      </c>
      <c r="G116" s="493" t="s">
        <v>117</v>
      </c>
      <c r="H116" s="493" t="s">
        <v>118</v>
      </c>
      <c r="I116" s="493" t="s">
        <v>119</v>
      </c>
      <c r="J116" s="493" t="s">
        <v>939</v>
      </c>
      <c r="K116" s="493" t="s">
        <v>377</v>
      </c>
      <c r="L116" s="493" t="s">
        <v>940</v>
      </c>
      <c r="M116" s="493" t="s">
        <v>941</v>
      </c>
      <c r="N116" s="493" t="s">
        <v>942</v>
      </c>
      <c r="O116" s="493">
        <v>1919500</v>
      </c>
      <c r="P116" s="439">
        <v>1745000</v>
      </c>
      <c r="Q116" s="493">
        <v>174500</v>
      </c>
      <c r="R116" s="493" t="s">
        <v>124</v>
      </c>
      <c r="S116" s="493" t="s">
        <v>382</v>
      </c>
      <c r="T116" s="493" t="s">
        <v>125</v>
      </c>
      <c r="U116" s="493" t="s">
        <v>126</v>
      </c>
      <c r="V116" s="493" t="s">
        <v>127</v>
      </c>
      <c r="W116" s="493" t="s">
        <v>128</v>
      </c>
      <c r="X116" s="493" t="s">
        <v>943</v>
      </c>
      <c r="Y116" s="493" t="s">
        <v>377</v>
      </c>
      <c r="Z116" s="493" t="s">
        <v>990</v>
      </c>
      <c r="AA116" s="493" t="s">
        <v>130</v>
      </c>
      <c r="AB116" s="493" t="s">
        <v>377</v>
      </c>
      <c r="AC116" s="493" t="s">
        <v>131</v>
      </c>
      <c r="AD116" s="493" t="s">
        <v>1000</v>
      </c>
      <c r="AE116" s="493">
        <v>1745000</v>
      </c>
      <c r="AF116" s="493">
        <v>174500</v>
      </c>
      <c r="AG116" s="493" t="s">
        <v>959</v>
      </c>
      <c r="AH116" s="130">
        <f t="shared" si="19"/>
        <v>46138</v>
      </c>
      <c r="AI116" s="495">
        <v>46142</v>
      </c>
      <c r="AJ116" s="439">
        <f t="shared" ref="AJ116:AJ121" si="27">P116*1.1</f>
        <v>1919500.0000000002</v>
      </c>
      <c r="AK116" s="121">
        <f t="shared" si="26"/>
        <v>0</v>
      </c>
      <c r="AL116" s="440" t="str">
        <f t="shared" ca="1" si="17"/>
        <v/>
      </c>
      <c r="AM116" s="440"/>
      <c r="AN116" s="440"/>
      <c r="AO116" s="440"/>
    </row>
    <row r="117" spans="1:41" ht="16.5" hidden="1" customHeight="1">
      <c r="A117" s="492" t="s">
        <v>990</v>
      </c>
      <c r="B117" s="493" t="s">
        <v>1001</v>
      </c>
      <c r="C117" s="492" t="s">
        <v>990</v>
      </c>
      <c r="D117" s="492" t="s">
        <v>990</v>
      </c>
      <c r="E117" s="493" t="s">
        <v>116</v>
      </c>
      <c r="F117" s="493" t="s">
        <v>377</v>
      </c>
      <c r="G117" s="493" t="s">
        <v>117</v>
      </c>
      <c r="H117" s="493" t="s">
        <v>118</v>
      </c>
      <c r="I117" s="493" t="s">
        <v>119</v>
      </c>
      <c r="J117" s="493" t="s">
        <v>510</v>
      </c>
      <c r="K117" s="493" t="s">
        <v>377</v>
      </c>
      <c r="L117" s="493" t="s">
        <v>511</v>
      </c>
      <c r="M117" s="493" t="s">
        <v>512</v>
      </c>
      <c r="N117" s="493" t="s">
        <v>513</v>
      </c>
      <c r="O117" s="493">
        <v>542740</v>
      </c>
      <c r="P117" s="439">
        <v>493400</v>
      </c>
      <c r="Q117" s="493">
        <v>49340</v>
      </c>
      <c r="R117" s="493" t="s">
        <v>124</v>
      </c>
      <c r="S117" s="493" t="s">
        <v>382</v>
      </c>
      <c r="T117" s="493" t="s">
        <v>125</v>
      </c>
      <c r="U117" s="493" t="s">
        <v>126</v>
      </c>
      <c r="V117" s="493" t="s">
        <v>127</v>
      </c>
      <c r="W117" s="493" t="s">
        <v>128</v>
      </c>
      <c r="X117" s="493" t="s">
        <v>514</v>
      </c>
      <c r="Y117" s="493" t="s">
        <v>377</v>
      </c>
      <c r="Z117" s="493" t="s">
        <v>990</v>
      </c>
      <c r="AA117" s="493" t="s">
        <v>130</v>
      </c>
      <c r="AB117" s="493" t="s">
        <v>377</v>
      </c>
      <c r="AC117" s="493" t="s">
        <v>131</v>
      </c>
      <c r="AD117" s="493" t="s">
        <v>1002</v>
      </c>
      <c r="AE117" s="493">
        <v>493400</v>
      </c>
      <c r="AF117" s="493">
        <v>49340</v>
      </c>
      <c r="AG117" s="493" t="s">
        <v>1025</v>
      </c>
      <c r="AH117" s="130">
        <f t="shared" si="19"/>
        <v>46138</v>
      </c>
      <c r="AI117" s="495">
        <v>46141</v>
      </c>
      <c r="AJ117" s="439">
        <f t="shared" si="27"/>
        <v>542740</v>
      </c>
      <c r="AK117" s="121">
        <f t="shared" si="26"/>
        <v>0</v>
      </c>
      <c r="AL117" s="440" t="str">
        <f t="shared" ca="1" si="17"/>
        <v/>
      </c>
      <c r="AM117" s="440"/>
      <c r="AN117" s="440"/>
      <c r="AO117" s="440"/>
    </row>
    <row r="118" spans="1:41" ht="16.5" hidden="1" customHeight="1">
      <c r="A118" s="492" t="s">
        <v>990</v>
      </c>
      <c r="B118" s="493" t="s">
        <v>1003</v>
      </c>
      <c r="C118" s="492" t="s">
        <v>990</v>
      </c>
      <c r="D118" s="492" t="s">
        <v>990</v>
      </c>
      <c r="E118" s="493" t="s">
        <v>116</v>
      </c>
      <c r="F118" s="493" t="s">
        <v>377</v>
      </c>
      <c r="G118" s="493" t="s">
        <v>117</v>
      </c>
      <c r="H118" s="493" t="s">
        <v>118</v>
      </c>
      <c r="I118" s="493" t="s">
        <v>119</v>
      </c>
      <c r="J118" s="493" t="s">
        <v>510</v>
      </c>
      <c r="K118" s="493" t="s">
        <v>377</v>
      </c>
      <c r="L118" s="493" t="s">
        <v>511</v>
      </c>
      <c r="M118" s="493" t="s">
        <v>512</v>
      </c>
      <c r="N118" s="493" t="s">
        <v>513</v>
      </c>
      <c r="O118" s="493">
        <v>3925020</v>
      </c>
      <c r="P118" s="439">
        <v>3568200</v>
      </c>
      <c r="Q118" s="493">
        <v>356820</v>
      </c>
      <c r="R118" s="493" t="s">
        <v>124</v>
      </c>
      <c r="S118" s="493" t="s">
        <v>382</v>
      </c>
      <c r="T118" s="493" t="s">
        <v>125</v>
      </c>
      <c r="U118" s="493" t="s">
        <v>377</v>
      </c>
      <c r="V118" s="493" t="s">
        <v>127</v>
      </c>
      <c r="W118" s="493" t="s">
        <v>128</v>
      </c>
      <c r="X118" s="493" t="s">
        <v>514</v>
      </c>
      <c r="Y118" s="493" t="s">
        <v>377</v>
      </c>
      <c r="Z118" s="493" t="s">
        <v>990</v>
      </c>
      <c r="AA118" s="493" t="s">
        <v>130</v>
      </c>
      <c r="AB118" s="493" t="s">
        <v>377</v>
      </c>
      <c r="AC118" s="493" t="s">
        <v>131</v>
      </c>
      <c r="AD118" s="493" t="s">
        <v>1004</v>
      </c>
      <c r="AE118" s="493">
        <v>3568200</v>
      </c>
      <c r="AF118" s="493">
        <v>356820</v>
      </c>
      <c r="AG118" s="493" t="s">
        <v>1026</v>
      </c>
      <c r="AH118" s="130">
        <f t="shared" si="19"/>
        <v>46138</v>
      </c>
      <c r="AI118" s="495">
        <v>46141</v>
      </c>
      <c r="AJ118" s="439">
        <f t="shared" si="27"/>
        <v>3925020.0000000005</v>
      </c>
      <c r="AK118" s="121">
        <f t="shared" si="26"/>
        <v>0</v>
      </c>
      <c r="AL118" s="440" t="str">
        <f t="shared" ca="1" si="17"/>
        <v/>
      </c>
      <c r="AM118" s="440"/>
      <c r="AN118" s="440"/>
      <c r="AO118" s="440"/>
    </row>
    <row r="119" spans="1:41" ht="16.5" hidden="1" customHeight="1">
      <c r="A119" s="492" t="s">
        <v>990</v>
      </c>
      <c r="B119" s="493" t="s">
        <v>1005</v>
      </c>
      <c r="C119" s="492" t="s">
        <v>990</v>
      </c>
      <c r="D119" s="492" t="s">
        <v>990</v>
      </c>
      <c r="E119" s="493" t="s">
        <v>116</v>
      </c>
      <c r="F119" s="493" t="s">
        <v>377</v>
      </c>
      <c r="G119" s="493" t="s">
        <v>117</v>
      </c>
      <c r="H119" s="493" t="s">
        <v>118</v>
      </c>
      <c r="I119" s="493" t="s">
        <v>119</v>
      </c>
      <c r="J119" s="493" t="s">
        <v>510</v>
      </c>
      <c r="K119" s="493" t="s">
        <v>377</v>
      </c>
      <c r="L119" s="493" t="s">
        <v>511</v>
      </c>
      <c r="M119" s="493" t="s">
        <v>512</v>
      </c>
      <c r="N119" s="493" t="s">
        <v>513</v>
      </c>
      <c r="O119" s="493">
        <v>4521330</v>
      </c>
      <c r="P119" s="439">
        <v>4110300</v>
      </c>
      <c r="Q119" s="493">
        <v>411030</v>
      </c>
      <c r="R119" s="493" t="s">
        <v>124</v>
      </c>
      <c r="S119" s="493" t="s">
        <v>382</v>
      </c>
      <c r="T119" s="493" t="s">
        <v>125</v>
      </c>
      <c r="U119" s="493" t="s">
        <v>126</v>
      </c>
      <c r="V119" s="493" t="s">
        <v>127</v>
      </c>
      <c r="W119" s="493" t="s">
        <v>128</v>
      </c>
      <c r="X119" s="493" t="s">
        <v>514</v>
      </c>
      <c r="Y119" s="493" t="s">
        <v>377</v>
      </c>
      <c r="Z119" s="493" t="s">
        <v>990</v>
      </c>
      <c r="AA119" s="493" t="s">
        <v>130</v>
      </c>
      <c r="AB119" s="493" t="s">
        <v>377</v>
      </c>
      <c r="AC119" s="493" t="s">
        <v>131</v>
      </c>
      <c r="AD119" s="493" t="s">
        <v>1006</v>
      </c>
      <c r="AE119" s="493">
        <v>4110300</v>
      </c>
      <c r="AF119" s="493">
        <v>411030</v>
      </c>
      <c r="AG119" s="493" t="s">
        <v>1026</v>
      </c>
      <c r="AH119" s="130">
        <f t="shared" si="19"/>
        <v>46138</v>
      </c>
      <c r="AI119" s="495">
        <v>46141</v>
      </c>
      <c r="AJ119" s="439">
        <f t="shared" si="27"/>
        <v>4521330</v>
      </c>
      <c r="AK119" s="121">
        <f t="shared" si="26"/>
        <v>0</v>
      </c>
      <c r="AL119" s="440" t="str">
        <f t="shared" ca="1" si="17"/>
        <v/>
      </c>
      <c r="AM119" s="440"/>
      <c r="AN119" s="440"/>
      <c r="AO119" s="440"/>
    </row>
    <row r="120" spans="1:41" ht="16.5" hidden="1" customHeight="1">
      <c r="A120" s="492" t="s">
        <v>990</v>
      </c>
      <c r="B120" s="493" t="s">
        <v>1007</v>
      </c>
      <c r="C120" s="492" t="s">
        <v>990</v>
      </c>
      <c r="D120" s="492" t="s">
        <v>990</v>
      </c>
      <c r="E120" s="493" t="s">
        <v>116</v>
      </c>
      <c r="F120" s="493" t="s">
        <v>377</v>
      </c>
      <c r="G120" s="493" t="s">
        <v>117</v>
      </c>
      <c r="H120" s="493" t="s">
        <v>118</v>
      </c>
      <c r="I120" s="493" t="s">
        <v>119</v>
      </c>
      <c r="J120" s="493" t="s">
        <v>619</v>
      </c>
      <c r="K120" s="493" t="s">
        <v>377</v>
      </c>
      <c r="L120" s="493" t="s">
        <v>569</v>
      </c>
      <c r="M120" s="493" t="s">
        <v>620</v>
      </c>
      <c r="N120" s="493" t="s">
        <v>621</v>
      </c>
      <c r="O120" s="493">
        <v>1450460</v>
      </c>
      <c r="P120" s="439">
        <v>1318600</v>
      </c>
      <c r="Q120" s="493">
        <v>131860</v>
      </c>
      <c r="R120" s="493" t="s">
        <v>124</v>
      </c>
      <c r="S120" s="493" t="s">
        <v>382</v>
      </c>
      <c r="T120" s="493" t="s">
        <v>125</v>
      </c>
      <c r="U120" s="493" t="s">
        <v>126</v>
      </c>
      <c r="V120" s="493" t="s">
        <v>127</v>
      </c>
      <c r="W120" s="493" t="s">
        <v>128</v>
      </c>
      <c r="X120" s="493" t="s">
        <v>622</v>
      </c>
      <c r="Y120" s="493" t="s">
        <v>377</v>
      </c>
      <c r="Z120" s="493" t="s">
        <v>990</v>
      </c>
      <c r="AA120" s="493" t="s">
        <v>130</v>
      </c>
      <c r="AB120" s="493" t="s">
        <v>377</v>
      </c>
      <c r="AC120" s="493" t="s">
        <v>131</v>
      </c>
      <c r="AD120" s="493" t="s">
        <v>1008</v>
      </c>
      <c r="AE120" s="493">
        <v>1318600</v>
      </c>
      <c r="AF120" s="493">
        <v>131860</v>
      </c>
      <c r="AG120" s="493" t="s">
        <v>1027</v>
      </c>
      <c r="AH120" s="130">
        <f t="shared" si="19"/>
        <v>46138</v>
      </c>
      <c r="AI120" s="495">
        <v>46105</v>
      </c>
      <c r="AJ120" s="439">
        <f t="shared" si="27"/>
        <v>1450460.0000000002</v>
      </c>
      <c r="AK120" s="121">
        <f t="shared" si="26"/>
        <v>0</v>
      </c>
      <c r="AL120" s="440" t="str">
        <f t="shared" ca="1" si="17"/>
        <v/>
      </c>
      <c r="AM120" s="440"/>
      <c r="AN120" s="440"/>
      <c r="AO120" s="440"/>
    </row>
    <row r="121" spans="1:41" ht="16.5" hidden="1" customHeight="1">
      <c r="A121" s="492" t="s">
        <v>990</v>
      </c>
      <c r="B121" s="493" t="s">
        <v>1009</v>
      </c>
      <c r="C121" s="492" t="s">
        <v>990</v>
      </c>
      <c r="D121" s="492" t="s">
        <v>990</v>
      </c>
      <c r="E121" s="493" t="s">
        <v>116</v>
      </c>
      <c r="F121" s="493" t="s">
        <v>377</v>
      </c>
      <c r="G121" s="493" t="s">
        <v>117</v>
      </c>
      <c r="H121" s="493" t="s">
        <v>118</v>
      </c>
      <c r="I121" s="493" t="s">
        <v>119</v>
      </c>
      <c r="J121" s="493" t="s">
        <v>1010</v>
      </c>
      <c r="K121" s="493" t="s">
        <v>377</v>
      </c>
      <c r="L121" s="493" t="s">
        <v>1011</v>
      </c>
      <c r="M121" s="493" t="s">
        <v>1012</v>
      </c>
      <c r="N121" s="493" t="s">
        <v>1013</v>
      </c>
      <c r="O121" s="493">
        <v>3895650</v>
      </c>
      <c r="P121" s="439">
        <v>3541500</v>
      </c>
      <c r="Q121" s="493">
        <v>354150</v>
      </c>
      <c r="R121" s="493" t="s">
        <v>124</v>
      </c>
      <c r="S121" s="493" t="s">
        <v>382</v>
      </c>
      <c r="T121" s="493" t="s">
        <v>125</v>
      </c>
      <c r="U121" s="493" t="s">
        <v>126</v>
      </c>
      <c r="V121" s="493" t="s">
        <v>127</v>
      </c>
      <c r="W121" s="493" t="s">
        <v>128</v>
      </c>
      <c r="X121" s="493" t="s">
        <v>1014</v>
      </c>
      <c r="Y121" s="493" t="s">
        <v>377</v>
      </c>
      <c r="Z121" s="493" t="s">
        <v>990</v>
      </c>
      <c r="AA121" s="493" t="s">
        <v>130</v>
      </c>
      <c r="AB121" s="493" t="s">
        <v>377</v>
      </c>
      <c r="AC121" s="493" t="s">
        <v>131</v>
      </c>
      <c r="AD121" s="493" t="s">
        <v>1015</v>
      </c>
      <c r="AE121" s="493">
        <v>3541500</v>
      </c>
      <c r="AF121" s="493">
        <v>354150</v>
      </c>
      <c r="AG121" s="493" t="s">
        <v>1028</v>
      </c>
      <c r="AH121" s="130">
        <f t="shared" si="19"/>
        <v>46138</v>
      </c>
      <c r="AI121" s="495">
        <v>46126</v>
      </c>
      <c r="AJ121" s="439">
        <f t="shared" si="27"/>
        <v>3895650.0000000005</v>
      </c>
      <c r="AK121" s="121">
        <f t="shared" si="26"/>
        <v>0</v>
      </c>
      <c r="AL121" s="440" t="str">
        <f t="shared" ca="1" si="17"/>
        <v/>
      </c>
      <c r="AM121" s="440"/>
      <c r="AN121" s="440"/>
      <c r="AO121" s="440"/>
    </row>
    <row r="122" spans="1:41" ht="16.5" hidden="1" customHeight="1">
      <c r="A122" s="492" t="s">
        <v>990</v>
      </c>
      <c r="B122" s="493" t="s">
        <v>1016</v>
      </c>
      <c r="C122" s="492" t="s">
        <v>990</v>
      </c>
      <c r="D122" s="492" t="s">
        <v>990</v>
      </c>
      <c r="E122" s="493" t="s">
        <v>116</v>
      </c>
      <c r="F122" s="493" t="s">
        <v>377</v>
      </c>
      <c r="G122" s="493" t="s">
        <v>117</v>
      </c>
      <c r="H122" s="493" t="s">
        <v>118</v>
      </c>
      <c r="I122" s="493" t="s">
        <v>119</v>
      </c>
      <c r="J122" s="493" t="s">
        <v>674</v>
      </c>
      <c r="K122" s="493" t="s">
        <v>377</v>
      </c>
      <c r="L122" s="493" t="s">
        <v>675</v>
      </c>
      <c r="M122" s="493" t="s">
        <v>676</v>
      </c>
      <c r="N122" s="493" t="s">
        <v>677</v>
      </c>
      <c r="O122" s="493">
        <v>3863530</v>
      </c>
      <c r="P122" s="439">
        <v>3512300</v>
      </c>
      <c r="Q122" s="493">
        <v>351230</v>
      </c>
      <c r="R122" s="493" t="s">
        <v>124</v>
      </c>
      <c r="S122" s="493" t="s">
        <v>382</v>
      </c>
      <c r="T122" s="493" t="s">
        <v>125</v>
      </c>
      <c r="U122" s="493" t="s">
        <v>126</v>
      </c>
      <c r="V122" s="493" t="s">
        <v>127</v>
      </c>
      <c r="W122" s="493" t="s">
        <v>128</v>
      </c>
      <c r="X122" s="493" t="s">
        <v>678</v>
      </c>
      <c r="Y122" s="493" t="s">
        <v>377</v>
      </c>
      <c r="Z122" s="493" t="s">
        <v>990</v>
      </c>
      <c r="AA122" s="493" t="s">
        <v>130</v>
      </c>
      <c r="AB122" s="493" t="s">
        <v>377</v>
      </c>
      <c r="AC122" s="493" t="s">
        <v>131</v>
      </c>
      <c r="AD122" s="493" t="s">
        <v>1017</v>
      </c>
      <c r="AE122" s="493">
        <v>3512300</v>
      </c>
      <c r="AF122" s="493">
        <v>351230</v>
      </c>
      <c r="AG122" s="493" t="s">
        <v>1029</v>
      </c>
      <c r="AH122" s="130">
        <f t="shared" si="19"/>
        <v>46138</v>
      </c>
      <c r="AI122" s="495">
        <v>46142</v>
      </c>
      <c r="AJ122" s="439">
        <f t="shared" ref="AJ122" si="28">P122*1.1</f>
        <v>3863530.0000000005</v>
      </c>
      <c r="AK122" s="121">
        <f t="shared" si="26"/>
        <v>0</v>
      </c>
      <c r="AL122" s="440" t="str">
        <f t="shared" ca="1" si="17"/>
        <v/>
      </c>
      <c r="AM122" s="440"/>
      <c r="AN122" s="440"/>
      <c r="AO122" s="440"/>
    </row>
    <row r="123" spans="1:41" ht="16.5" hidden="1" customHeight="1">
      <c r="A123" s="492" t="s">
        <v>990</v>
      </c>
      <c r="B123" s="493" t="s">
        <v>1018</v>
      </c>
      <c r="C123" s="492" t="s">
        <v>990</v>
      </c>
      <c r="D123" s="492" t="s">
        <v>990</v>
      </c>
      <c r="E123" s="493" t="s">
        <v>116</v>
      </c>
      <c r="F123" s="493" t="s">
        <v>377</v>
      </c>
      <c r="G123" s="493" t="s">
        <v>117</v>
      </c>
      <c r="H123" s="493" t="s">
        <v>118</v>
      </c>
      <c r="I123" s="493" t="s">
        <v>119</v>
      </c>
      <c r="J123" s="493" t="s">
        <v>797</v>
      </c>
      <c r="K123" s="493" t="s">
        <v>377</v>
      </c>
      <c r="L123" s="493" t="s">
        <v>798</v>
      </c>
      <c r="M123" s="493" t="s">
        <v>799</v>
      </c>
      <c r="N123" s="493" t="s">
        <v>800</v>
      </c>
      <c r="O123" s="493">
        <v>12100000</v>
      </c>
      <c r="P123" s="439">
        <v>11000000</v>
      </c>
      <c r="Q123" s="493">
        <v>1100000</v>
      </c>
      <c r="R123" s="493" t="s">
        <v>124</v>
      </c>
      <c r="S123" s="493" t="s">
        <v>382</v>
      </c>
      <c r="T123" s="493" t="s">
        <v>125</v>
      </c>
      <c r="U123" s="493" t="s">
        <v>126</v>
      </c>
      <c r="V123" s="493" t="s">
        <v>127</v>
      </c>
      <c r="W123" s="493" t="s">
        <v>128</v>
      </c>
      <c r="X123" s="493" t="s">
        <v>801</v>
      </c>
      <c r="Y123" s="493" t="s">
        <v>377</v>
      </c>
      <c r="Z123" s="493" t="s">
        <v>990</v>
      </c>
      <c r="AA123" s="493" t="s">
        <v>130</v>
      </c>
      <c r="AB123" s="493" t="s">
        <v>377</v>
      </c>
      <c r="AC123" s="493" t="s">
        <v>131</v>
      </c>
      <c r="AD123" s="493" t="s">
        <v>926</v>
      </c>
      <c r="AE123" s="493">
        <v>11000000</v>
      </c>
      <c r="AF123" s="493">
        <v>1100000</v>
      </c>
      <c r="AG123" s="493" t="s">
        <v>814</v>
      </c>
      <c r="AH123" s="130">
        <f t="shared" si="19"/>
        <v>46138</v>
      </c>
      <c r="AI123" s="495">
        <v>46142</v>
      </c>
      <c r="AJ123" s="439">
        <f>P123*1.1</f>
        <v>12100000.000000002</v>
      </c>
      <c r="AK123" s="121">
        <f t="shared" si="26"/>
        <v>0</v>
      </c>
      <c r="AL123" s="440" t="str">
        <f t="shared" ca="1" si="17"/>
        <v/>
      </c>
      <c r="AM123" s="440"/>
      <c r="AN123" s="440"/>
      <c r="AO123" s="440"/>
    </row>
    <row r="124" spans="1:41" ht="16.5" hidden="1" customHeight="1">
      <c r="A124" s="492" t="s">
        <v>990</v>
      </c>
      <c r="B124" s="493" t="s">
        <v>1019</v>
      </c>
      <c r="C124" s="492" t="s">
        <v>990</v>
      </c>
      <c r="D124" s="492" t="s">
        <v>990</v>
      </c>
      <c r="E124" s="493" t="s">
        <v>116</v>
      </c>
      <c r="F124" s="493" t="s">
        <v>377</v>
      </c>
      <c r="G124" s="493" t="s">
        <v>117</v>
      </c>
      <c r="H124" s="493" t="s">
        <v>118</v>
      </c>
      <c r="I124" s="493" t="s">
        <v>119</v>
      </c>
      <c r="J124" s="493" t="s">
        <v>146</v>
      </c>
      <c r="K124" s="493" t="s">
        <v>377</v>
      </c>
      <c r="L124" s="493" t="s">
        <v>553</v>
      </c>
      <c r="M124" s="493" t="s">
        <v>148</v>
      </c>
      <c r="N124" s="493" t="s">
        <v>149</v>
      </c>
      <c r="O124" s="493">
        <v>23100000</v>
      </c>
      <c r="P124" s="439">
        <v>21000000</v>
      </c>
      <c r="Q124" s="493">
        <v>2100000</v>
      </c>
      <c r="R124" s="493" t="s">
        <v>124</v>
      </c>
      <c r="S124" s="493" t="s">
        <v>382</v>
      </c>
      <c r="T124" s="493" t="s">
        <v>125</v>
      </c>
      <c r="U124" s="493" t="s">
        <v>126</v>
      </c>
      <c r="V124" s="493" t="s">
        <v>127</v>
      </c>
      <c r="W124" s="493" t="s">
        <v>128</v>
      </c>
      <c r="X124" s="493" t="s">
        <v>150</v>
      </c>
      <c r="Y124" s="493" t="s">
        <v>377</v>
      </c>
      <c r="Z124" s="493" t="s">
        <v>990</v>
      </c>
      <c r="AA124" s="493" t="s">
        <v>130</v>
      </c>
      <c r="AB124" s="493" t="s">
        <v>377</v>
      </c>
      <c r="AC124" s="493" t="s">
        <v>131</v>
      </c>
      <c r="AD124" s="493" t="s">
        <v>1020</v>
      </c>
      <c r="AE124" s="493">
        <v>21000000</v>
      </c>
      <c r="AF124" s="493">
        <v>2100000</v>
      </c>
      <c r="AG124" s="493" t="s">
        <v>1030</v>
      </c>
      <c r="AH124" s="130">
        <f t="shared" si="19"/>
        <v>46138</v>
      </c>
      <c r="AI124" s="495">
        <v>46171</v>
      </c>
      <c r="AJ124" s="439">
        <f t="shared" ref="AJ124" si="29">P124*1.1</f>
        <v>23100000.000000004</v>
      </c>
      <c r="AK124" s="121">
        <f t="shared" si="26"/>
        <v>0</v>
      </c>
      <c r="AL124" s="440" t="str">
        <f t="shared" ca="1" si="17"/>
        <v/>
      </c>
      <c r="AM124" s="440"/>
      <c r="AN124" s="440"/>
      <c r="AO124" s="440"/>
    </row>
    <row r="125" spans="1:41" ht="16.5" hidden="1" customHeight="1">
      <c r="A125" s="492" t="s">
        <v>990</v>
      </c>
      <c r="B125" s="493" t="s">
        <v>1021</v>
      </c>
      <c r="C125" s="492" t="s">
        <v>990</v>
      </c>
      <c r="D125" s="492" t="s">
        <v>990</v>
      </c>
      <c r="E125" s="493" t="s">
        <v>116</v>
      </c>
      <c r="F125" s="493" t="s">
        <v>377</v>
      </c>
      <c r="G125" s="493" t="s">
        <v>117</v>
      </c>
      <c r="H125" s="493" t="s">
        <v>118</v>
      </c>
      <c r="I125" s="493" t="s">
        <v>119</v>
      </c>
      <c r="J125" s="493" t="s">
        <v>421</v>
      </c>
      <c r="K125" s="493" t="s">
        <v>377</v>
      </c>
      <c r="L125" s="493" t="s">
        <v>422</v>
      </c>
      <c r="M125" s="493" t="s">
        <v>423</v>
      </c>
      <c r="N125" s="493" t="s">
        <v>424</v>
      </c>
      <c r="O125" s="493">
        <v>886600</v>
      </c>
      <c r="P125" s="439">
        <v>806000</v>
      </c>
      <c r="Q125" s="493">
        <v>80600</v>
      </c>
      <c r="R125" s="493" t="s">
        <v>124</v>
      </c>
      <c r="S125" s="493" t="s">
        <v>382</v>
      </c>
      <c r="T125" s="493" t="s">
        <v>125</v>
      </c>
      <c r="U125" s="493" t="s">
        <v>126</v>
      </c>
      <c r="V125" s="493" t="s">
        <v>127</v>
      </c>
      <c r="W125" s="493" t="s">
        <v>128</v>
      </c>
      <c r="X125" s="493" t="s">
        <v>425</v>
      </c>
      <c r="Y125" s="493" t="s">
        <v>377</v>
      </c>
      <c r="Z125" s="493" t="s">
        <v>990</v>
      </c>
      <c r="AA125" s="493" t="s">
        <v>130</v>
      </c>
      <c r="AB125" s="493" t="s">
        <v>377</v>
      </c>
      <c r="AC125" s="493" t="s">
        <v>131</v>
      </c>
      <c r="AD125" s="493" t="s">
        <v>1022</v>
      </c>
      <c r="AE125" s="493">
        <v>806000</v>
      </c>
      <c r="AF125" s="493">
        <v>80600</v>
      </c>
      <c r="AG125" s="493" t="s">
        <v>1031</v>
      </c>
      <c r="AH125" s="130">
        <f t="shared" si="19"/>
        <v>46138</v>
      </c>
      <c r="AI125" s="495">
        <v>46136</v>
      </c>
      <c r="AJ125" s="439">
        <f t="shared" ref="AJ125:AJ130" si="30">P125*1.1</f>
        <v>886600.00000000012</v>
      </c>
      <c r="AK125" s="121">
        <f t="shared" si="26"/>
        <v>0</v>
      </c>
      <c r="AL125" s="440" t="str">
        <f t="shared" ca="1" si="17"/>
        <v/>
      </c>
      <c r="AM125" s="440"/>
      <c r="AN125" s="440"/>
      <c r="AO125" s="440"/>
    </row>
    <row r="126" spans="1:41" ht="16.5" hidden="1" customHeight="1">
      <c r="A126" s="492" t="s">
        <v>1041</v>
      </c>
      <c r="B126" s="493" t="s">
        <v>1042</v>
      </c>
      <c r="C126" s="492" t="s">
        <v>1041</v>
      </c>
      <c r="D126" s="492" t="s">
        <v>1041</v>
      </c>
      <c r="E126" s="493" t="s">
        <v>116</v>
      </c>
      <c r="F126" s="493" t="s">
        <v>377</v>
      </c>
      <c r="G126" s="493" t="s">
        <v>117</v>
      </c>
      <c r="H126" s="493" t="s">
        <v>118</v>
      </c>
      <c r="I126" s="493" t="s">
        <v>119</v>
      </c>
      <c r="J126" s="493" t="s">
        <v>855</v>
      </c>
      <c r="K126" s="493" t="s">
        <v>377</v>
      </c>
      <c r="L126" s="493" t="s">
        <v>856</v>
      </c>
      <c r="M126" s="493" t="s">
        <v>857</v>
      </c>
      <c r="N126" s="493" t="s">
        <v>858</v>
      </c>
      <c r="O126" s="493">
        <v>2026750</v>
      </c>
      <c r="P126" s="439">
        <v>1842500</v>
      </c>
      <c r="Q126" s="493">
        <v>184250</v>
      </c>
      <c r="R126" s="493" t="s">
        <v>124</v>
      </c>
      <c r="S126" s="493" t="s">
        <v>382</v>
      </c>
      <c r="T126" s="493" t="s">
        <v>125</v>
      </c>
      <c r="U126" s="493" t="s">
        <v>126</v>
      </c>
      <c r="V126" s="493" t="s">
        <v>127</v>
      </c>
      <c r="W126" s="493" t="s">
        <v>128</v>
      </c>
      <c r="X126" s="493" t="s">
        <v>859</v>
      </c>
      <c r="Y126" s="493" t="s">
        <v>377</v>
      </c>
      <c r="Z126" s="493" t="s">
        <v>1041</v>
      </c>
      <c r="AA126" s="493" t="s">
        <v>130</v>
      </c>
      <c r="AB126" s="493" t="s">
        <v>377</v>
      </c>
      <c r="AC126" s="493" t="s">
        <v>131</v>
      </c>
      <c r="AD126" s="493" t="s">
        <v>1043</v>
      </c>
      <c r="AE126" s="493">
        <v>1842500</v>
      </c>
      <c r="AF126" s="493">
        <v>184250</v>
      </c>
      <c r="AG126" s="493" t="s">
        <v>890</v>
      </c>
      <c r="AH126" s="130">
        <f t="shared" si="19"/>
        <v>46139</v>
      </c>
      <c r="AI126" s="495">
        <v>46100</v>
      </c>
      <c r="AJ126" s="439">
        <f t="shared" si="30"/>
        <v>2026750.0000000002</v>
      </c>
      <c r="AK126" s="121">
        <f t="shared" ref="AK126:AK135" si="31">(P126*1.1)-AJ126</f>
        <v>0</v>
      </c>
      <c r="AL126" s="440" t="str">
        <f t="shared" ca="1" si="17"/>
        <v/>
      </c>
      <c r="AM126" s="440"/>
      <c r="AN126" s="440"/>
      <c r="AO126" s="440"/>
    </row>
    <row r="127" spans="1:41" ht="16.5" hidden="1" customHeight="1">
      <c r="A127" s="492" t="s">
        <v>1041</v>
      </c>
      <c r="B127" s="493" t="s">
        <v>1044</v>
      </c>
      <c r="C127" s="492" t="s">
        <v>1041</v>
      </c>
      <c r="D127" s="492" t="s">
        <v>1041</v>
      </c>
      <c r="E127" s="493" t="s">
        <v>116</v>
      </c>
      <c r="F127" s="493" t="s">
        <v>377</v>
      </c>
      <c r="G127" s="493" t="s">
        <v>117</v>
      </c>
      <c r="H127" s="493" t="s">
        <v>118</v>
      </c>
      <c r="I127" s="493" t="s">
        <v>119</v>
      </c>
      <c r="J127" s="493" t="s">
        <v>510</v>
      </c>
      <c r="K127" s="493" t="s">
        <v>377</v>
      </c>
      <c r="L127" s="493" t="s">
        <v>511</v>
      </c>
      <c r="M127" s="493" t="s">
        <v>512</v>
      </c>
      <c r="N127" s="493" t="s">
        <v>513</v>
      </c>
      <c r="O127" s="493">
        <v>7241850</v>
      </c>
      <c r="P127" s="439">
        <v>6583500</v>
      </c>
      <c r="Q127" s="493">
        <v>658350</v>
      </c>
      <c r="R127" s="493" t="s">
        <v>124</v>
      </c>
      <c r="S127" s="493" t="s">
        <v>382</v>
      </c>
      <c r="T127" s="493" t="s">
        <v>125</v>
      </c>
      <c r="U127" s="493" t="s">
        <v>126</v>
      </c>
      <c r="V127" s="493" t="s">
        <v>127</v>
      </c>
      <c r="W127" s="493" t="s">
        <v>128</v>
      </c>
      <c r="X127" s="493" t="s">
        <v>514</v>
      </c>
      <c r="Y127" s="493" t="s">
        <v>377</v>
      </c>
      <c r="Z127" s="493" t="s">
        <v>1041</v>
      </c>
      <c r="AA127" s="493" t="s">
        <v>130</v>
      </c>
      <c r="AB127" s="493" t="s">
        <v>377</v>
      </c>
      <c r="AC127" s="493" t="s">
        <v>131</v>
      </c>
      <c r="AD127" s="493" t="s">
        <v>1045</v>
      </c>
      <c r="AE127" s="493">
        <v>6583500</v>
      </c>
      <c r="AF127" s="493">
        <v>658350</v>
      </c>
      <c r="AG127" s="493" t="s">
        <v>1070</v>
      </c>
      <c r="AH127" s="130">
        <f t="shared" si="19"/>
        <v>46139</v>
      </c>
      <c r="AI127" s="495">
        <v>46141</v>
      </c>
      <c r="AJ127" s="439">
        <f t="shared" si="30"/>
        <v>7241850.0000000009</v>
      </c>
      <c r="AK127" s="121">
        <f t="shared" si="31"/>
        <v>0</v>
      </c>
      <c r="AL127" s="440" t="str">
        <f t="shared" ca="1" si="17"/>
        <v/>
      </c>
      <c r="AM127" s="440"/>
      <c r="AN127" s="440"/>
      <c r="AO127" s="440"/>
    </row>
    <row r="128" spans="1:41" ht="16.5" hidden="1" customHeight="1">
      <c r="A128" s="492" t="s">
        <v>1041</v>
      </c>
      <c r="B128" s="493" t="s">
        <v>1046</v>
      </c>
      <c r="C128" s="492" t="s">
        <v>1041</v>
      </c>
      <c r="D128" s="492" t="s">
        <v>1041</v>
      </c>
      <c r="E128" s="493" t="s">
        <v>116</v>
      </c>
      <c r="F128" s="493" t="s">
        <v>377</v>
      </c>
      <c r="G128" s="493" t="s">
        <v>117</v>
      </c>
      <c r="H128" s="493" t="s">
        <v>118</v>
      </c>
      <c r="I128" s="493" t="s">
        <v>119</v>
      </c>
      <c r="J128" s="493" t="s">
        <v>905</v>
      </c>
      <c r="K128" s="493" t="s">
        <v>377</v>
      </c>
      <c r="L128" s="493" t="s">
        <v>340</v>
      </c>
      <c r="M128" s="493" t="s">
        <v>906</v>
      </c>
      <c r="N128" s="493" t="s">
        <v>907</v>
      </c>
      <c r="O128" s="493">
        <v>2242570</v>
      </c>
      <c r="P128" s="439">
        <v>2038700</v>
      </c>
      <c r="Q128" s="493">
        <v>203870</v>
      </c>
      <c r="R128" s="493" t="s">
        <v>124</v>
      </c>
      <c r="S128" s="493" t="s">
        <v>382</v>
      </c>
      <c r="T128" s="493" t="s">
        <v>125</v>
      </c>
      <c r="U128" s="493" t="s">
        <v>126</v>
      </c>
      <c r="V128" s="493" t="s">
        <v>127</v>
      </c>
      <c r="W128" s="493" t="s">
        <v>128</v>
      </c>
      <c r="X128" s="493" t="s">
        <v>908</v>
      </c>
      <c r="Y128" s="493" t="s">
        <v>377</v>
      </c>
      <c r="Z128" s="493" t="s">
        <v>1041</v>
      </c>
      <c r="AA128" s="493" t="s">
        <v>130</v>
      </c>
      <c r="AB128" s="493" t="s">
        <v>377</v>
      </c>
      <c r="AC128" s="493" t="s">
        <v>131</v>
      </c>
      <c r="AD128" s="493" t="s">
        <v>1047</v>
      </c>
      <c r="AE128" s="493">
        <v>2038700</v>
      </c>
      <c r="AF128" s="493">
        <v>203870</v>
      </c>
      <c r="AG128" s="493" t="s">
        <v>1071</v>
      </c>
      <c r="AH128" s="130">
        <f t="shared" si="19"/>
        <v>46139</v>
      </c>
      <c r="AI128" s="495">
        <v>46118</v>
      </c>
      <c r="AJ128" s="439">
        <f t="shared" si="30"/>
        <v>2242570</v>
      </c>
      <c r="AK128" s="121">
        <f t="shared" si="31"/>
        <v>0</v>
      </c>
      <c r="AL128" s="440" t="str">
        <f t="shared" ca="1" si="17"/>
        <v/>
      </c>
      <c r="AM128" s="440"/>
      <c r="AN128" s="440"/>
      <c r="AO128" s="440"/>
    </row>
    <row r="129" spans="1:41" ht="16.5" hidden="1" customHeight="1">
      <c r="A129" s="492" t="s">
        <v>1041</v>
      </c>
      <c r="B129" s="493" t="s">
        <v>1048</v>
      </c>
      <c r="C129" s="492" t="s">
        <v>1041</v>
      </c>
      <c r="D129" s="492" t="s">
        <v>1041</v>
      </c>
      <c r="E129" s="493" t="s">
        <v>116</v>
      </c>
      <c r="F129" s="493" t="s">
        <v>377</v>
      </c>
      <c r="G129" s="493" t="s">
        <v>117</v>
      </c>
      <c r="H129" s="493" t="s">
        <v>118</v>
      </c>
      <c r="I129" s="493" t="s">
        <v>119</v>
      </c>
      <c r="J129" s="493" t="s">
        <v>474</v>
      </c>
      <c r="K129" s="493" t="s">
        <v>377</v>
      </c>
      <c r="L129" s="493" t="s">
        <v>475</v>
      </c>
      <c r="M129" s="493" t="s">
        <v>476</v>
      </c>
      <c r="N129" s="493" t="s">
        <v>477</v>
      </c>
      <c r="O129" s="493">
        <v>5225000</v>
      </c>
      <c r="P129" s="439">
        <v>4750000</v>
      </c>
      <c r="Q129" s="493">
        <v>475000</v>
      </c>
      <c r="R129" s="493" t="s">
        <v>124</v>
      </c>
      <c r="S129" s="493" t="s">
        <v>382</v>
      </c>
      <c r="T129" s="493" t="s">
        <v>125</v>
      </c>
      <c r="U129" s="493" t="s">
        <v>126</v>
      </c>
      <c r="V129" s="493" t="s">
        <v>127</v>
      </c>
      <c r="W129" s="493" t="s">
        <v>128</v>
      </c>
      <c r="X129" s="493" t="s">
        <v>478</v>
      </c>
      <c r="Y129" s="493" t="s">
        <v>377</v>
      </c>
      <c r="Z129" s="493" t="s">
        <v>1041</v>
      </c>
      <c r="AA129" s="493" t="s">
        <v>130</v>
      </c>
      <c r="AB129" s="493" t="s">
        <v>377</v>
      </c>
      <c r="AC129" s="493" t="s">
        <v>131</v>
      </c>
      <c r="AD129" s="493" t="s">
        <v>1049</v>
      </c>
      <c r="AE129" s="493">
        <v>4750000</v>
      </c>
      <c r="AF129" s="493">
        <v>475000</v>
      </c>
      <c r="AG129" s="493" t="s">
        <v>1072</v>
      </c>
      <c r="AH129" s="130">
        <f t="shared" si="19"/>
        <v>46139</v>
      </c>
      <c r="AI129" s="495">
        <v>46122</v>
      </c>
      <c r="AJ129" s="439">
        <f t="shared" si="30"/>
        <v>5225000</v>
      </c>
      <c r="AK129" s="121">
        <f t="shared" si="31"/>
        <v>0</v>
      </c>
      <c r="AL129" s="440" t="str">
        <f t="shared" ca="1" si="17"/>
        <v/>
      </c>
      <c r="AM129" s="440"/>
      <c r="AN129" s="440"/>
      <c r="AO129" s="440"/>
    </row>
    <row r="130" spans="1:41" ht="16.5" hidden="1" customHeight="1">
      <c r="A130" s="492" t="s">
        <v>1041</v>
      </c>
      <c r="B130" s="493" t="s">
        <v>1050</v>
      </c>
      <c r="C130" s="492" t="s">
        <v>1041</v>
      </c>
      <c r="D130" s="492" t="s">
        <v>1041</v>
      </c>
      <c r="E130" s="493" t="s">
        <v>116</v>
      </c>
      <c r="F130" s="493" t="s">
        <v>377</v>
      </c>
      <c r="G130" s="493" t="s">
        <v>117</v>
      </c>
      <c r="H130" s="493" t="s">
        <v>118</v>
      </c>
      <c r="I130" s="493" t="s">
        <v>119</v>
      </c>
      <c r="J130" s="493" t="s">
        <v>510</v>
      </c>
      <c r="K130" s="493" t="s">
        <v>377</v>
      </c>
      <c r="L130" s="493" t="s">
        <v>511</v>
      </c>
      <c r="M130" s="493" t="s">
        <v>512</v>
      </c>
      <c r="N130" s="493" t="s">
        <v>1124</v>
      </c>
      <c r="O130" s="493">
        <v>3929200</v>
      </c>
      <c r="P130" s="439">
        <v>3572000</v>
      </c>
      <c r="Q130" s="493">
        <v>357200</v>
      </c>
      <c r="R130" s="493" t="s">
        <v>124</v>
      </c>
      <c r="S130" s="493" t="s">
        <v>382</v>
      </c>
      <c r="T130" s="493" t="s">
        <v>125</v>
      </c>
      <c r="U130" s="493" t="s">
        <v>1125</v>
      </c>
      <c r="V130" s="493" t="s">
        <v>127</v>
      </c>
      <c r="W130" s="493" t="s">
        <v>128</v>
      </c>
      <c r="X130" s="493" t="s">
        <v>514</v>
      </c>
      <c r="Y130" s="493" t="s">
        <v>377</v>
      </c>
      <c r="Z130" s="493" t="s">
        <v>1041</v>
      </c>
      <c r="AA130" s="493" t="s">
        <v>130</v>
      </c>
      <c r="AB130" s="493" t="s">
        <v>377</v>
      </c>
      <c r="AC130" s="493" t="s">
        <v>131</v>
      </c>
      <c r="AD130" s="493" t="s">
        <v>1051</v>
      </c>
      <c r="AE130" s="493">
        <v>3572000</v>
      </c>
      <c r="AF130" s="493">
        <v>357200</v>
      </c>
      <c r="AG130" s="493" t="s">
        <v>1023</v>
      </c>
      <c r="AH130" s="130">
        <f t="shared" si="19"/>
        <v>46139</v>
      </c>
      <c r="AI130" s="495">
        <v>46141</v>
      </c>
      <c r="AJ130" s="439">
        <f t="shared" si="30"/>
        <v>3929200.0000000005</v>
      </c>
      <c r="AK130" s="121">
        <f t="shared" si="31"/>
        <v>0</v>
      </c>
      <c r="AL130" s="440" t="str">
        <f t="shared" ca="1" si="17"/>
        <v/>
      </c>
      <c r="AM130" s="440"/>
      <c r="AN130" s="440"/>
      <c r="AO130" s="440"/>
    </row>
    <row r="131" spans="1:41" ht="16.5" hidden="1" customHeight="1">
      <c r="A131" s="492" t="s">
        <v>1041</v>
      </c>
      <c r="B131" s="493" t="s">
        <v>1052</v>
      </c>
      <c r="C131" s="492" t="s">
        <v>1041</v>
      </c>
      <c r="D131" s="492" t="s">
        <v>1041</v>
      </c>
      <c r="E131" s="493" t="s">
        <v>116</v>
      </c>
      <c r="F131" s="493" t="s">
        <v>377</v>
      </c>
      <c r="G131" s="493" t="s">
        <v>117</v>
      </c>
      <c r="H131" s="493" t="s">
        <v>118</v>
      </c>
      <c r="I131" s="493" t="s">
        <v>119</v>
      </c>
      <c r="J131" s="493" t="s">
        <v>120</v>
      </c>
      <c r="K131" s="493" t="s">
        <v>377</v>
      </c>
      <c r="L131" s="493" t="s">
        <v>390</v>
      </c>
      <c r="M131" s="493" t="s">
        <v>122</v>
      </c>
      <c r="N131" s="493" t="s">
        <v>1126</v>
      </c>
      <c r="O131" s="493">
        <v>478500</v>
      </c>
      <c r="P131" s="439">
        <v>435000</v>
      </c>
      <c r="Q131" s="493">
        <v>43500</v>
      </c>
      <c r="R131" s="493" t="s">
        <v>124</v>
      </c>
      <c r="S131" s="493" t="s">
        <v>382</v>
      </c>
      <c r="T131" s="493" t="s">
        <v>125</v>
      </c>
      <c r="U131" s="493" t="s">
        <v>1125</v>
      </c>
      <c r="V131" s="493" t="s">
        <v>127</v>
      </c>
      <c r="W131" s="493" t="s">
        <v>128</v>
      </c>
      <c r="X131" s="493" t="s">
        <v>129</v>
      </c>
      <c r="Y131" s="493" t="s">
        <v>377</v>
      </c>
      <c r="Z131" s="493" t="s">
        <v>1041</v>
      </c>
      <c r="AA131" s="493" t="s">
        <v>130</v>
      </c>
      <c r="AB131" s="493" t="s">
        <v>377</v>
      </c>
      <c r="AC131" s="493" t="s">
        <v>131</v>
      </c>
      <c r="AD131" s="493" t="s">
        <v>1053</v>
      </c>
      <c r="AE131" s="493">
        <v>435000</v>
      </c>
      <c r="AF131" s="493">
        <v>43500</v>
      </c>
      <c r="AG131" s="493" t="s">
        <v>1073</v>
      </c>
      <c r="AH131" s="130">
        <f t="shared" si="19"/>
        <v>46139</v>
      </c>
      <c r="AI131" s="495"/>
      <c r="AJ131" s="439"/>
      <c r="AK131" s="121">
        <f t="shared" si="31"/>
        <v>478500.00000000006</v>
      </c>
      <c r="AL131" s="440" t="str">
        <f t="shared" ref="AL131:AL193" ca="1" si="32">IF(OR(A131="",AK131=0),"",IF(TODAY()-A131&gt;=91,"장기미수",IF(TODAY()-A131&gt;=41,"관리","")))</f>
        <v>관리</v>
      </c>
      <c r="AM131" s="440"/>
      <c r="AN131" s="440"/>
      <c r="AO131" s="440"/>
    </row>
    <row r="132" spans="1:41" ht="16.5" hidden="1" customHeight="1">
      <c r="A132" s="492" t="s">
        <v>1041</v>
      </c>
      <c r="B132" s="493" t="s">
        <v>1054</v>
      </c>
      <c r="C132" s="492" t="s">
        <v>1041</v>
      </c>
      <c r="D132" s="492" t="s">
        <v>1041</v>
      </c>
      <c r="E132" s="493" t="s">
        <v>116</v>
      </c>
      <c r="F132" s="493" t="s">
        <v>377</v>
      </c>
      <c r="G132" s="493" t="s">
        <v>117</v>
      </c>
      <c r="H132" s="493" t="s">
        <v>118</v>
      </c>
      <c r="I132" s="493" t="s">
        <v>119</v>
      </c>
      <c r="J132" s="493" t="s">
        <v>1055</v>
      </c>
      <c r="K132" s="493" t="s">
        <v>377</v>
      </c>
      <c r="L132" s="493" t="s">
        <v>1056</v>
      </c>
      <c r="M132" s="493" t="s">
        <v>1057</v>
      </c>
      <c r="N132" s="493" t="s">
        <v>1127</v>
      </c>
      <c r="O132" s="493">
        <v>700700</v>
      </c>
      <c r="P132" s="439">
        <v>637000</v>
      </c>
      <c r="Q132" s="493">
        <v>63700</v>
      </c>
      <c r="R132" s="493" t="s">
        <v>124</v>
      </c>
      <c r="S132" s="493" t="s">
        <v>382</v>
      </c>
      <c r="T132" s="493" t="s">
        <v>125</v>
      </c>
      <c r="U132" s="493" t="s">
        <v>1125</v>
      </c>
      <c r="V132" s="493" t="s">
        <v>127</v>
      </c>
      <c r="W132" s="493" t="s">
        <v>128</v>
      </c>
      <c r="X132" s="493" t="s">
        <v>1058</v>
      </c>
      <c r="Y132" s="493" t="s">
        <v>377</v>
      </c>
      <c r="Z132" s="493" t="s">
        <v>1041</v>
      </c>
      <c r="AA132" s="493" t="s">
        <v>130</v>
      </c>
      <c r="AB132" s="493" t="s">
        <v>377</v>
      </c>
      <c r="AC132" s="493" t="s">
        <v>131</v>
      </c>
      <c r="AD132" s="493" t="s">
        <v>1059</v>
      </c>
      <c r="AE132" s="493">
        <v>637000</v>
      </c>
      <c r="AF132" s="493">
        <v>63700</v>
      </c>
      <c r="AG132" s="493" t="s">
        <v>1074</v>
      </c>
      <c r="AH132" s="130">
        <f t="shared" si="19"/>
        <v>46139</v>
      </c>
      <c r="AI132" s="495">
        <v>46154</v>
      </c>
      <c r="AJ132" s="439">
        <f>P132*1.1</f>
        <v>700700</v>
      </c>
      <c r="AK132" s="121">
        <f t="shared" si="31"/>
        <v>0</v>
      </c>
      <c r="AL132" s="440" t="str">
        <f t="shared" ca="1" si="32"/>
        <v/>
      </c>
      <c r="AM132" s="440"/>
      <c r="AN132" s="440"/>
      <c r="AO132" s="440"/>
    </row>
    <row r="133" spans="1:41" ht="16.5" hidden="1" customHeight="1">
      <c r="A133" s="492" t="s">
        <v>1041</v>
      </c>
      <c r="B133" s="493" t="s">
        <v>1060</v>
      </c>
      <c r="C133" s="492" t="s">
        <v>1041</v>
      </c>
      <c r="D133" s="492" t="s">
        <v>1041</v>
      </c>
      <c r="E133" s="493" t="s">
        <v>116</v>
      </c>
      <c r="F133" s="493" t="s">
        <v>377</v>
      </c>
      <c r="G133" s="493" t="s">
        <v>117</v>
      </c>
      <c r="H133" s="493" t="s">
        <v>118</v>
      </c>
      <c r="I133" s="493" t="s">
        <v>119</v>
      </c>
      <c r="J133" s="493" t="s">
        <v>1061</v>
      </c>
      <c r="K133" s="493" t="s">
        <v>377</v>
      </c>
      <c r="L133" s="493" t="s">
        <v>1062</v>
      </c>
      <c r="M133" s="493" t="s">
        <v>1063</v>
      </c>
      <c r="N133" s="493" t="s">
        <v>1128</v>
      </c>
      <c r="O133" s="493">
        <v>38041300</v>
      </c>
      <c r="P133" s="439">
        <v>34583000</v>
      </c>
      <c r="Q133" s="493">
        <v>3458300</v>
      </c>
      <c r="R133" s="493" t="s">
        <v>124</v>
      </c>
      <c r="S133" s="493" t="s">
        <v>382</v>
      </c>
      <c r="T133" s="493" t="s">
        <v>125</v>
      </c>
      <c r="U133" s="493" t="s">
        <v>1125</v>
      </c>
      <c r="V133" s="493" t="s">
        <v>127</v>
      </c>
      <c r="W133" s="493" t="s">
        <v>128</v>
      </c>
      <c r="X133" s="493" t="s">
        <v>1064</v>
      </c>
      <c r="Y133" s="493" t="s">
        <v>377</v>
      </c>
      <c r="Z133" s="493" t="s">
        <v>1041</v>
      </c>
      <c r="AA133" s="493" t="s">
        <v>130</v>
      </c>
      <c r="AB133" s="493" t="s">
        <v>377</v>
      </c>
      <c r="AC133" s="493" t="s">
        <v>131</v>
      </c>
      <c r="AD133" s="493" t="s">
        <v>1065</v>
      </c>
      <c r="AE133" s="493">
        <v>34583000</v>
      </c>
      <c r="AF133" s="493">
        <v>3458300</v>
      </c>
      <c r="AG133" s="493" t="s">
        <v>1075</v>
      </c>
      <c r="AH133" s="130">
        <f t="shared" si="19"/>
        <v>46139</v>
      </c>
      <c r="AI133" s="495">
        <v>46118</v>
      </c>
      <c r="AJ133" s="439">
        <f>P133*1.1</f>
        <v>38041300</v>
      </c>
      <c r="AK133" s="121">
        <f t="shared" si="31"/>
        <v>0</v>
      </c>
      <c r="AL133" s="440" t="str">
        <f t="shared" ca="1" si="32"/>
        <v/>
      </c>
      <c r="AM133" s="440"/>
      <c r="AN133" s="440"/>
      <c r="AO133" s="440"/>
    </row>
    <row r="134" spans="1:41" ht="16.5" hidden="1" customHeight="1">
      <c r="A134" s="492" t="s">
        <v>1041</v>
      </c>
      <c r="B134" s="493" t="s">
        <v>1066</v>
      </c>
      <c r="C134" s="492" t="s">
        <v>1041</v>
      </c>
      <c r="D134" s="492" t="s">
        <v>1041</v>
      </c>
      <c r="E134" s="493" t="s">
        <v>116</v>
      </c>
      <c r="F134" s="493" t="s">
        <v>377</v>
      </c>
      <c r="G134" s="493" t="s">
        <v>117</v>
      </c>
      <c r="H134" s="493" t="s">
        <v>118</v>
      </c>
      <c r="I134" s="493" t="s">
        <v>119</v>
      </c>
      <c r="J134" s="493" t="s">
        <v>681</v>
      </c>
      <c r="K134" s="493" t="s">
        <v>377</v>
      </c>
      <c r="L134" s="493" t="s">
        <v>682</v>
      </c>
      <c r="M134" s="493" t="s">
        <v>683</v>
      </c>
      <c r="N134" s="493" t="s">
        <v>1129</v>
      </c>
      <c r="O134" s="493">
        <v>7260000</v>
      </c>
      <c r="P134" s="439">
        <v>6600000</v>
      </c>
      <c r="Q134" s="493">
        <v>660000</v>
      </c>
      <c r="R134" s="493" t="s">
        <v>124</v>
      </c>
      <c r="S134" s="493" t="s">
        <v>382</v>
      </c>
      <c r="T134" s="493" t="s">
        <v>125</v>
      </c>
      <c r="U134" s="493" t="s">
        <v>1125</v>
      </c>
      <c r="V134" s="493" t="s">
        <v>127</v>
      </c>
      <c r="W134" s="493" t="s">
        <v>128</v>
      </c>
      <c r="X134" s="493" t="s">
        <v>685</v>
      </c>
      <c r="Y134" s="493" t="s">
        <v>377</v>
      </c>
      <c r="Z134" s="493" t="s">
        <v>1041</v>
      </c>
      <c r="AA134" s="493" t="s">
        <v>130</v>
      </c>
      <c r="AB134" s="493" t="s">
        <v>377</v>
      </c>
      <c r="AC134" s="493" t="s">
        <v>131</v>
      </c>
      <c r="AD134" s="493" t="s">
        <v>1067</v>
      </c>
      <c r="AE134" s="493">
        <v>6600000</v>
      </c>
      <c r="AF134" s="493">
        <v>660000</v>
      </c>
      <c r="AG134" s="493" t="s">
        <v>1076</v>
      </c>
      <c r="AH134" s="130">
        <f t="shared" si="19"/>
        <v>46139</v>
      </c>
      <c r="AI134" s="495">
        <v>46127</v>
      </c>
      <c r="AJ134" s="439">
        <f>P134*1.1</f>
        <v>7260000.0000000009</v>
      </c>
      <c r="AK134" s="121">
        <f t="shared" si="31"/>
        <v>0</v>
      </c>
      <c r="AL134" s="440" t="str">
        <f t="shared" ca="1" si="32"/>
        <v/>
      </c>
      <c r="AM134" s="440"/>
      <c r="AN134" s="440"/>
      <c r="AO134" s="440"/>
    </row>
    <row r="135" spans="1:41" ht="16.5" hidden="1" customHeight="1">
      <c r="A135" s="492" t="s">
        <v>1041</v>
      </c>
      <c r="B135" s="493" t="s">
        <v>1068</v>
      </c>
      <c r="C135" s="492" t="s">
        <v>1041</v>
      </c>
      <c r="D135" s="492" t="s">
        <v>1041</v>
      </c>
      <c r="E135" s="493" t="s">
        <v>116</v>
      </c>
      <c r="F135" s="493" t="s">
        <v>377</v>
      </c>
      <c r="G135" s="493" t="s">
        <v>117</v>
      </c>
      <c r="H135" s="493" t="s">
        <v>118</v>
      </c>
      <c r="I135" s="493" t="s">
        <v>119</v>
      </c>
      <c r="J135" s="493" t="s">
        <v>734</v>
      </c>
      <c r="K135" s="493" t="s">
        <v>377</v>
      </c>
      <c r="L135" s="493" t="s">
        <v>735</v>
      </c>
      <c r="M135" s="493" t="s">
        <v>736</v>
      </c>
      <c r="N135" s="493" t="s">
        <v>1130</v>
      </c>
      <c r="O135" s="493">
        <v>17382200</v>
      </c>
      <c r="P135" s="439">
        <v>15802000</v>
      </c>
      <c r="Q135" s="493">
        <v>1580200</v>
      </c>
      <c r="R135" s="493" t="s">
        <v>124</v>
      </c>
      <c r="S135" s="493" t="s">
        <v>382</v>
      </c>
      <c r="T135" s="493" t="s">
        <v>125</v>
      </c>
      <c r="U135" s="493" t="s">
        <v>1125</v>
      </c>
      <c r="V135" s="493" t="s">
        <v>127</v>
      </c>
      <c r="W135" s="493" t="s">
        <v>128</v>
      </c>
      <c r="X135" s="493" t="s">
        <v>738</v>
      </c>
      <c r="Y135" s="493" t="s">
        <v>377</v>
      </c>
      <c r="Z135" s="493" t="s">
        <v>1041</v>
      </c>
      <c r="AA135" s="493" t="s">
        <v>130</v>
      </c>
      <c r="AB135" s="493" t="s">
        <v>377</v>
      </c>
      <c r="AC135" s="493" t="s">
        <v>131</v>
      </c>
      <c r="AD135" s="493" t="s">
        <v>1069</v>
      </c>
      <c r="AE135" s="493">
        <v>15802000</v>
      </c>
      <c r="AF135" s="493">
        <v>1580200</v>
      </c>
      <c r="AG135" s="493" t="s">
        <v>753</v>
      </c>
      <c r="AH135" s="130">
        <f t="shared" si="19"/>
        <v>46139</v>
      </c>
      <c r="AI135" s="495">
        <v>46142</v>
      </c>
      <c r="AJ135" s="439">
        <f t="shared" ref="AJ135" si="33">P135*1.1</f>
        <v>17382200</v>
      </c>
      <c r="AK135" s="121">
        <f t="shared" si="31"/>
        <v>0</v>
      </c>
      <c r="AL135" s="440" t="str">
        <f t="shared" ca="1" si="32"/>
        <v/>
      </c>
      <c r="AM135" s="440"/>
      <c r="AN135" s="440"/>
      <c r="AO135" s="440"/>
    </row>
    <row r="136" spans="1:41" ht="16.5" hidden="1" customHeight="1">
      <c r="A136" s="492" t="s">
        <v>1081</v>
      </c>
      <c r="B136" s="493" t="s">
        <v>1082</v>
      </c>
      <c r="C136" s="492" t="s">
        <v>1081</v>
      </c>
      <c r="D136" s="492" t="s">
        <v>1081</v>
      </c>
      <c r="E136" s="493" t="s">
        <v>116</v>
      </c>
      <c r="F136" s="493" t="s">
        <v>377</v>
      </c>
      <c r="G136" s="493" t="s">
        <v>117</v>
      </c>
      <c r="H136" s="493" t="s">
        <v>118</v>
      </c>
      <c r="I136" s="493" t="s">
        <v>119</v>
      </c>
      <c r="J136" s="493" t="s">
        <v>703</v>
      </c>
      <c r="K136" s="493" t="s">
        <v>377</v>
      </c>
      <c r="L136" s="493" t="s">
        <v>704</v>
      </c>
      <c r="M136" s="493" t="s">
        <v>705</v>
      </c>
      <c r="N136" s="493" t="s">
        <v>1131</v>
      </c>
      <c r="O136" s="493">
        <v>10395000</v>
      </c>
      <c r="P136" s="439">
        <v>9450000</v>
      </c>
      <c r="Q136" s="493">
        <v>945000</v>
      </c>
      <c r="R136" s="493" t="s">
        <v>124</v>
      </c>
      <c r="S136" s="493" t="s">
        <v>382</v>
      </c>
      <c r="T136" s="493" t="s">
        <v>125</v>
      </c>
      <c r="U136" s="493" t="s">
        <v>1125</v>
      </c>
      <c r="V136" s="493" t="s">
        <v>127</v>
      </c>
      <c r="W136" s="493" t="s">
        <v>128</v>
      </c>
      <c r="X136" s="493" t="s">
        <v>707</v>
      </c>
      <c r="Y136" s="493" t="s">
        <v>377</v>
      </c>
      <c r="Z136" s="493" t="s">
        <v>1081</v>
      </c>
      <c r="AA136" s="493" t="s">
        <v>130</v>
      </c>
      <c r="AB136" s="493" t="s">
        <v>377</v>
      </c>
      <c r="AC136" s="493" t="s">
        <v>131</v>
      </c>
      <c r="AD136" s="493" t="s">
        <v>1083</v>
      </c>
      <c r="AE136" s="493">
        <v>9450000</v>
      </c>
      <c r="AF136" s="493">
        <v>945000</v>
      </c>
      <c r="AG136" s="493" t="s">
        <v>787</v>
      </c>
      <c r="AH136" s="130">
        <f t="shared" si="19"/>
        <v>46140</v>
      </c>
      <c r="AI136" s="495">
        <v>46170</v>
      </c>
      <c r="AJ136" s="439">
        <f>P136*1.1</f>
        <v>10395000</v>
      </c>
      <c r="AK136" s="121">
        <f t="shared" ref="AK136:AK149" si="34">(P136*1.1)-AJ136</f>
        <v>0</v>
      </c>
      <c r="AL136" s="440" t="str">
        <f t="shared" ca="1" si="32"/>
        <v/>
      </c>
      <c r="AM136" s="440"/>
      <c r="AN136" s="440"/>
      <c r="AO136" s="440"/>
    </row>
    <row r="137" spans="1:41" ht="16.5" hidden="1" customHeight="1">
      <c r="A137" s="492" t="s">
        <v>1081</v>
      </c>
      <c r="B137" s="493" t="s">
        <v>1084</v>
      </c>
      <c r="C137" s="492" t="s">
        <v>1081</v>
      </c>
      <c r="D137" s="492" t="s">
        <v>1081</v>
      </c>
      <c r="E137" s="493" t="s">
        <v>116</v>
      </c>
      <c r="F137" s="493" t="s">
        <v>377</v>
      </c>
      <c r="G137" s="493" t="s">
        <v>117</v>
      </c>
      <c r="H137" s="493" t="s">
        <v>118</v>
      </c>
      <c r="I137" s="493" t="s">
        <v>119</v>
      </c>
      <c r="J137" s="493" t="s">
        <v>510</v>
      </c>
      <c r="K137" s="493" t="s">
        <v>377</v>
      </c>
      <c r="L137" s="493" t="s">
        <v>511</v>
      </c>
      <c r="M137" s="493" t="s">
        <v>512</v>
      </c>
      <c r="N137" s="493" t="s">
        <v>1124</v>
      </c>
      <c r="O137" s="493">
        <v>573100</v>
      </c>
      <c r="P137" s="439">
        <v>521000</v>
      </c>
      <c r="Q137" s="493">
        <v>52100</v>
      </c>
      <c r="R137" s="493" t="s">
        <v>124</v>
      </c>
      <c r="S137" s="493" t="s">
        <v>382</v>
      </c>
      <c r="T137" s="493" t="s">
        <v>125</v>
      </c>
      <c r="U137" s="493" t="s">
        <v>377</v>
      </c>
      <c r="V137" s="493" t="s">
        <v>127</v>
      </c>
      <c r="W137" s="493" t="s">
        <v>128</v>
      </c>
      <c r="X137" s="493" t="s">
        <v>514</v>
      </c>
      <c r="Y137" s="493" t="s">
        <v>377</v>
      </c>
      <c r="Z137" s="493" t="s">
        <v>1081</v>
      </c>
      <c r="AA137" s="493" t="s">
        <v>130</v>
      </c>
      <c r="AB137" s="493" t="s">
        <v>377</v>
      </c>
      <c r="AC137" s="493" t="s">
        <v>131</v>
      </c>
      <c r="AD137" s="493" t="s">
        <v>688</v>
      </c>
      <c r="AE137" s="493">
        <v>521000</v>
      </c>
      <c r="AF137" s="493">
        <v>52100</v>
      </c>
      <c r="AG137" s="493" t="s">
        <v>1023</v>
      </c>
      <c r="AH137" s="130">
        <f t="shared" si="19"/>
        <v>46140</v>
      </c>
      <c r="AI137" s="495">
        <v>46141</v>
      </c>
      <c r="AJ137" s="439">
        <f>P137*1.1</f>
        <v>573100</v>
      </c>
      <c r="AK137" s="121">
        <f t="shared" si="34"/>
        <v>0</v>
      </c>
      <c r="AL137" s="440" t="str">
        <f t="shared" ca="1" si="32"/>
        <v/>
      </c>
      <c r="AM137" s="440"/>
      <c r="AN137" s="440"/>
      <c r="AO137" s="440"/>
    </row>
    <row r="138" spans="1:41" ht="16.5" hidden="1" customHeight="1">
      <c r="A138" s="492" t="s">
        <v>1081</v>
      </c>
      <c r="B138" s="493" t="s">
        <v>1085</v>
      </c>
      <c r="C138" s="492" t="s">
        <v>1081</v>
      </c>
      <c r="D138" s="492" t="s">
        <v>1081</v>
      </c>
      <c r="E138" s="493" t="s">
        <v>116</v>
      </c>
      <c r="F138" s="493" t="s">
        <v>377</v>
      </c>
      <c r="G138" s="493" t="s">
        <v>117</v>
      </c>
      <c r="H138" s="493" t="s">
        <v>118</v>
      </c>
      <c r="I138" s="493" t="s">
        <v>119</v>
      </c>
      <c r="J138" s="493" t="s">
        <v>628</v>
      </c>
      <c r="K138" s="493" t="s">
        <v>377</v>
      </c>
      <c r="L138" s="493" t="s">
        <v>629</v>
      </c>
      <c r="M138" s="493" t="s">
        <v>630</v>
      </c>
      <c r="N138" s="493" t="s">
        <v>1132</v>
      </c>
      <c r="O138" s="493">
        <v>366300</v>
      </c>
      <c r="P138" s="439">
        <v>333000</v>
      </c>
      <c r="Q138" s="493">
        <v>33300</v>
      </c>
      <c r="R138" s="493" t="s">
        <v>124</v>
      </c>
      <c r="S138" s="493" t="s">
        <v>382</v>
      </c>
      <c r="T138" s="493" t="s">
        <v>125</v>
      </c>
      <c r="U138" s="493" t="s">
        <v>1133</v>
      </c>
      <c r="V138" s="493" t="s">
        <v>127</v>
      </c>
      <c r="W138" s="493" t="s">
        <v>128</v>
      </c>
      <c r="X138" s="493" t="s">
        <v>632</v>
      </c>
      <c r="Y138" s="493" t="s">
        <v>377</v>
      </c>
      <c r="Z138" s="493" t="s">
        <v>1081</v>
      </c>
      <c r="AA138" s="493" t="s">
        <v>130</v>
      </c>
      <c r="AB138" s="493" t="s">
        <v>377</v>
      </c>
      <c r="AC138" s="493" t="s">
        <v>131</v>
      </c>
      <c r="AD138" s="493" t="s">
        <v>1086</v>
      </c>
      <c r="AE138" s="493">
        <v>333000</v>
      </c>
      <c r="AF138" s="493">
        <v>33300</v>
      </c>
      <c r="AG138" s="493" t="s">
        <v>1113</v>
      </c>
      <c r="AH138" s="130">
        <f t="shared" si="19"/>
        <v>46140</v>
      </c>
      <c r="AI138" s="495">
        <v>46112</v>
      </c>
      <c r="AJ138" s="439">
        <f>P138*1.1</f>
        <v>366300.00000000006</v>
      </c>
      <c r="AK138" s="121">
        <f t="shared" si="34"/>
        <v>0</v>
      </c>
      <c r="AL138" s="440" t="str">
        <f t="shared" ca="1" si="32"/>
        <v/>
      </c>
      <c r="AM138" s="440" t="s">
        <v>1119</v>
      </c>
      <c r="AN138" s="440"/>
      <c r="AO138" s="440"/>
    </row>
    <row r="139" spans="1:41" ht="16.5" hidden="1" customHeight="1">
      <c r="A139" s="492" t="s">
        <v>1081</v>
      </c>
      <c r="B139" s="493" t="s">
        <v>1087</v>
      </c>
      <c r="C139" s="492" t="s">
        <v>1081</v>
      </c>
      <c r="D139" s="492" t="s">
        <v>1081</v>
      </c>
      <c r="E139" s="493" t="s">
        <v>116</v>
      </c>
      <c r="F139" s="493" t="s">
        <v>377</v>
      </c>
      <c r="G139" s="493" t="s">
        <v>117</v>
      </c>
      <c r="H139" s="493" t="s">
        <v>118</v>
      </c>
      <c r="I139" s="493" t="s">
        <v>119</v>
      </c>
      <c r="J139" s="493" t="s">
        <v>808</v>
      </c>
      <c r="K139" s="493" t="s">
        <v>377</v>
      </c>
      <c r="L139" s="493" t="s">
        <v>809</v>
      </c>
      <c r="M139" s="493" t="s">
        <v>810</v>
      </c>
      <c r="N139" s="493" t="s">
        <v>1134</v>
      </c>
      <c r="O139" s="493">
        <v>3118500</v>
      </c>
      <c r="P139" s="439">
        <v>2835000</v>
      </c>
      <c r="Q139" s="493">
        <v>283500</v>
      </c>
      <c r="R139" s="493" t="s">
        <v>124</v>
      </c>
      <c r="S139" s="493" t="s">
        <v>382</v>
      </c>
      <c r="T139" s="493" t="s">
        <v>125</v>
      </c>
      <c r="U139" s="493" t="s">
        <v>1125</v>
      </c>
      <c r="V139" s="493" t="s">
        <v>127</v>
      </c>
      <c r="W139" s="493" t="s">
        <v>128</v>
      </c>
      <c r="X139" s="493" t="s">
        <v>812</v>
      </c>
      <c r="Y139" s="493" t="s">
        <v>377</v>
      </c>
      <c r="Z139" s="493" t="s">
        <v>1081</v>
      </c>
      <c r="AA139" s="493" t="s">
        <v>130</v>
      </c>
      <c r="AB139" s="493" t="s">
        <v>377</v>
      </c>
      <c r="AC139" s="493" t="s">
        <v>131</v>
      </c>
      <c r="AD139" s="493" t="s">
        <v>1088</v>
      </c>
      <c r="AE139" s="493">
        <v>2835000</v>
      </c>
      <c r="AF139" s="493">
        <v>283500</v>
      </c>
      <c r="AG139" s="493" t="s">
        <v>815</v>
      </c>
      <c r="AH139" s="130">
        <f t="shared" si="19"/>
        <v>46140</v>
      </c>
      <c r="AI139" s="495">
        <v>46150</v>
      </c>
      <c r="AJ139" s="439">
        <f>P139*1.1</f>
        <v>3118500.0000000005</v>
      </c>
      <c r="AK139" s="121">
        <f t="shared" si="34"/>
        <v>0</v>
      </c>
      <c r="AL139" s="440" t="str">
        <f t="shared" ca="1" si="32"/>
        <v/>
      </c>
      <c r="AM139" s="440"/>
      <c r="AN139" s="440"/>
      <c r="AO139" s="440"/>
    </row>
    <row r="140" spans="1:41" ht="16.5" hidden="1" customHeight="1">
      <c r="A140" s="492" t="s">
        <v>1081</v>
      </c>
      <c r="B140" s="493" t="s">
        <v>1089</v>
      </c>
      <c r="C140" s="492" t="s">
        <v>1081</v>
      </c>
      <c r="D140" s="492" t="s">
        <v>1081</v>
      </c>
      <c r="E140" s="493" t="s">
        <v>116</v>
      </c>
      <c r="F140" s="493" t="s">
        <v>377</v>
      </c>
      <c r="G140" s="493" t="s">
        <v>117</v>
      </c>
      <c r="H140" s="493" t="s">
        <v>118</v>
      </c>
      <c r="I140" s="493" t="s">
        <v>119</v>
      </c>
      <c r="J140" s="493" t="s">
        <v>519</v>
      </c>
      <c r="K140" s="493" t="s">
        <v>377</v>
      </c>
      <c r="L140" s="493" t="s">
        <v>520</v>
      </c>
      <c r="M140" s="493" t="s">
        <v>521</v>
      </c>
      <c r="N140" s="493" t="s">
        <v>1135</v>
      </c>
      <c r="O140" s="493">
        <v>387090</v>
      </c>
      <c r="P140" s="439">
        <v>351900</v>
      </c>
      <c r="Q140" s="493">
        <v>35190</v>
      </c>
      <c r="R140" s="493" t="s">
        <v>124</v>
      </c>
      <c r="S140" s="493" t="s">
        <v>382</v>
      </c>
      <c r="T140" s="493" t="s">
        <v>125</v>
      </c>
      <c r="U140" s="493" t="s">
        <v>1125</v>
      </c>
      <c r="V140" s="493" t="s">
        <v>127</v>
      </c>
      <c r="W140" s="493" t="s">
        <v>128</v>
      </c>
      <c r="X140" s="493" t="s">
        <v>523</v>
      </c>
      <c r="Y140" s="493" t="s">
        <v>377</v>
      </c>
      <c r="Z140" s="493" t="s">
        <v>1081</v>
      </c>
      <c r="AA140" s="493" t="s">
        <v>130</v>
      </c>
      <c r="AB140" s="493" t="s">
        <v>377</v>
      </c>
      <c r="AC140" s="493" t="s">
        <v>131</v>
      </c>
      <c r="AD140" s="493" t="s">
        <v>1090</v>
      </c>
      <c r="AE140" s="493">
        <v>351900</v>
      </c>
      <c r="AF140" s="493">
        <v>35190</v>
      </c>
      <c r="AG140" s="493" t="s">
        <v>525</v>
      </c>
      <c r="AH140" s="130">
        <f t="shared" si="19"/>
        <v>46140</v>
      </c>
      <c r="AI140" s="495">
        <v>46100</v>
      </c>
      <c r="AJ140" s="439">
        <f>P140*1.1</f>
        <v>387090.00000000006</v>
      </c>
      <c r="AK140" s="121">
        <f t="shared" si="34"/>
        <v>0</v>
      </c>
      <c r="AL140" s="440" t="str">
        <f t="shared" ca="1" si="32"/>
        <v/>
      </c>
      <c r="AM140" s="440"/>
      <c r="AN140" s="440"/>
      <c r="AO140" s="440"/>
    </row>
    <row r="141" spans="1:41" ht="16.5" hidden="1" customHeight="1">
      <c r="A141" s="492" t="s">
        <v>1081</v>
      </c>
      <c r="B141" s="493" t="s">
        <v>1091</v>
      </c>
      <c r="C141" s="492" t="s">
        <v>1081</v>
      </c>
      <c r="D141" s="492" t="s">
        <v>1081</v>
      </c>
      <c r="E141" s="493" t="s">
        <v>116</v>
      </c>
      <c r="F141" s="493" t="s">
        <v>377</v>
      </c>
      <c r="G141" s="493" t="s">
        <v>117</v>
      </c>
      <c r="H141" s="493" t="s">
        <v>118</v>
      </c>
      <c r="I141" s="493" t="s">
        <v>119</v>
      </c>
      <c r="J141" s="493" t="s">
        <v>911</v>
      </c>
      <c r="K141" s="493" t="s">
        <v>377</v>
      </c>
      <c r="L141" s="493" t="s">
        <v>912</v>
      </c>
      <c r="M141" s="493" t="s">
        <v>913</v>
      </c>
      <c r="N141" s="493" t="s">
        <v>1136</v>
      </c>
      <c r="O141" s="493">
        <v>922900</v>
      </c>
      <c r="P141" s="439">
        <v>839000</v>
      </c>
      <c r="Q141" s="493">
        <v>83900</v>
      </c>
      <c r="R141" s="493" t="s">
        <v>124</v>
      </c>
      <c r="S141" s="493" t="s">
        <v>382</v>
      </c>
      <c r="T141" s="493" t="s">
        <v>125</v>
      </c>
      <c r="U141" s="493" t="s">
        <v>1125</v>
      </c>
      <c r="V141" s="493" t="s">
        <v>127</v>
      </c>
      <c r="W141" s="493" t="s">
        <v>128</v>
      </c>
      <c r="X141" s="493" t="s">
        <v>915</v>
      </c>
      <c r="Y141" s="493" t="s">
        <v>377</v>
      </c>
      <c r="Z141" s="493" t="s">
        <v>1081</v>
      </c>
      <c r="AA141" s="493" t="s">
        <v>130</v>
      </c>
      <c r="AB141" s="493" t="s">
        <v>377</v>
      </c>
      <c r="AC141" s="493" t="s">
        <v>131</v>
      </c>
      <c r="AD141" s="493" t="s">
        <v>1092</v>
      </c>
      <c r="AE141" s="493">
        <v>839000</v>
      </c>
      <c r="AF141" s="493">
        <v>83900</v>
      </c>
      <c r="AG141" s="493" t="s">
        <v>1114</v>
      </c>
      <c r="AH141" s="130">
        <f t="shared" si="19"/>
        <v>46140</v>
      </c>
      <c r="AI141" s="495">
        <v>46171</v>
      </c>
      <c r="AJ141" s="439">
        <f t="shared" ref="AJ141" si="35">P141*1.1</f>
        <v>922900.00000000012</v>
      </c>
      <c r="AK141" s="121">
        <f t="shared" si="34"/>
        <v>0</v>
      </c>
      <c r="AL141" s="440" t="str">
        <f t="shared" ca="1" si="32"/>
        <v/>
      </c>
      <c r="AM141" s="440"/>
      <c r="AN141" s="440"/>
      <c r="AO141" s="440"/>
    </row>
    <row r="142" spans="1:41" ht="16.5" hidden="1" customHeight="1">
      <c r="A142" s="492" t="s">
        <v>1081</v>
      </c>
      <c r="B142" s="493" t="s">
        <v>1093</v>
      </c>
      <c r="C142" s="492" t="s">
        <v>1081</v>
      </c>
      <c r="D142" s="492" t="s">
        <v>1081</v>
      </c>
      <c r="E142" s="493" t="s">
        <v>116</v>
      </c>
      <c r="F142" s="493" t="s">
        <v>377</v>
      </c>
      <c r="G142" s="493" t="s">
        <v>117</v>
      </c>
      <c r="H142" s="493" t="s">
        <v>118</v>
      </c>
      <c r="I142" s="493" t="s">
        <v>119</v>
      </c>
      <c r="J142" s="493" t="s">
        <v>1094</v>
      </c>
      <c r="K142" s="493" t="s">
        <v>377</v>
      </c>
      <c r="L142" s="493" t="s">
        <v>1095</v>
      </c>
      <c r="M142" s="493" t="s">
        <v>1096</v>
      </c>
      <c r="N142" s="493" t="s">
        <v>1137</v>
      </c>
      <c r="O142" s="493">
        <v>1657920</v>
      </c>
      <c r="P142" s="439">
        <v>1507200</v>
      </c>
      <c r="Q142" s="493">
        <v>150720</v>
      </c>
      <c r="R142" s="493" t="s">
        <v>124</v>
      </c>
      <c r="S142" s="493" t="s">
        <v>382</v>
      </c>
      <c r="T142" s="493" t="s">
        <v>125</v>
      </c>
      <c r="U142" s="493" t="s">
        <v>1125</v>
      </c>
      <c r="V142" s="493" t="s">
        <v>127</v>
      </c>
      <c r="W142" s="493" t="s">
        <v>128</v>
      </c>
      <c r="X142" s="493" t="s">
        <v>1097</v>
      </c>
      <c r="Y142" s="493" t="s">
        <v>377</v>
      </c>
      <c r="Z142" s="493" t="s">
        <v>1081</v>
      </c>
      <c r="AA142" s="493" t="s">
        <v>130</v>
      </c>
      <c r="AB142" s="493" t="s">
        <v>377</v>
      </c>
      <c r="AC142" s="493" t="s">
        <v>131</v>
      </c>
      <c r="AD142" s="493" t="s">
        <v>1098</v>
      </c>
      <c r="AE142" s="493">
        <v>1507200</v>
      </c>
      <c r="AF142" s="493">
        <v>150720</v>
      </c>
      <c r="AG142" s="493" t="s">
        <v>1115</v>
      </c>
      <c r="AH142" s="130">
        <f t="shared" si="19"/>
        <v>46140</v>
      </c>
      <c r="AI142" s="495">
        <v>46129</v>
      </c>
      <c r="AJ142" s="439">
        <f>P142*1.1</f>
        <v>1657920.0000000002</v>
      </c>
      <c r="AK142" s="121">
        <f t="shared" si="34"/>
        <v>0</v>
      </c>
      <c r="AL142" s="440" t="str">
        <f t="shared" ca="1" si="32"/>
        <v/>
      </c>
      <c r="AM142" s="440"/>
      <c r="AN142" s="440"/>
      <c r="AO142" s="440"/>
    </row>
    <row r="143" spans="1:41" ht="16.5" hidden="1" customHeight="1">
      <c r="A143" s="492" t="s">
        <v>1081</v>
      </c>
      <c r="B143" s="493" t="s">
        <v>1099</v>
      </c>
      <c r="C143" s="492" t="s">
        <v>1081</v>
      </c>
      <c r="D143" s="492" t="s">
        <v>1081</v>
      </c>
      <c r="E143" s="493" t="s">
        <v>116</v>
      </c>
      <c r="F143" s="493" t="s">
        <v>377</v>
      </c>
      <c r="G143" s="493" t="s">
        <v>117</v>
      </c>
      <c r="H143" s="493" t="s">
        <v>118</v>
      </c>
      <c r="I143" s="493" t="s">
        <v>119</v>
      </c>
      <c r="J143" s="493" t="s">
        <v>718</v>
      </c>
      <c r="K143" s="493" t="s">
        <v>377</v>
      </c>
      <c r="L143" s="493" t="s">
        <v>719</v>
      </c>
      <c r="M143" s="493" t="s">
        <v>720</v>
      </c>
      <c r="N143" s="493" t="s">
        <v>1138</v>
      </c>
      <c r="O143" s="493">
        <v>643500</v>
      </c>
      <c r="P143" s="439">
        <v>585000</v>
      </c>
      <c r="Q143" s="493">
        <v>58500</v>
      </c>
      <c r="R143" s="493" t="s">
        <v>124</v>
      </c>
      <c r="S143" s="493" t="s">
        <v>382</v>
      </c>
      <c r="T143" s="493" t="s">
        <v>125</v>
      </c>
      <c r="U143" s="493" t="s">
        <v>1125</v>
      </c>
      <c r="V143" s="493" t="s">
        <v>127</v>
      </c>
      <c r="W143" s="493" t="s">
        <v>128</v>
      </c>
      <c r="X143" s="493" t="s">
        <v>722</v>
      </c>
      <c r="Y143" s="493" t="s">
        <v>377</v>
      </c>
      <c r="Z143" s="493" t="s">
        <v>1081</v>
      </c>
      <c r="AA143" s="493" t="s">
        <v>130</v>
      </c>
      <c r="AB143" s="493" t="s">
        <v>377</v>
      </c>
      <c r="AC143" s="493" t="s">
        <v>131</v>
      </c>
      <c r="AD143" s="493" t="s">
        <v>1100</v>
      </c>
      <c r="AE143" s="493">
        <v>585000</v>
      </c>
      <c r="AF143" s="493">
        <v>58500</v>
      </c>
      <c r="AG143" s="493" t="s">
        <v>1116</v>
      </c>
      <c r="AH143" s="130">
        <f t="shared" si="19"/>
        <v>46140</v>
      </c>
      <c r="AI143" s="495">
        <v>46126</v>
      </c>
      <c r="AJ143" s="439">
        <f>P143*1.1</f>
        <v>643500</v>
      </c>
      <c r="AK143" s="121">
        <f t="shared" si="34"/>
        <v>0</v>
      </c>
      <c r="AL143" s="440" t="str">
        <f t="shared" ca="1" si="32"/>
        <v/>
      </c>
      <c r="AM143" s="440"/>
      <c r="AN143" s="440"/>
      <c r="AO143" s="440"/>
    </row>
    <row r="144" spans="1:41" ht="16.5" hidden="1" customHeight="1">
      <c r="A144" s="492" t="s">
        <v>1081</v>
      </c>
      <c r="B144" s="493" t="s">
        <v>1101</v>
      </c>
      <c r="C144" s="492" t="s">
        <v>1081</v>
      </c>
      <c r="D144" s="492" t="s">
        <v>1081</v>
      </c>
      <c r="E144" s="493" t="s">
        <v>116</v>
      </c>
      <c r="F144" s="493" t="s">
        <v>377</v>
      </c>
      <c r="G144" s="493" t="s">
        <v>117</v>
      </c>
      <c r="H144" s="493" t="s">
        <v>118</v>
      </c>
      <c r="I144" s="493" t="s">
        <v>119</v>
      </c>
      <c r="J144" s="493" t="s">
        <v>734</v>
      </c>
      <c r="K144" s="493" t="s">
        <v>377</v>
      </c>
      <c r="L144" s="493" t="s">
        <v>735</v>
      </c>
      <c r="M144" s="493" t="s">
        <v>736</v>
      </c>
      <c r="N144" s="493" t="s">
        <v>1130</v>
      </c>
      <c r="O144" s="493">
        <v>676500</v>
      </c>
      <c r="P144" s="439">
        <v>615000</v>
      </c>
      <c r="Q144" s="493">
        <v>61500</v>
      </c>
      <c r="R144" s="493" t="s">
        <v>124</v>
      </c>
      <c r="S144" s="493" t="s">
        <v>382</v>
      </c>
      <c r="T144" s="493" t="s">
        <v>125</v>
      </c>
      <c r="U144" s="493" t="s">
        <v>1125</v>
      </c>
      <c r="V144" s="493" t="s">
        <v>127</v>
      </c>
      <c r="W144" s="493" t="s">
        <v>128</v>
      </c>
      <c r="X144" s="493" t="s">
        <v>738</v>
      </c>
      <c r="Y144" s="493" t="s">
        <v>377</v>
      </c>
      <c r="Z144" s="493" t="s">
        <v>1081</v>
      </c>
      <c r="AA144" s="493" t="s">
        <v>130</v>
      </c>
      <c r="AB144" s="493" t="s">
        <v>377</v>
      </c>
      <c r="AC144" s="493" t="s">
        <v>131</v>
      </c>
      <c r="AD144" s="493" t="s">
        <v>1102</v>
      </c>
      <c r="AE144" s="493">
        <v>615000</v>
      </c>
      <c r="AF144" s="493">
        <v>61500</v>
      </c>
      <c r="AG144" s="493" t="s">
        <v>753</v>
      </c>
      <c r="AH144" s="130">
        <f t="shared" si="19"/>
        <v>46140</v>
      </c>
      <c r="AI144" s="495">
        <v>46142</v>
      </c>
      <c r="AJ144" s="439">
        <f t="shared" ref="AJ144" si="36">P144*1.1</f>
        <v>676500</v>
      </c>
      <c r="AK144" s="121">
        <f t="shared" si="34"/>
        <v>0</v>
      </c>
      <c r="AL144" s="440" t="str">
        <f t="shared" ca="1" si="32"/>
        <v/>
      </c>
      <c r="AM144" s="440"/>
      <c r="AN144" s="440"/>
      <c r="AO144" s="440"/>
    </row>
    <row r="145" spans="1:41" ht="16.5" hidden="1" customHeight="1">
      <c r="A145" s="492" t="s">
        <v>1081</v>
      </c>
      <c r="B145" s="493" t="s">
        <v>1103</v>
      </c>
      <c r="C145" s="492" t="s">
        <v>1081</v>
      </c>
      <c r="D145" s="492" t="s">
        <v>1081</v>
      </c>
      <c r="E145" s="493" t="s">
        <v>116</v>
      </c>
      <c r="F145" s="493" t="s">
        <v>377</v>
      </c>
      <c r="G145" s="493" t="s">
        <v>117</v>
      </c>
      <c r="H145" s="493" t="s">
        <v>118</v>
      </c>
      <c r="I145" s="493" t="s">
        <v>119</v>
      </c>
      <c r="J145" s="493" t="s">
        <v>718</v>
      </c>
      <c r="K145" s="493" t="s">
        <v>377</v>
      </c>
      <c r="L145" s="493" t="s">
        <v>719</v>
      </c>
      <c r="M145" s="493" t="s">
        <v>720</v>
      </c>
      <c r="N145" s="493" t="s">
        <v>1138</v>
      </c>
      <c r="O145" s="493">
        <v>49272850</v>
      </c>
      <c r="P145" s="439">
        <v>44793500</v>
      </c>
      <c r="Q145" s="493">
        <v>4479350</v>
      </c>
      <c r="R145" s="493" t="s">
        <v>124</v>
      </c>
      <c r="S145" s="493" t="s">
        <v>382</v>
      </c>
      <c r="T145" s="493" t="s">
        <v>125</v>
      </c>
      <c r="U145" s="493" t="s">
        <v>1125</v>
      </c>
      <c r="V145" s="493" t="s">
        <v>127</v>
      </c>
      <c r="W145" s="493" t="s">
        <v>128</v>
      </c>
      <c r="X145" s="493" t="s">
        <v>722</v>
      </c>
      <c r="Y145" s="493" t="s">
        <v>377</v>
      </c>
      <c r="Z145" s="493" t="s">
        <v>1081</v>
      </c>
      <c r="AA145" s="493" t="s">
        <v>130</v>
      </c>
      <c r="AB145" s="493" t="s">
        <v>377</v>
      </c>
      <c r="AC145" s="493" t="s">
        <v>131</v>
      </c>
      <c r="AD145" s="493" t="s">
        <v>1104</v>
      </c>
      <c r="AE145" s="493">
        <v>44793500</v>
      </c>
      <c r="AF145" s="493">
        <v>4479350</v>
      </c>
      <c r="AG145" s="493" t="s">
        <v>1117</v>
      </c>
      <c r="AH145" s="130">
        <f t="shared" si="19"/>
        <v>46140</v>
      </c>
      <c r="AI145" s="495">
        <v>46126</v>
      </c>
      <c r="AJ145" s="439">
        <f t="shared" ref="AJ145:AJ150" si="37">P145*1.1</f>
        <v>49272850.000000007</v>
      </c>
      <c r="AK145" s="121">
        <f t="shared" si="34"/>
        <v>0</v>
      </c>
      <c r="AL145" s="440" t="str">
        <f t="shared" ca="1" si="32"/>
        <v/>
      </c>
      <c r="AM145" s="440"/>
      <c r="AN145" s="440"/>
      <c r="AO145" s="440"/>
    </row>
    <row r="146" spans="1:41" ht="16.5" hidden="1" customHeight="1">
      <c r="A146" s="492" t="s">
        <v>1081</v>
      </c>
      <c r="B146" s="493" t="s">
        <v>1105</v>
      </c>
      <c r="C146" s="492" t="s">
        <v>1081</v>
      </c>
      <c r="D146" s="492" t="s">
        <v>1081</v>
      </c>
      <c r="E146" s="493" t="s">
        <v>116</v>
      </c>
      <c r="F146" s="493" t="s">
        <v>377</v>
      </c>
      <c r="G146" s="493" t="s">
        <v>117</v>
      </c>
      <c r="H146" s="493" t="s">
        <v>118</v>
      </c>
      <c r="I146" s="493" t="s">
        <v>119</v>
      </c>
      <c r="J146" s="493" t="s">
        <v>628</v>
      </c>
      <c r="K146" s="493" t="s">
        <v>377</v>
      </c>
      <c r="L146" s="493" t="s">
        <v>629</v>
      </c>
      <c r="M146" s="493" t="s">
        <v>630</v>
      </c>
      <c r="N146" s="493" t="s">
        <v>1132</v>
      </c>
      <c r="O146" s="493">
        <v>662530</v>
      </c>
      <c r="P146" s="439">
        <v>602300</v>
      </c>
      <c r="Q146" s="493">
        <v>60230</v>
      </c>
      <c r="R146" s="493" t="s">
        <v>124</v>
      </c>
      <c r="S146" s="493" t="s">
        <v>382</v>
      </c>
      <c r="T146" s="493" t="s">
        <v>125</v>
      </c>
      <c r="U146" s="493" t="s">
        <v>1133</v>
      </c>
      <c r="V146" s="493" t="s">
        <v>127</v>
      </c>
      <c r="W146" s="493" t="s">
        <v>128</v>
      </c>
      <c r="X146" s="493" t="s">
        <v>632</v>
      </c>
      <c r="Y146" s="493" t="s">
        <v>377</v>
      </c>
      <c r="Z146" s="493" t="s">
        <v>1081</v>
      </c>
      <c r="AA146" s="493" t="s">
        <v>130</v>
      </c>
      <c r="AB146" s="493" t="s">
        <v>377</v>
      </c>
      <c r="AC146" s="493" t="s">
        <v>131</v>
      </c>
      <c r="AD146" s="493" t="s">
        <v>1106</v>
      </c>
      <c r="AE146" s="493">
        <v>602300</v>
      </c>
      <c r="AF146" s="493">
        <v>60230</v>
      </c>
      <c r="AG146" s="493" t="s">
        <v>1118</v>
      </c>
      <c r="AH146" s="130">
        <f t="shared" si="19"/>
        <v>46140</v>
      </c>
      <c r="AI146" s="495">
        <v>46112</v>
      </c>
      <c r="AJ146" s="439">
        <f t="shared" si="37"/>
        <v>662530</v>
      </c>
      <c r="AK146" s="121">
        <f t="shared" si="34"/>
        <v>0</v>
      </c>
      <c r="AL146" s="440" t="str">
        <f t="shared" ca="1" si="32"/>
        <v/>
      </c>
      <c r="AM146" s="440" t="s">
        <v>1119</v>
      </c>
      <c r="AN146" s="440"/>
      <c r="AO146" s="440"/>
    </row>
    <row r="147" spans="1:41" ht="16.5" hidden="1" customHeight="1">
      <c r="A147" s="492" t="s">
        <v>1081</v>
      </c>
      <c r="B147" s="493" t="s">
        <v>1107</v>
      </c>
      <c r="C147" s="492" t="s">
        <v>1081</v>
      </c>
      <c r="D147" s="492" t="s">
        <v>1081</v>
      </c>
      <c r="E147" s="493" t="s">
        <v>116</v>
      </c>
      <c r="F147" s="493" t="s">
        <v>377</v>
      </c>
      <c r="G147" s="493" t="s">
        <v>117</v>
      </c>
      <c r="H147" s="493" t="s">
        <v>118</v>
      </c>
      <c r="I147" s="493" t="s">
        <v>119</v>
      </c>
      <c r="J147" s="493" t="s">
        <v>703</v>
      </c>
      <c r="K147" s="493" t="s">
        <v>377</v>
      </c>
      <c r="L147" s="493" t="s">
        <v>704</v>
      </c>
      <c r="M147" s="493" t="s">
        <v>705</v>
      </c>
      <c r="N147" s="493" t="s">
        <v>1131</v>
      </c>
      <c r="O147" s="493">
        <v>1298000</v>
      </c>
      <c r="P147" s="439">
        <v>1180000</v>
      </c>
      <c r="Q147" s="493">
        <v>118000</v>
      </c>
      <c r="R147" s="493" t="s">
        <v>124</v>
      </c>
      <c r="S147" s="493" t="s">
        <v>382</v>
      </c>
      <c r="T147" s="493" t="s">
        <v>125</v>
      </c>
      <c r="U147" s="493" t="s">
        <v>1125</v>
      </c>
      <c r="V147" s="493" t="s">
        <v>127</v>
      </c>
      <c r="W147" s="493" t="s">
        <v>128</v>
      </c>
      <c r="X147" s="493" t="s">
        <v>707</v>
      </c>
      <c r="Y147" s="493" t="s">
        <v>377</v>
      </c>
      <c r="Z147" s="493" t="s">
        <v>1081</v>
      </c>
      <c r="AA147" s="493" t="s">
        <v>130</v>
      </c>
      <c r="AB147" s="493" t="s">
        <v>377</v>
      </c>
      <c r="AC147" s="493" t="s">
        <v>131</v>
      </c>
      <c r="AD147" s="493" t="s">
        <v>1108</v>
      </c>
      <c r="AE147" s="493">
        <v>1180000</v>
      </c>
      <c r="AF147" s="493">
        <v>118000</v>
      </c>
      <c r="AG147" s="493" t="s">
        <v>747</v>
      </c>
      <c r="AH147" s="130">
        <f t="shared" si="19"/>
        <v>46140</v>
      </c>
      <c r="AI147" s="495">
        <v>46170</v>
      </c>
      <c r="AJ147" s="439">
        <f t="shared" si="37"/>
        <v>1298000</v>
      </c>
      <c r="AK147" s="121">
        <f t="shared" si="34"/>
        <v>0</v>
      </c>
      <c r="AL147" s="440" t="str">
        <f t="shared" ca="1" si="32"/>
        <v/>
      </c>
      <c r="AM147" s="440"/>
      <c r="AN147" s="440"/>
      <c r="AO147" s="440"/>
    </row>
    <row r="148" spans="1:41" ht="16.5" hidden="1" customHeight="1">
      <c r="A148" s="492" t="s">
        <v>1081</v>
      </c>
      <c r="B148" s="493" t="s">
        <v>1109</v>
      </c>
      <c r="C148" s="492" t="s">
        <v>1081</v>
      </c>
      <c r="D148" s="492" t="s">
        <v>1081</v>
      </c>
      <c r="E148" s="493" t="s">
        <v>116</v>
      </c>
      <c r="F148" s="493" t="s">
        <v>377</v>
      </c>
      <c r="G148" s="493" t="s">
        <v>117</v>
      </c>
      <c r="H148" s="493" t="s">
        <v>118</v>
      </c>
      <c r="I148" s="493" t="s">
        <v>119</v>
      </c>
      <c r="J148" s="493" t="s">
        <v>1010</v>
      </c>
      <c r="K148" s="493" t="s">
        <v>377</v>
      </c>
      <c r="L148" s="493" t="s">
        <v>1011</v>
      </c>
      <c r="M148" s="493" t="s">
        <v>1012</v>
      </c>
      <c r="N148" s="493" t="s">
        <v>1139</v>
      </c>
      <c r="O148" s="493">
        <v>3630000</v>
      </c>
      <c r="P148" s="439">
        <v>3300000</v>
      </c>
      <c r="Q148" s="493">
        <v>330000</v>
      </c>
      <c r="R148" s="493" t="s">
        <v>124</v>
      </c>
      <c r="S148" s="493" t="s">
        <v>382</v>
      </c>
      <c r="T148" s="493" t="s">
        <v>125</v>
      </c>
      <c r="U148" s="493" t="s">
        <v>1125</v>
      </c>
      <c r="V148" s="493" t="s">
        <v>127</v>
      </c>
      <c r="W148" s="493" t="s">
        <v>128</v>
      </c>
      <c r="X148" s="493" t="s">
        <v>1014</v>
      </c>
      <c r="Y148" s="493" t="s">
        <v>377</v>
      </c>
      <c r="Z148" s="493" t="s">
        <v>1081</v>
      </c>
      <c r="AA148" s="493" t="s">
        <v>130</v>
      </c>
      <c r="AB148" s="493" t="s">
        <v>377</v>
      </c>
      <c r="AC148" s="493" t="s">
        <v>131</v>
      </c>
      <c r="AD148" s="493" t="s">
        <v>1110</v>
      </c>
      <c r="AE148" s="493">
        <v>3300000</v>
      </c>
      <c r="AF148" s="493">
        <v>330000</v>
      </c>
      <c r="AG148" s="493" t="s">
        <v>1028</v>
      </c>
      <c r="AH148" s="130">
        <f t="shared" si="19"/>
        <v>46140</v>
      </c>
      <c r="AI148" s="495">
        <v>46126</v>
      </c>
      <c r="AJ148" s="439">
        <f t="shared" si="37"/>
        <v>3630000.0000000005</v>
      </c>
      <c r="AK148" s="121">
        <f t="shared" si="34"/>
        <v>0</v>
      </c>
      <c r="AL148" s="440" t="str">
        <f t="shared" ca="1" si="32"/>
        <v/>
      </c>
      <c r="AM148" s="440"/>
      <c r="AN148" s="440"/>
      <c r="AO148" s="440"/>
    </row>
    <row r="149" spans="1:41" ht="16.5" hidden="1" customHeight="1">
      <c r="A149" s="492" t="s">
        <v>1081</v>
      </c>
      <c r="B149" s="493" t="s">
        <v>1111</v>
      </c>
      <c r="C149" s="492" t="s">
        <v>1081</v>
      </c>
      <c r="D149" s="492" t="s">
        <v>1081</v>
      </c>
      <c r="E149" s="493" t="s">
        <v>116</v>
      </c>
      <c r="F149" s="493" t="s">
        <v>377</v>
      </c>
      <c r="G149" s="493" t="s">
        <v>117</v>
      </c>
      <c r="H149" s="493" t="s">
        <v>118</v>
      </c>
      <c r="I149" s="493" t="s">
        <v>119</v>
      </c>
      <c r="J149" s="493" t="s">
        <v>703</v>
      </c>
      <c r="K149" s="493" t="s">
        <v>377</v>
      </c>
      <c r="L149" s="493" t="s">
        <v>704</v>
      </c>
      <c r="M149" s="493" t="s">
        <v>705</v>
      </c>
      <c r="N149" s="493" t="s">
        <v>1131</v>
      </c>
      <c r="O149" s="493">
        <v>1703350</v>
      </c>
      <c r="P149" s="439">
        <v>1548500</v>
      </c>
      <c r="Q149" s="493">
        <v>154850</v>
      </c>
      <c r="R149" s="493" t="s">
        <v>124</v>
      </c>
      <c r="S149" s="493" t="s">
        <v>382</v>
      </c>
      <c r="T149" s="493" t="s">
        <v>125</v>
      </c>
      <c r="U149" s="493" t="s">
        <v>1125</v>
      </c>
      <c r="V149" s="493" t="s">
        <v>127</v>
      </c>
      <c r="W149" s="493" t="s">
        <v>128</v>
      </c>
      <c r="X149" s="493" t="s">
        <v>707</v>
      </c>
      <c r="Y149" s="493" t="s">
        <v>377</v>
      </c>
      <c r="Z149" s="493" t="s">
        <v>1081</v>
      </c>
      <c r="AA149" s="493" t="s">
        <v>130</v>
      </c>
      <c r="AB149" s="493" t="s">
        <v>377</v>
      </c>
      <c r="AC149" s="493" t="s">
        <v>131</v>
      </c>
      <c r="AD149" s="493" t="s">
        <v>1112</v>
      </c>
      <c r="AE149" s="493">
        <v>1548500</v>
      </c>
      <c r="AF149" s="493">
        <v>154850</v>
      </c>
      <c r="AG149" s="493" t="s">
        <v>749</v>
      </c>
      <c r="AH149" s="130">
        <f t="shared" si="19"/>
        <v>46140</v>
      </c>
      <c r="AI149" s="495">
        <v>46170</v>
      </c>
      <c r="AJ149" s="439">
        <f t="shared" si="37"/>
        <v>1703350.0000000002</v>
      </c>
      <c r="AK149" s="121">
        <f t="shared" si="34"/>
        <v>0</v>
      </c>
      <c r="AL149" s="440" t="str">
        <f t="shared" ca="1" si="32"/>
        <v/>
      </c>
      <c r="AM149" s="440"/>
      <c r="AN149" s="440"/>
      <c r="AO149" s="440"/>
    </row>
    <row r="150" spans="1:41" ht="16.5" hidden="1" customHeight="1">
      <c r="A150" s="492" t="s">
        <v>1142</v>
      </c>
      <c r="B150" s="493" t="s">
        <v>1143</v>
      </c>
      <c r="C150" s="492" t="s">
        <v>1142</v>
      </c>
      <c r="D150" s="492" t="s">
        <v>1142</v>
      </c>
      <c r="E150" s="493" t="s">
        <v>116</v>
      </c>
      <c r="F150" s="493" t="s">
        <v>377</v>
      </c>
      <c r="G150" s="493" t="s">
        <v>117</v>
      </c>
      <c r="H150" s="493" t="s">
        <v>118</v>
      </c>
      <c r="I150" s="493" t="s">
        <v>119</v>
      </c>
      <c r="J150" s="493" t="s">
        <v>1144</v>
      </c>
      <c r="K150" s="493" t="s">
        <v>377</v>
      </c>
      <c r="L150" s="493" t="s">
        <v>1145</v>
      </c>
      <c r="M150" s="493" t="s">
        <v>1146</v>
      </c>
      <c r="N150" s="493" t="s">
        <v>1147</v>
      </c>
      <c r="O150" s="493">
        <v>125400</v>
      </c>
      <c r="P150" s="439">
        <v>114000</v>
      </c>
      <c r="Q150" s="493">
        <v>11400</v>
      </c>
      <c r="R150" s="493" t="s">
        <v>124</v>
      </c>
      <c r="S150" s="493" t="s">
        <v>382</v>
      </c>
      <c r="T150" s="493" t="s">
        <v>125</v>
      </c>
      <c r="U150" s="493" t="s">
        <v>126</v>
      </c>
      <c r="V150" s="493" t="s">
        <v>127</v>
      </c>
      <c r="W150" s="493" t="s">
        <v>128</v>
      </c>
      <c r="X150" s="493" t="s">
        <v>1148</v>
      </c>
      <c r="Y150" s="493" t="s">
        <v>377</v>
      </c>
      <c r="Z150" s="493" t="s">
        <v>1142</v>
      </c>
      <c r="AA150" s="493" t="s">
        <v>130</v>
      </c>
      <c r="AB150" s="493" t="s">
        <v>377</v>
      </c>
      <c r="AC150" s="493" t="s">
        <v>131</v>
      </c>
      <c r="AD150" s="493" t="s">
        <v>1149</v>
      </c>
      <c r="AE150" s="493">
        <v>114000</v>
      </c>
      <c r="AF150" s="493">
        <v>11400</v>
      </c>
      <c r="AG150" s="493" t="s">
        <v>1164</v>
      </c>
      <c r="AH150" s="130">
        <f t="shared" si="19"/>
        <v>46141</v>
      </c>
      <c r="AI150" s="495">
        <v>46122</v>
      </c>
      <c r="AJ150" s="439">
        <f t="shared" si="37"/>
        <v>125400.00000000001</v>
      </c>
      <c r="AK150" s="121">
        <f t="shared" ref="AK150:AK154" si="38">(P150*1.1)-AJ150</f>
        <v>0</v>
      </c>
      <c r="AL150" s="440" t="str">
        <f t="shared" ca="1" si="32"/>
        <v/>
      </c>
      <c r="AM150" s="440"/>
      <c r="AN150" s="440"/>
      <c r="AO150" s="440"/>
    </row>
    <row r="151" spans="1:41" ht="16.5" hidden="1" customHeight="1">
      <c r="A151" s="492" t="s">
        <v>1142</v>
      </c>
      <c r="B151" s="493" t="s">
        <v>1150</v>
      </c>
      <c r="C151" s="492" t="s">
        <v>1142</v>
      </c>
      <c r="D151" s="492" t="s">
        <v>1142</v>
      </c>
      <c r="E151" s="493" t="s">
        <v>116</v>
      </c>
      <c r="F151" s="493"/>
      <c r="G151" s="493" t="s">
        <v>117</v>
      </c>
      <c r="H151" s="493" t="s">
        <v>118</v>
      </c>
      <c r="I151" s="493" t="s">
        <v>119</v>
      </c>
      <c r="J151" s="493" t="s">
        <v>120</v>
      </c>
      <c r="K151" s="493" t="s">
        <v>377</v>
      </c>
      <c r="L151" s="493" t="s">
        <v>390</v>
      </c>
      <c r="M151" s="493" t="s">
        <v>122</v>
      </c>
      <c r="N151" s="493" t="s">
        <v>123</v>
      </c>
      <c r="O151" s="493">
        <v>10519300</v>
      </c>
      <c r="P151" s="439">
        <v>9563000</v>
      </c>
      <c r="Q151" s="493">
        <v>956300</v>
      </c>
      <c r="R151" s="493" t="s">
        <v>124</v>
      </c>
      <c r="S151" s="493" t="s">
        <v>382</v>
      </c>
      <c r="T151" s="493" t="s">
        <v>125</v>
      </c>
      <c r="U151" s="493" t="s">
        <v>126</v>
      </c>
      <c r="V151" s="493" t="s">
        <v>127</v>
      </c>
      <c r="W151" s="493" t="s">
        <v>128</v>
      </c>
      <c r="X151" s="493" t="s">
        <v>129</v>
      </c>
      <c r="Y151" s="493" t="s">
        <v>377</v>
      </c>
      <c r="Z151" s="493" t="s">
        <v>1142</v>
      </c>
      <c r="AA151" s="493" t="s">
        <v>130</v>
      </c>
      <c r="AB151" s="493" t="s">
        <v>377</v>
      </c>
      <c r="AC151" s="493" t="s">
        <v>131</v>
      </c>
      <c r="AD151" s="493" t="s">
        <v>1151</v>
      </c>
      <c r="AE151" s="493">
        <v>9563000</v>
      </c>
      <c r="AF151" s="493">
        <v>956300</v>
      </c>
      <c r="AG151" s="493" t="s">
        <v>1162</v>
      </c>
      <c r="AH151" s="130">
        <f t="shared" ref="AH151:AH213" si="39">IF(A151&lt;&gt;"", A151+40, "")</f>
        <v>46141</v>
      </c>
      <c r="AI151" s="495"/>
      <c r="AJ151" s="439"/>
      <c r="AK151" s="121">
        <f t="shared" si="38"/>
        <v>10519300</v>
      </c>
      <c r="AL151" s="440" t="str">
        <f t="shared" ca="1" si="32"/>
        <v>관리</v>
      </c>
      <c r="AM151" s="440"/>
      <c r="AN151" s="440"/>
      <c r="AO151" s="440"/>
    </row>
    <row r="152" spans="1:41" ht="16.5" hidden="1" customHeight="1">
      <c r="A152" s="492" t="s">
        <v>1142</v>
      </c>
      <c r="B152" s="493" t="s">
        <v>1152</v>
      </c>
      <c r="C152" s="492" t="s">
        <v>1142</v>
      </c>
      <c r="D152" s="492" t="s">
        <v>1142</v>
      </c>
      <c r="E152" s="493" t="s">
        <v>116</v>
      </c>
      <c r="F152" s="493" t="s">
        <v>377</v>
      </c>
      <c r="G152" s="493" t="s">
        <v>117</v>
      </c>
      <c r="H152" s="493" t="s">
        <v>118</v>
      </c>
      <c r="I152" s="493" t="s">
        <v>119</v>
      </c>
      <c r="J152" s="493" t="s">
        <v>949</v>
      </c>
      <c r="K152" s="493" t="s">
        <v>377</v>
      </c>
      <c r="L152" s="493" t="s">
        <v>86</v>
      </c>
      <c r="M152" s="493" t="s">
        <v>950</v>
      </c>
      <c r="N152" s="493" t="s">
        <v>951</v>
      </c>
      <c r="O152" s="493">
        <v>2497000</v>
      </c>
      <c r="P152" s="439">
        <v>2270000</v>
      </c>
      <c r="Q152" s="493">
        <v>227000</v>
      </c>
      <c r="R152" s="493" t="s">
        <v>124</v>
      </c>
      <c r="S152" s="493" t="s">
        <v>382</v>
      </c>
      <c r="T152" s="493" t="s">
        <v>125</v>
      </c>
      <c r="U152" s="493" t="s">
        <v>126</v>
      </c>
      <c r="V152" s="493" t="s">
        <v>127</v>
      </c>
      <c r="W152" s="493" t="s">
        <v>128</v>
      </c>
      <c r="X152" s="493" t="s">
        <v>952</v>
      </c>
      <c r="Y152" s="493" t="s">
        <v>377</v>
      </c>
      <c r="Z152" s="493" t="s">
        <v>1142</v>
      </c>
      <c r="AA152" s="493" t="s">
        <v>130</v>
      </c>
      <c r="AB152" s="493" t="s">
        <v>377</v>
      </c>
      <c r="AC152" s="493" t="s">
        <v>131</v>
      </c>
      <c r="AD152" s="493" t="s">
        <v>1153</v>
      </c>
      <c r="AE152" s="493">
        <v>2270000</v>
      </c>
      <c r="AF152" s="493">
        <v>227000</v>
      </c>
      <c r="AG152" s="493" t="s">
        <v>960</v>
      </c>
      <c r="AH152" s="130">
        <f t="shared" si="39"/>
        <v>46141</v>
      </c>
      <c r="AI152" s="495">
        <v>46157</v>
      </c>
      <c r="AJ152" s="439">
        <f>P152*1.1</f>
        <v>2497000</v>
      </c>
      <c r="AK152" s="121">
        <f t="shared" si="38"/>
        <v>0</v>
      </c>
      <c r="AL152" s="440" t="str">
        <f t="shared" ca="1" si="32"/>
        <v/>
      </c>
      <c r="AM152" s="440"/>
      <c r="AN152" s="440"/>
      <c r="AO152" s="440"/>
    </row>
    <row r="153" spans="1:41" ht="16.5" hidden="1" customHeight="1">
      <c r="A153" s="492" t="s">
        <v>1142</v>
      </c>
      <c r="B153" s="493" t="s">
        <v>1154</v>
      </c>
      <c r="C153" s="492" t="s">
        <v>1142</v>
      </c>
      <c r="D153" s="492" t="s">
        <v>1142</v>
      </c>
      <c r="E153" s="493" t="s">
        <v>116</v>
      </c>
      <c r="F153" s="493" t="s">
        <v>377</v>
      </c>
      <c r="G153" s="493" t="s">
        <v>117</v>
      </c>
      <c r="H153" s="493" t="s">
        <v>118</v>
      </c>
      <c r="I153" s="493" t="s">
        <v>119</v>
      </c>
      <c r="J153" s="493" t="s">
        <v>1155</v>
      </c>
      <c r="K153" s="493" t="s">
        <v>377</v>
      </c>
      <c r="L153" s="493" t="s">
        <v>1156</v>
      </c>
      <c r="M153" s="493" t="s">
        <v>1157</v>
      </c>
      <c r="N153" s="493" t="s">
        <v>1158</v>
      </c>
      <c r="O153" s="493">
        <v>133650</v>
      </c>
      <c r="P153" s="439">
        <v>121500</v>
      </c>
      <c r="Q153" s="493">
        <v>12150</v>
      </c>
      <c r="R153" s="493" t="s">
        <v>124</v>
      </c>
      <c r="S153" s="493" t="s">
        <v>382</v>
      </c>
      <c r="T153" s="493" t="s">
        <v>125</v>
      </c>
      <c r="U153" s="493" t="s">
        <v>126</v>
      </c>
      <c r="V153" s="493" t="s">
        <v>127</v>
      </c>
      <c r="W153" s="493" t="s">
        <v>128</v>
      </c>
      <c r="X153" s="493" t="s">
        <v>1159</v>
      </c>
      <c r="Y153" s="493" t="s">
        <v>377</v>
      </c>
      <c r="Z153" s="493" t="s">
        <v>1142</v>
      </c>
      <c r="AA153" s="493" t="s">
        <v>130</v>
      </c>
      <c r="AB153" s="493" t="s">
        <v>377</v>
      </c>
      <c r="AC153" s="493" t="s">
        <v>131</v>
      </c>
      <c r="AD153" s="493" t="s">
        <v>903</v>
      </c>
      <c r="AE153" s="493">
        <v>121500</v>
      </c>
      <c r="AF153" s="493">
        <v>12150</v>
      </c>
      <c r="AG153" s="493" t="s">
        <v>1163</v>
      </c>
      <c r="AH153" s="130">
        <f t="shared" si="39"/>
        <v>46141</v>
      </c>
      <c r="AI153" s="495">
        <v>46101</v>
      </c>
      <c r="AJ153" s="439">
        <f>P153*1.1</f>
        <v>133650</v>
      </c>
      <c r="AK153" s="121">
        <f t="shared" si="38"/>
        <v>0</v>
      </c>
      <c r="AL153" s="440" t="str">
        <f t="shared" ca="1" si="32"/>
        <v/>
      </c>
      <c r="AM153" s="440"/>
      <c r="AN153" s="440"/>
      <c r="AO153" s="440"/>
    </row>
    <row r="154" spans="1:41" ht="16.5" hidden="1" customHeight="1">
      <c r="A154" s="492" t="s">
        <v>1142</v>
      </c>
      <c r="B154" s="493" t="s">
        <v>1160</v>
      </c>
      <c r="C154" s="492" t="s">
        <v>1142</v>
      </c>
      <c r="D154" s="492" t="s">
        <v>1142</v>
      </c>
      <c r="E154" s="493" t="s">
        <v>116</v>
      </c>
      <c r="F154" s="493" t="s">
        <v>377</v>
      </c>
      <c r="G154" s="493" t="s">
        <v>117</v>
      </c>
      <c r="H154" s="493" t="s">
        <v>118</v>
      </c>
      <c r="I154" s="493" t="s">
        <v>119</v>
      </c>
      <c r="J154" s="493" t="s">
        <v>474</v>
      </c>
      <c r="K154" s="493" t="s">
        <v>377</v>
      </c>
      <c r="L154" s="493" t="s">
        <v>475</v>
      </c>
      <c r="M154" s="493" t="s">
        <v>476</v>
      </c>
      <c r="N154" s="493" t="s">
        <v>477</v>
      </c>
      <c r="O154" s="493">
        <v>723800</v>
      </c>
      <c r="P154" s="439">
        <v>658000</v>
      </c>
      <c r="Q154" s="493">
        <v>65800</v>
      </c>
      <c r="R154" s="493" t="s">
        <v>124</v>
      </c>
      <c r="S154" s="493" t="s">
        <v>382</v>
      </c>
      <c r="T154" s="493" t="s">
        <v>125</v>
      </c>
      <c r="U154" s="493" t="s">
        <v>126</v>
      </c>
      <c r="V154" s="493" t="s">
        <v>127</v>
      </c>
      <c r="W154" s="493" t="s">
        <v>128</v>
      </c>
      <c r="X154" s="493" t="s">
        <v>478</v>
      </c>
      <c r="Y154" s="493" t="s">
        <v>377</v>
      </c>
      <c r="Z154" s="493" t="s">
        <v>1142</v>
      </c>
      <c r="AA154" s="493" t="s">
        <v>130</v>
      </c>
      <c r="AB154" s="493" t="s">
        <v>377</v>
      </c>
      <c r="AC154" s="493" t="s">
        <v>131</v>
      </c>
      <c r="AD154" s="493" t="s">
        <v>1161</v>
      </c>
      <c r="AE154" s="493">
        <v>658000</v>
      </c>
      <c r="AF154" s="493">
        <v>65800</v>
      </c>
      <c r="AG154" s="493" t="s">
        <v>1072</v>
      </c>
      <c r="AH154" s="130">
        <f t="shared" si="39"/>
        <v>46141</v>
      </c>
      <c r="AI154" s="495">
        <v>46122</v>
      </c>
      <c r="AJ154" s="439">
        <f>P154*1.1</f>
        <v>723800.00000000012</v>
      </c>
      <c r="AK154" s="121">
        <f t="shared" si="38"/>
        <v>0</v>
      </c>
      <c r="AL154" s="440" t="str">
        <f t="shared" ca="1" si="32"/>
        <v/>
      </c>
      <c r="AM154" s="440"/>
      <c r="AN154" s="440"/>
      <c r="AO154" s="440"/>
    </row>
    <row r="155" spans="1:41" ht="16.5" hidden="1" customHeight="1">
      <c r="A155" s="492" t="s">
        <v>1169</v>
      </c>
      <c r="B155" s="493" t="s">
        <v>1170</v>
      </c>
      <c r="C155" s="492" t="s">
        <v>1169</v>
      </c>
      <c r="D155" s="492" t="s">
        <v>1169</v>
      </c>
      <c r="E155" s="493" t="s">
        <v>116</v>
      </c>
      <c r="F155" s="493" t="s">
        <v>377</v>
      </c>
      <c r="G155" s="493" t="s">
        <v>117</v>
      </c>
      <c r="H155" s="493" t="s">
        <v>118</v>
      </c>
      <c r="I155" s="493" t="s">
        <v>119</v>
      </c>
      <c r="J155" s="493" t="s">
        <v>703</v>
      </c>
      <c r="K155" s="493" t="s">
        <v>377</v>
      </c>
      <c r="L155" s="493" t="s">
        <v>704</v>
      </c>
      <c r="M155" s="493" t="s">
        <v>705</v>
      </c>
      <c r="N155" s="493" t="s">
        <v>706</v>
      </c>
      <c r="O155" s="493">
        <v>4719000</v>
      </c>
      <c r="P155" s="439">
        <v>4290000</v>
      </c>
      <c r="Q155" s="493">
        <v>429000</v>
      </c>
      <c r="R155" s="493" t="s">
        <v>124</v>
      </c>
      <c r="S155" s="493" t="s">
        <v>382</v>
      </c>
      <c r="T155" s="493" t="s">
        <v>125</v>
      </c>
      <c r="U155" s="493" t="s">
        <v>126</v>
      </c>
      <c r="V155" s="493" t="s">
        <v>127</v>
      </c>
      <c r="W155" s="493" t="s">
        <v>128</v>
      </c>
      <c r="X155" s="493" t="s">
        <v>707</v>
      </c>
      <c r="Y155" s="493" t="s">
        <v>377</v>
      </c>
      <c r="Z155" s="493" t="s">
        <v>1169</v>
      </c>
      <c r="AA155" s="493" t="s">
        <v>130</v>
      </c>
      <c r="AB155" s="493" t="s">
        <v>377</v>
      </c>
      <c r="AC155" s="493" t="s">
        <v>131</v>
      </c>
      <c r="AD155" s="493" t="s">
        <v>1171</v>
      </c>
      <c r="AE155" s="493">
        <v>4290000</v>
      </c>
      <c r="AF155" s="493">
        <v>429000</v>
      </c>
      <c r="AG155" s="493" t="s">
        <v>787</v>
      </c>
      <c r="AH155" s="130">
        <f t="shared" si="39"/>
        <v>46144</v>
      </c>
      <c r="AI155" s="495">
        <v>46170</v>
      </c>
      <c r="AJ155" s="439">
        <f>P155*1.1</f>
        <v>4719000</v>
      </c>
      <c r="AK155" s="121">
        <f t="shared" ref="AK155:AK173" si="40">(P155*1.1)-AJ155</f>
        <v>0</v>
      </c>
      <c r="AL155" s="440" t="str">
        <f t="shared" ca="1" si="32"/>
        <v/>
      </c>
      <c r="AM155" s="440"/>
      <c r="AN155" s="440"/>
      <c r="AO155" s="440"/>
    </row>
    <row r="156" spans="1:41" ht="16.5" hidden="1" customHeight="1">
      <c r="A156" s="492" t="s">
        <v>1169</v>
      </c>
      <c r="B156" s="493" t="s">
        <v>1172</v>
      </c>
      <c r="C156" s="492" t="s">
        <v>1169</v>
      </c>
      <c r="D156" s="492" t="s">
        <v>1169</v>
      </c>
      <c r="E156" s="493" t="s">
        <v>116</v>
      </c>
      <c r="F156" s="493" t="s">
        <v>377</v>
      </c>
      <c r="G156" s="493" t="s">
        <v>117</v>
      </c>
      <c r="H156" s="493" t="s">
        <v>118</v>
      </c>
      <c r="I156" s="493" t="s">
        <v>119</v>
      </c>
      <c r="J156" s="493" t="s">
        <v>1173</v>
      </c>
      <c r="K156" s="493" t="s">
        <v>377</v>
      </c>
      <c r="L156" s="493" t="s">
        <v>1174</v>
      </c>
      <c r="M156" s="493" t="s">
        <v>1175</v>
      </c>
      <c r="N156" s="493" t="s">
        <v>1176</v>
      </c>
      <c r="O156" s="493">
        <v>9680000</v>
      </c>
      <c r="P156" s="439">
        <v>8800000</v>
      </c>
      <c r="Q156" s="493">
        <v>880000</v>
      </c>
      <c r="R156" s="493" t="s">
        <v>124</v>
      </c>
      <c r="S156" s="493" t="s">
        <v>382</v>
      </c>
      <c r="T156" s="493" t="s">
        <v>125</v>
      </c>
      <c r="U156" s="493" t="s">
        <v>126</v>
      </c>
      <c r="V156" s="493" t="s">
        <v>127</v>
      </c>
      <c r="W156" s="493" t="s">
        <v>128</v>
      </c>
      <c r="X156" s="493" t="s">
        <v>1177</v>
      </c>
      <c r="Y156" s="493" t="s">
        <v>377</v>
      </c>
      <c r="Z156" s="493" t="s">
        <v>1169</v>
      </c>
      <c r="AA156" s="493" t="s">
        <v>130</v>
      </c>
      <c r="AB156" s="493" t="s">
        <v>377</v>
      </c>
      <c r="AC156" s="493" t="s">
        <v>131</v>
      </c>
      <c r="AD156" s="493" t="s">
        <v>1178</v>
      </c>
      <c r="AE156" s="493">
        <v>8800000</v>
      </c>
      <c r="AF156" s="493">
        <v>880000</v>
      </c>
      <c r="AG156" s="493" t="s">
        <v>1200</v>
      </c>
      <c r="AH156" s="130">
        <f t="shared" si="39"/>
        <v>46144</v>
      </c>
      <c r="AI156" s="495">
        <v>46106</v>
      </c>
      <c r="AJ156" s="439">
        <f>P156*1.1</f>
        <v>9680000</v>
      </c>
      <c r="AK156" s="121">
        <f t="shared" si="40"/>
        <v>0</v>
      </c>
      <c r="AL156" s="440" t="str">
        <f t="shared" ca="1" si="32"/>
        <v/>
      </c>
      <c r="AM156" s="440"/>
      <c r="AN156" s="440"/>
      <c r="AO156" s="440"/>
    </row>
    <row r="157" spans="1:41" ht="16.5" hidden="1" customHeight="1">
      <c r="A157" s="492" t="s">
        <v>1169</v>
      </c>
      <c r="B157" s="493" t="s">
        <v>1179</v>
      </c>
      <c r="C157" s="492" t="s">
        <v>1169</v>
      </c>
      <c r="D157" s="492" t="s">
        <v>1169</v>
      </c>
      <c r="E157" s="493" t="s">
        <v>116</v>
      </c>
      <c r="F157" s="493" t="s">
        <v>377</v>
      </c>
      <c r="G157" s="493" t="s">
        <v>117</v>
      </c>
      <c r="H157" s="493" t="s">
        <v>118</v>
      </c>
      <c r="I157" s="493" t="s">
        <v>119</v>
      </c>
      <c r="J157" s="493" t="s">
        <v>135</v>
      </c>
      <c r="K157" s="493" t="s">
        <v>377</v>
      </c>
      <c r="L157" s="493" t="s">
        <v>579</v>
      </c>
      <c r="M157" s="493" t="s">
        <v>137</v>
      </c>
      <c r="N157" s="493" t="s">
        <v>138</v>
      </c>
      <c r="O157" s="493">
        <v>511500</v>
      </c>
      <c r="P157" s="439">
        <v>465000</v>
      </c>
      <c r="Q157" s="493">
        <v>46500</v>
      </c>
      <c r="R157" s="493" t="s">
        <v>124</v>
      </c>
      <c r="S157" s="493" t="s">
        <v>382</v>
      </c>
      <c r="T157" s="493" t="s">
        <v>125</v>
      </c>
      <c r="U157" s="493" t="s">
        <v>126</v>
      </c>
      <c r="V157" s="493" t="s">
        <v>127</v>
      </c>
      <c r="W157" s="493" t="s">
        <v>128</v>
      </c>
      <c r="X157" s="493" t="s">
        <v>139</v>
      </c>
      <c r="Y157" s="493" t="s">
        <v>377</v>
      </c>
      <c r="Z157" s="493" t="s">
        <v>1169</v>
      </c>
      <c r="AA157" s="493" t="s">
        <v>130</v>
      </c>
      <c r="AB157" s="493" t="s">
        <v>377</v>
      </c>
      <c r="AC157" s="493" t="s">
        <v>131</v>
      </c>
      <c r="AD157" s="493" t="s">
        <v>1180</v>
      </c>
      <c r="AE157" s="493">
        <v>465000</v>
      </c>
      <c r="AF157" s="493">
        <v>46500</v>
      </c>
      <c r="AG157" s="493" t="s">
        <v>1201</v>
      </c>
      <c r="AH157" s="130">
        <f t="shared" si="39"/>
        <v>46144</v>
      </c>
      <c r="AI157" s="495">
        <v>46171</v>
      </c>
      <c r="AJ157" s="439">
        <f t="shared" ref="AJ157" si="41">P157*1.1</f>
        <v>511500.00000000006</v>
      </c>
      <c r="AK157" s="121">
        <f t="shared" si="40"/>
        <v>0</v>
      </c>
      <c r="AL157" s="440" t="str">
        <f t="shared" ca="1" si="32"/>
        <v/>
      </c>
      <c r="AM157" s="440"/>
      <c r="AN157" s="440"/>
      <c r="AO157" s="440"/>
    </row>
    <row r="158" spans="1:41" ht="16.5" hidden="1" customHeight="1">
      <c r="A158" s="492" t="s">
        <v>1169</v>
      </c>
      <c r="B158" s="493" t="s">
        <v>1181</v>
      </c>
      <c r="C158" s="492" t="s">
        <v>1169</v>
      </c>
      <c r="D158" s="492" t="s">
        <v>1169</v>
      </c>
      <c r="E158" s="493" t="s">
        <v>116</v>
      </c>
      <c r="F158" s="493" t="s">
        <v>377</v>
      </c>
      <c r="G158" s="493" t="s">
        <v>117</v>
      </c>
      <c r="H158" s="493" t="s">
        <v>118</v>
      </c>
      <c r="I158" s="493" t="s">
        <v>119</v>
      </c>
      <c r="J158" s="493" t="s">
        <v>510</v>
      </c>
      <c r="K158" s="493" t="s">
        <v>377</v>
      </c>
      <c r="L158" s="493" t="s">
        <v>511</v>
      </c>
      <c r="M158" s="493" t="s">
        <v>512</v>
      </c>
      <c r="N158" s="493" t="s">
        <v>513</v>
      </c>
      <c r="O158" s="493">
        <v>6342050</v>
      </c>
      <c r="P158" s="439">
        <v>5765500</v>
      </c>
      <c r="Q158" s="493">
        <v>576550</v>
      </c>
      <c r="R158" s="493" t="s">
        <v>124</v>
      </c>
      <c r="S158" s="493" t="s">
        <v>382</v>
      </c>
      <c r="T158" s="493" t="s">
        <v>125</v>
      </c>
      <c r="U158" s="493" t="s">
        <v>126</v>
      </c>
      <c r="V158" s="493" t="s">
        <v>127</v>
      </c>
      <c r="W158" s="493" t="s">
        <v>128</v>
      </c>
      <c r="X158" s="493" t="s">
        <v>514</v>
      </c>
      <c r="Y158" s="493" t="s">
        <v>377</v>
      </c>
      <c r="Z158" s="493" t="s">
        <v>1169</v>
      </c>
      <c r="AA158" s="493" t="s">
        <v>130</v>
      </c>
      <c r="AB158" s="493" t="s">
        <v>377</v>
      </c>
      <c r="AC158" s="493" t="s">
        <v>131</v>
      </c>
      <c r="AD158" s="493" t="s">
        <v>1182</v>
      </c>
      <c r="AE158" s="493">
        <v>5765500</v>
      </c>
      <c r="AF158" s="493">
        <v>576550</v>
      </c>
      <c r="AG158" s="493" t="s">
        <v>1202</v>
      </c>
      <c r="AH158" s="130">
        <f t="shared" si="39"/>
        <v>46144</v>
      </c>
      <c r="AI158" s="495">
        <v>46141</v>
      </c>
      <c r="AJ158" s="439">
        <f t="shared" ref="AJ158:AJ165" si="42">P158*1.1</f>
        <v>6342050.0000000009</v>
      </c>
      <c r="AK158" s="121">
        <f t="shared" si="40"/>
        <v>0</v>
      </c>
      <c r="AL158" s="440" t="str">
        <f t="shared" ca="1" si="32"/>
        <v/>
      </c>
      <c r="AM158" s="440"/>
      <c r="AN158" s="440"/>
      <c r="AO158" s="440"/>
    </row>
    <row r="159" spans="1:41" ht="16.5" hidden="1" customHeight="1">
      <c r="A159" s="492" t="s">
        <v>1169</v>
      </c>
      <c r="B159" s="493" t="s">
        <v>1183</v>
      </c>
      <c r="C159" s="492" t="s">
        <v>1169</v>
      </c>
      <c r="D159" s="492" t="s">
        <v>1169</v>
      </c>
      <c r="E159" s="493" t="s">
        <v>116</v>
      </c>
      <c r="F159" s="493" t="s">
        <v>377</v>
      </c>
      <c r="G159" s="493" t="s">
        <v>117</v>
      </c>
      <c r="H159" s="493" t="s">
        <v>118</v>
      </c>
      <c r="I159" s="493" t="s">
        <v>119</v>
      </c>
      <c r="J159" s="493" t="s">
        <v>454</v>
      </c>
      <c r="K159" s="493" t="s">
        <v>377</v>
      </c>
      <c r="L159" s="493" t="s">
        <v>455</v>
      </c>
      <c r="M159" s="493" t="s">
        <v>456</v>
      </c>
      <c r="N159" s="493" t="s">
        <v>457</v>
      </c>
      <c r="O159" s="493">
        <v>244200</v>
      </c>
      <c r="P159" s="439">
        <v>222000</v>
      </c>
      <c r="Q159" s="493">
        <v>22200</v>
      </c>
      <c r="R159" s="493" t="s">
        <v>124</v>
      </c>
      <c r="S159" s="493" t="s">
        <v>382</v>
      </c>
      <c r="T159" s="493" t="s">
        <v>125</v>
      </c>
      <c r="U159" s="493" t="s">
        <v>126</v>
      </c>
      <c r="V159" s="493" t="s">
        <v>127</v>
      </c>
      <c r="W159" s="493" t="s">
        <v>128</v>
      </c>
      <c r="X159" s="493" t="s">
        <v>458</v>
      </c>
      <c r="Y159" s="493" t="s">
        <v>377</v>
      </c>
      <c r="Z159" s="493" t="s">
        <v>1169</v>
      </c>
      <c r="AA159" s="493" t="s">
        <v>130</v>
      </c>
      <c r="AB159" s="493" t="s">
        <v>377</v>
      </c>
      <c r="AC159" s="493" t="s">
        <v>131</v>
      </c>
      <c r="AD159" s="493" t="s">
        <v>862</v>
      </c>
      <c r="AE159" s="493">
        <v>222000</v>
      </c>
      <c r="AF159" s="493">
        <v>22200</v>
      </c>
      <c r="AG159" s="493" t="s">
        <v>1203</v>
      </c>
      <c r="AH159" s="130">
        <f t="shared" si="39"/>
        <v>46144</v>
      </c>
      <c r="AI159" s="495">
        <v>46115</v>
      </c>
      <c r="AJ159" s="439">
        <f t="shared" si="42"/>
        <v>244200.00000000003</v>
      </c>
      <c r="AK159" s="121">
        <f t="shared" si="40"/>
        <v>0</v>
      </c>
      <c r="AL159" s="440" t="str">
        <f t="shared" ca="1" si="32"/>
        <v/>
      </c>
      <c r="AM159" s="440"/>
      <c r="AN159" s="440"/>
      <c r="AO159" s="440"/>
    </row>
    <row r="160" spans="1:41" ht="16.5" hidden="1" customHeight="1">
      <c r="A160" s="492" t="s">
        <v>1169</v>
      </c>
      <c r="B160" s="493" t="s">
        <v>1184</v>
      </c>
      <c r="C160" s="492" t="s">
        <v>1169</v>
      </c>
      <c r="D160" s="492" t="s">
        <v>1169</v>
      </c>
      <c r="E160" s="493" t="s">
        <v>116</v>
      </c>
      <c r="F160" s="493" t="s">
        <v>377</v>
      </c>
      <c r="G160" s="493" t="s">
        <v>117</v>
      </c>
      <c r="H160" s="493" t="s">
        <v>118</v>
      </c>
      <c r="I160" s="493" t="s">
        <v>119</v>
      </c>
      <c r="J160" s="493" t="s">
        <v>674</v>
      </c>
      <c r="K160" s="493" t="s">
        <v>377</v>
      </c>
      <c r="L160" s="493" t="s">
        <v>675</v>
      </c>
      <c r="M160" s="493" t="s">
        <v>676</v>
      </c>
      <c r="N160" s="493" t="s">
        <v>677</v>
      </c>
      <c r="O160" s="493">
        <v>2052600</v>
      </c>
      <c r="P160" s="439">
        <v>1866000</v>
      </c>
      <c r="Q160" s="493">
        <v>186600</v>
      </c>
      <c r="R160" s="493" t="s">
        <v>124</v>
      </c>
      <c r="S160" s="493" t="s">
        <v>382</v>
      </c>
      <c r="T160" s="493" t="s">
        <v>125</v>
      </c>
      <c r="U160" s="493" t="s">
        <v>126</v>
      </c>
      <c r="V160" s="493" t="s">
        <v>127</v>
      </c>
      <c r="W160" s="493" t="s">
        <v>128</v>
      </c>
      <c r="X160" s="493" t="s">
        <v>678</v>
      </c>
      <c r="Y160" s="493" t="s">
        <v>377</v>
      </c>
      <c r="Z160" s="493" t="s">
        <v>1169</v>
      </c>
      <c r="AA160" s="493" t="s">
        <v>130</v>
      </c>
      <c r="AB160" s="493" t="s">
        <v>377</v>
      </c>
      <c r="AC160" s="493" t="s">
        <v>131</v>
      </c>
      <c r="AD160" s="493" t="s">
        <v>1185</v>
      </c>
      <c r="AE160" s="493">
        <v>1866000</v>
      </c>
      <c r="AF160" s="493">
        <v>186600</v>
      </c>
      <c r="AG160" s="493" t="s">
        <v>698</v>
      </c>
      <c r="AH160" s="130">
        <f t="shared" si="39"/>
        <v>46144</v>
      </c>
      <c r="AI160" s="495">
        <v>46142</v>
      </c>
      <c r="AJ160" s="439">
        <f t="shared" si="42"/>
        <v>2052600.0000000002</v>
      </c>
      <c r="AK160" s="121">
        <f t="shared" si="40"/>
        <v>0</v>
      </c>
      <c r="AL160" s="440" t="str">
        <f t="shared" ca="1" si="32"/>
        <v/>
      </c>
      <c r="AM160" s="440"/>
      <c r="AN160" s="440"/>
      <c r="AO160" s="440"/>
    </row>
    <row r="161" spans="1:41" ht="16.5" hidden="1" customHeight="1">
      <c r="A161" s="492" t="s">
        <v>1169</v>
      </c>
      <c r="B161" s="493" t="s">
        <v>1186</v>
      </c>
      <c r="C161" s="492" t="s">
        <v>1169</v>
      </c>
      <c r="D161" s="492" t="s">
        <v>1169</v>
      </c>
      <c r="E161" s="493" t="s">
        <v>116</v>
      </c>
      <c r="F161" s="493" t="s">
        <v>377</v>
      </c>
      <c r="G161" s="493" t="s">
        <v>117</v>
      </c>
      <c r="H161" s="493" t="s">
        <v>118</v>
      </c>
      <c r="I161" s="493" t="s">
        <v>119</v>
      </c>
      <c r="J161" s="493" t="s">
        <v>710</v>
      </c>
      <c r="K161" s="493" t="s">
        <v>377</v>
      </c>
      <c r="L161" s="493" t="s">
        <v>586</v>
      </c>
      <c r="M161" s="493" t="s">
        <v>711</v>
      </c>
      <c r="N161" s="493" t="s">
        <v>712</v>
      </c>
      <c r="O161" s="493">
        <v>878350</v>
      </c>
      <c r="P161" s="439">
        <v>798500</v>
      </c>
      <c r="Q161" s="493">
        <v>79850</v>
      </c>
      <c r="R161" s="493" t="s">
        <v>124</v>
      </c>
      <c r="S161" s="493" t="s">
        <v>382</v>
      </c>
      <c r="T161" s="493" t="s">
        <v>125</v>
      </c>
      <c r="U161" s="493" t="s">
        <v>126</v>
      </c>
      <c r="V161" s="493" t="s">
        <v>127</v>
      </c>
      <c r="W161" s="493" t="s">
        <v>128</v>
      </c>
      <c r="X161" s="493" t="s">
        <v>713</v>
      </c>
      <c r="Y161" s="493" t="s">
        <v>377</v>
      </c>
      <c r="Z161" s="493" t="s">
        <v>1169</v>
      </c>
      <c r="AA161" s="493" t="s">
        <v>130</v>
      </c>
      <c r="AB161" s="493" t="s">
        <v>377</v>
      </c>
      <c r="AC161" s="493" t="s">
        <v>131</v>
      </c>
      <c r="AD161" s="493" t="s">
        <v>1187</v>
      </c>
      <c r="AE161" s="493">
        <v>798500</v>
      </c>
      <c r="AF161" s="493">
        <v>79850</v>
      </c>
      <c r="AG161" s="493" t="s">
        <v>1204</v>
      </c>
      <c r="AH161" s="130">
        <f t="shared" si="39"/>
        <v>46144</v>
      </c>
      <c r="AI161" s="495">
        <v>46122</v>
      </c>
      <c r="AJ161" s="439">
        <f t="shared" si="42"/>
        <v>878350.00000000012</v>
      </c>
      <c r="AK161" s="121">
        <f t="shared" si="40"/>
        <v>0</v>
      </c>
      <c r="AL161" s="440" t="str">
        <f t="shared" ca="1" si="32"/>
        <v/>
      </c>
      <c r="AM161" s="440"/>
      <c r="AN161" s="440"/>
      <c r="AO161" s="440"/>
    </row>
    <row r="162" spans="1:41" ht="16.5" hidden="1" customHeight="1">
      <c r="A162" s="492" t="s">
        <v>1169</v>
      </c>
      <c r="B162" s="493" t="s">
        <v>1188</v>
      </c>
      <c r="C162" s="492" t="s">
        <v>1169</v>
      </c>
      <c r="D162" s="492" t="s">
        <v>1169</v>
      </c>
      <c r="E162" s="493" t="s">
        <v>116</v>
      </c>
      <c r="F162" s="493" t="s">
        <v>377</v>
      </c>
      <c r="G162" s="493" t="s">
        <v>117</v>
      </c>
      <c r="H162" s="493" t="s">
        <v>118</v>
      </c>
      <c r="I162" s="493" t="s">
        <v>119</v>
      </c>
      <c r="J162" s="493" t="s">
        <v>1189</v>
      </c>
      <c r="K162" s="493" t="s">
        <v>377</v>
      </c>
      <c r="L162" s="493" t="s">
        <v>1190</v>
      </c>
      <c r="M162" s="493" t="s">
        <v>1191</v>
      </c>
      <c r="N162" s="493" t="s">
        <v>1192</v>
      </c>
      <c r="O162" s="493">
        <v>5986750</v>
      </c>
      <c r="P162" s="439">
        <v>5442500</v>
      </c>
      <c r="Q162" s="493">
        <v>544250</v>
      </c>
      <c r="R162" s="493" t="s">
        <v>124</v>
      </c>
      <c r="S162" s="493" t="s">
        <v>382</v>
      </c>
      <c r="T162" s="493" t="s">
        <v>125</v>
      </c>
      <c r="U162" s="493" t="s">
        <v>126</v>
      </c>
      <c r="V162" s="493" t="s">
        <v>127</v>
      </c>
      <c r="W162" s="493" t="s">
        <v>128</v>
      </c>
      <c r="X162" s="493" t="s">
        <v>1193</v>
      </c>
      <c r="Y162" s="493" t="s">
        <v>377</v>
      </c>
      <c r="Z162" s="493" t="s">
        <v>1169</v>
      </c>
      <c r="AA162" s="493" t="s">
        <v>130</v>
      </c>
      <c r="AB162" s="493" t="s">
        <v>377</v>
      </c>
      <c r="AC162" s="493" t="s">
        <v>131</v>
      </c>
      <c r="AD162" s="493" t="s">
        <v>377</v>
      </c>
      <c r="AE162" s="493">
        <v>5442500</v>
      </c>
      <c r="AF162" s="493">
        <v>544250</v>
      </c>
      <c r="AG162" s="493" t="s">
        <v>1205</v>
      </c>
      <c r="AH162" s="130">
        <f t="shared" si="39"/>
        <v>46144</v>
      </c>
      <c r="AI162" s="495">
        <v>46122</v>
      </c>
      <c r="AJ162" s="439">
        <f t="shared" si="42"/>
        <v>5986750.0000000009</v>
      </c>
      <c r="AK162" s="121">
        <f t="shared" si="40"/>
        <v>0</v>
      </c>
      <c r="AL162" s="440" t="str">
        <f t="shared" ca="1" si="32"/>
        <v/>
      </c>
      <c r="AM162" s="440"/>
      <c r="AN162" s="440"/>
      <c r="AO162" s="440"/>
    </row>
    <row r="163" spans="1:41" ht="16.5" hidden="1" customHeight="1">
      <c r="A163" s="492" t="s">
        <v>1169</v>
      </c>
      <c r="B163" s="493" t="s">
        <v>1194</v>
      </c>
      <c r="C163" s="492" t="s">
        <v>1169</v>
      </c>
      <c r="D163" s="492" t="s">
        <v>1169</v>
      </c>
      <c r="E163" s="493" t="s">
        <v>116</v>
      </c>
      <c r="F163" s="493" t="s">
        <v>377</v>
      </c>
      <c r="G163" s="493" t="s">
        <v>117</v>
      </c>
      <c r="H163" s="493" t="s">
        <v>118</v>
      </c>
      <c r="I163" s="493" t="s">
        <v>119</v>
      </c>
      <c r="J163" s="493" t="s">
        <v>681</v>
      </c>
      <c r="K163" s="493" t="s">
        <v>377</v>
      </c>
      <c r="L163" s="493" t="s">
        <v>682</v>
      </c>
      <c r="M163" s="493" t="s">
        <v>683</v>
      </c>
      <c r="N163" s="493" t="s">
        <v>684</v>
      </c>
      <c r="O163" s="493">
        <v>3266450</v>
      </c>
      <c r="P163" s="439">
        <v>2969500</v>
      </c>
      <c r="Q163" s="493">
        <v>296950</v>
      </c>
      <c r="R163" s="493" t="s">
        <v>124</v>
      </c>
      <c r="S163" s="493" t="s">
        <v>382</v>
      </c>
      <c r="T163" s="493" t="s">
        <v>125</v>
      </c>
      <c r="U163" s="493" t="s">
        <v>126</v>
      </c>
      <c r="V163" s="493" t="s">
        <v>127</v>
      </c>
      <c r="W163" s="493" t="s">
        <v>128</v>
      </c>
      <c r="X163" s="493" t="s">
        <v>685</v>
      </c>
      <c r="Y163" s="493" t="s">
        <v>377</v>
      </c>
      <c r="Z163" s="493" t="s">
        <v>1169</v>
      </c>
      <c r="AA163" s="493" t="s">
        <v>130</v>
      </c>
      <c r="AB163" s="493" t="s">
        <v>377</v>
      </c>
      <c r="AC163" s="493" t="s">
        <v>131</v>
      </c>
      <c r="AD163" s="493" t="s">
        <v>1195</v>
      </c>
      <c r="AE163" s="493">
        <v>2969500</v>
      </c>
      <c r="AF163" s="493">
        <v>296950</v>
      </c>
      <c r="AG163" s="493" t="s">
        <v>1206</v>
      </c>
      <c r="AH163" s="130">
        <f t="shared" si="39"/>
        <v>46144</v>
      </c>
      <c r="AI163" s="495">
        <v>46127</v>
      </c>
      <c r="AJ163" s="439">
        <f t="shared" si="42"/>
        <v>3266450.0000000005</v>
      </c>
      <c r="AK163" s="121">
        <f t="shared" si="40"/>
        <v>0</v>
      </c>
      <c r="AL163" s="440" t="str">
        <f t="shared" ca="1" si="32"/>
        <v/>
      </c>
      <c r="AM163" s="440"/>
      <c r="AN163" s="440"/>
      <c r="AO163" s="440"/>
    </row>
    <row r="164" spans="1:41" ht="16.5" hidden="1" customHeight="1">
      <c r="A164" s="492" t="s">
        <v>1169</v>
      </c>
      <c r="B164" s="493" t="s">
        <v>1196</v>
      </c>
      <c r="C164" s="492" t="s">
        <v>1169</v>
      </c>
      <c r="D164" s="492" t="s">
        <v>1169</v>
      </c>
      <c r="E164" s="493" t="s">
        <v>116</v>
      </c>
      <c r="F164" s="493" t="s">
        <v>377</v>
      </c>
      <c r="G164" s="493" t="s">
        <v>117</v>
      </c>
      <c r="H164" s="493" t="s">
        <v>118</v>
      </c>
      <c r="I164" s="493" t="s">
        <v>119</v>
      </c>
      <c r="J164" s="493" t="s">
        <v>636</v>
      </c>
      <c r="K164" s="493" t="s">
        <v>377</v>
      </c>
      <c r="L164" s="493" t="s">
        <v>637</v>
      </c>
      <c r="M164" s="493" t="s">
        <v>638</v>
      </c>
      <c r="N164" s="493" t="s">
        <v>639</v>
      </c>
      <c r="O164" s="493">
        <v>11496430</v>
      </c>
      <c r="P164" s="439">
        <v>10451300</v>
      </c>
      <c r="Q164" s="493">
        <v>1045130</v>
      </c>
      <c r="R164" s="493" t="s">
        <v>124</v>
      </c>
      <c r="S164" s="493" t="s">
        <v>382</v>
      </c>
      <c r="T164" s="493" t="s">
        <v>125</v>
      </c>
      <c r="U164" s="493" t="s">
        <v>126</v>
      </c>
      <c r="V164" s="493" t="s">
        <v>127</v>
      </c>
      <c r="W164" s="493" t="s">
        <v>128</v>
      </c>
      <c r="X164" s="493" t="s">
        <v>640</v>
      </c>
      <c r="Y164" s="493" t="s">
        <v>377</v>
      </c>
      <c r="Z164" s="493" t="s">
        <v>1169</v>
      </c>
      <c r="AA164" s="493" t="s">
        <v>130</v>
      </c>
      <c r="AB164" s="493" t="s">
        <v>377</v>
      </c>
      <c r="AC164" s="493" t="s">
        <v>131</v>
      </c>
      <c r="AD164" s="493" t="s">
        <v>1197</v>
      </c>
      <c r="AE164" s="493">
        <v>10451300</v>
      </c>
      <c r="AF164" s="493">
        <v>1045130</v>
      </c>
      <c r="AG164" s="493" t="s">
        <v>1207</v>
      </c>
      <c r="AH164" s="130">
        <f t="shared" si="39"/>
        <v>46144</v>
      </c>
      <c r="AI164" s="495">
        <v>46139</v>
      </c>
      <c r="AJ164" s="439">
        <f t="shared" si="42"/>
        <v>11496430</v>
      </c>
      <c r="AK164" s="121">
        <f t="shared" si="40"/>
        <v>0</v>
      </c>
      <c r="AL164" s="440" t="str">
        <f t="shared" ca="1" si="32"/>
        <v/>
      </c>
      <c r="AM164" s="440"/>
      <c r="AN164" s="440"/>
      <c r="AO164" s="440"/>
    </row>
    <row r="165" spans="1:41" ht="16.5" hidden="1" customHeight="1">
      <c r="A165" s="492" t="s">
        <v>1169</v>
      </c>
      <c r="B165" s="493" t="s">
        <v>1198</v>
      </c>
      <c r="C165" s="492" t="s">
        <v>1169</v>
      </c>
      <c r="D165" s="492" t="s">
        <v>1169</v>
      </c>
      <c r="E165" s="493" t="s">
        <v>116</v>
      </c>
      <c r="F165" s="493" t="s">
        <v>377</v>
      </c>
      <c r="G165" s="493" t="s">
        <v>117</v>
      </c>
      <c r="H165" s="493" t="s">
        <v>118</v>
      </c>
      <c r="I165" s="493" t="s">
        <v>119</v>
      </c>
      <c r="J165" s="493" t="s">
        <v>146</v>
      </c>
      <c r="K165" s="493" t="s">
        <v>377</v>
      </c>
      <c r="L165" s="493" t="s">
        <v>553</v>
      </c>
      <c r="M165" s="493" t="s">
        <v>148</v>
      </c>
      <c r="N165" s="493" t="s">
        <v>149</v>
      </c>
      <c r="O165" s="493">
        <v>2475000</v>
      </c>
      <c r="P165" s="439">
        <v>2250000</v>
      </c>
      <c r="Q165" s="493">
        <v>225000</v>
      </c>
      <c r="R165" s="493" t="s">
        <v>124</v>
      </c>
      <c r="S165" s="493" t="s">
        <v>382</v>
      </c>
      <c r="T165" s="493" t="s">
        <v>125</v>
      </c>
      <c r="U165" s="493" t="s">
        <v>126</v>
      </c>
      <c r="V165" s="493" t="s">
        <v>127</v>
      </c>
      <c r="W165" s="493" t="s">
        <v>128</v>
      </c>
      <c r="X165" s="493" t="s">
        <v>150</v>
      </c>
      <c r="Y165" s="493" t="s">
        <v>377</v>
      </c>
      <c r="Z165" s="493" t="s">
        <v>1169</v>
      </c>
      <c r="AA165" s="493" t="s">
        <v>130</v>
      </c>
      <c r="AB165" s="493" t="s">
        <v>377</v>
      </c>
      <c r="AC165" s="493" t="s">
        <v>131</v>
      </c>
      <c r="AD165" s="493" t="s">
        <v>1199</v>
      </c>
      <c r="AE165" s="493">
        <v>2250000</v>
      </c>
      <c r="AF165" s="493">
        <v>225000</v>
      </c>
      <c r="AG165" s="493" t="s">
        <v>1208</v>
      </c>
      <c r="AH165" s="130">
        <f t="shared" si="39"/>
        <v>46144</v>
      </c>
      <c r="AI165" s="495">
        <v>46171</v>
      </c>
      <c r="AJ165" s="439">
        <f t="shared" si="42"/>
        <v>2475000</v>
      </c>
      <c r="AK165" s="121">
        <f t="shared" si="40"/>
        <v>0</v>
      </c>
      <c r="AL165" s="440" t="str">
        <f t="shared" ca="1" si="32"/>
        <v/>
      </c>
      <c r="AM165" s="440"/>
      <c r="AN165" s="440"/>
      <c r="AO165" s="440"/>
    </row>
    <row r="166" spans="1:41" ht="16.5" hidden="1" customHeight="1">
      <c r="A166" s="492" t="s">
        <v>1216</v>
      </c>
      <c r="B166" s="493" t="s">
        <v>1217</v>
      </c>
      <c r="C166" s="492" t="s">
        <v>1216</v>
      </c>
      <c r="D166" s="492" t="s">
        <v>1216</v>
      </c>
      <c r="E166" s="493" t="s">
        <v>116</v>
      </c>
      <c r="F166" s="493"/>
      <c r="G166" s="493" t="s">
        <v>117</v>
      </c>
      <c r="H166" s="493" t="s">
        <v>118</v>
      </c>
      <c r="I166" s="493" t="s">
        <v>119</v>
      </c>
      <c r="J166" s="493" t="s">
        <v>510</v>
      </c>
      <c r="K166" s="493"/>
      <c r="L166" s="493" t="s">
        <v>511</v>
      </c>
      <c r="M166" s="493" t="s">
        <v>512</v>
      </c>
      <c r="N166" s="493" t="s">
        <v>513</v>
      </c>
      <c r="O166" s="493">
        <v>2982100</v>
      </c>
      <c r="P166" s="439">
        <v>2711000</v>
      </c>
      <c r="Q166" s="493">
        <v>271100</v>
      </c>
      <c r="R166" s="493" t="s">
        <v>124</v>
      </c>
      <c r="S166" s="493" t="s">
        <v>382</v>
      </c>
      <c r="T166" s="493" t="s">
        <v>125</v>
      </c>
      <c r="U166" s="493"/>
      <c r="V166" s="493" t="s">
        <v>127</v>
      </c>
      <c r="W166" s="493" t="s">
        <v>128</v>
      </c>
      <c r="X166" s="493" t="s">
        <v>514</v>
      </c>
      <c r="Y166" s="493"/>
      <c r="Z166" s="493" t="s">
        <v>1216</v>
      </c>
      <c r="AA166" s="493" t="s">
        <v>130</v>
      </c>
      <c r="AB166" s="493"/>
      <c r="AC166" s="493" t="s">
        <v>131</v>
      </c>
      <c r="AD166" s="493" t="s">
        <v>1218</v>
      </c>
      <c r="AE166" s="493">
        <v>2711000</v>
      </c>
      <c r="AF166" s="493">
        <v>271100</v>
      </c>
      <c r="AG166" s="493" t="s">
        <v>1070</v>
      </c>
      <c r="AH166" s="130">
        <f t="shared" si="39"/>
        <v>46145</v>
      </c>
      <c r="AI166" s="495">
        <v>46141</v>
      </c>
      <c r="AJ166" s="439">
        <f>P166*1.1</f>
        <v>2982100.0000000005</v>
      </c>
      <c r="AK166" s="121">
        <f t="shared" si="40"/>
        <v>0</v>
      </c>
      <c r="AL166" s="440" t="str">
        <f t="shared" ca="1" si="32"/>
        <v/>
      </c>
      <c r="AM166" s="440"/>
      <c r="AN166" s="440"/>
      <c r="AO166" s="440"/>
    </row>
    <row r="167" spans="1:41" ht="16.5" hidden="1" customHeight="1">
      <c r="A167" s="492" t="s">
        <v>1216</v>
      </c>
      <c r="B167" s="493" t="s">
        <v>1219</v>
      </c>
      <c r="C167" s="492" t="s">
        <v>1216</v>
      </c>
      <c r="D167" s="492" t="s">
        <v>1216</v>
      </c>
      <c r="E167" s="493" t="s">
        <v>116</v>
      </c>
      <c r="F167" s="493"/>
      <c r="G167" s="493" t="s">
        <v>117</v>
      </c>
      <c r="H167" s="493" t="s">
        <v>118</v>
      </c>
      <c r="I167" s="493" t="s">
        <v>119</v>
      </c>
      <c r="J167" s="493" t="s">
        <v>510</v>
      </c>
      <c r="K167" s="493"/>
      <c r="L167" s="493" t="s">
        <v>511</v>
      </c>
      <c r="M167" s="493" t="s">
        <v>512</v>
      </c>
      <c r="N167" s="493" t="s">
        <v>513</v>
      </c>
      <c r="O167" s="493">
        <v>11592900</v>
      </c>
      <c r="P167" s="439">
        <v>10539000</v>
      </c>
      <c r="Q167" s="493">
        <v>1053900</v>
      </c>
      <c r="R167" s="493" t="s">
        <v>124</v>
      </c>
      <c r="S167" s="493" t="s">
        <v>382</v>
      </c>
      <c r="T167" s="493" t="s">
        <v>125</v>
      </c>
      <c r="U167" s="493" t="s">
        <v>126</v>
      </c>
      <c r="V167" s="493" t="s">
        <v>127</v>
      </c>
      <c r="W167" s="493" t="s">
        <v>128</v>
      </c>
      <c r="X167" s="493" t="s">
        <v>514</v>
      </c>
      <c r="Y167" s="493"/>
      <c r="Z167" s="493" t="s">
        <v>1216</v>
      </c>
      <c r="AA167" s="493" t="s">
        <v>130</v>
      </c>
      <c r="AB167" s="493"/>
      <c r="AC167" s="493" t="s">
        <v>131</v>
      </c>
      <c r="AD167" s="493" t="s">
        <v>1220</v>
      </c>
      <c r="AE167" s="493">
        <v>10539000</v>
      </c>
      <c r="AF167" s="493">
        <v>1053900</v>
      </c>
      <c r="AG167" s="493" t="s">
        <v>1026</v>
      </c>
      <c r="AH167" s="130">
        <f t="shared" si="39"/>
        <v>46145</v>
      </c>
      <c r="AI167" s="495">
        <v>46141</v>
      </c>
      <c r="AJ167" s="439">
        <f>P167*1.1</f>
        <v>11592900.000000002</v>
      </c>
      <c r="AK167" s="121">
        <f t="shared" si="40"/>
        <v>0</v>
      </c>
      <c r="AL167" s="440" t="str">
        <f t="shared" ca="1" si="32"/>
        <v/>
      </c>
      <c r="AM167" s="440"/>
      <c r="AN167" s="440"/>
      <c r="AO167" s="440"/>
    </row>
    <row r="168" spans="1:41" ht="16.5" hidden="1" customHeight="1">
      <c r="A168" s="492" t="s">
        <v>1216</v>
      </c>
      <c r="B168" s="493" t="s">
        <v>1221</v>
      </c>
      <c r="C168" s="492" t="s">
        <v>1216</v>
      </c>
      <c r="D168" s="492" t="s">
        <v>1216</v>
      </c>
      <c r="E168" s="493" t="s">
        <v>116</v>
      </c>
      <c r="F168" s="493"/>
      <c r="G168" s="493" t="s">
        <v>117</v>
      </c>
      <c r="H168" s="493" t="s">
        <v>118</v>
      </c>
      <c r="I168" s="493" t="s">
        <v>119</v>
      </c>
      <c r="J168" s="493" t="s">
        <v>1222</v>
      </c>
      <c r="K168" s="493"/>
      <c r="L168" s="493" t="s">
        <v>1223</v>
      </c>
      <c r="M168" s="493" t="s">
        <v>1224</v>
      </c>
      <c r="N168" s="493" t="s">
        <v>1225</v>
      </c>
      <c r="O168" s="493">
        <v>1123100</v>
      </c>
      <c r="P168" s="439">
        <v>1021000</v>
      </c>
      <c r="Q168" s="493">
        <v>102100</v>
      </c>
      <c r="R168" s="493" t="s">
        <v>124</v>
      </c>
      <c r="S168" s="493" t="s">
        <v>382</v>
      </c>
      <c r="T168" s="493" t="s">
        <v>125</v>
      </c>
      <c r="U168" s="493"/>
      <c r="V168" s="493" t="s">
        <v>127</v>
      </c>
      <c r="W168" s="493" t="s">
        <v>128</v>
      </c>
      <c r="X168" s="493" t="s">
        <v>1226</v>
      </c>
      <c r="Y168" s="493"/>
      <c r="Z168" s="493" t="s">
        <v>1216</v>
      </c>
      <c r="AA168" s="493" t="s">
        <v>130</v>
      </c>
      <c r="AB168" s="493"/>
      <c r="AC168" s="493" t="s">
        <v>131</v>
      </c>
      <c r="AD168" s="493" t="s">
        <v>1227</v>
      </c>
      <c r="AE168" s="493">
        <v>1021000</v>
      </c>
      <c r="AF168" s="493">
        <v>102100</v>
      </c>
      <c r="AG168" s="493" t="s">
        <v>1241</v>
      </c>
      <c r="AH168" s="130">
        <f t="shared" si="39"/>
        <v>46145</v>
      </c>
      <c r="AI168" s="495"/>
      <c r="AJ168" s="439"/>
      <c r="AK168" s="121">
        <f t="shared" si="40"/>
        <v>1123100</v>
      </c>
      <c r="AL168" s="440" t="str">
        <f t="shared" ca="1" si="32"/>
        <v>관리</v>
      </c>
      <c r="AM168" s="440"/>
      <c r="AN168" s="440"/>
      <c r="AO168" s="440"/>
    </row>
    <row r="169" spans="1:41" ht="16.5" hidden="1" customHeight="1">
      <c r="A169" s="492" t="s">
        <v>1216</v>
      </c>
      <c r="B169" s="493" t="s">
        <v>1228</v>
      </c>
      <c r="C169" s="492" t="s">
        <v>1216</v>
      </c>
      <c r="D169" s="492" t="s">
        <v>1216</v>
      </c>
      <c r="E169" s="493" t="s">
        <v>116</v>
      </c>
      <c r="F169" s="493"/>
      <c r="G169" s="493" t="s">
        <v>117</v>
      </c>
      <c r="H169" s="493" t="s">
        <v>118</v>
      </c>
      <c r="I169" s="493" t="s">
        <v>119</v>
      </c>
      <c r="J169" s="493" t="s">
        <v>1229</v>
      </c>
      <c r="K169" s="493"/>
      <c r="L169" s="493" t="s">
        <v>85</v>
      </c>
      <c r="M169" s="493" t="s">
        <v>1230</v>
      </c>
      <c r="N169" s="493" t="s">
        <v>1231</v>
      </c>
      <c r="O169" s="493">
        <v>470580</v>
      </c>
      <c r="P169" s="439">
        <v>427800</v>
      </c>
      <c r="Q169" s="493">
        <v>42780</v>
      </c>
      <c r="R169" s="493" t="s">
        <v>124</v>
      </c>
      <c r="S169" s="493" t="s">
        <v>382</v>
      </c>
      <c r="T169" s="493" t="s">
        <v>125</v>
      </c>
      <c r="U169" s="493" t="s">
        <v>126</v>
      </c>
      <c r="V169" s="493" t="s">
        <v>127</v>
      </c>
      <c r="W169" s="493" t="s">
        <v>128</v>
      </c>
      <c r="X169" s="493" t="s">
        <v>1232</v>
      </c>
      <c r="Y169" s="493"/>
      <c r="Z169" s="493" t="s">
        <v>1216</v>
      </c>
      <c r="AA169" s="493" t="s">
        <v>130</v>
      </c>
      <c r="AB169" s="493"/>
      <c r="AC169" s="493" t="s">
        <v>131</v>
      </c>
      <c r="AD169" s="493" t="s">
        <v>1233</v>
      </c>
      <c r="AE169" s="493">
        <v>427800</v>
      </c>
      <c r="AF169" s="493">
        <v>42780</v>
      </c>
      <c r="AG169" s="493" t="s">
        <v>1242</v>
      </c>
      <c r="AH169" s="130">
        <f t="shared" si="39"/>
        <v>46145</v>
      </c>
      <c r="AI169" s="495">
        <v>46157</v>
      </c>
      <c r="AJ169" s="439">
        <f>P169*1.1</f>
        <v>470580.00000000006</v>
      </c>
      <c r="AK169" s="121">
        <f t="shared" si="40"/>
        <v>0</v>
      </c>
      <c r="AL169" s="440" t="str">
        <f t="shared" ca="1" si="32"/>
        <v/>
      </c>
      <c r="AM169" s="440"/>
      <c r="AN169" s="440"/>
      <c r="AO169" s="440"/>
    </row>
    <row r="170" spans="1:41" ht="16.5" hidden="1" customHeight="1">
      <c r="A170" s="492" t="s">
        <v>1216</v>
      </c>
      <c r="B170" s="493" t="s">
        <v>1234</v>
      </c>
      <c r="C170" s="492" t="s">
        <v>1216</v>
      </c>
      <c r="D170" s="492" t="s">
        <v>1216</v>
      </c>
      <c r="E170" s="493" t="s">
        <v>116</v>
      </c>
      <c r="F170" s="493"/>
      <c r="G170" s="493" t="s">
        <v>117</v>
      </c>
      <c r="H170" s="493" t="s">
        <v>118</v>
      </c>
      <c r="I170" s="493" t="s">
        <v>119</v>
      </c>
      <c r="J170" s="493" t="s">
        <v>703</v>
      </c>
      <c r="K170" s="493"/>
      <c r="L170" s="493" t="s">
        <v>704</v>
      </c>
      <c r="M170" s="493" t="s">
        <v>705</v>
      </c>
      <c r="N170" s="493" t="s">
        <v>706</v>
      </c>
      <c r="O170" s="493">
        <v>1298000</v>
      </c>
      <c r="P170" s="439">
        <v>1180000</v>
      </c>
      <c r="Q170" s="493">
        <v>118000</v>
      </c>
      <c r="R170" s="493" t="s">
        <v>124</v>
      </c>
      <c r="S170" s="493" t="s">
        <v>382</v>
      </c>
      <c r="T170" s="493" t="s">
        <v>125</v>
      </c>
      <c r="U170" s="493" t="s">
        <v>126</v>
      </c>
      <c r="V170" s="493" t="s">
        <v>127</v>
      </c>
      <c r="W170" s="493" t="s">
        <v>128</v>
      </c>
      <c r="X170" s="493" t="s">
        <v>707</v>
      </c>
      <c r="Y170" s="493"/>
      <c r="Z170" s="493" t="s">
        <v>1216</v>
      </c>
      <c r="AA170" s="493" t="s">
        <v>130</v>
      </c>
      <c r="AB170" s="493"/>
      <c r="AC170" s="493" t="s">
        <v>131</v>
      </c>
      <c r="AD170" s="493" t="s">
        <v>1108</v>
      </c>
      <c r="AE170" s="493">
        <v>1180000</v>
      </c>
      <c r="AF170" s="493">
        <v>118000</v>
      </c>
      <c r="AG170" s="493" t="s">
        <v>747</v>
      </c>
      <c r="AH170" s="130">
        <f t="shared" si="39"/>
        <v>46145</v>
      </c>
      <c r="AI170" s="495">
        <v>46170</v>
      </c>
      <c r="AJ170" s="439">
        <f>P170*1.1</f>
        <v>1298000</v>
      </c>
      <c r="AK170" s="121">
        <f t="shared" si="40"/>
        <v>0</v>
      </c>
      <c r="AL170" s="440" t="str">
        <f t="shared" ca="1" si="32"/>
        <v/>
      </c>
      <c r="AM170" s="440"/>
      <c r="AN170" s="440"/>
      <c r="AO170" s="440"/>
    </row>
    <row r="171" spans="1:41" ht="16.5" hidden="1" customHeight="1">
      <c r="A171" s="492" t="s">
        <v>1216</v>
      </c>
      <c r="B171" s="493" t="s">
        <v>1235</v>
      </c>
      <c r="C171" s="492" t="s">
        <v>1216</v>
      </c>
      <c r="D171" s="492" t="s">
        <v>1216</v>
      </c>
      <c r="E171" s="493" t="s">
        <v>116</v>
      </c>
      <c r="F171" s="493"/>
      <c r="G171" s="493" t="s">
        <v>117</v>
      </c>
      <c r="H171" s="493" t="s">
        <v>118</v>
      </c>
      <c r="I171" s="493" t="s">
        <v>119</v>
      </c>
      <c r="J171" s="493" t="s">
        <v>681</v>
      </c>
      <c r="K171" s="493"/>
      <c r="L171" s="493" t="s">
        <v>682</v>
      </c>
      <c r="M171" s="493" t="s">
        <v>683</v>
      </c>
      <c r="N171" s="493" t="s">
        <v>684</v>
      </c>
      <c r="O171" s="493">
        <v>4972000</v>
      </c>
      <c r="P171" s="439">
        <v>4520000</v>
      </c>
      <c r="Q171" s="493">
        <v>452000</v>
      </c>
      <c r="R171" s="493" t="s">
        <v>124</v>
      </c>
      <c r="S171" s="493" t="s">
        <v>382</v>
      </c>
      <c r="T171" s="493" t="s">
        <v>125</v>
      </c>
      <c r="U171" s="493" t="s">
        <v>126</v>
      </c>
      <c r="V171" s="493" t="s">
        <v>127</v>
      </c>
      <c r="W171" s="493" t="s">
        <v>128</v>
      </c>
      <c r="X171" s="493" t="s">
        <v>685</v>
      </c>
      <c r="Y171" s="493"/>
      <c r="Z171" s="493" t="s">
        <v>1216</v>
      </c>
      <c r="AA171" s="493" t="s">
        <v>130</v>
      </c>
      <c r="AB171" s="493"/>
      <c r="AC171" s="493" t="s">
        <v>131</v>
      </c>
      <c r="AD171" s="493" t="s">
        <v>1236</v>
      </c>
      <c r="AE171" s="493">
        <v>4520000</v>
      </c>
      <c r="AF171" s="493">
        <v>452000</v>
      </c>
      <c r="AG171" s="493" t="s">
        <v>1243</v>
      </c>
      <c r="AH171" s="130">
        <f t="shared" si="39"/>
        <v>46145</v>
      </c>
      <c r="AI171" s="495">
        <v>46127</v>
      </c>
      <c r="AJ171" s="439">
        <f>P171*1.1</f>
        <v>4972000</v>
      </c>
      <c r="AK171" s="121">
        <f t="shared" si="40"/>
        <v>0</v>
      </c>
      <c r="AL171" s="440" t="str">
        <f t="shared" ca="1" si="32"/>
        <v/>
      </c>
      <c r="AM171" s="440"/>
      <c r="AN171" s="440"/>
      <c r="AO171" s="440"/>
    </row>
    <row r="172" spans="1:41" ht="16.5" hidden="1" customHeight="1">
      <c r="A172" s="492" t="s">
        <v>1216</v>
      </c>
      <c r="B172" s="493" t="s">
        <v>1237</v>
      </c>
      <c r="C172" s="492" t="s">
        <v>1216</v>
      </c>
      <c r="D172" s="492" t="s">
        <v>1216</v>
      </c>
      <c r="E172" s="493" t="s">
        <v>116</v>
      </c>
      <c r="F172" s="493"/>
      <c r="G172" s="493" t="s">
        <v>117</v>
      </c>
      <c r="H172" s="493" t="s">
        <v>118</v>
      </c>
      <c r="I172" s="493" t="s">
        <v>119</v>
      </c>
      <c r="J172" s="493" t="s">
        <v>510</v>
      </c>
      <c r="K172" s="493"/>
      <c r="L172" s="493" t="s">
        <v>511</v>
      </c>
      <c r="M172" s="493" t="s">
        <v>512</v>
      </c>
      <c r="N172" s="493" t="s">
        <v>513</v>
      </c>
      <c r="O172" s="493">
        <v>172700</v>
      </c>
      <c r="P172" s="439">
        <v>157000</v>
      </c>
      <c r="Q172" s="493">
        <v>15700</v>
      </c>
      <c r="R172" s="493" t="s">
        <v>124</v>
      </c>
      <c r="S172" s="493" t="s">
        <v>382</v>
      </c>
      <c r="T172" s="493" t="s">
        <v>125</v>
      </c>
      <c r="U172" s="493" t="s">
        <v>126</v>
      </c>
      <c r="V172" s="493" t="s">
        <v>127</v>
      </c>
      <c r="W172" s="493" t="s">
        <v>128</v>
      </c>
      <c r="X172" s="493" t="s">
        <v>514</v>
      </c>
      <c r="Y172" s="493"/>
      <c r="Z172" s="493" t="s">
        <v>1216</v>
      </c>
      <c r="AA172" s="493" t="s">
        <v>130</v>
      </c>
      <c r="AB172" s="493"/>
      <c r="AC172" s="493" t="s">
        <v>131</v>
      </c>
      <c r="AD172" s="493" t="s">
        <v>1238</v>
      </c>
      <c r="AE172" s="493">
        <v>157000</v>
      </c>
      <c r="AF172" s="493">
        <v>15700</v>
      </c>
      <c r="AG172" s="493" t="s">
        <v>1244</v>
      </c>
      <c r="AH172" s="130">
        <f t="shared" si="39"/>
        <v>46145</v>
      </c>
      <c r="AI172" s="495">
        <v>46141</v>
      </c>
      <c r="AJ172" s="439">
        <f>P172*1.1</f>
        <v>172700</v>
      </c>
      <c r="AK172" s="121">
        <f t="shared" si="40"/>
        <v>0</v>
      </c>
      <c r="AL172" s="440" t="str">
        <f t="shared" ca="1" si="32"/>
        <v/>
      </c>
      <c r="AM172" s="440"/>
      <c r="AN172" s="440"/>
      <c r="AO172" s="440"/>
    </row>
    <row r="173" spans="1:41" ht="16.5" hidden="1" customHeight="1">
      <c r="A173" s="492" t="s">
        <v>1216</v>
      </c>
      <c r="B173" s="493" t="s">
        <v>1239</v>
      </c>
      <c r="C173" s="492" t="s">
        <v>1216</v>
      </c>
      <c r="D173" s="492" t="s">
        <v>1216</v>
      </c>
      <c r="E173" s="493" t="s">
        <v>116</v>
      </c>
      <c r="F173" s="493"/>
      <c r="G173" s="493" t="s">
        <v>117</v>
      </c>
      <c r="H173" s="493" t="s">
        <v>118</v>
      </c>
      <c r="I173" s="493" t="s">
        <v>119</v>
      </c>
      <c r="J173" s="493" t="s">
        <v>741</v>
      </c>
      <c r="K173" s="493"/>
      <c r="L173" s="493" t="s">
        <v>742</v>
      </c>
      <c r="M173" s="493" t="s">
        <v>743</v>
      </c>
      <c r="N173" s="493" t="s">
        <v>744</v>
      </c>
      <c r="O173" s="493">
        <v>2618000</v>
      </c>
      <c r="P173" s="439">
        <v>2380000</v>
      </c>
      <c r="Q173" s="493">
        <v>238000</v>
      </c>
      <c r="R173" s="493" t="s">
        <v>124</v>
      </c>
      <c r="S173" s="493" t="s">
        <v>382</v>
      </c>
      <c r="T173" s="493" t="s">
        <v>125</v>
      </c>
      <c r="U173" s="493"/>
      <c r="V173" s="493" t="s">
        <v>127</v>
      </c>
      <c r="W173" s="493" t="s">
        <v>128</v>
      </c>
      <c r="X173" s="493" t="s">
        <v>745</v>
      </c>
      <c r="Y173" s="493"/>
      <c r="Z173" s="493" t="s">
        <v>1216</v>
      </c>
      <c r="AA173" s="493" t="s">
        <v>130</v>
      </c>
      <c r="AB173" s="493"/>
      <c r="AC173" s="493" t="s">
        <v>131</v>
      </c>
      <c r="AD173" s="493" t="s">
        <v>1240</v>
      </c>
      <c r="AE173" s="493">
        <v>2380000</v>
      </c>
      <c r="AF173" s="493">
        <v>238000</v>
      </c>
      <c r="AG173" s="493" t="s">
        <v>754</v>
      </c>
      <c r="AH173" s="130">
        <f t="shared" si="39"/>
        <v>46145</v>
      </c>
      <c r="AI173" s="495"/>
      <c r="AJ173" s="439"/>
      <c r="AK173" s="121">
        <f t="shared" si="40"/>
        <v>2618000</v>
      </c>
      <c r="AL173" s="440" t="str">
        <f t="shared" ca="1" si="32"/>
        <v>관리</v>
      </c>
      <c r="AM173" s="440"/>
      <c r="AN173" s="440"/>
      <c r="AO173" s="440"/>
    </row>
    <row r="174" spans="1:41" ht="16.5" hidden="1" customHeight="1">
      <c r="A174" s="492" t="s">
        <v>1248</v>
      </c>
      <c r="B174" s="493" t="s">
        <v>1249</v>
      </c>
      <c r="C174" s="492" t="s">
        <v>1248</v>
      </c>
      <c r="D174" s="492" t="s">
        <v>1248</v>
      </c>
      <c r="E174" s="493" t="s">
        <v>116</v>
      </c>
      <c r="F174" s="493" t="s">
        <v>377</v>
      </c>
      <c r="G174" s="493" t="s">
        <v>117</v>
      </c>
      <c r="H174" s="493" t="s">
        <v>118</v>
      </c>
      <c r="I174" s="493" t="s">
        <v>119</v>
      </c>
      <c r="J174" s="493" t="s">
        <v>661</v>
      </c>
      <c r="K174" s="493" t="s">
        <v>377</v>
      </c>
      <c r="L174" s="493" t="s">
        <v>662</v>
      </c>
      <c r="M174" s="493" t="s">
        <v>663</v>
      </c>
      <c r="N174" s="493" t="s">
        <v>664</v>
      </c>
      <c r="O174" s="493">
        <v>385000</v>
      </c>
      <c r="P174" s="439">
        <v>350000</v>
      </c>
      <c r="Q174" s="493">
        <v>35000</v>
      </c>
      <c r="R174" s="493" t="s">
        <v>124</v>
      </c>
      <c r="S174" s="493" t="s">
        <v>382</v>
      </c>
      <c r="T174" s="493" t="s">
        <v>125</v>
      </c>
      <c r="U174" s="493" t="s">
        <v>126</v>
      </c>
      <c r="V174" s="493" t="s">
        <v>127</v>
      </c>
      <c r="W174" s="493" t="s">
        <v>128</v>
      </c>
      <c r="X174" s="493" t="s">
        <v>665</v>
      </c>
      <c r="Y174" s="493" t="s">
        <v>377</v>
      </c>
      <c r="Z174" s="493" t="s">
        <v>1248</v>
      </c>
      <c r="AA174" s="493" t="s">
        <v>130</v>
      </c>
      <c r="AB174" s="493" t="s">
        <v>377</v>
      </c>
      <c r="AC174" s="493" t="s">
        <v>131</v>
      </c>
      <c r="AD174" s="493" t="s">
        <v>1250</v>
      </c>
      <c r="AE174" s="493">
        <v>350000</v>
      </c>
      <c r="AF174" s="493">
        <v>35000</v>
      </c>
      <c r="AG174" s="493" t="s">
        <v>1286</v>
      </c>
      <c r="AH174" s="130">
        <f t="shared" si="39"/>
        <v>46146</v>
      </c>
      <c r="AI174" s="495">
        <v>46106</v>
      </c>
      <c r="AJ174" s="439">
        <f t="shared" ref="AJ174:AJ180" si="43">P174*1.1</f>
        <v>385000.00000000006</v>
      </c>
      <c r="AK174" s="121">
        <f t="shared" ref="AK174:AK183" si="44">(P174*1.1)-AJ174</f>
        <v>0</v>
      </c>
      <c r="AL174" s="440" t="str">
        <f t="shared" ca="1" si="32"/>
        <v/>
      </c>
      <c r="AM174" s="440"/>
      <c r="AN174" s="440"/>
      <c r="AO174" s="440"/>
    </row>
    <row r="175" spans="1:41" ht="16.5" hidden="1" customHeight="1">
      <c r="A175" s="492" t="s">
        <v>1248</v>
      </c>
      <c r="B175" s="493" t="s">
        <v>1251</v>
      </c>
      <c r="C175" s="492" t="s">
        <v>1248</v>
      </c>
      <c r="D175" s="492" t="s">
        <v>1248</v>
      </c>
      <c r="E175" s="493" t="s">
        <v>116</v>
      </c>
      <c r="F175" s="493" t="s">
        <v>377</v>
      </c>
      <c r="G175" s="493" t="s">
        <v>117</v>
      </c>
      <c r="H175" s="493" t="s">
        <v>118</v>
      </c>
      <c r="I175" s="493" t="s">
        <v>119</v>
      </c>
      <c r="J175" s="493" t="s">
        <v>510</v>
      </c>
      <c r="K175" s="493" t="s">
        <v>377</v>
      </c>
      <c r="L175" s="493" t="s">
        <v>511</v>
      </c>
      <c r="M175" s="493" t="s">
        <v>512</v>
      </c>
      <c r="N175" s="493" t="s">
        <v>513</v>
      </c>
      <c r="O175" s="493">
        <v>5223130</v>
      </c>
      <c r="P175" s="439">
        <v>4748300</v>
      </c>
      <c r="Q175" s="493">
        <v>474830</v>
      </c>
      <c r="R175" s="493" t="s">
        <v>124</v>
      </c>
      <c r="S175" s="493" t="s">
        <v>382</v>
      </c>
      <c r="T175" s="493" t="s">
        <v>125</v>
      </c>
      <c r="U175" s="493" t="s">
        <v>126</v>
      </c>
      <c r="V175" s="493" t="s">
        <v>127</v>
      </c>
      <c r="W175" s="493" t="s">
        <v>128</v>
      </c>
      <c r="X175" s="493" t="s">
        <v>514</v>
      </c>
      <c r="Y175" s="493" t="s">
        <v>377</v>
      </c>
      <c r="Z175" s="493" t="s">
        <v>1248</v>
      </c>
      <c r="AA175" s="493" t="s">
        <v>130</v>
      </c>
      <c r="AB175" s="493" t="s">
        <v>377</v>
      </c>
      <c r="AC175" s="493" t="s">
        <v>131</v>
      </c>
      <c r="AD175" s="493" t="s">
        <v>1252</v>
      </c>
      <c r="AE175" s="493">
        <v>4748300</v>
      </c>
      <c r="AF175" s="493">
        <v>474830</v>
      </c>
      <c r="AG175" s="493" t="s">
        <v>1202</v>
      </c>
      <c r="AH175" s="130">
        <f t="shared" si="39"/>
        <v>46146</v>
      </c>
      <c r="AI175" s="495">
        <v>46141</v>
      </c>
      <c r="AJ175" s="439">
        <f t="shared" si="43"/>
        <v>5223130</v>
      </c>
      <c r="AK175" s="121">
        <f t="shared" si="44"/>
        <v>0</v>
      </c>
      <c r="AL175" s="440" t="str">
        <f t="shared" ca="1" si="32"/>
        <v/>
      </c>
      <c r="AM175" s="440"/>
      <c r="AN175" s="440"/>
      <c r="AO175" s="440"/>
    </row>
    <row r="176" spans="1:41" ht="16.5" hidden="1" customHeight="1">
      <c r="A176" s="492" t="s">
        <v>1248</v>
      </c>
      <c r="B176" s="493" t="s">
        <v>1253</v>
      </c>
      <c r="C176" s="492" t="s">
        <v>1248</v>
      </c>
      <c r="D176" s="492" t="s">
        <v>1248</v>
      </c>
      <c r="E176" s="493" t="s">
        <v>116</v>
      </c>
      <c r="F176" s="493" t="s">
        <v>377</v>
      </c>
      <c r="G176" s="493" t="s">
        <v>117</v>
      </c>
      <c r="H176" s="493" t="s">
        <v>118</v>
      </c>
      <c r="I176" s="493" t="s">
        <v>119</v>
      </c>
      <c r="J176" s="493" t="s">
        <v>1254</v>
      </c>
      <c r="K176" s="493" t="s">
        <v>377</v>
      </c>
      <c r="L176" s="493" t="s">
        <v>391</v>
      </c>
      <c r="M176" s="493" t="s">
        <v>1255</v>
      </c>
      <c r="N176" s="493" t="s">
        <v>1256</v>
      </c>
      <c r="O176" s="493">
        <v>435600</v>
      </c>
      <c r="P176" s="439">
        <v>396000</v>
      </c>
      <c r="Q176" s="493">
        <v>39600</v>
      </c>
      <c r="R176" s="493" t="s">
        <v>124</v>
      </c>
      <c r="S176" s="493" t="s">
        <v>382</v>
      </c>
      <c r="T176" s="493" t="s">
        <v>125</v>
      </c>
      <c r="U176" s="493" t="s">
        <v>126</v>
      </c>
      <c r="V176" s="493" t="s">
        <v>127</v>
      </c>
      <c r="W176" s="493" t="s">
        <v>128</v>
      </c>
      <c r="X176" s="493" t="s">
        <v>1257</v>
      </c>
      <c r="Y176" s="493" t="s">
        <v>377</v>
      </c>
      <c r="Z176" s="493" t="s">
        <v>1248</v>
      </c>
      <c r="AA176" s="493" t="s">
        <v>130</v>
      </c>
      <c r="AB176" s="493" t="s">
        <v>377</v>
      </c>
      <c r="AC176" s="493" t="s">
        <v>131</v>
      </c>
      <c r="AD176" s="493" t="s">
        <v>1258</v>
      </c>
      <c r="AE176" s="493">
        <v>396000</v>
      </c>
      <c r="AF176" s="493">
        <v>39600</v>
      </c>
      <c r="AG176" s="493" t="s">
        <v>1278</v>
      </c>
      <c r="AH176" s="130">
        <f t="shared" si="39"/>
        <v>46146</v>
      </c>
      <c r="AI176" s="495">
        <v>46112</v>
      </c>
      <c r="AJ176" s="439">
        <f t="shared" si="43"/>
        <v>435600.00000000006</v>
      </c>
      <c r="AK176" s="121">
        <f t="shared" si="44"/>
        <v>0</v>
      </c>
      <c r="AL176" s="440" t="str">
        <f t="shared" ca="1" si="32"/>
        <v/>
      </c>
      <c r="AM176" s="440"/>
      <c r="AN176" s="440"/>
      <c r="AO176" s="440"/>
    </row>
    <row r="177" spans="1:41" ht="16.5" hidden="1" customHeight="1">
      <c r="A177" s="492" t="s">
        <v>1248</v>
      </c>
      <c r="B177" s="493" t="s">
        <v>1259</v>
      </c>
      <c r="C177" s="492" t="s">
        <v>1248</v>
      </c>
      <c r="D177" s="492" t="s">
        <v>1248</v>
      </c>
      <c r="E177" s="493" t="s">
        <v>116</v>
      </c>
      <c r="F177" s="493" t="s">
        <v>377</v>
      </c>
      <c r="G177" s="493" t="s">
        <v>117</v>
      </c>
      <c r="H177" s="493" t="s">
        <v>118</v>
      </c>
      <c r="I177" s="493" t="s">
        <v>119</v>
      </c>
      <c r="J177" s="493" t="s">
        <v>510</v>
      </c>
      <c r="K177" s="493" t="s">
        <v>377</v>
      </c>
      <c r="L177" s="493" t="s">
        <v>511</v>
      </c>
      <c r="M177" s="493" t="s">
        <v>512</v>
      </c>
      <c r="N177" s="493" t="s">
        <v>513</v>
      </c>
      <c r="O177" s="493">
        <v>1555950</v>
      </c>
      <c r="P177" s="439">
        <v>1414500</v>
      </c>
      <c r="Q177" s="493">
        <v>141450</v>
      </c>
      <c r="R177" s="493" t="s">
        <v>124</v>
      </c>
      <c r="S177" s="493" t="s">
        <v>382</v>
      </c>
      <c r="T177" s="493" t="s">
        <v>125</v>
      </c>
      <c r="U177" s="493" t="s">
        <v>126</v>
      </c>
      <c r="V177" s="493" t="s">
        <v>127</v>
      </c>
      <c r="W177" s="493" t="s">
        <v>128</v>
      </c>
      <c r="X177" s="493" t="s">
        <v>514</v>
      </c>
      <c r="Y177" s="493" t="s">
        <v>377</v>
      </c>
      <c r="Z177" s="493" t="s">
        <v>1248</v>
      </c>
      <c r="AA177" s="493" t="s">
        <v>130</v>
      </c>
      <c r="AB177" s="493" t="s">
        <v>377</v>
      </c>
      <c r="AC177" s="493" t="s">
        <v>131</v>
      </c>
      <c r="AD177" s="493" t="s">
        <v>1260</v>
      </c>
      <c r="AE177" s="493">
        <v>1414500</v>
      </c>
      <c r="AF177" s="493">
        <v>141450</v>
      </c>
      <c r="AG177" s="493" t="s">
        <v>1279</v>
      </c>
      <c r="AH177" s="130">
        <f t="shared" si="39"/>
        <v>46146</v>
      </c>
      <c r="AI177" s="495">
        <v>46141</v>
      </c>
      <c r="AJ177" s="439">
        <f t="shared" si="43"/>
        <v>1555950.0000000002</v>
      </c>
      <c r="AK177" s="121">
        <f t="shared" si="44"/>
        <v>0</v>
      </c>
      <c r="AL177" s="440" t="str">
        <f t="shared" ca="1" si="32"/>
        <v/>
      </c>
      <c r="AM177" s="440"/>
      <c r="AN177" s="440"/>
      <c r="AO177" s="440"/>
    </row>
    <row r="178" spans="1:41" ht="16.5" hidden="1" customHeight="1">
      <c r="A178" s="492" t="s">
        <v>1248</v>
      </c>
      <c r="B178" s="493" t="s">
        <v>1261</v>
      </c>
      <c r="C178" s="492" t="s">
        <v>1248</v>
      </c>
      <c r="D178" s="492" t="s">
        <v>1248</v>
      </c>
      <c r="E178" s="493" t="s">
        <v>116</v>
      </c>
      <c r="F178" s="493" t="s">
        <v>377</v>
      </c>
      <c r="G178" s="493" t="s">
        <v>117</v>
      </c>
      <c r="H178" s="493" t="s">
        <v>118</v>
      </c>
      <c r="I178" s="493" t="s">
        <v>119</v>
      </c>
      <c r="J178" s="493" t="s">
        <v>797</v>
      </c>
      <c r="K178" s="493" t="s">
        <v>377</v>
      </c>
      <c r="L178" s="493" t="s">
        <v>798</v>
      </c>
      <c r="M178" s="493" t="s">
        <v>799</v>
      </c>
      <c r="N178" s="493" t="s">
        <v>800</v>
      </c>
      <c r="O178" s="493">
        <v>1029600</v>
      </c>
      <c r="P178" s="439">
        <v>936000</v>
      </c>
      <c r="Q178" s="493">
        <v>93600</v>
      </c>
      <c r="R178" s="493" t="s">
        <v>124</v>
      </c>
      <c r="S178" s="493" t="s">
        <v>382</v>
      </c>
      <c r="T178" s="493" t="s">
        <v>125</v>
      </c>
      <c r="U178" s="493" t="s">
        <v>377</v>
      </c>
      <c r="V178" s="493" t="s">
        <v>127</v>
      </c>
      <c r="W178" s="493" t="s">
        <v>128</v>
      </c>
      <c r="X178" s="493" t="s">
        <v>801</v>
      </c>
      <c r="Y178" s="493" t="s">
        <v>377</v>
      </c>
      <c r="Z178" s="493" t="s">
        <v>1248</v>
      </c>
      <c r="AA178" s="493" t="s">
        <v>130</v>
      </c>
      <c r="AB178" s="493" t="s">
        <v>377</v>
      </c>
      <c r="AC178" s="493" t="s">
        <v>131</v>
      </c>
      <c r="AD178" s="493" t="s">
        <v>1262</v>
      </c>
      <c r="AE178" s="493">
        <v>936000</v>
      </c>
      <c r="AF178" s="493">
        <v>93600</v>
      </c>
      <c r="AG178" s="493" t="s">
        <v>1280</v>
      </c>
      <c r="AH178" s="130">
        <f t="shared" si="39"/>
        <v>46146</v>
      </c>
      <c r="AI178" s="495">
        <v>46142</v>
      </c>
      <c r="AJ178" s="439">
        <f t="shared" si="43"/>
        <v>1029600.0000000001</v>
      </c>
      <c r="AK178" s="121">
        <f t="shared" si="44"/>
        <v>0</v>
      </c>
      <c r="AL178" s="440" t="str">
        <f t="shared" ca="1" si="32"/>
        <v/>
      </c>
      <c r="AM178" s="440"/>
      <c r="AN178" s="440"/>
      <c r="AO178" s="440"/>
    </row>
    <row r="179" spans="1:41" ht="16.5" hidden="1" customHeight="1">
      <c r="A179" s="492" t="s">
        <v>1248</v>
      </c>
      <c r="B179" s="493" t="s">
        <v>1263</v>
      </c>
      <c r="C179" s="492" t="s">
        <v>1248</v>
      </c>
      <c r="D179" s="492" t="s">
        <v>1248</v>
      </c>
      <c r="E179" s="493" t="s">
        <v>116</v>
      </c>
      <c r="F179" s="493" t="s">
        <v>377</v>
      </c>
      <c r="G179" s="493" t="s">
        <v>117</v>
      </c>
      <c r="H179" s="493" t="s">
        <v>118</v>
      </c>
      <c r="I179" s="493" t="s">
        <v>119</v>
      </c>
      <c r="J179" s="493" t="s">
        <v>510</v>
      </c>
      <c r="K179" s="493" t="s">
        <v>377</v>
      </c>
      <c r="L179" s="493" t="s">
        <v>511</v>
      </c>
      <c r="M179" s="493" t="s">
        <v>512</v>
      </c>
      <c r="N179" s="493" t="s">
        <v>513</v>
      </c>
      <c r="O179" s="493">
        <v>9170150</v>
      </c>
      <c r="P179" s="439">
        <v>8336500</v>
      </c>
      <c r="Q179" s="493">
        <v>833650</v>
      </c>
      <c r="R179" s="493" t="s">
        <v>124</v>
      </c>
      <c r="S179" s="493" t="s">
        <v>382</v>
      </c>
      <c r="T179" s="493" t="s">
        <v>125</v>
      </c>
      <c r="U179" s="493" t="s">
        <v>377</v>
      </c>
      <c r="V179" s="493" t="s">
        <v>127</v>
      </c>
      <c r="W179" s="493" t="s">
        <v>128</v>
      </c>
      <c r="X179" s="493" t="s">
        <v>514</v>
      </c>
      <c r="Y179" s="493" t="s">
        <v>377</v>
      </c>
      <c r="Z179" s="493" t="s">
        <v>1248</v>
      </c>
      <c r="AA179" s="493" t="s">
        <v>130</v>
      </c>
      <c r="AB179" s="493" t="s">
        <v>377</v>
      </c>
      <c r="AC179" s="493" t="s">
        <v>131</v>
      </c>
      <c r="AD179" s="493" t="s">
        <v>1264</v>
      </c>
      <c r="AE179" s="493">
        <v>8336500</v>
      </c>
      <c r="AF179" s="493">
        <v>833650</v>
      </c>
      <c r="AG179" s="493" t="s">
        <v>1281</v>
      </c>
      <c r="AH179" s="130">
        <f t="shared" si="39"/>
        <v>46146</v>
      </c>
      <c r="AI179" s="495">
        <v>46141</v>
      </c>
      <c r="AJ179" s="439">
        <f t="shared" si="43"/>
        <v>9170150</v>
      </c>
      <c r="AK179" s="121">
        <f t="shared" si="44"/>
        <v>0</v>
      </c>
      <c r="AL179" s="440" t="str">
        <f t="shared" ca="1" si="32"/>
        <v/>
      </c>
      <c r="AM179" s="440"/>
      <c r="AN179" s="440"/>
      <c r="AO179" s="440"/>
    </row>
    <row r="180" spans="1:41" ht="16.5" hidden="1" customHeight="1">
      <c r="A180" s="492" t="s">
        <v>1248</v>
      </c>
      <c r="B180" s="493" t="s">
        <v>1265</v>
      </c>
      <c r="C180" s="492" t="s">
        <v>1248</v>
      </c>
      <c r="D180" s="492" t="s">
        <v>1248</v>
      </c>
      <c r="E180" s="493" t="s">
        <v>116</v>
      </c>
      <c r="F180" s="493" t="s">
        <v>377</v>
      </c>
      <c r="G180" s="493" t="s">
        <v>117</v>
      </c>
      <c r="H180" s="493" t="s">
        <v>118</v>
      </c>
      <c r="I180" s="493" t="s">
        <v>119</v>
      </c>
      <c r="J180" s="493" t="s">
        <v>510</v>
      </c>
      <c r="K180" s="493" t="s">
        <v>377</v>
      </c>
      <c r="L180" s="493" t="s">
        <v>511</v>
      </c>
      <c r="M180" s="493" t="s">
        <v>512</v>
      </c>
      <c r="N180" s="493" t="s">
        <v>513</v>
      </c>
      <c r="O180" s="493">
        <v>610500</v>
      </c>
      <c r="P180" s="439">
        <v>555000</v>
      </c>
      <c r="Q180" s="493">
        <v>55500</v>
      </c>
      <c r="R180" s="493" t="s">
        <v>124</v>
      </c>
      <c r="S180" s="493" t="s">
        <v>382</v>
      </c>
      <c r="T180" s="493" t="s">
        <v>125</v>
      </c>
      <c r="U180" s="493" t="s">
        <v>126</v>
      </c>
      <c r="V180" s="493" t="s">
        <v>127</v>
      </c>
      <c r="W180" s="493" t="s">
        <v>128</v>
      </c>
      <c r="X180" s="493" t="s">
        <v>514</v>
      </c>
      <c r="Y180" s="493" t="s">
        <v>377</v>
      </c>
      <c r="Z180" s="493" t="s">
        <v>1248</v>
      </c>
      <c r="AA180" s="493" t="s">
        <v>130</v>
      </c>
      <c r="AB180" s="493" t="s">
        <v>377</v>
      </c>
      <c r="AC180" s="493" t="s">
        <v>131</v>
      </c>
      <c r="AD180" s="493" t="s">
        <v>1266</v>
      </c>
      <c r="AE180" s="493">
        <v>555000</v>
      </c>
      <c r="AF180" s="493">
        <v>55500</v>
      </c>
      <c r="AG180" s="493" t="s">
        <v>1282</v>
      </c>
      <c r="AH180" s="130">
        <f t="shared" si="39"/>
        <v>46146</v>
      </c>
      <c r="AI180" s="495">
        <v>46141</v>
      </c>
      <c r="AJ180" s="439">
        <f t="shared" si="43"/>
        <v>610500</v>
      </c>
      <c r="AK180" s="121">
        <f t="shared" si="44"/>
        <v>0</v>
      </c>
      <c r="AL180" s="440" t="str">
        <f t="shared" ca="1" si="32"/>
        <v/>
      </c>
      <c r="AM180" s="440"/>
      <c r="AN180" s="440"/>
      <c r="AO180" s="440"/>
    </row>
    <row r="181" spans="1:41" ht="16.5" hidden="1" customHeight="1">
      <c r="A181" s="492" t="s">
        <v>1248</v>
      </c>
      <c r="B181" s="493" t="s">
        <v>1267</v>
      </c>
      <c r="C181" s="492" t="s">
        <v>1248</v>
      </c>
      <c r="D181" s="492" t="s">
        <v>1248</v>
      </c>
      <c r="E181" s="493" t="s">
        <v>116</v>
      </c>
      <c r="F181" s="493" t="s">
        <v>377</v>
      </c>
      <c r="G181" s="493" t="s">
        <v>117</v>
      </c>
      <c r="H181" s="493" t="s">
        <v>118</v>
      </c>
      <c r="I181" s="493" t="s">
        <v>119</v>
      </c>
      <c r="J181" s="493" t="s">
        <v>674</v>
      </c>
      <c r="K181" s="493" t="s">
        <v>377</v>
      </c>
      <c r="L181" s="493" t="s">
        <v>675</v>
      </c>
      <c r="M181" s="493" t="s">
        <v>676</v>
      </c>
      <c r="N181" s="493" t="s">
        <v>677</v>
      </c>
      <c r="O181" s="493">
        <v>559240</v>
      </c>
      <c r="P181" s="439">
        <v>508400</v>
      </c>
      <c r="Q181" s="493">
        <v>50840</v>
      </c>
      <c r="R181" s="493" t="s">
        <v>124</v>
      </c>
      <c r="S181" s="493" t="s">
        <v>382</v>
      </c>
      <c r="T181" s="493" t="s">
        <v>125</v>
      </c>
      <c r="U181" s="493" t="s">
        <v>126</v>
      </c>
      <c r="V181" s="493" t="s">
        <v>127</v>
      </c>
      <c r="W181" s="493" t="s">
        <v>128</v>
      </c>
      <c r="X181" s="493" t="s">
        <v>678</v>
      </c>
      <c r="Y181" s="493" t="s">
        <v>377</v>
      </c>
      <c r="Z181" s="493" t="s">
        <v>1248</v>
      </c>
      <c r="AA181" s="493" t="s">
        <v>130</v>
      </c>
      <c r="AB181" s="493" t="s">
        <v>377</v>
      </c>
      <c r="AC181" s="493" t="s">
        <v>131</v>
      </c>
      <c r="AD181" s="493" t="s">
        <v>1268</v>
      </c>
      <c r="AE181" s="493">
        <v>508400</v>
      </c>
      <c r="AF181" s="493">
        <v>50840</v>
      </c>
      <c r="AG181" s="493" t="s">
        <v>1283</v>
      </c>
      <c r="AH181" s="130">
        <f t="shared" si="39"/>
        <v>46146</v>
      </c>
      <c r="AI181" s="495">
        <v>46142</v>
      </c>
      <c r="AJ181" s="439">
        <f t="shared" ref="AJ181" si="45">P181*1.1</f>
        <v>559240</v>
      </c>
      <c r="AK181" s="121">
        <f t="shared" si="44"/>
        <v>0</v>
      </c>
      <c r="AL181" s="440" t="str">
        <f t="shared" ca="1" si="32"/>
        <v/>
      </c>
      <c r="AM181" s="440"/>
      <c r="AN181" s="440"/>
      <c r="AO181" s="440"/>
    </row>
    <row r="182" spans="1:41" ht="16.5" hidden="1" customHeight="1">
      <c r="A182" s="492" t="s">
        <v>1248</v>
      </c>
      <c r="B182" s="493" t="s">
        <v>1269</v>
      </c>
      <c r="C182" s="492" t="s">
        <v>1248</v>
      </c>
      <c r="D182" s="492" t="s">
        <v>1248</v>
      </c>
      <c r="E182" s="493" t="s">
        <v>116</v>
      </c>
      <c r="F182" s="493" t="s">
        <v>377</v>
      </c>
      <c r="G182" s="493" t="s">
        <v>117</v>
      </c>
      <c r="H182" s="493" t="s">
        <v>118</v>
      </c>
      <c r="I182" s="493" t="s">
        <v>119</v>
      </c>
      <c r="J182" s="493" t="s">
        <v>1270</v>
      </c>
      <c r="K182" s="493" t="s">
        <v>377</v>
      </c>
      <c r="L182" s="493" t="s">
        <v>1271</v>
      </c>
      <c r="M182" s="493" t="s">
        <v>1272</v>
      </c>
      <c r="N182" s="493" t="s">
        <v>1273</v>
      </c>
      <c r="O182" s="493">
        <v>7448100</v>
      </c>
      <c r="P182" s="439">
        <v>6771000</v>
      </c>
      <c r="Q182" s="493">
        <v>677100</v>
      </c>
      <c r="R182" s="493" t="s">
        <v>124</v>
      </c>
      <c r="S182" s="493" t="s">
        <v>382</v>
      </c>
      <c r="T182" s="493" t="s">
        <v>125</v>
      </c>
      <c r="U182" s="493" t="s">
        <v>126</v>
      </c>
      <c r="V182" s="493" t="s">
        <v>127</v>
      </c>
      <c r="W182" s="493" t="s">
        <v>128</v>
      </c>
      <c r="X182" s="493" t="s">
        <v>1274</v>
      </c>
      <c r="Y182" s="493" t="s">
        <v>377</v>
      </c>
      <c r="Z182" s="493" t="s">
        <v>1248</v>
      </c>
      <c r="AA182" s="493" t="s">
        <v>130</v>
      </c>
      <c r="AB182" s="493" t="s">
        <v>377</v>
      </c>
      <c r="AC182" s="493" t="s">
        <v>131</v>
      </c>
      <c r="AD182" s="493" t="s">
        <v>1275</v>
      </c>
      <c r="AE182" s="493">
        <v>6771000</v>
      </c>
      <c r="AF182" s="493">
        <v>677100</v>
      </c>
      <c r="AG182" s="493" t="s">
        <v>1284</v>
      </c>
      <c r="AH182" s="130">
        <f t="shared" si="39"/>
        <v>46146</v>
      </c>
      <c r="AI182" s="495">
        <v>46140</v>
      </c>
      <c r="AJ182" s="439">
        <f>P182*1.1</f>
        <v>7448100.0000000009</v>
      </c>
      <c r="AK182" s="121">
        <f t="shared" si="44"/>
        <v>0</v>
      </c>
      <c r="AL182" s="440" t="str">
        <f t="shared" ca="1" si="32"/>
        <v/>
      </c>
      <c r="AM182" s="440"/>
      <c r="AN182" s="440"/>
      <c r="AO182" s="440"/>
    </row>
    <row r="183" spans="1:41" ht="16.5" hidden="1" customHeight="1">
      <c r="A183" s="492" t="s">
        <v>1248</v>
      </c>
      <c r="B183" s="493" t="s">
        <v>1276</v>
      </c>
      <c r="C183" s="492" t="s">
        <v>1248</v>
      </c>
      <c r="D183" s="492" t="s">
        <v>1248</v>
      </c>
      <c r="E183" s="493" t="s">
        <v>116</v>
      </c>
      <c r="F183" s="493" t="s">
        <v>377</v>
      </c>
      <c r="G183" s="493" t="s">
        <v>117</v>
      </c>
      <c r="H183" s="493" t="s">
        <v>118</v>
      </c>
      <c r="I183" s="493" t="s">
        <v>119</v>
      </c>
      <c r="J183" s="493" t="s">
        <v>120</v>
      </c>
      <c r="K183" s="493" t="s">
        <v>377</v>
      </c>
      <c r="L183" s="493" t="s">
        <v>390</v>
      </c>
      <c r="M183" s="493" t="s">
        <v>122</v>
      </c>
      <c r="N183" s="493" t="s">
        <v>123</v>
      </c>
      <c r="O183" s="493">
        <v>3296700</v>
      </c>
      <c r="P183" s="439">
        <v>2997000</v>
      </c>
      <c r="Q183" s="493">
        <v>299700</v>
      </c>
      <c r="R183" s="493" t="s">
        <v>124</v>
      </c>
      <c r="S183" s="493" t="s">
        <v>382</v>
      </c>
      <c r="T183" s="493" t="s">
        <v>125</v>
      </c>
      <c r="U183" s="493" t="s">
        <v>126</v>
      </c>
      <c r="V183" s="493" t="s">
        <v>127</v>
      </c>
      <c r="W183" s="493" t="s">
        <v>128</v>
      </c>
      <c r="X183" s="493" t="s">
        <v>129</v>
      </c>
      <c r="Y183" s="493" t="s">
        <v>377</v>
      </c>
      <c r="Z183" s="493" t="s">
        <v>1248</v>
      </c>
      <c r="AA183" s="493" t="s">
        <v>130</v>
      </c>
      <c r="AB183" s="493" t="s">
        <v>377</v>
      </c>
      <c r="AC183" s="493" t="s">
        <v>131</v>
      </c>
      <c r="AD183" s="493" t="s">
        <v>1277</v>
      </c>
      <c r="AE183" s="493">
        <v>2997000</v>
      </c>
      <c r="AF183" s="493">
        <v>299700</v>
      </c>
      <c r="AG183" s="493" t="s">
        <v>1285</v>
      </c>
      <c r="AH183" s="130">
        <f t="shared" si="39"/>
        <v>46146</v>
      </c>
      <c r="AI183" s="495"/>
      <c r="AJ183" s="439"/>
      <c r="AK183" s="121">
        <f t="shared" si="44"/>
        <v>3296700.0000000005</v>
      </c>
      <c r="AL183" s="440" t="str">
        <f t="shared" ca="1" si="32"/>
        <v>관리</v>
      </c>
      <c r="AM183" s="440"/>
      <c r="AN183" s="440"/>
      <c r="AO183" s="440"/>
    </row>
    <row r="184" spans="1:41" ht="16.5" hidden="1" customHeight="1">
      <c r="A184" s="492" t="s">
        <v>1292</v>
      </c>
      <c r="B184" s="493" t="s">
        <v>1293</v>
      </c>
      <c r="C184" s="492" t="s">
        <v>1292</v>
      </c>
      <c r="D184" s="492" t="s">
        <v>1292</v>
      </c>
      <c r="E184" s="493" t="s">
        <v>116</v>
      </c>
      <c r="F184" s="493" t="s">
        <v>377</v>
      </c>
      <c r="G184" s="493" t="s">
        <v>117</v>
      </c>
      <c r="H184" s="493" t="s">
        <v>118</v>
      </c>
      <c r="I184" s="493" t="s">
        <v>119</v>
      </c>
      <c r="J184" s="493" t="s">
        <v>718</v>
      </c>
      <c r="K184" s="493" t="s">
        <v>377</v>
      </c>
      <c r="L184" s="493" t="s">
        <v>719</v>
      </c>
      <c r="M184" s="493" t="s">
        <v>720</v>
      </c>
      <c r="N184" s="493" t="s">
        <v>721</v>
      </c>
      <c r="O184" s="493">
        <v>122100</v>
      </c>
      <c r="P184" s="439">
        <v>111000</v>
      </c>
      <c r="Q184" s="493">
        <v>11100</v>
      </c>
      <c r="R184" s="493" t="s">
        <v>124</v>
      </c>
      <c r="S184" s="493" t="s">
        <v>382</v>
      </c>
      <c r="T184" s="493" t="s">
        <v>125</v>
      </c>
      <c r="U184" s="493" t="s">
        <v>126</v>
      </c>
      <c r="V184" s="493" t="s">
        <v>127</v>
      </c>
      <c r="W184" s="493" t="s">
        <v>128</v>
      </c>
      <c r="X184" s="493" t="s">
        <v>722</v>
      </c>
      <c r="Y184" s="493" t="s">
        <v>377</v>
      </c>
      <c r="Z184" s="493" t="s">
        <v>1292</v>
      </c>
      <c r="AA184" s="493" t="s">
        <v>130</v>
      </c>
      <c r="AB184" s="493" t="s">
        <v>377</v>
      </c>
      <c r="AC184" s="493" t="s">
        <v>131</v>
      </c>
      <c r="AD184" s="493" t="s">
        <v>1294</v>
      </c>
      <c r="AE184" s="493">
        <v>111000</v>
      </c>
      <c r="AF184" s="493">
        <v>11100</v>
      </c>
      <c r="AG184" s="493" t="s">
        <v>1117</v>
      </c>
      <c r="AH184" s="130">
        <f t="shared" si="39"/>
        <v>46147</v>
      </c>
      <c r="AI184" s="495">
        <v>46126</v>
      </c>
      <c r="AJ184" s="439">
        <f>P184*1.1</f>
        <v>122100.00000000001</v>
      </c>
      <c r="AK184" s="121">
        <f t="shared" ref="AK184:AK196" si="46">(P184*1.1)-AJ184</f>
        <v>0</v>
      </c>
      <c r="AL184" s="440" t="str">
        <f t="shared" ca="1" si="32"/>
        <v/>
      </c>
      <c r="AM184" s="440"/>
      <c r="AN184" s="440"/>
      <c r="AO184" s="440"/>
    </row>
    <row r="185" spans="1:41" ht="16.5" hidden="1" customHeight="1">
      <c r="A185" s="492" t="s">
        <v>1292</v>
      </c>
      <c r="B185" s="493" t="s">
        <v>1295</v>
      </c>
      <c r="C185" s="492" t="s">
        <v>1292</v>
      </c>
      <c r="D185" s="492" t="s">
        <v>1292</v>
      </c>
      <c r="E185" s="493" t="s">
        <v>116</v>
      </c>
      <c r="F185" s="493" t="s">
        <v>377</v>
      </c>
      <c r="G185" s="493" t="s">
        <v>117</v>
      </c>
      <c r="H185" s="493" t="s">
        <v>118</v>
      </c>
      <c r="I185" s="493" t="s">
        <v>119</v>
      </c>
      <c r="J185" s="493" t="s">
        <v>734</v>
      </c>
      <c r="K185" s="493" t="s">
        <v>377</v>
      </c>
      <c r="L185" s="493" t="s">
        <v>735</v>
      </c>
      <c r="M185" s="493" t="s">
        <v>736</v>
      </c>
      <c r="N185" s="493" t="s">
        <v>737</v>
      </c>
      <c r="O185" s="493">
        <v>1248500</v>
      </c>
      <c r="P185" s="439">
        <v>1135000</v>
      </c>
      <c r="Q185" s="493">
        <v>113500</v>
      </c>
      <c r="R185" s="493" t="s">
        <v>124</v>
      </c>
      <c r="S185" s="493" t="s">
        <v>382</v>
      </c>
      <c r="T185" s="493" t="s">
        <v>125</v>
      </c>
      <c r="U185" s="493" t="s">
        <v>126</v>
      </c>
      <c r="V185" s="493" t="s">
        <v>127</v>
      </c>
      <c r="W185" s="493" t="s">
        <v>128</v>
      </c>
      <c r="X185" s="493" t="s">
        <v>738</v>
      </c>
      <c r="Y185" s="493" t="s">
        <v>377</v>
      </c>
      <c r="Z185" s="493" t="s">
        <v>1292</v>
      </c>
      <c r="AA185" s="493" t="s">
        <v>130</v>
      </c>
      <c r="AB185" s="493" t="s">
        <v>377</v>
      </c>
      <c r="AC185" s="493" t="s">
        <v>131</v>
      </c>
      <c r="AD185" s="493" t="s">
        <v>1296</v>
      </c>
      <c r="AE185" s="493">
        <v>1135000</v>
      </c>
      <c r="AF185" s="493">
        <v>113500</v>
      </c>
      <c r="AG185" s="493" t="s">
        <v>753</v>
      </c>
      <c r="AH185" s="130">
        <f t="shared" si="39"/>
        <v>46147</v>
      </c>
      <c r="AI185" s="495">
        <v>46142</v>
      </c>
      <c r="AJ185" s="439">
        <f t="shared" ref="AJ185" si="47">P185*1.1</f>
        <v>1248500</v>
      </c>
      <c r="AK185" s="121">
        <f t="shared" si="46"/>
        <v>0</v>
      </c>
      <c r="AL185" s="440" t="str">
        <f t="shared" ca="1" si="32"/>
        <v/>
      </c>
      <c r="AM185" s="440"/>
      <c r="AN185" s="440"/>
      <c r="AO185" s="440"/>
    </row>
    <row r="186" spans="1:41" ht="16.5" hidden="1" customHeight="1">
      <c r="A186" s="492" t="s">
        <v>1292</v>
      </c>
      <c r="B186" s="493" t="s">
        <v>1297</v>
      </c>
      <c r="C186" s="492" t="s">
        <v>1292</v>
      </c>
      <c r="D186" s="492" t="s">
        <v>1292</v>
      </c>
      <c r="E186" s="493" t="s">
        <v>116</v>
      </c>
      <c r="F186" s="493" t="s">
        <v>377</v>
      </c>
      <c r="G186" s="493" t="s">
        <v>117</v>
      </c>
      <c r="H186" s="493" t="s">
        <v>118</v>
      </c>
      <c r="I186" s="493" t="s">
        <v>119</v>
      </c>
      <c r="J186" s="493" t="s">
        <v>797</v>
      </c>
      <c r="K186" s="493" t="s">
        <v>377</v>
      </c>
      <c r="L186" s="493" t="s">
        <v>798</v>
      </c>
      <c r="M186" s="493" t="s">
        <v>799</v>
      </c>
      <c r="N186" s="493" t="s">
        <v>800</v>
      </c>
      <c r="O186" s="493">
        <v>15818000</v>
      </c>
      <c r="P186" s="439">
        <v>14380000</v>
      </c>
      <c r="Q186" s="493">
        <v>1438000</v>
      </c>
      <c r="R186" s="493" t="s">
        <v>124</v>
      </c>
      <c r="S186" s="493" t="s">
        <v>382</v>
      </c>
      <c r="T186" s="493" t="s">
        <v>125</v>
      </c>
      <c r="U186" s="493" t="s">
        <v>126</v>
      </c>
      <c r="V186" s="493" t="s">
        <v>127</v>
      </c>
      <c r="W186" s="493" t="s">
        <v>128</v>
      </c>
      <c r="X186" s="493" t="s">
        <v>801</v>
      </c>
      <c r="Y186" s="493" t="s">
        <v>377</v>
      </c>
      <c r="Z186" s="493" t="s">
        <v>1292</v>
      </c>
      <c r="AA186" s="493" t="s">
        <v>130</v>
      </c>
      <c r="AB186" s="493" t="s">
        <v>377</v>
      </c>
      <c r="AC186" s="493" t="s">
        <v>131</v>
      </c>
      <c r="AD186" s="493" t="s">
        <v>1298</v>
      </c>
      <c r="AE186" s="493">
        <v>14380000</v>
      </c>
      <c r="AF186" s="493">
        <v>1438000</v>
      </c>
      <c r="AG186" s="493" t="s">
        <v>1280</v>
      </c>
      <c r="AH186" s="130">
        <f t="shared" si="39"/>
        <v>46147</v>
      </c>
      <c r="AI186" s="495">
        <v>46142</v>
      </c>
      <c r="AJ186" s="439">
        <f>P186*1.1</f>
        <v>15818000.000000002</v>
      </c>
      <c r="AK186" s="121">
        <f t="shared" si="46"/>
        <v>0</v>
      </c>
      <c r="AL186" s="440" t="str">
        <f t="shared" ca="1" si="32"/>
        <v/>
      </c>
      <c r="AM186" s="440"/>
      <c r="AN186" s="440"/>
      <c r="AO186" s="440"/>
    </row>
    <row r="187" spans="1:41" ht="16.5" hidden="1" customHeight="1">
      <c r="A187" s="492" t="s">
        <v>1292</v>
      </c>
      <c r="B187" s="493" t="s">
        <v>1299</v>
      </c>
      <c r="C187" s="492" t="s">
        <v>1292</v>
      </c>
      <c r="D187" s="492" t="s">
        <v>1292</v>
      </c>
      <c r="E187" s="493" t="s">
        <v>116</v>
      </c>
      <c r="F187" s="493" t="s">
        <v>377</v>
      </c>
      <c r="G187" s="493" t="s">
        <v>117</v>
      </c>
      <c r="H187" s="493" t="s">
        <v>118</v>
      </c>
      <c r="I187" s="493" t="s">
        <v>119</v>
      </c>
      <c r="J187" s="493" t="s">
        <v>690</v>
      </c>
      <c r="K187" s="493" t="s">
        <v>377</v>
      </c>
      <c r="L187" s="493" t="s">
        <v>691</v>
      </c>
      <c r="M187" s="493" t="s">
        <v>692</v>
      </c>
      <c r="N187" s="493" t="s">
        <v>693</v>
      </c>
      <c r="O187" s="493">
        <v>6020300</v>
      </c>
      <c r="P187" s="439">
        <v>5473000</v>
      </c>
      <c r="Q187" s="493">
        <v>547300</v>
      </c>
      <c r="R187" s="493" t="s">
        <v>124</v>
      </c>
      <c r="S187" s="493" t="s">
        <v>382</v>
      </c>
      <c r="T187" s="493" t="s">
        <v>125</v>
      </c>
      <c r="U187" s="493" t="s">
        <v>126</v>
      </c>
      <c r="V187" s="493" t="s">
        <v>127</v>
      </c>
      <c r="W187" s="493" t="s">
        <v>128</v>
      </c>
      <c r="X187" s="493" t="s">
        <v>694</v>
      </c>
      <c r="Y187" s="493" t="s">
        <v>377</v>
      </c>
      <c r="Z187" s="493" t="s">
        <v>1292</v>
      </c>
      <c r="AA187" s="493" t="s">
        <v>130</v>
      </c>
      <c r="AB187" s="493" t="s">
        <v>377</v>
      </c>
      <c r="AC187" s="493" t="s">
        <v>131</v>
      </c>
      <c r="AD187" s="493" t="s">
        <v>1300</v>
      </c>
      <c r="AE187" s="493">
        <v>5473000</v>
      </c>
      <c r="AF187" s="493">
        <v>547300</v>
      </c>
      <c r="AG187" s="493" t="s">
        <v>1323</v>
      </c>
      <c r="AH187" s="130">
        <f t="shared" si="39"/>
        <v>46147</v>
      </c>
      <c r="AI187" s="495"/>
      <c r="AJ187" s="439"/>
      <c r="AK187" s="121">
        <f t="shared" si="46"/>
        <v>6020300.0000000009</v>
      </c>
      <c r="AL187" s="440" t="str">
        <f t="shared" ca="1" si="32"/>
        <v>관리</v>
      </c>
      <c r="AM187" s="440"/>
      <c r="AN187" s="440"/>
      <c r="AO187" s="440"/>
    </row>
    <row r="188" spans="1:41" ht="16.5" hidden="1" customHeight="1">
      <c r="A188" s="492" t="s">
        <v>1292</v>
      </c>
      <c r="B188" s="493" t="s">
        <v>1301</v>
      </c>
      <c r="C188" s="492" t="s">
        <v>1292</v>
      </c>
      <c r="D188" s="492" t="s">
        <v>1292</v>
      </c>
      <c r="E188" s="493" t="s">
        <v>116</v>
      </c>
      <c r="F188" s="493" t="s">
        <v>377</v>
      </c>
      <c r="G188" s="493" t="s">
        <v>117</v>
      </c>
      <c r="H188" s="493" t="s">
        <v>118</v>
      </c>
      <c r="I188" s="493" t="s">
        <v>119</v>
      </c>
      <c r="J188" s="493" t="s">
        <v>120</v>
      </c>
      <c r="K188" s="493" t="s">
        <v>377</v>
      </c>
      <c r="L188" s="493" t="s">
        <v>390</v>
      </c>
      <c r="M188" s="493" t="s">
        <v>122</v>
      </c>
      <c r="N188" s="493" t="s">
        <v>123</v>
      </c>
      <c r="O188" s="493">
        <v>58205400</v>
      </c>
      <c r="P188" s="439">
        <v>52914000</v>
      </c>
      <c r="Q188" s="493">
        <v>5291400</v>
      </c>
      <c r="R188" s="493" t="s">
        <v>124</v>
      </c>
      <c r="S188" s="493" t="s">
        <v>382</v>
      </c>
      <c r="T188" s="493" t="s">
        <v>125</v>
      </c>
      <c r="U188" s="493" t="s">
        <v>126</v>
      </c>
      <c r="V188" s="493" t="s">
        <v>127</v>
      </c>
      <c r="W188" s="493" t="s">
        <v>128</v>
      </c>
      <c r="X188" s="493" t="s">
        <v>129</v>
      </c>
      <c r="Y188" s="493" t="s">
        <v>377</v>
      </c>
      <c r="Z188" s="493" t="s">
        <v>1292</v>
      </c>
      <c r="AA188" s="493" t="s">
        <v>130</v>
      </c>
      <c r="AB188" s="493" t="s">
        <v>377</v>
      </c>
      <c r="AC188" s="493" t="s">
        <v>131</v>
      </c>
      <c r="AD188" s="493" t="s">
        <v>1302</v>
      </c>
      <c r="AE188" s="493">
        <v>52914000</v>
      </c>
      <c r="AF188" s="493">
        <v>5291400</v>
      </c>
      <c r="AG188" s="493" t="s">
        <v>463</v>
      </c>
      <c r="AH188" s="130">
        <f t="shared" si="39"/>
        <v>46147</v>
      </c>
      <c r="AI188" s="495"/>
      <c r="AJ188" s="439"/>
      <c r="AK188" s="121">
        <f t="shared" si="46"/>
        <v>58205400.000000007</v>
      </c>
      <c r="AL188" s="440" t="str">
        <f t="shared" ca="1" si="32"/>
        <v>관리</v>
      </c>
      <c r="AM188" s="440"/>
      <c r="AN188" s="440" t="s">
        <v>2259</v>
      </c>
      <c r="AO188" s="440"/>
    </row>
    <row r="189" spans="1:41" ht="16.5" hidden="1" customHeight="1">
      <c r="A189" s="492" t="s">
        <v>1292</v>
      </c>
      <c r="B189" s="493" t="s">
        <v>1303</v>
      </c>
      <c r="C189" s="492" t="s">
        <v>1292</v>
      </c>
      <c r="D189" s="492" t="s">
        <v>1292</v>
      </c>
      <c r="E189" s="493" t="s">
        <v>116</v>
      </c>
      <c r="F189" s="493" t="s">
        <v>377</v>
      </c>
      <c r="G189" s="493" t="s">
        <v>117</v>
      </c>
      <c r="H189" s="493" t="s">
        <v>118</v>
      </c>
      <c r="I189" s="493" t="s">
        <v>119</v>
      </c>
      <c r="J189" s="493" t="s">
        <v>905</v>
      </c>
      <c r="K189" s="493" t="s">
        <v>377</v>
      </c>
      <c r="L189" s="493" t="s">
        <v>340</v>
      </c>
      <c r="M189" s="493" t="s">
        <v>906</v>
      </c>
      <c r="N189" s="493" t="s">
        <v>907</v>
      </c>
      <c r="O189" s="493">
        <v>470250</v>
      </c>
      <c r="P189" s="439">
        <v>427500</v>
      </c>
      <c r="Q189" s="493">
        <v>42750</v>
      </c>
      <c r="R189" s="493" t="s">
        <v>124</v>
      </c>
      <c r="S189" s="493" t="s">
        <v>382</v>
      </c>
      <c r="T189" s="493" t="s">
        <v>125</v>
      </c>
      <c r="U189" s="493" t="s">
        <v>126</v>
      </c>
      <c r="V189" s="493" t="s">
        <v>127</v>
      </c>
      <c r="W189" s="493" t="s">
        <v>128</v>
      </c>
      <c r="X189" s="493" t="s">
        <v>908</v>
      </c>
      <c r="Y189" s="493" t="s">
        <v>377</v>
      </c>
      <c r="Z189" s="493" t="s">
        <v>1292</v>
      </c>
      <c r="AA189" s="493" t="s">
        <v>130</v>
      </c>
      <c r="AB189" s="493" t="s">
        <v>377</v>
      </c>
      <c r="AC189" s="493" t="s">
        <v>131</v>
      </c>
      <c r="AD189" s="493" t="s">
        <v>1304</v>
      </c>
      <c r="AE189" s="493">
        <v>427500</v>
      </c>
      <c r="AF189" s="493">
        <v>42750</v>
      </c>
      <c r="AG189" s="493" t="s">
        <v>931</v>
      </c>
      <c r="AH189" s="130">
        <f t="shared" si="39"/>
        <v>46147</v>
      </c>
      <c r="AI189" s="495"/>
      <c r="AJ189" s="439"/>
      <c r="AK189" s="121">
        <f t="shared" si="46"/>
        <v>470250.00000000006</v>
      </c>
      <c r="AL189" s="440" t="str">
        <f t="shared" ca="1" si="32"/>
        <v>관리</v>
      </c>
      <c r="AM189" s="440"/>
      <c r="AN189" s="440"/>
      <c r="AO189" s="440"/>
    </row>
    <row r="190" spans="1:41" ht="16.5" hidden="1" customHeight="1">
      <c r="A190" s="492" t="s">
        <v>1292</v>
      </c>
      <c r="B190" s="493" t="s">
        <v>1305</v>
      </c>
      <c r="C190" s="492" t="s">
        <v>1292</v>
      </c>
      <c r="D190" s="492" t="s">
        <v>1292</v>
      </c>
      <c r="E190" s="493" t="s">
        <v>116</v>
      </c>
      <c r="F190" s="493" t="s">
        <v>377</v>
      </c>
      <c r="G190" s="493" t="s">
        <v>117</v>
      </c>
      <c r="H190" s="493" t="s">
        <v>118</v>
      </c>
      <c r="I190" s="493" t="s">
        <v>119</v>
      </c>
      <c r="J190" s="493" t="s">
        <v>636</v>
      </c>
      <c r="K190" s="493" t="s">
        <v>377</v>
      </c>
      <c r="L190" s="493" t="s">
        <v>637</v>
      </c>
      <c r="M190" s="493" t="s">
        <v>638</v>
      </c>
      <c r="N190" s="493" t="s">
        <v>639</v>
      </c>
      <c r="O190" s="493">
        <v>5535750</v>
      </c>
      <c r="P190" s="439">
        <v>5032500</v>
      </c>
      <c r="Q190" s="493">
        <v>503250</v>
      </c>
      <c r="R190" s="493" t="s">
        <v>124</v>
      </c>
      <c r="S190" s="493" t="s">
        <v>382</v>
      </c>
      <c r="T190" s="493" t="s">
        <v>125</v>
      </c>
      <c r="U190" s="493" t="s">
        <v>126</v>
      </c>
      <c r="V190" s="493" t="s">
        <v>127</v>
      </c>
      <c r="W190" s="493" t="s">
        <v>128</v>
      </c>
      <c r="X190" s="493" t="s">
        <v>640</v>
      </c>
      <c r="Y190" s="493" t="s">
        <v>377</v>
      </c>
      <c r="Z190" s="493" t="s">
        <v>1292</v>
      </c>
      <c r="AA190" s="493" t="s">
        <v>130</v>
      </c>
      <c r="AB190" s="493" t="s">
        <v>377</v>
      </c>
      <c r="AC190" s="493" t="s">
        <v>131</v>
      </c>
      <c r="AD190" s="493" t="s">
        <v>1306</v>
      </c>
      <c r="AE190" s="493">
        <v>5032500</v>
      </c>
      <c r="AF190" s="493">
        <v>503250</v>
      </c>
      <c r="AG190" s="493" t="s">
        <v>1324</v>
      </c>
      <c r="AH190" s="130">
        <f t="shared" si="39"/>
        <v>46147</v>
      </c>
      <c r="AI190" s="495"/>
      <c r="AJ190" s="439"/>
      <c r="AK190" s="121">
        <f t="shared" si="46"/>
        <v>5535750</v>
      </c>
      <c r="AL190" s="440" t="str">
        <f t="shared" ca="1" si="32"/>
        <v>관리</v>
      </c>
      <c r="AM190" s="440"/>
      <c r="AN190" s="440"/>
      <c r="AO190" s="440"/>
    </row>
    <row r="191" spans="1:41" ht="16.5" hidden="1" customHeight="1">
      <c r="A191" s="492" t="s">
        <v>1292</v>
      </c>
      <c r="B191" s="493" t="s">
        <v>1307</v>
      </c>
      <c r="C191" s="492" t="s">
        <v>1292</v>
      </c>
      <c r="D191" s="492" t="s">
        <v>1292</v>
      </c>
      <c r="E191" s="493" t="s">
        <v>116</v>
      </c>
      <c r="F191" s="493" t="s">
        <v>377</v>
      </c>
      <c r="G191" s="493" t="s">
        <v>117</v>
      </c>
      <c r="H191" s="493" t="s">
        <v>118</v>
      </c>
      <c r="I191" s="493" t="s">
        <v>119</v>
      </c>
      <c r="J191" s="493" t="s">
        <v>855</v>
      </c>
      <c r="K191" s="493" t="s">
        <v>377</v>
      </c>
      <c r="L191" s="493" t="s">
        <v>856</v>
      </c>
      <c r="M191" s="493" t="s">
        <v>857</v>
      </c>
      <c r="N191" s="493" t="s">
        <v>858</v>
      </c>
      <c r="O191" s="493">
        <v>1085700</v>
      </c>
      <c r="P191" s="439">
        <v>987000</v>
      </c>
      <c r="Q191" s="493">
        <v>98700</v>
      </c>
      <c r="R191" s="493" t="s">
        <v>124</v>
      </c>
      <c r="S191" s="493" t="s">
        <v>382</v>
      </c>
      <c r="T191" s="493" t="s">
        <v>125</v>
      </c>
      <c r="U191" s="493" t="s">
        <v>126</v>
      </c>
      <c r="V191" s="493" t="s">
        <v>127</v>
      </c>
      <c r="W191" s="493" t="s">
        <v>128</v>
      </c>
      <c r="X191" s="493" t="s">
        <v>859</v>
      </c>
      <c r="Y191" s="493" t="s">
        <v>377</v>
      </c>
      <c r="Z191" s="493" t="s">
        <v>1292</v>
      </c>
      <c r="AA191" s="493" t="s">
        <v>130</v>
      </c>
      <c r="AB191" s="493" t="s">
        <v>377</v>
      </c>
      <c r="AC191" s="493" t="s">
        <v>131</v>
      </c>
      <c r="AD191" s="493" t="s">
        <v>1308</v>
      </c>
      <c r="AE191" s="493">
        <v>987000</v>
      </c>
      <c r="AF191" s="493">
        <v>98700</v>
      </c>
      <c r="AG191" s="493" t="s">
        <v>1325</v>
      </c>
      <c r="AH191" s="130">
        <f t="shared" si="39"/>
        <v>46147</v>
      </c>
      <c r="AI191" s="495">
        <v>46107</v>
      </c>
      <c r="AJ191" s="439">
        <f>P191*1.1</f>
        <v>1085700</v>
      </c>
      <c r="AK191" s="121">
        <f t="shared" si="46"/>
        <v>0</v>
      </c>
      <c r="AL191" s="440" t="str">
        <f t="shared" ca="1" si="32"/>
        <v/>
      </c>
      <c r="AM191" s="440"/>
      <c r="AN191" s="440"/>
      <c r="AO191" s="440"/>
    </row>
    <row r="192" spans="1:41" ht="16.5" hidden="1" customHeight="1">
      <c r="A192" s="492" t="s">
        <v>1292</v>
      </c>
      <c r="B192" s="493" t="s">
        <v>1309</v>
      </c>
      <c r="C192" s="492" t="s">
        <v>1292</v>
      </c>
      <c r="D192" s="492" t="s">
        <v>1292</v>
      </c>
      <c r="E192" s="493" t="s">
        <v>116</v>
      </c>
      <c r="F192" s="493" t="s">
        <v>377</v>
      </c>
      <c r="G192" s="493" t="s">
        <v>117</v>
      </c>
      <c r="H192" s="493" t="s">
        <v>118</v>
      </c>
      <c r="I192" s="493" t="s">
        <v>119</v>
      </c>
      <c r="J192" s="493" t="s">
        <v>1310</v>
      </c>
      <c r="K192" s="493" t="s">
        <v>377</v>
      </c>
      <c r="L192" s="493" t="s">
        <v>1311</v>
      </c>
      <c r="M192" s="493" t="s">
        <v>1312</v>
      </c>
      <c r="N192" s="493" t="s">
        <v>1313</v>
      </c>
      <c r="O192" s="493">
        <v>3173060</v>
      </c>
      <c r="P192" s="439">
        <v>2884600</v>
      </c>
      <c r="Q192" s="493">
        <v>288460</v>
      </c>
      <c r="R192" s="493" t="s">
        <v>124</v>
      </c>
      <c r="S192" s="493" t="s">
        <v>382</v>
      </c>
      <c r="T192" s="493" t="s">
        <v>125</v>
      </c>
      <c r="U192" s="493" t="s">
        <v>126</v>
      </c>
      <c r="V192" s="493" t="s">
        <v>127</v>
      </c>
      <c r="W192" s="493" t="s">
        <v>128</v>
      </c>
      <c r="X192" s="493" t="s">
        <v>1314</v>
      </c>
      <c r="Y192" s="493" t="s">
        <v>377</v>
      </c>
      <c r="Z192" s="493" t="s">
        <v>1292</v>
      </c>
      <c r="AA192" s="493" t="s">
        <v>130</v>
      </c>
      <c r="AB192" s="493" t="s">
        <v>377</v>
      </c>
      <c r="AC192" s="493" t="s">
        <v>131</v>
      </c>
      <c r="AD192" s="493" t="s">
        <v>1315</v>
      </c>
      <c r="AE192" s="493">
        <v>2884600</v>
      </c>
      <c r="AF192" s="493">
        <v>288460</v>
      </c>
      <c r="AG192" s="493" t="s">
        <v>1326</v>
      </c>
      <c r="AH192" s="130">
        <f t="shared" si="39"/>
        <v>46147</v>
      </c>
      <c r="AI192" s="495">
        <v>46139</v>
      </c>
      <c r="AJ192" s="439">
        <f>P192*1.1</f>
        <v>3173060.0000000005</v>
      </c>
      <c r="AK192" s="121">
        <f t="shared" si="46"/>
        <v>0</v>
      </c>
      <c r="AL192" s="440" t="str">
        <f t="shared" ca="1" si="32"/>
        <v/>
      </c>
      <c r="AM192" s="440"/>
      <c r="AN192" s="440"/>
      <c r="AO192" s="440"/>
    </row>
    <row r="193" spans="1:41" ht="16.5" hidden="1" customHeight="1">
      <c r="A193" s="492" t="s">
        <v>1292</v>
      </c>
      <c r="B193" s="493" t="s">
        <v>1316</v>
      </c>
      <c r="C193" s="492" t="s">
        <v>1292</v>
      </c>
      <c r="D193" s="492" t="s">
        <v>1292</v>
      </c>
      <c r="E193" s="493" t="s">
        <v>116</v>
      </c>
      <c r="F193" s="493" t="s">
        <v>377</v>
      </c>
      <c r="G193" s="493" t="s">
        <v>117</v>
      </c>
      <c r="H193" s="493" t="s">
        <v>118</v>
      </c>
      <c r="I193" s="493" t="s">
        <v>119</v>
      </c>
      <c r="J193" s="493" t="s">
        <v>1229</v>
      </c>
      <c r="K193" s="493" t="s">
        <v>377</v>
      </c>
      <c r="L193" s="493" t="s">
        <v>85</v>
      </c>
      <c r="M193" s="493" t="s">
        <v>1230</v>
      </c>
      <c r="N193" s="493" t="s">
        <v>1231</v>
      </c>
      <c r="O193" s="493">
        <v>198000</v>
      </c>
      <c r="P193" s="439">
        <v>180000</v>
      </c>
      <c r="Q193" s="493">
        <v>18000</v>
      </c>
      <c r="R193" s="493" t="s">
        <v>124</v>
      </c>
      <c r="S193" s="493" t="s">
        <v>382</v>
      </c>
      <c r="T193" s="493" t="s">
        <v>125</v>
      </c>
      <c r="U193" s="493" t="s">
        <v>126</v>
      </c>
      <c r="V193" s="493" t="s">
        <v>127</v>
      </c>
      <c r="W193" s="493" t="s">
        <v>128</v>
      </c>
      <c r="X193" s="493" t="s">
        <v>1232</v>
      </c>
      <c r="Y193" s="493" t="s">
        <v>377</v>
      </c>
      <c r="Z193" s="493" t="s">
        <v>1292</v>
      </c>
      <c r="AA193" s="493" t="s">
        <v>130</v>
      </c>
      <c r="AB193" s="493" t="s">
        <v>377</v>
      </c>
      <c r="AC193" s="493" t="s">
        <v>131</v>
      </c>
      <c r="AD193" s="493" t="s">
        <v>1317</v>
      </c>
      <c r="AE193" s="493">
        <v>180000</v>
      </c>
      <c r="AF193" s="493">
        <v>18000</v>
      </c>
      <c r="AG193" s="493" t="s">
        <v>1327</v>
      </c>
      <c r="AH193" s="130">
        <f t="shared" si="39"/>
        <v>46147</v>
      </c>
      <c r="AI193" s="495">
        <v>46142</v>
      </c>
      <c r="AJ193" s="439">
        <f>P193*1.1</f>
        <v>198000.00000000003</v>
      </c>
      <c r="AK193" s="121">
        <f t="shared" si="46"/>
        <v>0</v>
      </c>
      <c r="AL193" s="440" t="str">
        <f t="shared" ca="1" si="32"/>
        <v/>
      </c>
      <c r="AM193" s="440"/>
      <c r="AN193" s="440"/>
      <c r="AO193" s="440"/>
    </row>
    <row r="194" spans="1:41" ht="16.5" hidden="1" customHeight="1">
      <c r="A194" s="492" t="s">
        <v>1292</v>
      </c>
      <c r="B194" s="493" t="s">
        <v>1318</v>
      </c>
      <c r="C194" s="492" t="s">
        <v>1292</v>
      </c>
      <c r="D194" s="492" t="s">
        <v>1292</v>
      </c>
      <c r="E194" s="493" t="s">
        <v>116</v>
      </c>
      <c r="F194" s="493" t="s">
        <v>377</v>
      </c>
      <c r="G194" s="493" t="s">
        <v>117</v>
      </c>
      <c r="H194" s="493" t="s">
        <v>118</v>
      </c>
      <c r="I194" s="493" t="s">
        <v>119</v>
      </c>
      <c r="J194" s="493" t="s">
        <v>510</v>
      </c>
      <c r="K194" s="493" t="s">
        <v>377</v>
      </c>
      <c r="L194" s="493" t="s">
        <v>511</v>
      </c>
      <c r="M194" s="493" t="s">
        <v>512</v>
      </c>
      <c r="N194" s="493" t="s">
        <v>513</v>
      </c>
      <c r="O194" s="493">
        <v>27050100</v>
      </c>
      <c r="P194" s="439">
        <v>24591000</v>
      </c>
      <c r="Q194" s="493">
        <v>2459100</v>
      </c>
      <c r="R194" s="493" t="s">
        <v>124</v>
      </c>
      <c r="S194" s="493" t="s">
        <v>382</v>
      </c>
      <c r="T194" s="493" t="s">
        <v>125</v>
      </c>
      <c r="U194" s="493" t="s">
        <v>126</v>
      </c>
      <c r="V194" s="493" t="s">
        <v>127</v>
      </c>
      <c r="W194" s="493" t="s">
        <v>128</v>
      </c>
      <c r="X194" s="493" t="s">
        <v>514</v>
      </c>
      <c r="Y194" s="493" t="s">
        <v>377</v>
      </c>
      <c r="Z194" s="493" t="s">
        <v>1292</v>
      </c>
      <c r="AA194" s="493" t="s">
        <v>130</v>
      </c>
      <c r="AB194" s="493" t="s">
        <v>377</v>
      </c>
      <c r="AC194" s="493" t="s">
        <v>131</v>
      </c>
      <c r="AD194" s="493" t="s">
        <v>1319</v>
      </c>
      <c r="AE194" s="493">
        <v>24591000</v>
      </c>
      <c r="AF194" s="493">
        <v>2459100</v>
      </c>
      <c r="AG194" s="493" t="s">
        <v>1026</v>
      </c>
      <c r="AH194" s="130">
        <f t="shared" si="39"/>
        <v>46147</v>
      </c>
      <c r="AI194" s="495">
        <v>46141</v>
      </c>
      <c r="AJ194" s="439">
        <f>P194*1.1</f>
        <v>27050100.000000004</v>
      </c>
      <c r="AK194" s="121">
        <f t="shared" si="46"/>
        <v>0</v>
      </c>
      <c r="AL194" s="440" t="str">
        <f t="shared" ref="AL194:AL256" ca="1" si="48">IF(OR(A194="",AK194=0),"",IF(TODAY()-A194&gt;=91,"장기미수",IF(TODAY()-A194&gt;=41,"관리","")))</f>
        <v/>
      </c>
      <c r="AM194" s="440"/>
      <c r="AN194" s="440"/>
      <c r="AO194" s="440"/>
    </row>
    <row r="195" spans="1:41" ht="16.5" hidden="1" customHeight="1">
      <c r="A195" s="492" t="s">
        <v>1292</v>
      </c>
      <c r="B195" s="493" t="s">
        <v>1320</v>
      </c>
      <c r="C195" s="492" t="s">
        <v>1292</v>
      </c>
      <c r="D195" s="492" t="s">
        <v>1292</v>
      </c>
      <c r="E195" s="493" t="s">
        <v>116</v>
      </c>
      <c r="F195" s="493" t="s">
        <v>377</v>
      </c>
      <c r="G195" s="493" t="s">
        <v>117</v>
      </c>
      <c r="H195" s="493" t="s">
        <v>118</v>
      </c>
      <c r="I195" s="493" t="s">
        <v>119</v>
      </c>
      <c r="J195" s="493" t="s">
        <v>681</v>
      </c>
      <c r="K195" s="493" t="s">
        <v>377</v>
      </c>
      <c r="L195" s="493" t="s">
        <v>682</v>
      </c>
      <c r="M195" s="493" t="s">
        <v>683</v>
      </c>
      <c r="N195" s="493" t="s">
        <v>684</v>
      </c>
      <c r="O195" s="493">
        <v>3729000</v>
      </c>
      <c r="P195" s="439">
        <v>3390000</v>
      </c>
      <c r="Q195" s="493">
        <v>339000</v>
      </c>
      <c r="R195" s="493" t="s">
        <v>124</v>
      </c>
      <c r="S195" s="493" t="s">
        <v>382</v>
      </c>
      <c r="T195" s="493" t="s">
        <v>125</v>
      </c>
      <c r="U195" s="493" t="s">
        <v>126</v>
      </c>
      <c r="V195" s="493" t="s">
        <v>127</v>
      </c>
      <c r="W195" s="493" t="s">
        <v>128</v>
      </c>
      <c r="X195" s="493" t="s">
        <v>685</v>
      </c>
      <c r="Y195" s="493" t="s">
        <v>377</v>
      </c>
      <c r="Z195" s="493" t="s">
        <v>1292</v>
      </c>
      <c r="AA195" s="493" t="s">
        <v>130</v>
      </c>
      <c r="AB195" s="493" t="s">
        <v>377</v>
      </c>
      <c r="AC195" s="493" t="s">
        <v>131</v>
      </c>
      <c r="AD195" s="493" t="s">
        <v>826</v>
      </c>
      <c r="AE195" s="493">
        <v>3390000</v>
      </c>
      <c r="AF195" s="493">
        <v>339000</v>
      </c>
      <c r="AG195" s="493" t="s">
        <v>1328</v>
      </c>
      <c r="AH195" s="130">
        <f t="shared" si="39"/>
        <v>46147</v>
      </c>
      <c r="AI195" s="495">
        <v>46127</v>
      </c>
      <c r="AJ195" s="439">
        <f>P195*1.1</f>
        <v>3729000.0000000005</v>
      </c>
      <c r="AK195" s="121">
        <f t="shared" si="46"/>
        <v>0</v>
      </c>
      <c r="AL195" s="440" t="str">
        <f t="shared" ca="1" si="48"/>
        <v/>
      </c>
      <c r="AM195" s="440"/>
      <c r="AN195" s="440"/>
      <c r="AO195" s="440"/>
    </row>
    <row r="196" spans="1:41" ht="16.5" hidden="1" customHeight="1">
      <c r="A196" s="492" t="s">
        <v>1292</v>
      </c>
      <c r="B196" s="493" t="s">
        <v>1321</v>
      </c>
      <c r="C196" s="492" t="s">
        <v>1292</v>
      </c>
      <c r="D196" s="492" t="s">
        <v>1292</v>
      </c>
      <c r="E196" s="493" t="s">
        <v>116</v>
      </c>
      <c r="F196" s="493" t="s">
        <v>377</v>
      </c>
      <c r="G196" s="493" t="s">
        <v>117</v>
      </c>
      <c r="H196" s="493" t="s">
        <v>118</v>
      </c>
      <c r="I196" s="493" t="s">
        <v>119</v>
      </c>
      <c r="J196" s="493" t="s">
        <v>741</v>
      </c>
      <c r="K196" s="493" t="s">
        <v>377</v>
      </c>
      <c r="L196" s="493" t="s">
        <v>742</v>
      </c>
      <c r="M196" s="493" t="s">
        <v>743</v>
      </c>
      <c r="N196" s="493" t="s">
        <v>744</v>
      </c>
      <c r="O196" s="493">
        <v>5101250</v>
      </c>
      <c r="P196" s="439">
        <v>4637500</v>
      </c>
      <c r="Q196" s="493">
        <v>463750</v>
      </c>
      <c r="R196" s="493" t="s">
        <v>124</v>
      </c>
      <c r="S196" s="493" t="s">
        <v>382</v>
      </c>
      <c r="T196" s="493" t="s">
        <v>125</v>
      </c>
      <c r="U196" s="493" t="s">
        <v>126</v>
      </c>
      <c r="V196" s="493" t="s">
        <v>127</v>
      </c>
      <c r="W196" s="493" t="s">
        <v>128</v>
      </c>
      <c r="X196" s="493" t="s">
        <v>745</v>
      </c>
      <c r="Y196" s="493" t="s">
        <v>377</v>
      </c>
      <c r="Z196" s="493" t="s">
        <v>1292</v>
      </c>
      <c r="AA196" s="493" t="s">
        <v>130</v>
      </c>
      <c r="AB196" s="493" t="s">
        <v>377</v>
      </c>
      <c r="AC196" s="493" t="s">
        <v>131</v>
      </c>
      <c r="AD196" s="493" t="s">
        <v>1322</v>
      </c>
      <c r="AE196" s="493">
        <v>4637500</v>
      </c>
      <c r="AF196" s="493">
        <v>463750</v>
      </c>
      <c r="AG196" s="493" t="s">
        <v>754</v>
      </c>
      <c r="AH196" s="130">
        <f t="shared" si="39"/>
        <v>46147</v>
      </c>
      <c r="AI196" s="495"/>
      <c r="AJ196" s="439"/>
      <c r="AK196" s="121">
        <f t="shared" si="46"/>
        <v>5101250</v>
      </c>
      <c r="AL196" s="440" t="str">
        <f t="shared" ca="1" si="48"/>
        <v>관리</v>
      </c>
      <c r="AM196" s="440"/>
      <c r="AN196" s="440"/>
      <c r="AO196" s="440"/>
    </row>
    <row r="197" spans="1:41" ht="16.5" hidden="1" customHeight="1">
      <c r="A197" s="492" t="s">
        <v>1329</v>
      </c>
      <c r="B197" s="493" t="s">
        <v>1330</v>
      </c>
      <c r="C197" s="492" t="s">
        <v>1329</v>
      </c>
      <c r="D197" s="492" t="s">
        <v>1329</v>
      </c>
      <c r="E197" s="493" t="s">
        <v>116</v>
      </c>
      <c r="F197" s="493" t="s">
        <v>377</v>
      </c>
      <c r="G197" s="493" t="s">
        <v>117</v>
      </c>
      <c r="H197" s="493" t="s">
        <v>118</v>
      </c>
      <c r="I197" s="493" t="s">
        <v>119</v>
      </c>
      <c r="J197" s="493" t="s">
        <v>808</v>
      </c>
      <c r="K197" s="493" t="s">
        <v>377</v>
      </c>
      <c r="L197" s="493" t="s">
        <v>809</v>
      </c>
      <c r="M197" s="493" t="s">
        <v>810</v>
      </c>
      <c r="N197" s="493" t="s">
        <v>811</v>
      </c>
      <c r="O197" s="493">
        <v>133650</v>
      </c>
      <c r="P197" s="439">
        <v>121500</v>
      </c>
      <c r="Q197" s="493">
        <v>12150</v>
      </c>
      <c r="R197" s="493" t="s">
        <v>124</v>
      </c>
      <c r="S197" s="493" t="s">
        <v>382</v>
      </c>
      <c r="T197" s="493" t="s">
        <v>125</v>
      </c>
      <c r="U197" s="493" t="s">
        <v>126</v>
      </c>
      <c r="V197" s="493" t="s">
        <v>127</v>
      </c>
      <c r="W197" s="493" t="s">
        <v>128</v>
      </c>
      <c r="X197" s="493" t="s">
        <v>812</v>
      </c>
      <c r="Y197" s="493" t="s">
        <v>377</v>
      </c>
      <c r="Z197" s="493" t="s">
        <v>1329</v>
      </c>
      <c r="AA197" s="493" t="s">
        <v>130</v>
      </c>
      <c r="AB197" s="493" t="s">
        <v>377</v>
      </c>
      <c r="AC197" s="493" t="s">
        <v>131</v>
      </c>
      <c r="AD197" s="493" t="s">
        <v>903</v>
      </c>
      <c r="AE197" s="493">
        <v>121500</v>
      </c>
      <c r="AF197" s="493">
        <v>12150</v>
      </c>
      <c r="AG197" s="493" t="s">
        <v>1349</v>
      </c>
      <c r="AH197" s="130">
        <f t="shared" si="39"/>
        <v>46148</v>
      </c>
      <c r="AI197" s="495">
        <v>46150</v>
      </c>
      <c r="AJ197" s="439">
        <f>P197*1.1</f>
        <v>133650</v>
      </c>
      <c r="AK197" s="121">
        <f t="shared" ref="AK197:AK201" si="49">(P197*1.1)-AJ197</f>
        <v>0</v>
      </c>
      <c r="AL197" s="440" t="str">
        <f t="shared" ca="1" si="48"/>
        <v/>
      </c>
      <c r="AM197" s="440"/>
      <c r="AN197" s="440"/>
      <c r="AO197" s="440"/>
    </row>
    <row r="198" spans="1:41" ht="16.5" hidden="1" customHeight="1">
      <c r="A198" s="492" t="s">
        <v>1329</v>
      </c>
      <c r="B198" s="493" t="s">
        <v>1331</v>
      </c>
      <c r="C198" s="492" t="s">
        <v>1329</v>
      </c>
      <c r="D198" s="492" t="s">
        <v>1329</v>
      </c>
      <c r="E198" s="493" t="s">
        <v>116</v>
      </c>
      <c r="F198" s="493" t="s">
        <v>377</v>
      </c>
      <c r="G198" s="493" t="s">
        <v>117</v>
      </c>
      <c r="H198" s="493" t="s">
        <v>118</v>
      </c>
      <c r="I198" s="493" t="s">
        <v>119</v>
      </c>
      <c r="J198" s="493" t="s">
        <v>1332</v>
      </c>
      <c r="K198" s="493" t="s">
        <v>377</v>
      </c>
      <c r="L198" s="493" t="s">
        <v>1333</v>
      </c>
      <c r="M198" s="493" t="s">
        <v>1334</v>
      </c>
      <c r="N198" s="493" t="s">
        <v>1335</v>
      </c>
      <c r="O198" s="493">
        <v>15011920</v>
      </c>
      <c r="P198" s="439">
        <v>13647200</v>
      </c>
      <c r="Q198" s="493">
        <v>1364720</v>
      </c>
      <c r="R198" s="493" t="s">
        <v>124</v>
      </c>
      <c r="S198" s="493" t="s">
        <v>382</v>
      </c>
      <c r="T198" s="493" t="s">
        <v>125</v>
      </c>
      <c r="U198" s="493" t="s">
        <v>126</v>
      </c>
      <c r="V198" s="493" t="s">
        <v>127</v>
      </c>
      <c r="W198" s="493" t="s">
        <v>128</v>
      </c>
      <c r="X198" s="493" t="s">
        <v>1336</v>
      </c>
      <c r="Y198" s="493" t="s">
        <v>377</v>
      </c>
      <c r="Z198" s="493" t="s">
        <v>1329</v>
      </c>
      <c r="AA198" s="493" t="s">
        <v>130</v>
      </c>
      <c r="AB198" s="493" t="s">
        <v>377</v>
      </c>
      <c r="AC198" s="493" t="s">
        <v>131</v>
      </c>
      <c r="AD198" s="493" t="s">
        <v>1337</v>
      </c>
      <c r="AE198" s="493">
        <v>13647200</v>
      </c>
      <c r="AF198" s="493">
        <v>1364720</v>
      </c>
      <c r="AG198" s="493" t="s">
        <v>1350</v>
      </c>
      <c r="AH198" s="130">
        <f t="shared" si="39"/>
        <v>46148</v>
      </c>
      <c r="AI198" s="495">
        <v>46162</v>
      </c>
      <c r="AJ198" s="439">
        <f>P198*1.1</f>
        <v>15011920.000000002</v>
      </c>
      <c r="AK198" s="121">
        <f t="shared" si="49"/>
        <v>0</v>
      </c>
      <c r="AL198" s="440" t="str">
        <f t="shared" ca="1" si="48"/>
        <v/>
      </c>
      <c r="AM198" s="440"/>
      <c r="AN198" s="440"/>
      <c r="AO198" s="440"/>
    </row>
    <row r="199" spans="1:41" ht="16.5" hidden="1" customHeight="1">
      <c r="A199" s="492" t="s">
        <v>1329</v>
      </c>
      <c r="B199" s="493" t="s">
        <v>1338</v>
      </c>
      <c r="C199" s="492" t="s">
        <v>1329</v>
      </c>
      <c r="D199" s="492" t="s">
        <v>1329</v>
      </c>
      <c r="E199" s="493" t="s">
        <v>116</v>
      </c>
      <c r="F199" s="493" t="s">
        <v>377</v>
      </c>
      <c r="G199" s="493" t="s">
        <v>117</v>
      </c>
      <c r="H199" s="493" t="s">
        <v>118</v>
      </c>
      <c r="I199" s="493" t="s">
        <v>119</v>
      </c>
      <c r="J199" s="493" t="s">
        <v>146</v>
      </c>
      <c r="K199" s="493" t="s">
        <v>377</v>
      </c>
      <c r="L199" s="493" t="s">
        <v>553</v>
      </c>
      <c r="M199" s="493" t="s">
        <v>148</v>
      </c>
      <c r="N199" s="493" t="s">
        <v>149</v>
      </c>
      <c r="O199" s="493">
        <v>1991000</v>
      </c>
      <c r="P199" s="439">
        <v>1810000</v>
      </c>
      <c r="Q199" s="493">
        <v>181000</v>
      </c>
      <c r="R199" s="493" t="s">
        <v>124</v>
      </c>
      <c r="S199" s="493" t="s">
        <v>382</v>
      </c>
      <c r="T199" s="493" t="s">
        <v>125</v>
      </c>
      <c r="U199" s="493" t="s">
        <v>126</v>
      </c>
      <c r="V199" s="493" t="s">
        <v>127</v>
      </c>
      <c r="W199" s="493" t="s">
        <v>128</v>
      </c>
      <c r="X199" s="493" t="s">
        <v>150</v>
      </c>
      <c r="Y199" s="493" t="s">
        <v>377</v>
      </c>
      <c r="Z199" s="493" t="s">
        <v>1329</v>
      </c>
      <c r="AA199" s="493" t="s">
        <v>130</v>
      </c>
      <c r="AB199" s="493" t="s">
        <v>377</v>
      </c>
      <c r="AC199" s="493" t="s">
        <v>131</v>
      </c>
      <c r="AD199" s="493" t="s">
        <v>1339</v>
      </c>
      <c r="AE199" s="493">
        <v>1810000</v>
      </c>
      <c r="AF199" s="493">
        <v>181000</v>
      </c>
      <c r="AG199" s="493" t="s">
        <v>1208</v>
      </c>
      <c r="AH199" s="130">
        <f t="shared" si="39"/>
        <v>46148</v>
      </c>
      <c r="AI199" s="495">
        <v>46171</v>
      </c>
      <c r="AJ199" s="439">
        <f t="shared" ref="AJ199:AJ200" si="50">P199*1.1</f>
        <v>1991000.0000000002</v>
      </c>
      <c r="AK199" s="121">
        <f t="shared" si="49"/>
        <v>0</v>
      </c>
      <c r="AL199" s="440" t="str">
        <f t="shared" ca="1" si="48"/>
        <v/>
      </c>
      <c r="AM199" s="440"/>
      <c r="AN199" s="440"/>
      <c r="AO199" s="440"/>
    </row>
    <row r="200" spans="1:41" ht="16.5" hidden="1" customHeight="1">
      <c r="A200" s="492" t="s">
        <v>1329</v>
      </c>
      <c r="B200" s="493" t="s">
        <v>1340</v>
      </c>
      <c r="C200" s="492" t="s">
        <v>1329</v>
      </c>
      <c r="D200" s="492" t="s">
        <v>1329</v>
      </c>
      <c r="E200" s="493" t="s">
        <v>116</v>
      </c>
      <c r="F200" s="493" t="s">
        <v>377</v>
      </c>
      <c r="G200" s="493" t="s">
        <v>117</v>
      </c>
      <c r="H200" s="493" t="s">
        <v>118</v>
      </c>
      <c r="I200" s="493" t="s">
        <v>119</v>
      </c>
      <c r="J200" s="493" t="s">
        <v>146</v>
      </c>
      <c r="K200" s="493" t="s">
        <v>377</v>
      </c>
      <c r="L200" s="493" t="s">
        <v>553</v>
      </c>
      <c r="M200" s="493" t="s">
        <v>148</v>
      </c>
      <c r="N200" s="493" t="s">
        <v>149</v>
      </c>
      <c r="O200" s="493">
        <v>36300000</v>
      </c>
      <c r="P200" s="439">
        <v>33000000</v>
      </c>
      <c r="Q200" s="493">
        <v>3300000</v>
      </c>
      <c r="R200" s="493" t="s">
        <v>124</v>
      </c>
      <c r="S200" s="493" t="s">
        <v>382</v>
      </c>
      <c r="T200" s="493" t="s">
        <v>125</v>
      </c>
      <c r="U200" s="493" t="s">
        <v>126</v>
      </c>
      <c r="V200" s="493" t="s">
        <v>127</v>
      </c>
      <c r="W200" s="493" t="s">
        <v>128</v>
      </c>
      <c r="X200" s="493" t="s">
        <v>150</v>
      </c>
      <c r="Y200" s="493" t="s">
        <v>377</v>
      </c>
      <c r="Z200" s="493" t="s">
        <v>1329</v>
      </c>
      <c r="AA200" s="493" t="s">
        <v>130</v>
      </c>
      <c r="AB200" s="493" t="s">
        <v>377</v>
      </c>
      <c r="AC200" s="493" t="s">
        <v>131</v>
      </c>
      <c r="AD200" s="493" t="s">
        <v>1341</v>
      </c>
      <c r="AE200" s="493">
        <v>33000000</v>
      </c>
      <c r="AF200" s="493">
        <v>3300000</v>
      </c>
      <c r="AG200" s="493" t="s">
        <v>1208</v>
      </c>
      <c r="AH200" s="130">
        <f t="shared" si="39"/>
        <v>46148</v>
      </c>
      <c r="AI200" s="495">
        <v>46171</v>
      </c>
      <c r="AJ200" s="439">
        <f t="shared" si="50"/>
        <v>36300000</v>
      </c>
      <c r="AK200" s="121">
        <f t="shared" si="49"/>
        <v>0</v>
      </c>
      <c r="AL200" s="440" t="str">
        <f t="shared" ca="1" si="48"/>
        <v/>
      </c>
      <c r="AM200" s="440"/>
      <c r="AN200" s="440"/>
      <c r="AO200" s="440"/>
    </row>
    <row r="201" spans="1:41" ht="16.5" hidden="1" customHeight="1">
      <c r="A201" s="492" t="s">
        <v>1329</v>
      </c>
      <c r="B201" s="493" t="s">
        <v>1342</v>
      </c>
      <c r="C201" s="492" t="s">
        <v>1329</v>
      </c>
      <c r="D201" s="492" t="s">
        <v>1329</v>
      </c>
      <c r="E201" s="493" t="s">
        <v>116</v>
      </c>
      <c r="F201" s="493" t="s">
        <v>377</v>
      </c>
      <c r="G201" s="493" t="s">
        <v>117</v>
      </c>
      <c r="H201" s="493" t="s">
        <v>118</v>
      </c>
      <c r="I201" s="493" t="s">
        <v>119</v>
      </c>
      <c r="J201" s="493" t="s">
        <v>1343</v>
      </c>
      <c r="K201" s="493" t="s">
        <v>377</v>
      </c>
      <c r="L201" s="493" t="s">
        <v>1344</v>
      </c>
      <c r="M201" s="493" t="s">
        <v>1345</v>
      </c>
      <c r="N201" s="493" t="s">
        <v>1346</v>
      </c>
      <c r="O201" s="493">
        <v>602800</v>
      </c>
      <c r="P201" s="439">
        <v>548000</v>
      </c>
      <c r="Q201" s="493">
        <v>54800</v>
      </c>
      <c r="R201" s="493" t="s">
        <v>124</v>
      </c>
      <c r="S201" s="493" t="s">
        <v>382</v>
      </c>
      <c r="T201" s="493" t="s">
        <v>125</v>
      </c>
      <c r="U201" s="493" t="s">
        <v>126</v>
      </c>
      <c r="V201" s="493" t="s">
        <v>127</v>
      </c>
      <c r="W201" s="493" t="s">
        <v>128</v>
      </c>
      <c r="X201" s="493" t="s">
        <v>1347</v>
      </c>
      <c r="Y201" s="493" t="s">
        <v>377</v>
      </c>
      <c r="Z201" s="493" t="s">
        <v>1329</v>
      </c>
      <c r="AA201" s="493" t="s">
        <v>130</v>
      </c>
      <c r="AB201" s="493" t="s">
        <v>377</v>
      </c>
      <c r="AC201" s="493" t="s">
        <v>131</v>
      </c>
      <c r="AD201" s="493" t="s">
        <v>1348</v>
      </c>
      <c r="AE201" s="493">
        <v>548000</v>
      </c>
      <c r="AF201" s="493">
        <v>54800</v>
      </c>
      <c r="AG201" s="493" t="s">
        <v>1351</v>
      </c>
      <c r="AH201" s="130">
        <f t="shared" si="39"/>
        <v>46148</v>
      </c>
      <c r="AI201" s="495">
        <v>46132</v>
      </c>
      <c r="AJ201" s="439">
        <f>P201*1.1</f>
        <v>602800</v>
      </c>
      <c r="AK201" s="121">
        <f t="shared" si="49"/>
        <v>0</v>
      </c>
      <c r="AL201" s="440" t="str">
        <f t="shared" ca="1" si="48"/>
        <v/>
      </c>
      <c r="AM201" s="440"/>
      <c r="AN201" s="440"/>
      <c r="AO201" s="440"/>
    </row>
    <row r="202" spans="1:41" ht="16.5" hidden="1" customHeight="1">
      <c r="A202" s="492" t="s">
        <v>1352</v>
      </c>
      <c r="B202" s="493" t="s">
        <v>1353</v>
      </c>
      <c r="C202" s="492" t="s">
        <v>1352</v>
      </c>
      <c r="D202" s="492" t="s">
        <v>1352</v>
      </c>
      <c r="E202" s="493" t="s">
        <v>116</v>
      </c>
      <c r="F202" s="493" t="s">
        <v>377</v>
      </c>
      <c r="G202" s="493" t="s">
        <v>117</v>
      </c>
      <c r="H202" s="493" t="s">
        <v>118</v>
      </c>
      <c r="I202" s="493" t="s">
        <v>119</v>
      </c>
      <c r="J202" s="493" t="s">
        <v>1354</v>
      </c>
      <c r="K202" s="493" t="s">
        <v>377</v>
      </c>
      <c r="L202" s="493" t="s">
        <v>1355</v>
      </c>
      <c r="M202" s="493" t="s">
        <v>1356</v>
      </c>
      <c r="N202" s="493" t="s">
        <v>1357</v>
      </c>
      <c r="O202" s="493">
        <v>237600</v>
      </c>
      <c r="P202" s="439">
        <v>216000</v>
      </c>
      <c r="Q202" s="493">
        <v>21600</v>
      </c>
      <c r="R202" s="493" t="s">
        <v>124</v>
      </c>
      <c r="S202" s="493" t="s">
        <v>382</v>
      </c>
      <c r="T202" s="493" t="s">
        <v>125</v>
      </c>
      <c r="U202" s="493" t="s">
        <v>445</v>
      </c>
      <c r="V202" s="493" t="s">
        <v>127</v>
      </c>
      <c r="W202" s="493" t="s">
        <v>128</v>
      </c>
      <c r="X202" s="493" t="s">
        <v>1358</v>
      </c>
      <c r="Y202" s="493" t="s">
        <v>377</v>
      </c>
      <c r="Z202" s="493" t="s">
        <v>1352</v>
      </c>
      <c r="AA202" s="493" t="s">
        <v>130</v>
      </c>
      <c r="AB202" s="493" t="s">
        <v>377</v>
      </c>
      <c r="AC202" s="493" t="s">
        <v>131</v>
      </c>
      <c r="AD202" s="493" t="s">
        <v>1359</v>
      </c>
      <c r="AE202" s="493">
        <v>216000</v>
      </c>
      <c r="AF202" s="493">
        <v>21600</v>
      </c>
      <c r="AG202" s="493" t="s">
        <v>1367</v>
      </c>
      <c r="AH202" s="130">
        <f t="shared" si="39"/>
        <v>46151</v>
      </c>
      <c r="AI202" s="495">
        <v>46111</v>
      </c>
      <c r="AJ202" s="439">
        <f>P202*1.1</f>
        <v>237600.00000000003</v>
      </c>
      <c r="AK202" s="121">
        <f t="shared" ref="AK202:AK203" si="51">(P202*1.1)-AJ202</f>
        <v>0</v>
      </c>
      <c r="AL202" s="440" t="str">
        <f t="shared" ca="1" si="48"/>
        <v/>
      </c>
      <c r="AM202" s="440" t="s">
        <v>1585</v>
      </c>
      <c r="AN202" s="440"/>
      <c r="AO202" s="440"/>
    </row>
    <row r="203" spans="1:41" ht="16.5" hidden="1" customHeight="1">
      <c r="A203" s="492" t="s">
        <v>1352</v>
      </c>
      <c r="B203" s="493" t="s">
        <v>1360</v>
      </c>
      <c r="C203" s="492" t="s">
        <v>1352</v>
      </c>
      <c r="D203" s="492" t="s">
        <v>1352</v>
      </c>
      <c r="E203" s="493" t="s">
        <v>116</v>
      </c>
      <c r="F203" s="493" t="s">
        <v>377</v>
      </c>
      <c r="G203" s="493" t="s">
        <v>117</v>
      </c>
      <c r="H203" s="493" t="s">
        <v>118</v>
      </c>
      <c r="I203" s="493" t="s">
        <v>119</v>
      </c>
      <c r="J203" s="493" t="s">
        <v>1361</v>
      </c>
      <c r="K203" s="493" t="s">
        <v>377</v>
      </c>
      <c r="L203" s="493" t="s">
        <v>1362</v>
      </c>
      <c r="M203" s="493" t="s">
        <v>1363</v>
      </c>
      <c r="N203" s="493" t="s">
        <v>1364</v>
      </c>
      <c r="O203" s="493">
        <v>39423230</v>
      </c>
      <c r="P203" s="439">
        <v>35839300</v>
      </c>
      <c r="Q203" s="493">
        <v>3583930</v>
      </c>
      <c r="R203" s="493" t="s">
        <v>124</v>
      </c>
      <c r="S203" s="493" t="s">
        <v>382</v>
      </c>
      <c r="T203" s="493" t="s">
        <v>125</v>
      </c>
      <c r="U203" s="493" t="s">
        <v>126</v>
      </c>
      <c r="V203" s="493" t="s">
        <v>127</v>
      </c>
      <c r="W203" s="493" t="s">
        <v>128</v>
      </c>
      <c r="X203" s="493" t="s">
        <v>1365</v>
      </c>
      <c r="Y203" s="493" t="s">
        <v>377</v>
      </c>
      <c r="Z203" s="493" t="s">
        <v>1352</v>
      </c>
      <c r="AA203" s="493" t="s">
        <v>130</v>
      </c>
      <c r="AB203" s="493" t="s">
        <v>377</v>
      </c>
      <c r="AC203" s="493" t="s">
        <v>131</v>
      </c>
      <c r="AD203" s="493" t="s">
        <v>1366</v>
      </c>
      <c r="AE203" s="493">
        <v>35839300</v>
      </c>
      <c r="AF203" s="493">
        <v>3583930</v>
      </c>
      <c r="AG203" s="493" t="s">
        <v>1368</v>
      </c>
      <c r="AH203" s="130">
        <f t="shared" si="39"/>
        <v>46151</v>
      </c>
      <c r="AI203" s="495"/>
      <c r="AJ203" s="439"/>
      <c r="AK203" s="121">
        <f t="shared" si="51"/>
        <v>39423230</v>
      </c>
      <c r="AL203" s="440" t="str">
        <f t="shared" ca="1" si="48"/>
        <v>관리</v>
      </c>
      <c r="AM203" s="440"/>
      <c r="AN203" s="440"/>
      <c r="AO203" s="440"/>
    </row>
    <row r="204" spans="1:41" ht="16.5" hidden="1" customHeight="1">
      <c r="A204" s="492" t="s">
        <v>1378</v>
      </c>
      <c r="B204" s="493" t="s">
        <v>1379</v>
      </c>
      <c r="C204" s="492" t="s">
        <v>1378</v>
      </c>
      <c r="D204" s="492" t="s">
        <v>1378</v>
      </c>
      <c r="E204" s="493" t="s">
        <v>116</v>
      </c>
      <c r="F204" s="493" t="s">
        <v>377</v>
      </c>
      <c r="G204" s="493" t="s">
        <v>117</v>
      </c>
      <c r="H204" s="493" t="s">
        <v>118</v>
      </c>
      <c r="I204" s="493" t="s">
        <v>119</v>
      </c>
      <c r="J204" s="493" t="s">
        <v>1380</v>
      </c>
      <c r="K204" s="493" t="s">
        <v>377</v>
      </c>
      <c r="L204" s="493" t="s">
        <v>1381</v>
      </c>
      <c r="M204" s="493" t="s">
        <v>1382</v>
      </c>
      <c r="N204" s="493" t="s">
        <v>1383</v>
      </c>
      <c r="O204" s="493">
        <v>418000</v>
      </c>
      <c r="P204" s="439">
        <v>380000</v>
      </c>
      <c r="Q204" s="493">
        <v>38000</v>
      </c>
      <c r="R204" s="493" t="s">
        <v>124</v>
      </c>
      <c r="S204" s="493" t="s">
        <v>382</v>
      </c>
      <c r="T204" s="493" t="s">
        <v>125</v>
      </c>
      <c r="U204" s="493" t="s">
        <v>126</v>
      </c>
      <c r="V204" s="493" t="s">
        <v>127</v>
      </c>
      <c r="W204" s="493" t="s">
        <v>128</v>
      </c>
      <c r="X204" s="493" t="s">
        <v>1384</v>
      </c>
      <c r="Y204" s="493" t="s">
        <v>377</v>
      </c>
      <c r="Z204" s="493" t="s">
        <v>1378</v>
      </c>
      <c r="AA204" s="493" t="s">
        <v>130</v>
      </c>
      <c r="AB204" s="493" t="s">
        <v>377</v>
      </c>
      <c r="AC204" s="493" t="s">
        <v>131</v>
      </c>
      <c r="AD204" s="493" t="s">
        <v>432</v>
      </c>
      <c r="AE204" s="493">
        <v>380000</v>
      </c>
      <c r="AF204" s="493">
        <v>38000</v>
      </c>
      <c r="AG204" s="493" t="s">
        <v>1385</v>
      </c>
      <c r="AH204" s="130">
        <f t="shared" si="39"/>
        <v>46154</v>
      </c>
      <c r="AI204" s="495">
        <v>46114</v>
      </c>
      <c r="AJ204" s="439">
        <f>P204*1.1</f>
        <v>418000.00000000006</v>
      </c>
      <c r="AK204" s="121">
        <f t="shared" ref="AK204:AK244" si="52">(P204*1.1)-AJ204</f>
        <v>0</v>
      </c>
      <c r="AL204" s="440" t="str">
        <f t="shared" ca="1" si="48"/>
        <v/>
      </c>
      <c r="AM204" s="440"/>
      <c r="AN204" s="440"/>
      <c r="AO204" s="440"/>
    </row>
    <row r="205" spans="1:41" ht="16.5" hidden="1" customHeight="1">
      <c r="A205" s="492" t="s">
        <v>1447</v>
      </c>
      <c r="B205" s="493" t="s">
        <v>1448</v>
      </c>
      <c r="C205" s="492" t="s">
        <v>1447</v>
      </c>
      <c r="D205" s="492" t="s">
        <v>1447</v>
      </c>
      <c r="E205" s="493" t="s">
        <v>116</v>
      </c>
      <c r="F205" s="493" t="s">
        <v>377</v>
      </c>
      <c r="G205" s="493" t="s">
        <v>117</v>
      </c>
      <c r="H205" s="493" t="s">
        <v>118</v>
      </c>
      <c r="I205" s="493" t="s">
        <v>119</v>
      </c>
      <c r="J205" s="493" t="s">
        <v>510</v>
      </c>
      <c r="K205" s="493" t="s">
        <v>377</v>
      </c>
      <c r="L205" s="493" t="s">
        <v>511</v>
      </c>
      <c r="M205" s="493" t="s">
        <v>512</v>
      </c>
      <c r="N205" s="493" t="s">
        <v>513</v>
      </c>
      <c r="O205" s="493">
        <v>1300750</v>
      </c>
      <c r="P205" s="439">
        <v>1182500</v>
      </c>
      <c r="Q205" s="493">
        <v>118250</v>
      </c>
      <c r="R205" s="493" t="s">
        <v>124</v>
      </c>
      <c r="S205" s="493" t="s">
        <v>382</v>
      </c>
      <c r="T205" s="493" t="s">
        <v>125</v>
      </c>
      <c r="U205" s="493" t="s">
        <v>126</v>
      </c>
      <c r="V205" s="493" t="s">
        <v>127</v>
      </c>
      <c r="W205" s="493" t="s">
        <v>128</v>
      </c>
      <c r="X205" s="493" t="s">
        <v>514</v>
      </c>
      <c r="Y205" s="493" t="s">
        <v>377</v>
      </c>
      <c r="Z205" s="493" t="s">
        <v>1447</v>
      </c>
      <c r="AA205" s="493" t="s">
        <v>130</v>
      </c>
      <c r="AB205" s="493" t="s">
        <v>377</v>
      </c>
      <c r="AC205" s="493" t="s">
        <v>131</v>
      </c>
      <c r="AD205" s="493" t="s">
        <v>1449</v>
      </c>
      <c r="AE205" s="493">
        <v>1182500</v>
      </c>
      <c r="AF205" s="493">
        <v>118250</v>
      </c>
      <c r="AG205" s="493" t="s">
        <v>1506</v>
      </c>
      <c r="AH205" s="130">
        <f t="shared" si="39"/>
        <v>46155</v>
      </c>
      <c r="AI205" s="495"/>
      <c r="AJ205" s="439"/>
      <c r="AK205" s="121">
        <f t="shared" si="52"/>
        <v>1300750</v>
      </c>
      <c r="AL205" s="440" t="str">
        <f t="shared" ca="1" si="48"/>
        <v>관리</v>
      </c>
      <c r="AM205" s="440"/>
      <c r="AN205" s="440"/>
      <c r="AO205" s="440"/>
    </row>
    <row r="206" spans="1:41" ht="16.5" hidden="1" customHeight="1">
      <c r="A206" s="492" t="s">
        <v>1447</v>
      </c>
      <c r="B206" s="493" t="s">
        <v>1450</v>
      </c>
      <c r="C206" s="492" t="s">
        <v>1447</v>
      </c>
      <c r="D206" s="492" t="s">
        <v>1447</v>
      </c>
      <c r="E206" s="493" t="s">
        <v>116</v>
      </c>
      <c r="F206" s="493" t="s">
        <v>377</v>
      </c>
      <c r="G206" s="493" t="s">
        <v>117</v>
      </c>
      <c r="H206" s="493" t="s">
        <v>118</v>
      </c>
      <c r="I206" s="493" t="s">
        <v>119</v>
      </c>
      <c r="J206" s="493" t="s">
        <v>1451</v>
      </c>
      <c r="K206" s="493" t="s">
        <v>377</v>
      </c>
      <c r="L206" s="493" t="s">
        <v>1452</v>
      </c>
      <c r="M206" s="493" t="s">
        <v>1453</v>
      </c>
      <c r="N206" s="493" t="s">
        <v>1454</v>
      </c>
      <c r="O206" s="493">
        <v>4730000</v>
      </c>
      <c r="P206" s="439">
        <v>4300000</v>
      </c>
      <c r="Q206" s="493">
        <v>430000</v>
      </c>
      <c r="R206" s="493" t="s">
        <v>124</v>
      </c>
      <c r="S206" s="493" t="s">
        <v>382</v>
      </c>
      <c r="T206" s="493" t="s">
        <v>125</v>
      </c>
      <c r="U206" s="493" t="s">
        <v>126</v>
      </c>
      <c r="V206" s="493" t="s">
        <v>127</v>
      </c>
      <c r="W206" s="493" t="s">
        <v>128</v>
      </c>
      <c r="X206" s="493" t="s">
        <v>1455</v>
      </c>
      <c r="Y206" s="493" t="s">
        <v>377</v>
      </c>
      <c r="Z206" s="493" t="s">
        <v>1447</v>
      </c>
      <c r="AA206" s="493" t="s">
        <v>130</v>
      </c>
      <c r="AB206" s="493" t="s">
        <v>377</v>
      </c>
      <c r="AC206" s="493" t="s">
        <v>131</v>
      </c>
      <c r="AD206" s="493" t="s">
        <v>1456</v>
      </c>
      <c r="AE206" s="493">
        <v>4300000</v>
      </c>
      <c r="AF206" s="493">
        <v>430000</v>
      </c>
      <c r="AG206" s="493" t="s">
        <v>1518</v>
      </c>
      <c r="AH206" s="130">
        <f t="shared" si="39"/>
        <v>46155</v>
      </c>
      <c r="AI206" s="495"/>
      <c r="AJ206" s="439"/>
      <c r="AK206" s="121">
        <f t="shared" si="52"/>
        <v>4730000</v>
      </c>
      <c r="AL206" s="440" t="str">
        <f t="shared" ca="1" si="48"/>
        <v>관리</v>
      </c>
      <c r="AM206" s="440"/>
      <c r="AN206" s="440"/>
      <c r="AO206" s="440"/>
    </row>
    <row r="207" spans="1:41" ht="16.5" hidden="1" customHeight="1">
      <c r="A207" s="492" t="s">
        <v>1447</v>
      </c>
      <c r="B207" s="493" t="s">
        <v>1457</v>
      </c>
      <c r="C207" s="492" t="s">
        <v>1447</v>
      </c>
      <c r="D207" s="492" t="s">
        <v>1447</v>
      </c>
      <c r="E207" s="493" t="s">
        <v>116</v>
      </c>
      <c r="F207" s="493" t="s">
        <v>377</v>
      </c>
      <c r="G207" s="493" t="s">
        <v>117</v>
      </c>
      <c r="H207" s="493" t="s">
        <v>118</v>
      </c>
      <c r="I207" s="493" t="s">
        <v>119</v>
      </c>
      <c r="J207" s="493" t="s">
        <v>1458</v>
      </c>
      <c r="K207" s="493" t="s">
        <v>377</v>
      </c>
      <c r="L207" s="493" t="s">
        <v>1459</v>
      </c>
      <c r="M207" s="493" t="s">
        <v>1460</v>
      </c>
      <c r="N207" s="493" t="s">
        <v>1461</v>
      </c>
      <c r="O207" s="493">
        <v>606045</v>
      </c>
      <c r="P207" s="439">
        <v>550950</v>
      </c>
      <c r="Q207" s="493">
        <v>55095</v>
      </c>
      <c r="R207" s="493" t="s">
        <v>124</v>
      </c>
      <c r="S207" s="493" t="s">
        <v>382</v>
      </c>
      <c r="T207" s="493" t="s">
        <v>125</v>
      </c>
      <c r="U207" s="493" t="s">
        <v>126</v>
      </c>
      <c r="V207" s="493" t="s">
        <v>127</v>
      </c>
      <c r="W207" s="493" t="s">
        <v>128</v>
      </c>
      <c r="X207" s="493" t="s">
        <v>1462</v>
      </c>
      <c r="Y207" s="493" t="s">
        <v>377</v>
      </c>
      <c r="Z207" s="493" t="s">
        <v>1447</v>
      </c>
      <c r="AA207" s="493" t="s">
        <v>130</v>
      </c>
      <c r="AB207" s="493" t="s">
        <v>377</v>
      </c>
      <c r="AC207" s="493" t="s">
        <v>131</v>
      </c>
      <c r="AD207" s="493" t="s">
        <v>1463</v>
      </c>
      <c r="AE207" s="493">
        <v>550950</v>
      </c>
      <c r="AF207" s="493">
        <v>55095</v>
      </c>
      <c r="AG207" s="493" t="s">
        <v>1519</v>
      </c>
      <c r="AH207" s="130">
        <f t="shared" si="39"/>
        <v>46155</v>
      </c>
      <c r="AI207" s="495"/>
      <c r="AJ207" s="439"/>
      <c r="AK207" s="121">
        <f t="shared" si="52"/>
        <v>606045</v>
      </c>
      <c r="AL207" s="440" t="str">
        <f t="shared" ca="1" si="48"/>
        <v>관리</v>
      </c>
      <c r="AM207" s="440"/>
      <c r="AN207" s="440"/>
      <c r="AO207" s="440"/>
    </row>
    <row r="208" spans="1:41" ht="16.5" hidden="1" customHeight="1">
      <c r="A208" s="492" t="s">
        <v>1447</v>
      </c>
      <c r="B208" s="493" t="s">
        <v>1464</v>
      </c>
      <c r="C208" s="492" t="s">
        <v>1447</v>
      </c>
      <c r="D208" s="492" t="s">
        <v>1447</v>
      </c>
      <c r="E208" s="493" t="s">
        <v>116</v>
      </c>
      <c r="F208" s="493" t="s">
        <v>377</v>
      </c>
      <c r="G208" s="493" t="s">
        <v>117</v>
      </c>
      <c r="H208" s="493" t="s">
        <v>118</v>
      </c>
      <c r="I208" s="493" t="s">
        <v>119</v>
      </c>
      <c r="J208" s="493" t="s">
        <v>1465</v>
      </c>
      <c r="K208" s="493" t="s">
        <v>377</v>
      </c>
      <c r="L208" s="493" t="s">
        <v>1466</v>
      </c>
      <c r="M208" s="493" t="s">
        <v>1467</v>
      </c>
      <c r="N208" s="493" t="s">
        <v>1468</v>
      </c>
      <c r="O208" s="493">
        <v>809600</v>
      </c>
      <c r="P208" s="439">
        <v>736000</v>
      </c>
      <c r="Q208" s="493">
        <v>73600</v>
      </c>
      <c r="R208" s="493" t="s">
        <v>124</v>
      </c>
      <c r="S208" s="493" t="s">
        <v>382</v>
      </c>
      <c r="T208" s="493" t="s">
        <v>125</v>
      </c>
      <c r="U208" s="493" t="s">
        <v>126</v>
      </c>
      <c r="V208" s="493" t="s">
        <v>127</v>
      </c>
      <c r="W208" s="493" t="s">
        <v>128</v>
      </c>
      <c r="X208" s="493" t="s">
        <v>1469</v>
      </c>
      <c r="Y208" s="493" t="s">
        <v>377</v>
      </c>
      <c r="Z208" s="493" t="s">
        <v>1447</v>
      </c>
      <c r="AA208" s="493" t="s">
        <v>130</v>
      </c>
      <c r="AB208" s="493" t="s">
        <v>377</v>
      </c>
      <c r="AC208" s="493" t="s">
        <v>131</v>
      </c>
      <c r="AD208" s="493" t="s">
        <v>1470</v>
      </c>
      <c r="AE208" s="493">
        <v>736000</v>
      </c>
      <c r="AF208" s="493">
        <v>73600</v>
      </c>
      <c r="AG208" s="493" t="s">
        <v>1520</v>
      </c>
      <c r="AH208" s="130">
        <f t="shared" si="39"/>
        <v>46155</v>
      </c>
      <c r="AI208" s="495">
        <v>46115</v>
      </c>
      <c r="AJ208" s="439">
        <f>P208*1.1</f>
        <v>809600.00000000012</v>
      </c>
      <c r="AK208" s="121">
        <f t="shared" si="52"/>
        <v>0</v>
      </c>
      <c r="AL208" s="440" t="str">
        <f t="shared" ca="1" si="48"/>
        <v/>
      </c>
      <c r="AM208" s="440"/>
      <c r="AN208" s="440"/>
      <c r="AO208" s="440"/>
    </row>
    <row r="209" spans="1:41" ht="16.5" hidden="1" customHeight="1">
      <c r="A209" s="492" t="s">
        <v>1447</v>
      </c>
      <c r="B209" s="493" t="s">
        <v>1471</v>
      </c>
      <c r="C209" s="492" t="s">
        <v>1447</v>
      </c>
      <c r="D209" s="492" t="s">
        <v>1447</v>
      </c>
      <c r="E209" s="493" t="s">
        <v>116</v>
      </c>
      <c r="F209" s="493" t="s">
        <v>377</v>
      </c>
      <c r="G209" s="493" t="s">
        <v>117</v>
      </c>
      <c r="H209" s="493" t="s">
        <v>118</v>
      </c>
      <c r="I209" s="493" t="s">
        <v>119</v>
      </c>
      <c r="J209" s="493" t="s">
        <v>519</v>
      </c>
      <c r="K209" s="493" t="s">
        <v>377</v>
      </c>
      <c r="L209" s="493" t="s">
        <v>520</v>
      </c>
      <c r="M209" s="493" t="s">
        <v>521</v>
      </c>
      <c r="N209" s="493" t="s">
        <v>522</v>
      </c>
      <c r="O209" s="493">
        <v>1575970</v>
      </c>
      <c r="P209" s="439">
        <v>1432700</v>
      </c>
      <c r="Q209" s="493">
        <v>143270</v>
      </c>
      <c r="R209" s="493" t="s">
        <v>124</v>
      </c>
      <c r="S209" s="493" t="s">
        <v>382</v>
      </c>
      <c r="T209" s="493" t="s">
        <v>125</v>
      </c>
      <c r="U209" s="493" t="s">
        <v>126</v>
      </c>
      <c r="V209" s="493" t="s">
        <v>127</v>
      </c>
      <c r="W209" s="493" t="s">
        <v>128</v>
      </c>
      <c r="X209" s="493" t="s">
        <v>523</v>
      </c>
      <c r="Y209" s="493" t="s">
        <v>377</v>
      </c>
      <c r="Z209" s="493" t="s">
        <v>1447</v>
      </c>
      <c r="AA209" s="493" t="s">
        <v>130</v>
      </c>
      <c r="AB209" s="493" t="s">
        <v>377</v>
      </c>
      <c r="AC209" s="493" t="s">
        <v>131</v>
      </c>
      <c r="AD209" s="493" t="s">
        <v>1472</v>
      </c>
      <c r="AE209" s="493">
        <v>1432700</v>
      </c>
      <c r="AF209" s="493">
        <v>143270</v>
      </c>
      <c r="AG209" s="493" t="s">
        <v>1508</v>
      </c>
      <c r="AH209" s="130">
        <f t="shared" si="39"/>
        <v>46155</v>
      </c>
      <c r="AI209" s="495">
        <v>46118</v>
      </c>
      <c r="AJ209" s="439">
        <f>P209*1.1</f>
        <v>1575970.0000000002</v>
      </c>
      <c r="AK209" s="121">
        <f t="shared" si="52"/>
        <v>0</v>
      </c>
      <c r="AL209" s="440" t="str">
        <f t="shared" ca="1" si="48"/>
        <v/>
      </c>
      <c r="AM209" s="440"/>
      <c r="AN209" s="440"/>
      <c r="AO209" s="440"/>
    </row>
    <row r="210" spans="1:41" ht="16.5" hidden="1" customHeight="1">
      <c r="A210" s="492" t="s">
        <v>1447</v>
      </c>
      <c r="B210" s="493" t="s">
        <v>1473</v>
      </c>
      <c r="C210" s="492" t="s">
        <v>1447</v>
      </c>
      <c r="D210" s="492" t="s">
        <v>1447</v>
      </c>
      <c r="E210" s="493" t="s">
        <v>116</v>
      </c>
      <c r="F210" s="493" t="s">
        <v>377</v>
      </c>
      <c r="G210" s="493" t="s">
        <v>117</v>
      </c>
      <c r="H210" s="493" t="s">
        <v>118</v>
      </c>
      <c r="I210" s="493" t="s">
        <v>119</v>
      </c>
      <c r="J210" s="493" t="s">
        <v>1189</v>
      </c>
      <c r="K210" s="493" t="s">
        <v>377</v>
      </c>
      <c r="L210" s="493" t="s">
        <v>1190</v>
      </c>
      <c r="M210" s="493" t="s">
        <v>1191</v>
      </c>
      <c r="N210" s="493" t="s">
        <v>1192</v>
      </c>
      <c r="O210" s="493">
        <v>20790000</v>
      </c>
      <c r="P210" s="439">
        <v>18900000</v>
      </c>
      <c r="Q210" s="493">
        <v>1890000</v>
      </c>
      <c r="R210" s="493" t="s">
        <v>124</v>
      </c>
      <c r="S210" s="493" t="s">
        <v>382</v>
      </c>
      <c r="T210" s="493" t="s">
        <v>125</v>
      </c>
      <c r="U210" s="493" t="s">
        <v>126</v>
      </c>
      <c r="V210" s="493" t="s">
        <v>127</v>
      </c>
      <c r="W210" s="493" t="s">
        <v>128</v>
      </c>
      <c r="X210" s="493" t="s">
        <v>1193</v>
      </c>
      <c r="Y210" s="493" t="s">
        <v>377</v>
      </c>
      <c r="Z210" s="493" t="s">
        <v>1447</v>
      </c>
      <c r="AA210" s="493" t="s">
        <v>130</v>
      </c>
      <c r="AB210" s="493" t="s">
        <v>377</v>
      </c>
      <c r="AC210" s="493" t="s">
        <v>131</v>
      </c>
      <c r="AD210" s="493" t="s">
        <v>1474</v>
      </c>
      <c r="AE210" s="493">
        <v>18900000</v>
      </c>
      <c r="AF210" s="493">
        <v>1890000</v>
      </c>
      <c r="AG210" s="493" t="s">
        <v>3004</v>
      </c>
      <c r="AH210" s="130">
        <f t="shared" si="39"/>
        <v>46155</v>
      </c>
      <c r="AI210" s="495">
        <v>46171</v>
      </c>
      <c r="AJ210" s="439">
        <f t="shared" ref="AJ210" si="53">P210*1.1</f>
        <v>20790000</v>
      </c>
      <c r="AK210" s="121">
        <f t="shared" si="52"/>
        <v>0</v>
      </c>
      <c r="AL210" s="440" t="str">
        <f t="shared" ca="1" si="48"/>
        <v/>
      </c>
      <c r="AM210" s="440"/>
      <c r="AN210" s="440"/>
      <c r="AO210" s="440"/>
    </row>
    <row r="211" spans="1:41" ht="16.5" hidden="1" customHeight="1">
      <c r="A211" s="492" t="s">
        <v>1447</v>
      </c>
      <c r="B211" s="493" t="s">
        <v>1475</v>
      </c>
      <c r="C211" s="492" t="s">
        <v>1447</v>
      </c>
      <c r="D211" s="492" t="s">
        <v>1447</v>
      </c>
      <c r="E211" s="493" t="s">
        <v>116</v>
      </c>
      <c r="F211" s="493" t="s">
        <v>377</v>
      </c>
      <c r="G211" s="493" t="s">
        <v>117</v>
      </c>
      <c r="H211" s="493" t="s">
        <v>118</v>
      </c>
      <c r="I211" s="493" t="s">
        <v>119</v>
      </c>
      <c r="J211" s="493" t="s">
        <v>949</v>
      </c>
      <c r="K211" s="493" t="s">
        <v>377</v>
      </c>
      <c r="L211" s="493" t="s">
        <v>86</v>
      </c>
      <c r="M211" s="493" t="s">
        <v>950</v>
      </c>
      <c r="N211" s="493" t="s">
        <v>951</v>
      </c>
      <c r="O211" s="493">
        <v>1625800</v>
      </c>
      <c r="P211" s="439">
        <v>1478000</v>
      </c>
      <c r="Q211" s="493">
        <v>147800</v>
      </c>
      <c r="R211" s="493" t="s">
        <v>124</v>
      </c>
      <c r="S211" s="493" t="s">
        <v>382</v>
      </c>
      <c r="T211" s="493" t="s">
        <v>125</v>
      </c>
      <c r="U211" s="493" t="s">
        <v>126</v>
      </c>
      <c r="V211" s="493" t="s">
        <v>127</v>
      </c>
      <c r="W211" s="493" t="s">
        <v>128</v>
      </c>
      <c r="X211" s="493" t="s">
        <v>952</v>
      </c>
      <c r="Y211" s="493" t="s">
        <v>377</v>
      </c>
      <c r="Z211" s="493" t="s">
        <v>1447</v>
      </c>
      <c r="AA211" s="493" t="s">
        <v>130</v>
      </c>
      <c r="AB211" s="493" t="s">
        <v>377</v>
      </c>
      <c r="AC211" s="493" t="s">
        <v>131</v>
      </c>
      <c r="AD211" s="493" t="s">
        <v>1476</v>
      </c>
      <c r="AE211" s="493">
        <v>1478000</v>
      </c>
      <c r="AF211" s="493">
        <v>147800</v>
      </c>
      <c r="AG211" s="493" t="s">
        <v>1515</v>
      </c>
      <c r="AH211" s="130">
        <f t="shared" si="39"/>
        <v>46155</v>
      </c>
      <c r="AI211" s="495"/>
      <c r="AJ211" s="439"/>
      <c r="AK211" s="121">
        <f t="shared" si="52"/>
        <v>1625800.0000000002</v>
      </c>
      <c r="AL211" s="440" t="str">
        <f t="shared" ca="1" si="48"/>
        <v>관리</v>
      </c>
      <c r="AM211" s="440"/>
      <c r="AN211" s="440"/>
      <c r="AO211" s="440"/>
    </row>
    <row r="212" spans="1:41" ht="16.5" hidden="1" customHeight="1">
      <c r="A212" s="492" t="s">
        <v>1447</v>
      </c>
      <c r="B212" s="493" t="s">
        <v>1477</v>
      </c>
      <c r="C212" s="492" t="s">
        <v>1447</v>
      </c>
      <c r="D212" s="492" t="s">
        <v>1447</v>
      </c>
      <c r="E212" s="493" t="s">
        <v>116</v>
      </c>
      <c r="F212" s="493" t="s">
        <v>377</v>
      </c>
      <c r="G212" s="493" t="s">
        <v>117</v>
      </c>
      <c r="H212" s="493" t="s">
        <v>118</v>
      </c>
      <c r="I212" s="493" t="s">
        <v>119</v>
      </c>
      <c r="J212" s="493" t="s">
        <v>120</v>
      </c>
      <c r="K212" s="493" t="s">
        <v>377</v>
      </c>
      <c r="L212" s="493" t="s">
        <v>1644</v>
      </c>
      <c r="M212" s="493" t="s">
        <v>122</v>
      </c>
      <c r="N212" s="493" t="s">
        <v>123</v>
      </c>
      <c r="O212" s="493">
        <v>2487100</v>
      </c>
      <c r="P212" s="439">
        <v>2261000</v>
      </c>
      <c r="Q212" s="493">
        <v>226100</v>
      </c>
      <c r="R212" s="493" t="s">
        <v>124</v>
      </c>
      <c r="S212" s="493" t="s">
        <v>382</v>
      </c>
      <c r="T212" s="493" t="s">
        <v>125</v>
      </c>
      <c r="U212" s="493" t="s">
        <v>126</v>
      </c>
      <c r="V212" s="493" t="s">
        <v>127</v>
      </c>
      <c r="W212" s="493" t="s">
        <v>128</v>
      </c>
      <c r="X212" s="493" t="s">
        <v>129</v>
      </c>
      <c r="Y212" s="493" t="s">
        <v>377</v>
      </c>
      <c r="Z212" s="493" t="s">
        <v>1447</v>
      </c>
      <c r="AA212" s="493" t="s">
        <v>130</v>
      </c>
      <c r="AB212" s="493" t="s">
        <v>377</v>
      </c>
      <c r="AC212" s="493" t="s">
        <v>131</v>
      </c>
      <c r="AD212" s="493" t="s">
        <v>1478</v>
      </c>
      <c r="AE212" s="493">
        <v>2261000</v>
      </c>
      <c r="AF212" s="493">
        <v>226100</v>
      </c>
      <c r="AG212" s="493" t="s">
        <v>1536</v>
      </c>
      <c r="AH212" s="130">
        <f t="shared" si="39"/>
        <v>46155</v>
      </c>
      <c r="AI212" s="495"/>
      <c r="AJ212" s="439"/>
      <c r="AK212" s="121">
        <f t="shared" si="52"/>
        <v>2487100</v>
      </c>
      <c r="AL212" s="440" t="str">
        <f t="shared" ca="1" si="48"/>
        <v>관리</v>
      </c>
      <c r="AM212" s="440"/>
      <c r="AN212" s="440" t="s">
        <v>2259</v>
      </c>
      <c r="AO212" s="440"/>
    </row>
    <row r="213" spans="1:41" ht="16.5" hidden="1" customHeight="1">
      <c r="A213" s="492" t="s">
        <v>1447</v>
      </c>
      <c r="B213" s="493" t="s">
        <v>1479</v>
      </c>
      <c r="C213" s="492" t="s">
        <v>1447</v>
      </c>
      <c r="D213" s="492" t="s">
        <v>1447</v>
      </c>
      <c r="E213" s="493" t="s">
        <v>116</v>
      </c>
      <c r="F213" s="493" t="s">
        <v>377</v>
      </c>
      <c r="G213" s="493" t="s">
        <v>117</v>
      </c>
      <c r="H213" s="493" t="s">
        <v>118</v>
      </c>
      <c r="I213" s="493" t="s">
        <v>119</v>
      </c>
      <c r="J213" s="493" t="s">
        <v>120</v>
      </c>
      <c r="K213" s="493" t="s">
        <v>377</v>
      </c>
      <c r="L213" s="493" t="s">
        <v>390</v>
      </c>
      <c r="M213" s="493" t="s">
        <v>122</v>
      </c>
      <c r="N213" s="493" t="s">
        <v>123</v>
      </c>
      <c r="O213" s="493">
        <v>5614950</v>
      </c>
      <c r="P213" s="439">
        <v>5104500</v>
      </c>
      <c r="Q213" s="493">
        <v>510450</v>
      </c>
      <c r="R213" s="493" t="s">
        <v>124</v>
      </c>
      <c r="S213" s="493" t="s">
        <v>382</v>
      </c>
      <c r="T213" s="493" t="s">
        <v>125</v>
      </c>
      <c r="U213" s="493" t="s">
        <v>126</v>
      </c>
      <c r="V213" s="493" t="s">
        <v>127</v>
      </c>
      <c r="W213" s="493" t="s">
        <v>128</v>
      </c>
      <c r="X213" s="493" t="s">
        <v>129</v>
      </c>
      <c r="Y213" s="493" t="s">
        <v>377</v>
      </c>
      <c r="Z213" s="493" t="s">
        <v>1447</v>
      </c>
      <c r="AA213" s="493" t="s">
        <v>130</v>
      </c>
      <c r="AB213" s="493" t="s">
        <v>377</v>
      </c>
      <c r="AC213" s="493" t="s">
        <v>131</v>
      </c>
      <c r="AD213" s="493" t="s">
        <v>1480</v>
      </c>
      <c r="AE213" s="493">
        <v>5104500</v>
      </c>
      <c r="AF213" s="493">
        <v>510450</v>
      </c>
      <c r="AG213" s="493" t="s">
        <v>1529</v>
      </c>
      <c r="AH213" s="130">
        <f t="shared" si="39"/>
        <v>46155</v>
      </c>
      <c r="AI213" s="495"/>
      <c r="AJ213" s="439"/>
      <c r="AK213" s="121">
        <f t="shared" si="52"/>
        <v>5614950</v>
      </c>
      <c r="AL213" s="440" t="str">
        <f t="shared" ca="1" si="48"/>
        <v>관리</v>
      </c>
      <c r="AM213" s="440"/>
      <c r="AN213" s="440" t="s">
        <v>2259</v>
      </c>
      <c r="AO213" s="440"/>
    </row>
    <row r="214" spans="1:41" ht="16.5" hidden="1" customHeight="1">
      <c r="A214" s="492" t="s">
        <v>1447</v>
      </c>
      <c r="B214" s="493" t="s">
        <v>1481</v>
      </c>
      <c r="C214" s="492" t="s">
        <v>1447</v>
      </c>
      <c r="D214" s="492" t="s">
        <v>1447</v>
      </c>
      <c r="E214" s="493" t="s">
        <v>116</v>
      </c>
      <c r="F214" s="493" t="s">
        <v>377</v>
      </c>
      <c r="G214" s="493" t="s">
        <v>117</v>
      </c>
      <c r="H214" s="493" t="s">
        <v>118</v>
      </c>
      <c r="I214" s="493" t="s">
        <v>119</v>
      </c>
      <c r="J214" s="493" t="s">
        <v>510</v>
      </c>
      <c r="K214" s="493" t="s">
        <v>377</v>
      </c>
      <c r="L214" s="493" t="s">
        <v>511</v>
      </c>
      <c r="M214" s="493" t="s">
        <v>512</v>
      </c>
      <c r="N214" s="493" t="s">
        <v>513</v>
      </c>
      <c r="O214" s="493">
        <v>1732500</v>
      </c>
      <c r="P214" s="439">
        <v>1575000</v>
      </c>
      <c r="Q214" s="493">
        <v>157500</v>
      </c>
      <c r="R214" s="493" t="s">
        <v>124</v>
      </c>
      <c r="S214" s="493" t="s">
        <v>382</v>
      </c>
      <c r="T214" s="493" t="s">
        <v>125</v>
      </c>
      <c r="U214" s="493" t="s">
        <v>126</v>
      </c>
      <c r="V214" s="493" t="s">
        <v>127</v>
      </c>
      <c r="W214" s="493" t="s">
        <v>128</v>
      </c>
      <c r="X214" s="493" t="s">
        <v>514</v>
      </c>
      <c r="Y214" s="493" t="s">
        <v>377</v>
      </c>
      <c r="Z214" s="493" t="s">
        <v>1447</v>
      </c>
      <c r="AA214" s="493" t="s">
        <v>130</v>
      </c>
      <c r="AB214" s="493" t="s">
        <v>377</v>
      </c>
      <c r="AC214" s="493" t="s">
        <v>131</v>
      </c>
      <c r="AD214" s="493" t="s">
        <v>1482</v>
      </c>
      <c r="AE214" s="493">
        <v>1575000</v>
      </c>
      <c r="AF214" s="493">
        <v>157500</v>
      </c>
      <c r="AG214" s="493" t="s">
        <v>1537</v>
      </c>
      <c r="AH214" s="130">
        <f t="shared" ref="AH214:AH271" si="54">IF(A214&lt;&gt;"", A214+40, "")</f>
        <v>46155</v>
      </c>
      <c r="AI214" s="495"/>
      <c r="AJ214" s="439"/>
      <c r="AK214" s="121">
        <f t="shared" si="52"/>
        <v>1732500.0000000002</v>
      </c>
      <c r="AL214" s="440" t="str">
        <f t="shared" ca="1" si="48"/>
        <v>관리</v>
      </c>
      <c r="AM214" s="440"/>
      <c r="AN214" s="440"/>
      <c r="AO214" s="440"/>
    </row>
    <row r="215" spans="1:41" ht="16.5" hidden="1" customHeight="1">
      <c r="A215" s="492" t="s">
        <v>1447</v>
      </c>
      <c r="B215" s="493" t="s">
        <v>1483</v>
      </c>
      <c r="C215" s="492" t="s">
        <v>1447</v>
      </c>
      <c r="D215" s="492" t="s">
        <v>1447</v>
      </c>
      <c r="E215" s="493" t="s">
        <v>116</v>
      </c>
      <c r="F215" s="493" t="s">
        <v>377</v>
      </c>
      <c r="G215" s="493" t="s">
        <v>117</v>
      </c>
      <c r="H215" s="493" t="s">
        <v>118</v>
      </c>
      <c r="I215" s="493" t="s">
        <v>119</v>
      </c>
      <c r="J215" s="493" t="s">
        <v>1061</v>
      </c>
      <c r="K215" s="493" t="s">
        <v>377</v>
      </c>
      <c r="L215" s="493" t="s">
        <v>1062</v>
      </c>
      <c r="M215" s="493" t="s">
        <v>1063</v>
      </c>
      <c r="N215" s="493" t="s">
        <v>1484</v>
      </c>
      <c r="O215" s="493">
        <v>18090600</v>
      </c>
      <c r="P215" s="439">
        <v>16446000</v>
      </c>
      <c r="Q215" s="493">
        <v>1644600</v>
      </c>
      <c r="R215" s="493" t="s">
        <v>124</v>
      </c>
      <c r="S215" s="493" t="s">
        <v>382</v>
      </c>
      <c r="T215" s="493" t="s">
        <v>125</v>
      </c>
      <c r="U215" s="493" t="s">
        <v>126</v>
      </c>
      <c r="V215" s="493" t="s">
        <v>127</v>
      </c>
      <c r="W215" s="493" t="s">
        <v>128</v>
      </c>
      <c r="X215" s="493" t="s">
        <v>1064</v>
      </c>
      <c r="Y215" s="493" t="s">
        <v>377</v>
      </c>
      <c r="Z215" s="493" t="s">
        <v>1447</v>
      </c>
      <c r="AA215" s="493" t="s">
        <v>130</v>
      </c>
      <c r="AB215" s="493" t="s">
        <v>377</v>
      </c>
      <c r="AC215" s="493" t="s">
        <v>131</v>
      </c>
      <c r="AD215" s="493" t="s">
        <v>1485</v>
      </c>
      <c r="AE215" s="493">
        <v>16446000</v>
      </c>
      <c r="AF215" s="493">
        <v>1644600</v>
      </c>
      <c r="AG215" s="493" t="s">
        <v>1530</v>
      </c>
      <c r="AH215" s="130">
        <f t="shared" si="54"/>
        <v>46155</v>
      </c>
      <c r="AI215" s="495">
        <v>46118</v>
      </c>
      <c r="AJ215" s="439">
        <f>P215*1.1</f>
        <v>18090600</v>
      </c>
      <c r="AK215" s="121">
        <f t="shared" si="52"/>
        <v>0</v>
      </c>
      <c r="AL215" s="440" t="str">
        <f t="shared" ca="1" si="48"/>
        <v/>
      </c>
      <c r="AM215" s="440"/>
      <c r="AN215" s="440"/>
      <c r="AO215" s="440"/>
    </row>
    <row r="216" spans="1:41" ht="16.5" hidden="1" customHeight="1">
      <c r="A216" s="492" t="s">
        <v>1447</v>
      </c>
      <c r="B216" s="493" t="s">
        <v>1486</v>
      </c>
      <c r="C216" s="492" t="s">
        <v>1447</v>
      </c>
      <c r="D216" s="492" t="s">
        <v>1447</v>
      </c>
      <c r="E216" s="493" t="s">
        <v>116</v>
      </c>
      <c r="F216" s="493" t="s">
        <v>377</v>
      </c>
      <c r="G216" s="493" t="s">
        <v>117</v>
      </c>
      <c r="H216" s="493" t="s">
        <v>118</v>
      </c>
      <c r="I216" s="493" t="s">
        <v>119</v>
      </c>
      <c r="J216" s="493" t="s">
        <v>674</v>
      </c>
      <c r="K216" s="493" t="s">
        <v>377</v>
      </c>
      <c r="L216" s="493" t="s">
        <v>675</v>
      </c>
      <c r="M216" s="493" t="s">
        <v>676</v>
      </c>
      <c r="N216" s="493" t="s">
        <v>677</v>
      </c>
      <c r="O216" s="493">
        <v>172590</v>
      </c>
      <c r="P216" s="439">
        <v>156900</v>
      </c>
      <c r="Q216" s="493">
        <v>15690</v>
      </c>
      <c r="R216" s="493" t="s">
        <v>124</v>
      </c>
      <c r="S216" s="493" t="s">
        <v>382</v>
      </c>
      <c r="T216" s="493" t="s">
        <v>125</v>
      </c>
      <c r="U216" s="493" t="s">
        <v>126</v>
      </c>
      <c r="V216" s="493" t="s">
        <v>127</v>
      </c>
      <c r="W216" s="493" t="s">
        <v>128</v>
      </c>
      <c r="X216" s="493" t="s">
        <v>678</v>
      </c>
      <c r="Y216" s="493" t="s">
        <v>377</v>
      </c>
      <c r="Z216" s="493" t="s">
        <v>1447</v>
      </c>
      <c r="AA216" s="493" t="s">
        <v>130</v>
      </c>
      <c r="AB216" s="493" t="s">
        <v>377</v>
      </c>
      <c r="AC216" s="493" t="s">
        <v>131</v>
      </c>
      <c r="AD216" s="493" t="s">
        <v>1487</v>
      </c>
      <c r="AE216" s="493">
        <v>156900</v>
      </c>
      <c r="AF216" s="493">
        <v>15690</v>
      </c>
      <c r="AG216" s="493" t="s">
        <v>1531</v>
      </c>
      <c r="AH216" s="130">
        <f t="shared" si="54"/>
        <v>46155</v>
      </c>
      <c r="AI216" s="495">
        <v>46142</v>
      </c>
      <c r="AJ216" s="439">
        <f t="shared" ref="AJ216:AJ217" si="55">P216*1.1</f>
        <v>172590</v>
      </c>
      <c r="AK216" s="121">
        <f t="shared" si="52"/>
        <v>0</v>
      </c>
      <c r="AL216" s="440" t="str">
        <f t="shared" ca="1" si="48"/>
        <v/>
      </c>
      <c r="AM216" s="440"/>
      <c r="AN216" s="440"/>
      <c r="AO216" s="440"/>
    </row>
    <row r="217" spans="1:41" ht="16.5" hidden="1" customHeight="1">
      <c r="A217" s="492" t="s">
        <v>1447</v>
      </c>
      <c r="B217" s="493" t="s">
        <v>1488</v>
      </c>
      <c r="C217" s="492" t="s">
        <v>1447</v>
      </c>
      <c r="D217" s="492" t="s">
        <v>1447</v>
      </c>
      <c r="E217" s="493" t="s">
        <v>116</v>
      </c>
      <c r="F217" s="493" t="s">
        <v>377</v>
      </c>
      <c r="G217" s="493" t="s">
        <v>117</v>
      </c>
      <c r="H217" s="493" t="s">
        <v>118</v>
      </c>
      <c r="I217" s="493" t="s">
        <v>119</v>
      </c>
      <c r="J217" s="493" t="s">
        <v>628</v>
      </c>
      <c r="K217" s="493" t="s">
        <v>377</v>
      </c>
      <c r="L217" s="493" t="s">
        <v>629</v>
      </c>
      <c r="M217" s="493" t="s">
        <v>630</v>
      </c>
      <c r="N217" s="493" t="s">
        <v>631</v>
      </c>
      <c r="O217" s="493">
        <v>2351250</v>
      </c>
      <c r="P217" s="439">
        <v>2137500</v>
      </c>
      <c r="Q217" s="493">
        <v>213750</v>
      </c>
      <c r="R217" s="493" t="s">
        <v>124</v>
      </c>
      <c r="S217" s="493" t="s">
        <v>382</v>
      </c>
      <c r="T217" s="493" t="s">
        <v>125</v>
      </c>
      <c r="U217" s="493" t="s">
        <v>126</v>
      </c>
      <c r="V217" s="493" t="s">
        <v>127</v>
      </c>
      <c r="W217" s="493" t="s">
        <v>128</v>
      </c>
      <c r="X217" s="493" t="s">
        <v>632</v>
      </c>
      <c r="Y217" s="493" t="s">
        <v>377</v>
      </c>
      <c r="Z217" s="493" t="s">
        <v>1447</v>
      </c>
      <c r="AA217" s="493" t="s">
        <v>130</v>
      </c>
      <c r="AB217" s="493" t="s">
        <v>377</v>
      </c>
      <c r="AC217" s="493" t="s">
        <v>131</v>
      </c>
      <c r="AD217" s="493" t="s">
        <v>1489</v>
      </c>
      <c r="AE217" s="493">
        <v>2137500</v>
      </c>
      <c r="AF217" s="493">
        <v>213750</v>
      </c>
      <c r="AG217" s="493" t="s">
        <v>1532</v>
      </c>
      <c r="AH217" s="130">
        <f t="shared" si="54"/>
        <v>46155</v>
      </c>
      <c r="AI217" s="495">
        <v>46171</v>
      </c>
      <c r="AJ217" s="439">
        <f t="shared" si="55"/>
        <v>2351250</v>
      </c>
      <c r="AK217" s="121">
        <f t="shared" si="52"/>
        <v>0</v>
      </c>
      <c r="AL217" s="440" t="str">
        <f t="shared" ca="1" si="48"/>
        <v/>
      </c>
      <c r="AM217" s="440"/>
      <c r="AN217" s="440"/>
      <c r="AO217" s="440"/>
    </row>
    <row r="218" spans="1:41" ht="16.5" hidden="1" customHeight="1">
      <c r="A218" s="492" t="s">
        <v>1447</v>
      </c>
      <c r="B218" s="493" t="s">
        <v>1490</v>
      </c>
      <c r="C218" s="492" t="s">
        <v>1447</v>
      </c>
      <c r="D218" s="492" t="s">
        <v>1447</v>
      </c>
      <c r="E218" s="493" t="s">
        <v>116</v>
      </c>
      <c r="F218" s="493" t="s">
        <v>377</v>
      </c>
      <c r="G218" s="493" t="s">
        <v>117</v>
      </c>
      <c r="H218" s="493" t="s">
        <v>118</v>
      </c>
      <c r="I218" s="493" t="s">
        <v>119</v>
      </c>
      <c r="J218" s="493" t="s">
        <v>378</v>
      </c>
      <c r="K218" s="493" t="s">
        <v>377</v>
      </c>
      <c r="L218" s="493" t="s">
        <v>379</v>
      </c>
      <c r="M218" s="493" t="s">
        <v>380</v>
      </c>
      <c r="N218" s="493" t="s">
        <v>381</v>
      </c>
      <c r="O218" s="493">
        <v>1616340</v>
      </c>
      <c r="P218" s="439">
        <v>1469400</v>
      </c>
      <c r="Q218" s="493">
        <v>146940</v>
      </c>
      <c r="R218" s="493" t="s">
        <v>124</v>
      </c>
      <c r="S218" s="493" t="s">
        <v>382</v>
      </c>
      <c r="T218" s="493" t="s">
        <v>125</v>
      </c>
      <c r="U218" s="493" t="s">
        <v>126</v>
      </c>
      <c r="V218" s="493" t="s">
        <v>127</v>
      </c>
      <c r="W218" s="493" t="s">
        <v>128</v>
      </c>
      <c r="X218" s="493" t="s">
        <v>383</v>
      </c>
      <c r="Y218" s="493" t="s">
        <v>377</v>
      </c>
      <c r="Z218" s="493" t="s">
        <v>1447</v>
      </c>
      <c r="AA218" s="493" t="s">
        <v>130</v>
      </c>
      <c r="AB218" s="493" t="s">
        <v>377</v>
      </c>
      <c r="AC218" s="493" t="s">
        <v>131</v>
      </c>
      <c r="AD218" s="493" t="s">
        <v>1491</v>
      </c>
      <c r="AE218" s="493">
        <v>1469400</v>
      </c>
      <c r="AF218" s="493">
        <v>146940</v>
      </c>
      <c r="AG218" s="493" t="s">
        <v>1533</v>
      </c>
      <c r="AH218" s="130">
        <f t="shared" si="54"/>
        <v>46155</v>
      </c>
      <c r="AI218" s="495"/>
      <c r="AJ218" s="439"/>
      <c r="AK218" s="121">
        <f t="shared" si="52"/>
        <v>1616340.0000000002</v>
      </c>
      <c r="AL218" s="440" t="str">
        <f t="shared" ca="1" si="48"/>
        <v>관리</v>
      </c>
      <c r="AM218" s="440"/>
      <c r="AN218" s="440"/>
      <c r="AO218" s="440"/>
    </row>
    <row r="219" spans="1:41" ht="16.5" hidden="1" customHeight="1">
      <c r="A219" s="492" t="s">
        <v>1447</v>
      </c>
      <c r="B219" s="493" t="s">
        <v>1492</v>
      </c>
      <c r="C219" s="492" t="s">
        <v>1447</v>
      </c>
      <c r="D219" s="492" t="s">
        <v>1447</v>
      </c>
      <c r="E219" s="493" t="s">
        <v>116</v>
      </c>
      <c r="F219" s="493" t="s">
        <v>377</v>
      </c>
      <c r="G219" s="493" t="s">
        <v>117</v>
      </c>
      <c r="H219" s="493" t="s">
        <v>118</v>
      </c>
      <c r="I219" s="493" t="s">
        <v>119</v>
      </c>
      <c r="J219" s="493" t="s">
        <v>510</v>
      </c>
      <c r="K219" s="493" t="s">
        <v>377</v>
      </c>
      <c r="L219" s="493" t="s">
        <v>511</v>
      </c>
      <c r="M219" s="493" t="s">
        <v>512</v>
      </c>
      <c r="N219" s="493" t="s">
        <v>513</v>
      </c>
      <c r="O219" s="493">
        <v>27050100</v>
      </c>
      <c r="P219" s="439">
        <v>24591000</v>
      </c>
      <c r="Q219" s="493">
        <v>2459100</v>
      </c>
      <c r="R219" s="493" t="s">
        <v>124</v>
      </c>
      <c r="S219" s="493" t="s">
        <v>382</v>
      </c>
      <c r="T219" s="493" t="s">
        <v>125</v>
      </c>
      <c r="U219" s="493" t="s">
        <v>126</v>
      </c>
      <c r="V219" s="493" t="s">
        <v>127</v>
      </c>
      <c r="W219" s="493" t="s">
        <v>128</v>
      </c>
      <c r="X219" s="493" t="s">
        <v>514</v>
      </c>
      <c r="Y219" s="493" t="s">
        <v>377</v>
      </c>
      <c r="Z219" s="493" t="s">
        <v>1447</v>
      </c>
      <c r="AA219" s="493" t="s">
        <v>130</v>
      </c>
      <c r="AB219" s="493" t="s">
        <v>377</v>
      </c>
      <c r="AC219" s="493" t="s">
        <v>131</v>
      </c>
      <c r="AD219" s="493" t="s">
        <v>1319</v>
      </c>
      <c r="AE219" s="493">
        <v>24591000</v>
      </c>
      <c r="AF219" s="493">
        <v>2459100</v>
      </c>
      <c r="AG219" s="493" t="s">
        <v>1534</v>
      </c>
      <c r="AH219" s="130">
        <f t="shared" si="54"/>
        <v>46155</v>
      </c>
      <c r="AI219" s="495"/>
      <c r="AJ219" s="439"/>
      <c r="AK219" s="121">
        <f t="shared" si="52"/>
        <v>27050100.000000004</v>
      </c>
      <c r="AL219" s="440" t="str">
        <f t="shared" ca="1" si="48"/>
        <v>관리</v>
      </c>
      <c r="AM219" s="440"/>
      <c r="AN219" s="440"/>
      <c r="AO219" s="440"/>
    </row>
    <row r="220" spans="1:41" ht="16.5" hidden="1" customHeight="1">
      <c r="A220" s="492" t="s">
        <v>1447</v>
      </c>
      <c r="B220" s="493" t="s">
        <v>1494</v>
      </c>
      <c r="C220" s="492" t="s">
        <v>1447</v>
      </c>
      <c r="D220" s="492" t="s">
        <v>1447</v>
      </c>
      <c r="E220" s="493" t="s">
        <v>116</v>
      </c>
      <c r="F220" s="493" t="s">
        <v>377</v>
      </c>
      <c r="G220" s="493" t="s">
        <v>117</v>
      </c>
      <c r="H220" s="493" t="s">
        <v>118</v>
      </c>
      <c r="I220" s="493" t="s">
        <v>119</v>
      </c>
      <c r="J220" s="493" t="s">
        <v>510</v>
      </c>
      <c r="K220" s="493" t="s">
        <v>377</v>
      </c>
      <c r="L220" s="493" t="s">
        <v>511</v>
      </c>
      <c r="M220" s="493" t="s">
        <v>512</v>
      </c>
      <c r="N220" s="493" t="s">
        <v>513</v>
      </c>
      <c r="O220" s="493">
        <v>6227650</v>
      </c>
      <c r="P220" s="439">
        <v>5661500</v>
      </c>
      <c r="Q220" s="493">
        <v>566150</v>
      </c>
      <c r="R220" s="493" t="s">
        <v>124</v>
      </c>
      <c r="S220" s="493" t="s">
        <v>382</v>
      </c>
      <c r="T220" s="493" t="s">
        <v>125</v>
      </c>
      <c r="U220" s="493" t="s">
        <v>126</v>
      </c>
      <c r="V220" s="493" t="s">
        <v>127</v>
      </c>
      <c r="W220" s="493" t="s">
        <v>128</v>
      </c>
      <c r="X220" s="493" t="s">
        <v>514</v>
      </c>
      <c r="Y220" s="493" t="s">
        <v>377</v>
      </c>
      <c r="Z220" s="493" t="s">
        <v>1447</v>
      </c>
      <c r="AA220" s="493" t="s">
        <v>130</v>
      </c>
      <c r="AB220" s="493" t="s">
        <v>377</v>
      </c>
      <c r="AC220" s="493" t="s">
        <v>131</v>
      </c>
      <c r="AD220" s="493" t="s">
        <v>1495</v>
      </c>
      <c r="AE220" s="493">
        <v>5661500</v>
      </c>
      <c r="AF220" s="493">
        <v>566150</v>
      </c>
      <c r="AG220" s="493" t="s">
        <v>1527</v>
      </c>
      <c r="AH220" s="130">
        <f t="shared" si="54"/>
        <v>46155</v>
      </c>
      <c r="AI220" s="495"/>
      <c r="AJ220" s="439"/>
      <c r="AK220" s="121">
        <f t="shared" si="52"/>
        <v>6227650.0000000009</v>
      </c>
      <c r="AL220" s="440" t="str">
        <f t="shared" ca="1" si="48"/>
        <v>관리</v>
      </c>
      <c r="AM220" s="440"/>
      <c r="AN220" s="440"/>
      <c r="AO220" s="440"/>
    </row>
    <row r="221" spans="1:41" ht="16.5" hidden="1" customHeight="1">
      <c r="A221" s="492" t="s">
        <v>1447</v>
      </c>
      <c r="B221" s="493" t="s">
        <v>1496</v>
      </c>
      <c r="C221" s="492" t="s">
        <v>1447</v>
      </c>
      <c r="D221" s="492" t="s">
        <v>1447</v>
      </c>
      <c r="E221" s="493" t="s">
        <v>116</v>
      </c>
      <c r="F221" s="493" t="s">
        <v>377</v>
      </c>
      <c r="G221" s="493" t="s">
        <v>117</v>
      </c>
      <c r="H221" s="493" t="s">
        <v>118</v>
      </c>
      <c r="I221" s="493" t="s">
        <v>119</v>
      </c>
      <c r="J221" s="493" t="s">
        <v>949</v>
      </c>
      <c r="K221" s="493" t="s">
        <v>377</v>
      </c>
      <c r="L221" s="493" t="s">
        <v>86</v>
      </c>
      <c r="M221" s="493" t="s">
        <v>950</v>
      </c>
      <c r="N221" s="493" t="s">
        <v>951</v>
      </c>
      <c r="O221" s="493">
        <v>1870000</v>
      </c>
      <c r="P221" s="439">
        <v>1700000</v>
      </c>
      <c r="Q221" s="493">
        <v>170000</v>
      </c>
      <c r="R221" s="493" t="s">
        <v>124</v>
      </c>
      <c r="S221" s="493" t="s">
        <v>382</v>
      </c>
      <c r="T221" s="493" t="s">
        <v>125</v>
      </c>
      <c r="U221" s="493" t="s">
        <v>126</v>
      </c>
      <c r="V221" s="493" t="s">
        <v>127</v>
      </c>
      <c r="W221" s="493" t="s">
        <v>128</v>
      </c>
      <c r="X221" s="493" t="s">
        <v>952</v>
      </c>
      <c r="Y221" s="493" t="s">
        <v>377</v>
      </c>
      <c r="Z221" s="493" t="s">
        <v>1447</v>
      </c>
      <c r="AA221" s="493" t="s">
        <v>130</v>
      </c>
      <c r="AB221" s="493" t="s">
        <v>377</v>
      </c>
      <c r="AC221" s="493" t="s">
        <v>131</v>
      </c>
      <c r="AD221" s="493" t="s">
        <v>1497</v>
      </c>
      <c r="AE221" s="493">
        <v>1700000</v>
      </c>
      <c r="AF221" s="493">
        <v>170000</v>
      </c>
      <c r="AG221" s="493" t="s">
        <v>1515</v>
      </c>
      <c r="AH221" s="130">
        <f t="shared" si="54"/>
        <v>46155</v>
      </c>
      <c r="AI221" s="495"/>
      <c r="AJ221" s="439"/>
      <c r="AK221" s="121">
        <f t="shared" si="52"/>
        <v>1870000.0000000002</v>
      </c>
      <c r="AL221" s="440" t="str">
        <f t="shared" ca="1" si="48"/>
        <v>관리</v>
      </c>
      <c r="AM221" s="440"/>
      <c r="AN221" s="440"/>
      <c r="AO221" s="440"/>
    </row>
    <row r="222" spans="1:41" ht="16.5" hidden="1" customHeight="1">
      <c r="A222" s="492" t="s">
        <v>1447</v>
      </c>
      <c r="B222" s="493" t="s">
        <v>1498</v>
      </c>
      <c r="C222" s="492" t="s">
        <v>1447</v>
      </c>
      <c r="D222" s="492" t="s">
        <v>1447</v>
      </c>
      <c r="E222" s="493" t="s">
        <v>116</v>
      </c>
      <c r="F222" s="493" t="s">
        <v>377</v>
      </c>
      <c r="G222" s="493" t="s">
        <v>117</v>
      </c>
      <c r="H222" s="493" t="s">
        <v>118</v>
      </c>
      <c r="I222" s="493" t="s">
        <v>119</v>
      </c>
      <c r="J222" s="493" t="s">
        <v>636</v>
      </c>
      <c r="K222" s="493" t="s">
        <v>377</v>
      </c>
      <c r="L222" s="493" t="s">
        <v>637</v>
      </c>
      <c r="M222" s="493" t="s">
        <v>638</v>
      </c>
      <c r="N222" s="493" t="s">
        <v>639</v>
      </c>
      <c r="O222" s="493">
        <v>5566000</v>
      </c>
      <c r="P222" s="439">
        <v>5060000</v>
      </c>
      <c r="Q222" s="493">
        <v>506000</v>
      </c>
      <c r="R222" s="493" t="s">
        <v>124</v>
      </c>
      <c r="S222" s="493" t="s">
        <v>382</v>
      </c>
      <c r="T222" s="493" t="s">
        <v>125</v>
      </c>
      <c r="U222" s="493" t="s">
        <v>126</v>
      </c>
      <c r="V222" s="493" t="s">
        <v>127</v>
      </c>
      <c r="W222" s="493" t="s">
        <v>128</v>
      </c>
      <c r="X222" s="493" t="s">
        <v>640</v>
      </c>
      <c r="Y222" s="493" t="s">
        <v>377</v>
      </c>
      <c r="Z222" s="493" t="s">
        <v>1447</v>
      </c>
      <c r="AA222" s="493" t="s">
        <v>130</v>
      </c>
      <c r="AB222" s="493" t="s">
        <v>377</v>
      </c>
      <c r="AC222" s="493" t="s">
        <v>131</v>
      </c>
      <c r="AD222" s="493" t="s">
        <v>1499</v>
      </c>
      <c r="AE222" s="493">
        <v>5060000</v>
      </c>
      <c r="AF222" s="493">
        <v>506000</v>
      </c>
      <c r="AG222" s="493" t="s">
        <v>1522</v>
      </c>
      <c r="AH222" s="130">
        <f t="shared" si="54"/>
        <v>46155</v>
      </c>
      <c r="AI222" s="495">
        <v>46140</v>
      </c>
      <c r="AJ222" s="439">
        <f>P222*1.1</f>
        <v>5566000</v>
      </c>
      <c r="AK222" s="121">
        <f t="shared" si="52"/>
        <v>0</v>
      </c>
      <c r="AL222" s="440" t="str">
        <f t="shared" ca="1" si="48"/>
        <v/>
      </c>
      <c r="AM222" s="440"/>
      <c r="AN222" s="440"/>
      <c r="AO222" s="440"/>
    </row>
    <row r="223" spans="1:41" ht="16.5" hidden="1" customHeight="1">
      <c r="A223" s="492" t="s">
        <v>1447</v>
      </c>
      <c r="B223" s="493" t="s">
        <v>1500</v>
      </c>
      <c r="C223" s="492" t="s">
        <v>1447</v>
      </c>
      <c r="D223" s="492" t="s">
        <v>1447</v>
      </c>
      <c r="E223" s="493" t="s">
        <v>116</v>
      </c>
      <c r="F223" s="493" t="s">
        <v>377</v>
      </c>
      <c r="G223" s="493" t="s">
        <v>117</v>
      </c>
      <c r="H223" s="493" t="s">
        <v>118</v>
      </c>
      <c r="I223" s="493" t="s">
        <v>119</v>
      </c>
      <c r="J223" s="493" t="s">
        <v>619</v>
      </c>
      <c r="K223" s="493" t="s">
        <v>377</v>
      </c>
      <c r="L223" s="493" t="s">
        <v>569</v>
      </c>
      <c r="M223" s="493" t="s">
        <v>620</v>
      </c>
      <c r="N223" s="493" t="s">
        <v>621</v>
      </c>
      <c r="O223" s="493">
        <v>6655000</v>
      </c>
      <c r="P223" s="439">
        <v>6050000</v>
      </c>
      <c r="Q223" s="493">
        <v>605000</v>
      </c>
      <c r="R223" s="493" t="s">
        <v>124</v>
      </c>
      <c r="S223" s="493" t="s">
        <v>382</v>
      </c>
      <c r="T223" s="493" t="s">
        <v>125</v>
      </c>
      <c r="U223" s="493" t="s">
        <v>126</v>
      </c>
      <c r="V223" s="493" t="s">
        <v>127</v>
      </c>
      <c r="W223" s="493" t="s">
        <v>128</v>
      </c>
      <c r="X223" s="493" t="s">
        <v>622</v>
      </c>
      <c r="Y223" s="493" t="s">
        <v>377</v>
      </c>
      <c r="Z223" s="493" t="s">
        <v>1447</v>
      </c>
      <c r="AA223" s="493" t="s">
        <v>130</v>
      </c>
      <c r="AB223" s="493" t="s">
        <v>377</v>
      </c>
      <c r="AC223" s="493" t="s">
        <v>131</v>
      </c>
      <c r="AD223" s="493" t="s">
        <v>1501</v>
      </c>
      <c r="AE223" s="493">
        <v>6050000</v>
      </c>
      <c r="AF223" s="493">
        <v>605000</v>
      </c>
      <c r="AG223" s="493" t="s">
        <v>1507</v>
      </c>
      <c r="AH223" s="130">
        <f t="shared" si="54"/>
        <v>46155</v>
      </c>
      <c r="AI223" s="495">
        <v>46119</v>
      </c>
      <c r="AJ223" s="439">
        <f>P223*1.1</f>
        <v>6655000.0000000009</v>
      </c>
      <c r="AK223" s="121">
        <f t="shared" si="52"/>
        <v>0</v>
      </c>
      <c r="AL223" s="440" t="str">
        <f t="shared" ca="1" si="48"/>
        <v/>
      </c>
      <c r="AM223" s="440"/>
      <c r="AN223" s="440"/>
      <c r="AO223" s="440"/>
    </row>
    <row r="224" spans="1:41" ht="16.5" hidden="1" customHeight="1">
      <c r="A224" s="492" t="s">
        <v>1447</v>
      </c>
      <c r="B224" s="493" t="s">
        <v>1502</v>
      </c>
      <c r="C224" s="492" t="s">
        <v>1447</v>
      </c>
      <c r="D224" s="492" t="s">
        <v>1447</v>
      </c>
      <c r="E224" s="493" t="s">
        <v>116</v>
      </c>
      <c r="F224" s="493" t="s">
        <v>377</v>
      </c>
      <c r="G224" s="493" t="s">
        <v>117</v>
      </c>
      <c r="H224" s="493" t="s">
        <v>118</v>
      </c>
      <c r="I224" s="493" t="s">
        <v>119</v>
      </c>
      <c r="J224" s="493" t="s">
        <v>979</v>
      </c>
      <c r="K224" s="493" t="s">
        <v>377</v>
      </c>
      <c r="L224" s="493" t="s">
        <v>980</v>
      </c>
      <c r="M224" s="493" t="s">
        <v>981</v>
      </c>
      <c r="N224" s="493" t="s">
        <v>982</v>
      </c>
      <c r="O224" s="493">
        <v>643500</v>
      </c>
      <c r="P224" s="439">
        <v>585000</v>
      </c>
      <c r="Q224" s="493">
        <v>58500</v>
      </c>
      <c r="R224" s="493" t="s">
        <v>124</v>
      </c>
      <c r="S224" s="493" t="s">
        <v>382</v>
      </c>
      <c r="T224" s="493" t="s">
        <v>125</v>
      </c>
      <c r="U224" s="493" t="s">
        <v>126</v>
      </c>
      <c r="V224" s="493" t="s">
        <v>127</v>
      </c>
      <c r="W224" s="493" t="s">
        <v>128</v>
      </c>
      <c r="X224" s="493" t="s">
        <v>983</v>
      </c>
      <c r="Y224" s="493" t="s">
        <v>377</v>
      </c>
      <c r="Z224" s="493" t="s">
        <v>1447</v>
      </c>
      <c r="AA224" s="493" t="s">
        <v>130</v>
      </c>
      <c r="AB224" s="493" t="s">
        <v>377</v>
      </c>
      <c r="AC224" s="493" t="s">
        <v>131</v>
      </c>
      <c r="AD224" s="493" t="s">
        <v>1100</v>
      </c>
      <c r="AE224" s="493">
        <v>585000</v>
      </c>
      <c r="AF224" s="493">
        <v>58500</v>
      </c>
      <c r="AG224" s="493" t="s">
        <v>1528</v>
      </c>
      <c r="AH224" s="130">
        <f t="shared" si="54"/>
        <v>46155</v>
      </c>
      <c r="AI224" s="495"/>
      <c r="AJ224" s="439"/>
      <c r="AK224" s="121">
        <f t="shared" si="52"/>
        <v>643500</v>
      </c>
      <c r="AL224" s="440" t="str">
        <f t="shared" ca="1" si="48"/>
        <v>관리</v>
      </c>
      <c r="AM224" s="440"/>
      <c r="AN224" s="440"/>
      <c r="AO224" s="440"/>
    </row>
    <row r="225" spans="1:41" ht="16.5" hidden="1" customHeight="1">
      <c r="A225" s="492" t="s">
        <v>1447</v>
      </c>
      <c r="B225" s="493" t="s">
        <v>1503</v>
      </c>
      <c r="C225" s="492" t="s">
        <v>1447</v>
      </c>
      <c r="D225" s="492" t="s">
        <v>1447</v>
      </c>
      <c r="E225" s="493" t="s">
        <v>116</v>
      </c>
      <c r="F225" s="493" t="s">
        <v>377</v>
      </c>
      <c r="G225" s="493" t="s">
        <v>117</v>
      </c>
      <c r="H225" s="493" t="s">
        <v>118</v>
      </c>
      <c r="I225" s="493" t="s">
        <v>119</v>
      </c>
      <c r="J225" s="493" t="s">
        <v>1270</v>
      </c>
      <c r="K225" s="493" t="s">
        <v>377</v>
      </c>
      <c r="L225" s="493" t="s">
        <v>1271</v>
      </c>
      <c r="M225" s="493" t="s">
        <v>1272</v>
      </c>
      <c r="N225" s="493" t="s">
        <v>1273</v>
      </c>
      <c r="O225" s="493">
        <v>36771350</v>
      </c>
      <c r="P225" s="439">
        <v>33428500</v>
      </c>
      <c r="Q225" s="493">
        <v>3342850</v>
      </c>
      <c r="R225" s="493" t="s">
        <v>124</v>
      </c>
      <c r="S225" s="493" t="s">
        <v>382</v>
      </c>
      <c r="T225" s="493" t="s">
        <v>125</v>
      </c>
      <c r="U225" s="493" t="s">
        <v>126</v>
      </c>
      <c r="V225" s="493" t="s">
        <v>127</v>
      </c>
      <c r="W225" s="493" t="s">
        <v>128</v>
      </c>
      <c r="X225" s="493" t="s">
        <v>1274</v>
      </c>
      <c r="Y225" s="493" t="s">
        <v>377</v>
      </c>
      <c r="Z225" s="493" t="s">
        <v>1447</v>
      </c>
      <c r="AA225" s="493" t="s">
        <v>130</v>
      </c>
      <c r="AB225" s="493" t="s">
        <v>377</v>
      </c>
      <c r="AC225" s="493" t="s">
        <v>131</v>
      </c>
      <c r="AD225" s="493" t="s">
        <v>1504</v>
      </c>
      <c r="AE225" s="493">
        <v>33428500</v>
      </c>
      <c r="AF225" s="493">
        <v>3342850</v>
      </c>
      <c r="AG225" s="493" t="s">
        <v>2954</v>
      </c>
      <c r="AH225" s="130">
        <f t="shared" si="54"/>
        <v>46155</v>
      </c>
      <c r="AI225" s="495">
        <v>46170</v>
      </c>
      <c r="AJ225" s="439">
        <f>P225*1.1</f>
        <v>36771350</v>
      </c>
      <c r="AK225" s="121">
        <f t="shared" si="52"/>
        <v>0</v>
      </c>
      <c r="AL225" s="440" t="str">
        <f t="shared" ca="1" si="48"/>
        <v/>
      </c>
      <c r="AM225" s="440"/>
      <c r="AN225" s="440"/>
      <c r="AO225" s="440"/>
    </row>
    <row r="226" spans="1:41" ht="16.5" hidden="1" customHeight="1">
      <c r="A226" s="492" t="s">
        <v>1388</v>
      </c>
      <c r="B226" s="493" t="s">
        <v>1389</v>
      </c>
      <c r="C226" s="492" t="s">
        <v>1388</v>
      </c>
      <c r="D226" s="492" t="s">
        <v>1388</v>
      </c>
      <c r="E226" s="493" t="s">
        <v>116</v>
      </c>
      <c r="F226" s="493" t="s">
        <v>377</v>
      </c>
      <c r="G226" s="493" t="s">
        <v>117</v>
      </c>
      <c r="H226" s="493" t="s">
        <v>118</v>
      </c>
      <c r="I226" s="493" t="s">
        <v>119</v>
      </c>
      <c r="J226" s="493" t="s">
        <v>1343</v>
      </c>
      <c r="K226" s="493" t="s">
        <v>377</v>
      </c>
      <c r="L226" s="493" t="s">
        <v>1344</v>
      </c>
      <c r="M226" s="493" t="s">
        <v>1345</v>
      </c>
      <c r="N226" s="493" t="s">
        <v>1346</v>
      </c>
      <c r="O226" s="493">
        <v>918500</v>
      </c>
      <c r="P226" s="439">
        <v>835000</v>
      </c>
      <c r="Q226" s="493">
        <v>83500</v>
      </c>
      <c r="R226" s="493" t="s">
        <v>124</v>
      </c>
      <c r="S226" s="493" t="s">
        <v>382</v>
      </c>
      <c r="T226" s="493" t="s">
        <v>125</v>
      </c>
      <c r="U226" s="493" t="s">
        <v>126</v>
      </c>
      <c r="V226" s="493" t="s">
        <v>127</v>
      </c>
      <c r="W226" s="493" t="s">
        <v>128</v>
      </c>
      <c r="X226" s="493" t="s">
        <v>1347</v>
      </c>
      <c r="Y226" s="493" t="s">
        <v>377</v>
      </c>
      <c r="Z226" s="493" t="s">
        <v>1388</v>
      </c>
      <c r="AA226" s="493" t="s">
        <v>130</v>
      </c>
      <c r="AB226" s="493" t="s">
        <v>377</v>
      </c>
      <c r="AC226" s="493" t="s">
        <v>131</v>
      </c>
      <c r="AD226" s="493" t="s">
        <v>1390</v>
      </c>
      <c r="AE226" s="493">
        <v>835000</v>
      </c>
      <c r="AF226" s="493">
        <v>83500</v>
      </c>
      <c r="AG226" s="493" t="s">
        <v>1525</v>
      </c>
      <c r="AH226" s="130">
        <f t="shared" si="54"/>
        <v>46158</v>
      </c>
      <c r="AI226" s="495">
        <v>46170</v>
      </c>
      <c r="AJ226" s="439">
        <f>P226*1.1</f>
        <v>918500.00000000012</v>
      </c>
      <c r="AK226" s="121">
        <f t="shared" si="52"/>
        <v>0</v>
      </c>
      <c r="AL226" s="440" t="str">
        <f t="shared" ca="1" si="48"/>
        <v/>
      </c>
      <c r="AM226" s="440"/>
      <c r="AN226" s="440"/>
      <c r="AO226" s="440"/>
    </row>
    <row r="227" spans="1:41" ht="16.5" hidden="1" customHeight="1">
      <c r="A227" s="492" t="s">
        <v>1388</v>
      </c>
      <c r="B227" s="493" t="s">
        <v>1391</v>
      </c>
      <c r="C227" s="492" t="s">
        <v>1388</v>
      </c>
      <c r="D227" s="492" t="s">
        <v>1388</v>
      </c>
      <c r="E227" s="493" t="s">
        <v>116</v>
      </c>
      <c r="F227" s="493" t="s">
        <v>377</v>
      </c>
      <c r="G227" s="493" t="s">
        <v>117</v>
      </c>
      <c r="H227" s="493" t="s">
        <v>118</v>
      </c>
      <c r="I227" s="493" t="s">
        <v>119</v>
      </c>
      <c r="J227" s="493" t="s">
        <v>1392</v>
      </c>
      <c r="K227" s="493" t="s">
        <v>377</v>
      </c>
      <c r="L227" s="493" t="s">
        <v>1393</v>
      </c>
      <c r="M227" s="493" t="s">
        <v>1394</v>
      </c>
      <c r="N227" s="493" t="s">
        <v>1395</v>
      </c>
      <c r="O227" s="493">
        <v>1425380</v>
      </c>
      <c r="P227" s="439">
        <v>1295800</v>
      </c>
      <c r="Q227" s="493">
        <v>129580</v>
      </c>
      <c r="R227" s="493" t="s">
        <v>124</v>
      </c>
      <c r="S227" s="493" t="s">
        <v>382</v>
      </c>
      <c r="T227" s="493" t="s">
        <v>125</v>
      </c>
      <c r="U227" s="493" t="s">
        <v>126</v>
      </c>
      <c r="V227" s="493" t="s">
        <v>127</v>
      </c>
      <c r="W227" s="493" t="s">
        <v>128</v>
      </c>
      <c r="X227" s="493" t="s">
        <v>1396</v>
      </c>
      <c r="Y227" s="493" t="s">
        <v>377</v>
      </c>
      <c r="Z227" s="493" t="s">
        <v>1388</v>
      </c>
      <c r="AA227" s="493" t="s">
        <v>130</v>
      </c>
      <c r="AB227" s="493" t="s">
        <v>377</v>
      </c>
      <c r="AC227" s="493" t="s">
        <v>131</v>
      </c>
      <c r="AD227" s="493" t="s">
        <v>1397</v>
      </c>
      <c r="AE227" s="493">
        <v>1295800</v>
      </c>
      <c r="AF227" s="493">
        <v>129580</v>
      </c>
      <c r="AG227" s="493" t="s">
        <v>1526</v>
      </c>
      <c r="AH227" s="130">
        <f t="shared" si="54"/>
        <v>46158</v>
      </c>
      <c r="AI227" s="495">
        <v>46142</v>
      </c>
      <c r="AJ227" s="439">
        <f>P227*1.1</f>
        <v>1425380</v>
      </c>
      <c r="AK227" s="121">
        <f t="shared" si="52"/>
        <v>0</v>
      </c>
      <c r="AL227" s="440" t="str">
        <f t="shared" ca="1" si="48"/>
        <v/>
      </c>
      <c r="AM227" s="440"/>
      <c r="AN227" s="440"/>
      <c r="AO227" s="440"/>
    </row>
    <row r="228" spans="1:41" ht="16.5" hidden="1" customHeight="1">
      <c r="A228" s="492" t="s">
        <v>1388</v>
      </c>
      <c r="B228" s="493" t="s">
        <v>1398</v>
      </c>
      <c r="C228" s="492" t="s">
        <v>1388</v>
      </c>
      <c r="D228" s="492" t="s">
        <v>1388</v>
      </c>
      <c r="E228" s="493" t="s">
        <v>116</v>
      </c>
      <c r="F228" s="493" t="s">
        <v>377</v>
      </c>
      <c r="G228" s="493" t="s">
        <v>117</v>
      </c>
      <c r="H228" s="493" t="s">
        <v>118</v>
      </c>
      <c r="I228" s="493" t="s">
        <v>119</v>
      </c>
      <c r="J228" s="493" t="s">
        <v>510</v>
      </c>
      <c r="K228" s="493" t="s">
        <v>377</v>
      </c>
      <c r="L228" s="493" t="s">
        <v>511</v>
      </c>
      <c r="M228" s="493" t="s">
        <v>512</v>
      </c>
      <c r="N228" s="493" t="s">
        <v>513</v>
      </c>
      <c r="O228" s="493">
        <v>3498000</v>
      </c>
      <c r="P228" s="439">
        <v>3180000</v>
      </c>
      <c r="Q228" s="493">
        <v>318000</v>
      </c>
      <c r="R228" s="493" t="s">
        <v>124</v>
      </c>
      <c r="S228" s="493" t="s">
        <v>382</v>
      </c>
      <c r="T228" s="493" t="s">
        <v>125</v>
      </c>
      <c r="U228" s="493" t="s">
        <v>126</v>
      </c>
      <c r="V228" s="493" t="s">
        <v>127</v>
      </c>
      <c r="W228" s="493" t="s">
        <v>128</v>
      </c>
      <c r="X228" s="493" t="s">
        <v>514</v>
      </c>
      <c r="Y228" s="493" t="s">
        <v>377</v>
      </c>
      <c r="Z228" s="493" t="s">
        <v>1388</v>
      </c>
      <c r="AA228" s="493" t="s">
        <v>130</v>
      </c>
      <c r="AB228" s="493" t="s">
        <v>377</v>
      </c>
      <c r="AC228" s="493" t="s">
        <v>131</v>
      </c>
      <c r="AD228" s="493" t="s">
        <v>1399</v>
      </c>
      <c r="AE228" s="493">
        <v>3180000</v>
      </c>
      <c r="AF228" s="493">
        <v>318000</v>
      </c>
      <c r="AG228" s="493" t="s">
        <v>1527</v>
      </c>
      <c r="AH228" s="130">
        <f t="shared" si="54"/>
        <v>46158</v>
      </c>
      <c r="AI228" s="495"/>
      <c r="AJ228" s="439"/>
      <c r="AK228" s="121">
        <f t="shared" si="52"/>
        <v>3498000.0000000005</v>
      </c>
      <c r="AL228" s="440" t="str">
        <f t="shared" ca="1" si="48"/>
        <v>관리</v>
      </c>
      <c r="AM228" s="440"/>
      <c r="AN228" s="440"/>
      <c r="AO228" s="440"/>
    </row>
    <row r="229" spans="1:41" ht="16.5" hidden="1" customHeight="1">
      <c r="A229" s="492" t="s">
        <v>1388</v>
      </c>
      <c r="B229" s="493" t="s">
        <v>1400</v>
      </c>
      <c r="C229" s="492" t="s">
        <v>1388</v>
      </c>
      <c r="D229" s="492" t="s">
        <v>1388</v>
      </c>
      <c r="E229" s="493" t="s">
        <v>116</v>
      </c>
      <c r="F229" s="493" t="s">
        <v>377</v>
      </c>
      <c r="G229" s="493" t="s">
        <v>117</v>
      </c>
      <c r="H229" s="493" t="s">
        <v>118</v>
      </c>
      <c r="I229" s="493" t="s">
        <v>119</v>
      </c>
      <c r="J229" s="493" t="s">
        <v>1270</v>
      </c>
      <c r="K229" s="493" t="s">
        <v>377</v>
      </c>
      <c r="L229" s="493" t="s">
        <v>1271</v>
      </c>
      <c r="M229" s="493" t="s">
        <v>1272</v>
      </c>
      <c r="N229" s="493" t="s">
        <v>1273</v>
      </c>
      <c r="O229" s="493">
        <v>44029700</v>
      </c>
      <c r="P229" s="439">
        <v>40027000</v>
      </c>
      <c r="Q229" s="493">
        <v>4002700</v>
      </c>
      <c r="R229" s="493" t="s">
        <v>124</v>
      </c>
      <c r="S229" s="493" t="s">
        <v>382</v>
      </c>
      <c r="T229" s="493" t="s">
        <v>125</v>
      </c>
      <c r="U229" s="493" t="s">
        <v>126</v>
      </c>
      <c r="V229" s="493" t="s">
        <v>127</v>
      </c>
      <c r="W229" s="493" t="s">
        <v>128</v>
      </c>
      <c r="X229" s="493" t="s">
        <v>1274</v>
      </c>
      <c r="Y229" s="493" t="s">
        <v>377</v>
      </c>
      <c r="Z229" s="493" t="s">
        <v>1388</v>
      </c>
      <c r="AA229" s="493" t="s">
        <v>130</v>
      </c>
      <c r="AB229" s="493" t="s">
        <v>377</v>
      </c>
      <c r="AC229" s="493" t="s">
        <v>131</v>
      </c>
      <c r="AD229" s="493" t="s">
        <v>1401</v>
      </c>
      <c r="AE229" s="493">
        <v>40027000</v>
      </c>
      <c r="AF229" s="493">
        <v>4002700</v>
      </c>
      <c r="AG229" s="493" t="s">
        <v>2955</v>
      </c>
      <c r="AH229" s="130">
        <f t="shared" si="54"/>
        <v>46158</v>
      </c>
      <c r="AI229" s="495">
        <v>46170</v>
      </c>
      <c r="AJ229" s="439">
        <f>P229*1.1</f>
        <v>44029700</v>
      </c>
      <c r="AK229" s="121">
        <f t="shared" si="52"/>
        <v>0</v>
      </c>
      <c r="AL229" s="440" t="str">
        <f t="shared" ca="1" si="48"/>
        <v/>
      </c>
      <c r="AM229" s="440"/>
      <c r="AN229" s="440"/>
      <c r="AO229" s="440"/>
    </row>
    <row r="230" spans="1:41" ht="16.5" hidden="1" customHeight="1">
      <c r="A230" s="492" t="s">
        <v>1388</v>
      </c>
      <c r="B230" s="493" t="s">
        <v>1402</v>
      </c>
      <c r="C230" s="492" t="s">
        <v>1388</v>
      </c>
      <c r="D230" s="492" t="s">
        <v>1388</v>
      </c>
      <c r="E230" s="493" t="s">
        <v>116</v>
      </c>
      <c r="F230" s="493" t="s">
        <v>377</v>
      </c>
      <c r="G230" s="493" t="s">
        <v>117</v>
      </c>
      <c r="H230" s="493" t="s">
        <v>118</v>
      </c>
      <c r="I230" s="493" t="s">
        <v>119</v>
      </c>
      <c r="J230" s="493" t="s">
        <v>1403</v>
      </c>
      <c r="K230" s="493" t="s">
        <v>377</v>
      </c>
      <c r="L230" s="493" t="s">
        <v>1404</v>
      </c>
      <c r="M230" s="493" t="s">
        <v>1405</v>
      </c>
      <c r="N230" s="493" t="s">
        <v>1406</v>
      </c>
      <c r="O230" s="493">
        <v>69795660</v>
      </c>
      <c r="P230" s="439">
        <v>63450600</v>
      </c>
      <c r="Q230" s="493">
        <v>6345060</v>
      </c>
      <c r="R230" s="493" t="s">
        <v>124</v>
      </c>
      <c r="S230" s="493" t="s">
        <v>382</v>
      </c>
      <c r="T230" s="493" t="s">
        <v>125</v>
      </c>
      <c r="U230" s="493" t="s">
        <v>126</v>
      </c>
      <c r="V230" s="493" t="s">
        <v>127</v>
      </c>
      <c r="W230" s="493" t="s">
        <v>128</v>
      </c>
      <c r="X230" s="493" t="s">
        <v>1407</v>
      </c>
      <c r="Y230" s="493" t="s">
        <v>377</v>
      </c>
      <c r="Z230" s="493" t="s">
        <v>1388</v>
      </c>
      <c r="AA230" s="493" t="s">
        <v>130</v>
      </c>
      <c r="AB230" s="493" t="s">
        <v>377</v>
      </c>
      <c r="AC230" s="493" t="s">
        <v>131</v>
      </c>
      <c r="AD230" s="493" t="s">
        <v>1408</v>
      </c>
      <c r="AE230" s="493">
        <v>63450600</v>
      </c>
      <c r="AF230" s="493">
        <v>6345060</v>
      </c>
      <c r="AG230" s="493" t="s">
        <v>1521</v>
      </c>
      <c r="AH230" s="130">
        <f t="shared" si="54"/>
        <v>46158</v>
      </c>
      <c r="AI230" s="495"/>
      <c r="AJ230" s="439"/>
      <c r="AK230" s="121">
        <f t="shared" si="52"/>
        <v>69795660</v>
      </c>
      <c r="AL230" s="440" t="str">
        <f t="shared" ca="1" si="48"/>
        <v>관리</v>
      </c>
      <c r="AM230" s="440"/>
      <c r="AN230" s="440"/>
      <c r="AO230" s="440"/>
    </row>
    <row r="231" spans="1:41" ht="16.5" hidden="1" customHeight="1">
      <c r="A231" s="492" t="s">
        <v>1388</v>
      </c>
      <c r="B231" s="493" t="s">
        <v>1409</v>
      </c>
      <c r="C231" s="492" t="s">
        <v>1388</v>
      </c>
      <c r="D231" s="492" t="s">
        <v>1388</v>
      </c>
      <c r="E231" s="493" t="s">
        <v>116</v>
      </c>
      <c r="F231" s="493" t="s">
        <v>377</v>
      </c>
      <c r="G231" s="493" t="s">
        <v>117</v>
      </c>
      <c r="H231" s="493" t="s">
        <v>118</v>
      </c>
      <c r="I231" s="493" t="s">
        <v>119</v>
      </c>
      <c r="J231" s="493" t="s">
        <v>727</v>
      </c>
      <c r="K231" s="493" t="s">
        <v>377</v>
      </c>
      <c r="L231" s="493" t="s">
        <v>728</v>
      </c>
      <c r="M231" s="493" t="s">
        <v>729</v>
      </c>
      <c r="N231" s="493" t="s">
        <v>730</v>
      </c>
      <c r="O231" s="493">
        <v>3366000</v>
      </c>
      <c r="P231" s="439">
        <v>3060000</v>
      </c>
      <c r="Q231" s="493">
        <v>306000</v>
      </c>
      <c r="R231" s="493" t="s">
        <v>124</v>
      </c>
      <c r="S231" s="493" t="s">
        <v>382</v>
      </c>
      <c r="T231" s="493" t="s">
        <v>125</v>
      </c>
      <c r="U231" s="493" t="s">
        <v>126</v>
      </c>
      <c r="V231" s="493" t="s">
        <v>127</v>
      </c>
      <c r="W231" s="493" t="s">
        <v>128</v>
      </c>
      <c r="X231" s="493" t="s">
        <v>731</v>
      </c>
      <c r="Y231" s="493" t="s">
        <v>377</v>
      </c>
      <c r="Z231" s="493" t="s">
        <v>1388</v>
      </c>
      <c r="AA231" s="493" t="s">
        <v>130</v>
      </c>
      <c r="AB231" s="493" t="s">
        <v>377</v>
      </c>
      <c r="AC231" s="493" t="s">
        <v>131</v>
      </c>
      <c r="AD231" s="493" t="s">
        <v>1410</v>
      </c>
      <c r="AE231" s="493">
        <v>3060000</v>
      </c>
      <c r="AF231" s="493">
        <v>306000</v>
      </c>
      <c r="AG231" s="493" t="s">
        <v>752</v>
      </c>
      <c r="AH231" s="130">
        <f t="shared" si="54"/>
        <v>46158</v>
      </c>
      <c r="AI231" s="495">
        <v>46122</v>
      </c>
      <c r="AJ231" s="439">
        <f>P231*1.1</f>
        <v>3366000.0000000005</v>
      </c>
      <c r="AK231" s="121">
        <f t="shared" si="52"/>
        <v>0</v>
      </c>
      <c r="AL231" s="440" t="str">
        <f t="shared" ca="1" si="48"/>
        <v/>
      </c>
      <c r="AM231" s="440"/>
      <c r="AN231" s="440"/>
      <c r="AO231" s="440"/>
    </row>
    <row r="232" spans="1:41" ht="16.5" hidden="1" customHeight="1">
      <c r="A232" s="492" t="s">
        <v>1388</v>
      </c>
      <c r="B232" s="493" t="s">
        <v>1411</v>
      </c>
      <c r="C232" s="492" t="s">
        <v>1388</v>
      </c>
      <c r="D232" s="492" t="s">
        <v>1388</v>
      </c>
      <c r="E232" s="493" t="s">
        <v>116</v>
      </c>
      <c r="F232" s="493" t="s">
        <v>377</v>
      </c>
      <c r="G232" s="493" t="s">
        <v>117</v>
      </c>
      <c r="H232" s="493" t="s">
        <v>118</v>
      </c>
      <c r="I232" s="493" t="s">
        <v>119</v>
      </c>
      <c r="J232" s="493" t="s">
        <v>636</v>
      </c>
      <c r="K232" s="493" t="s">
        <v>377</v>
      </c>
      <c r="L232" s="493" t="s">
        <v>637</v>
      </c>
      <c r="M232" s="493" t="s">
        <v>638</v>
      </c>
      <c r="N232" s="493" t="s">
        <v>639</v>
      </c>
      <c r="O232" s="493">
        <v>341880</v>
      </c>
      <c r="P232" s="439">
        <v>310800</v>
      </c>
      <c r="Q232" s="493">
        <v>31080</v>
      </c>
      <c r="R232" s="493" t="s">
        <v>124</v>
      </c>
      <c r="S232" s="493" t="s">
        <v>382</v>
      </c>
      <c r="T232" s="493" t="s">
        <v>125</v>
      </c>
      <c r="U232" s="493" t="s">
        <v>126</v>
      </c>
      <c r="V232" s="493" t="s">
        <v>127</v>
      </c>
      <c r="W232" s="493" t="s">
        <v>128</v>
      </c>
      <c r="X232" s="493" t="s">
        <v>640</v>
      </c>
      <c r="Y232" s="493" t="s">
        <v>377</v>
      </c>
      <c r="Z232" s="493" t="s">
        <v>1388</v>
      </c>
      <c r="AA232" s="493" t="s">
        <v>130</v>
      </c>
      <c r="AB232" s="493" t="s">
        <v>377</v>
      </c>
      <c r="AC232" s="493" t="s">
        <v>131</v>
      </c>
      <c r="AD232" s="493" t="s">
        <v>1412</v>
      </c>
      <c r="AE232" s="493">
        <v>310800</v>
      </c>
      <c r="AF232" s="493">
        <v>31080</v>
      </c>
      <c r="AG232" s="493" t="s">
        <v>1522</v>
      </c>
      <c r="AH232" s="130">
        <f t="shared" si="54"/>
        <v>46158</v>
      </c>
      <c r="AI232" s="495">
        <v>46127</v>
      </c>
      <c r="AJ232" s="439">
        <f>P232*1.1</f>
        <v>341880</v>
      </c>
      <c r="AK232" s="121">
        <f t="shared" si="52"/>
        <v>0</v>
      </c>
      <c r="AL232" s="440" t="str">
        <f t="shared" ca="1" si="48"/>
        <v/>
      </c>
      <c r="AM232" s="440"/>
      <c r="AN232" s="440"/>
      <c r="AO232" s="440"/>
    </row>
    <row r="233" spans="1:41" ht="16.5" hidden="1" customHeight="1">
      <c r="A233" s="492" t="s">
        <v>1388</v>
      </c>
      <c r="B233" s="493" t="s">
        <v>1413</v>
      </c>
      <c r="C233" s="492" t="s">
        <v>1388</v>
      </c>
      <c r="D233" s="492" t="s">
        <v>1388</v>
      </c>
      <c r="E233" s="493" t="s">
        <v>116</v>
      </c>
      <c r="F233" s="493" t="s">
        <v>377</v>
      </c>
      <c r="G233" s="493" t="s">
        <v>117</v>
      </c>
      <c r="H233" s="493" t="s">
        <v>118</v>
      </c>
      <c r="I233" s="493" t="s">
        <v>119</v>
      </c>
      <c r="J233" s="493" t="s">
        <v>939</v>
      </c>
      <c r="K233" s="493" t="s">
        <v>377</v>
      </c>
      <c r="L233" s="493" t="s">
        <v>940</v>
      </c>
      <c r="M233" s="493" t="s">
        <v>941</v>
      </c>
      <c r="N233" s="493" t="s">
        <v>942</v>
      </c>
      <c r="O233" s="493">
        <v>419100</v>
      </c>
      <c r="P233" s="439">
        <v>381000</v>
      </c>
      <c r="Q233" s="493">
        <v>38100</v>
      </c>
      <c r="R233" s="493" t="s">
        <v>124</v>
      </c>
      <c r="S233" s="493" t="s">
        <v>382</v>
      </c>
      <c r="T233" s="493" t="s">
        <v>125</v>
      </c>
      <c r="U233" s="493" t="s">
        <v>126</v>
      </c>
      <c r="V233" s="493" t="s">
        <v>127</v>
      </c>
      <c r="W233" s="493" t="s">
        <v>128</v>
      </c>
      <c r="X233" s="493" t="s">
        <v>943</v>
      </c>
      <c r="Y233" s="493" t="s">
        <v>377</v>
      </c>
      <c r="Z233" s="493" t="s">
        <v>1388</v>
      </c>
      <c r="AA233" s="493" t="s">
        <v>130</v>
      </c>
      <c r="AB233" s="493" t="s">
        <v>377</v>
      </c>
      <c r="AC233" s="493" t="s">
        <v>131</v>
      </c>
      <c r="AD233" s="493" t="s">
        <v>1414</v>
      </c>
      <c r="AE233" s="493">
        <v>381000</v>
      </c>
      <c r="AF233" s="493">
        <v>38100</v>
      </c>
      <c r="AG233" s="493" t="s">
        <v>1523</v>
      </c>
      <c r="AH233" s="130">
        <f t="shared" si="54"/>
        <v>46158</v>
      </c>
      <c r="AI233" s="495">
        <v>46142</v>
      </c>
      <c r="AJ233" s="439">
        <f>P233*1.1</f>
        <v>419100.00000000006</v>
      </c>
      <c r="AK233" s="121">
        <f t="shared" si="52"/>
        <v>0</v>
      </c>
      <c r="AL233" s="440" t="str">
        <f t="shared" ca="1" si="48"/>
        <v/>
      </c>
      <c r="AM233" s="440"/>
      <c r="AN233" s="440"/>
      <c r="AO233" s="440"/>
    </row>
    <row r="234" spans="1:41" ht="16.5" hidden="1" customHeight="1">
      <c r="A234" s="492" t="s">
        <v>1388</v>
      </c>
      <c r="B234" s="493" t="s">
        <v>1415</v>
      </c>
      <c r="C234" s="492" t="s">
        <v>1388</v>
      </c>
      <c r="D234" s="492" t="s">
        <v>1388</v>
      </c>
      <c r="E234" s="493" t="s">
        <v>116</v>
      </c>
      <c r="F234" s="493" t="s">
        <v>377</v>
      </c>
      <c r="G234" s="493" t="s">
        <v>117</v>
      </c>
      <c r="H234" s="493" t="s">
        <v>118</v>
      </c>
      <c r="I234" s="493" t="s">
        <v>119</v>
      </c>
      <c r="J234" s="493" t="s">
        <v>1416</v>
      </c>
      <c r="K234" s="493" t="s">
        <v>377</v>
      </c>
      <c r="L234" s="493" t="s">
        <v>1417</v>
      </c>
      <c r="M234" s="493" t="s">
        <v>1418</v>
      </c>
      <c r="N234" s="493" t="s">
        <v>1419</v>
      </c>
      <c r="O234" s="493">
        <v>324500</v>
      </c>
      <c r="P234" s="439">
        <v>295000</v>
      </c>
      <c r="Q234" s="493">
        <v>29500</v>
      </c>
      <c r="R234" s="493" t="s">
        <v>124</v>
      </c>
      <c r="S234" s="493" t="s">
        <v>382</v>
      </c>
      <c r="T234" s="493" t="s">
        <v>125</v>
      </c>
      <c r="U234" s="493" t="s">
        <v>126</v>
      </c>
      <c r="V234" s="493" t="s">
        <v>127</v>
      </c>
      <c r="W234" s="493" t="s">
        <v>128</v>
      </c>
      <c r="X234" s="493" t="s">
        <v>1420</v>
      </c>
      <c r="Y234" s="493" t="s">
        <v>377</v>
      </c>
      <c r="Z234" s="493" t="s">
        <v>1388</v>
      </c>
      <c r="AA234" s="493" t="s">
        <v>130</v>
      </c>
      <c r="AB234" s="493" t="s">
        <v>377</v>
      </c>
      <c r="AC234" s="493" t="s">
        <v>131</v>
      </c>
      <c r="AD234" s="493" t="s">
        <v>1421</v>
      </c>
      <c r="AE234" s="493">
        <v>295000</v>
      </c>
      <c r="AF234" s="493">
        <v>29500</v>
      </c>
      <c r="AG234" s="493" t="s">
        <v>1524</v>
      </c>
      <c r="AH234" s="130">
        <f t="shared" si="54"/>
        <v>46158</v>
      </c>
      <c r="AI234" s="495"/>
      <c r="AJ234" s="439"/>
      <c r="AK234" s="121">
        <f t="shared" si="52"/>
        <v>324500</v>
      </c>
      <c r="AL234" s="440" t="str">
        <f t="shared" ca="1" si="48"/>
        <v>관리</v>
      </c>
      <c r="AM234" s="440"/>
      <c r="AN234" s="440"/>
      <c r="AO234" s="440"/>
    </row>
    <row r="235" spans="1:41" ht="16.5" hidden="1" customHeight="1">
      <c r="A235" s="492" t="s">
        <v>1388</v>
      </c>
      <c r="B235" s="493" t="s">
        <v>1422</v>
      </c>
      <c r="C235" s="492" t="s">
        <v>1388</v>
      </c>
      <c r="D235" s="492" t="s">
        <v>1388</v>
      </c>
      <c r="E235" s="493" t="s">
        <v>116</v>
      </c>
      <c r="F235" s="493" t="s">
        <v>377</v>
      </c>
      <c r="G235" s="493" t="s">
        <v>117</v>
      </c>
      <c r="H235" s="493" t="s">
        <v>118</v>
      </c>
      <c r="I235" s="493" t="s">
        <v>119</v>
      </c>
      <c r="J235" s="493" t="s">
        <v>674</v>
      </c>
      <c r="K235" s="493" t="s">
        <v>377</v>
      </c>
      <c r="L235" s="493" t="s">
        <v>675</v>
      </c>
      <c r="M235" s="493" t="s">
        <v>676</v>
      </c>
      <c r="N235" s="493" t="s">
        <v>677</v>
      </c>
      <c r="O235" s="493">
        <v>6230400</v>
      </c>
      <c r="P235" s="439">
        <v>5664000</v>
      </c>
      <c r="Q235" s="493">
        <v>566400</v>
      </c>
      <c r="R235" s="493" t="s">
        <v>124</v>
      </c>
      <c r="S235" s="493" t="s">
        <v>382</v>
      </c>
      <c r="T235" s="493" t="s">
        <v>125</v>
      </c>
      <c r="U235" s="493" t="s">
        <v>126</v>
      </c>
      <c r="V235" s="493" t="s">
        <v>127</v>
      </c>
      <c r="W235" s="493" t="s">
        <v>128</v>
      </c>
      <c r="X235" s="493" t="s">
        <v>678</v>
      </c>
      <c r="Y235" s="493" t="s">
        <v>377</v>
      </c>
      <c r="Z235" s="493" t="s">
        <v>1388</v>
      </c>
      <c r="AA235" s="493" t="s">
        <v>130</v>
      </c>
      <c r="AB235" s="493" t="s">
        <v>377</v>
      </c>
      <c r="AC235" s="493" t="s">
        <v>131</v>
      </c>
      <c r="AD235" s="493" t="s">
        <v>1423</v>
      </c>
      <c r="AE235" s="493">
        <v>5664000</v>
      </c>
      <c r="AF235" s="493">
        <v>566400</v>
      </c>
      <c r="AG235" s="493" t="s">
        <v>1510</v>
      </c>
      <c r="AH235" s="130">
        <f t="shared" si="54"/>
        <v>46158</v>
      </c>
      <c r="AI235" s="495">
        <v>46142</v>
      </c>
      <c r="AJ235" s="439">
        <f t="shared" ref="AJ235" si="56">P235*1.1</f>
        <v>6230400.0000000009</v>
      </c>
      <c r="AK235" s="121">
        <f t="shared" si="52"/>
        <v>0</v>
      </c>
      <c r="AL235" s="440" t="str">
        <f t="shared" ca="1" si="48"/>
        <v/>
      </c>
      <c r="AM235" s="440"/>
      <c r="AN235" s="440"/>
      <c r="AO235" s="440"/>
    </row>
    <row r="236" spans="1:41" ht="16.5" hidden="1" customHeight="1">
      <c r="A236" s="492" t="s">
        <v>1388</v>
      </c>
      <c r="B236" s="493" t="s">
        <v>1424</v>
      </c>
      <c r="C236" s="492" t="s">
        <v>1388</v>
      </c>
      <c r="D236" s="492" t="s">
        <v>1388</v>
      </c>
      <c r="E236" s="493" t="s">
        <v>116</v>
      </c>
      <c r="F236" s="493" t="s">
        <v>377</v>
      </c>
      <c r="G236" s="493" t="s">
        <v>117</v>
      </c>
      <c r="H236" s="493" t="s">
        <v>118</v>
      </c>
      <c r="I236" s="493" t="s">
        <v>119</v>
      </c>
      <c r="J236" s="493" t="s">
        <v>911</v>
      </c>
      <c r="K236" s="493" t="s">
        <v>377</v>
      </c>
      <c r="L236" s="493" t="s">
        <v>912</v>
      </c>
      <c r="M236" s="493" t="s">
        <v>913</v>
      </c>
      <c r="N236" s="493" t="s">
        <v>914</v>
      </c>
      <c r="O236" s="493">
        <v>238590</v>
      </c>
      <c r="P236" s="439">
        <v>216900</v>
      </c>
      <c r="Q236" s="493">
        <v>21690</v>
      </c>
      <c r="R236" s="493" t="s">
        <v>124</v>
      </c>
      <c r="S236" s="493" t="s">
        <v>382</v>
      </c>
      <c r="T236" s="493" t="s">
        <v>125</v>
      </c>
      <c r="U236" s="493" t="s">
        <v>126</v>
      </c>
      <c r="V236" s="493" t="s">
        <v>127</v>
      </c>
      <c r="W236" s="493" t="s">
        <v>128</v>
      </c>
      <c r="X236" s="493" t="s">
        <v>915</v>
      </c>
      <c r="Y236" s="493" t="s">
        <v>377</v>
      </c>
      <c r="Z236" s="493" t="s">
        <v>1388</v>
      </c>
      <c r="AA236" s="493" t="s">
        <v>130</v>
      </c>
      <c r="AB236" s="493" t="s">
        <v>377</v>
      </c>
      <c r="AC236" s="493" t="s">
        <v>131</v>
      </c>
      <c r="AD236" s="493" t="s">
        <v>1425</v>
      </c>
      <c r="AE236" s="493">
        <v>216900</v>
      </c>
      <c r="AF236" s="493">
        <v>21690</v>
      </c>
      <c r="AG236" s="493" t="s">
        <v>1505</v>
      </c>
      <c r="AH236" s="130">
        <f t="shared" si="54"/>
        <v>46158</v>
      </c>
      <c r="AI236" s="495">
        <v>46119</v>
      </c>
      <c r="AJ236" s="439">
        <f>P236*1.1</f>
        <v>238590.00000000003</v>
      </c>
      <c r="AK236" s="121">
        <f t="shared" si="52"/>
        <v>0</v>
      </c>
      <c r="AL236" s="440" t="str">
        <f t="shared" ca="1" si="48"/>
        <v/>
      </c>
      <c r="AM236" s="440"/>
      <c r="AN236" s="440"/>
      <c r="AO236" s="440"/>
    </row>
    <row r="237" spans="1:41" ht="16.5" hidden="1" customHeight="1">
      <c r="A237" s="492" t="s">
        <v>1388</v>
      </c>
      <c r="B237" s="493" t="s">
        <v>1426</v>
      </c>
      <c r="C237" s="492" t="s">
        <v>1388</v>
      </c>
      <c r="D237" s="492" t="s">
        <v>1388</v>
      </c>
      <c r="E237" s="493" t="s">
        <v>116</v>
      </c>
      <c r="F237" s="493" t="s">
        <v>377</v>
      </c>
      <c r="G237" s="493" t="s">
        <v>117</v>
      </c>
      <c r="H237" s="493" t="s">
        <v>118</v>
      </c>
      <c r="I237" s="493" t="s">
        <v>119</v>
      </c>
      <c r="J237" s="493" t="s">
        <v>120</v>
      </c>
      <c r="K237" s="493" t="s">
        <v>377</v>
      </c>
      <c r="L237" s="493" t="s">
        <v>390</v>
      </c>
      <c r="M237" s="493" t="s">
        <v>122</v>
      </c>
      <c r="N237" s="493" t="s">
        <v>123</v>
      </c>
      <c r="O237" s="493">
        <v>4576000</v>
      </c>
      <c r="P237" s="439">
        <v>4160000</v>
      </c>
      <c r="Q237" s="493">
        <v>416000</v>
      </c>
      <c r="R237" s="493" t="s">
        <v>124</v>
      </c>
      <c r="S237" s="493" t="s">
        <v>382</v>
      </c>
      <c r="T237" s="493" t="s">
        <v>125</v>
      </c>
      <c r="U237" s="493" t="s">
        <v>445</v>
      </c>
      <c r="V237" s="493" t="s">
        <v>127</v>
      </c>
      <c r="W237" s="493" t="s">
        <v>128</v>
      </c>
      <c r="X237" s="493" t="s">
        <v>129</v>
      </c>
      <c r="Y237" s="493" t="s">
        <v>377</v>
      </c>
      <c r="Z237" s="493" t="s">
        <v>1388</v>
      </c>
      <c r="AA237" s="493" t="s">
        <v>130</v>
      </c>
      <c r="AB237" s="493" t="s">
        <v>377</v>
      </c>
      <c r="AC237" s="493" t="s">
        <v>131</v>
      </c>
      <c r="AD237" s="493" t="s">
        <v>1427</v>
      </c>
      <c r="AE237" s="493">
        <v>4160000</v>
      </c>
      <c r="AF237" s="493">
        <v>416000</v>
      </c>
      <c r="AG237" s="493" t="s">
        <v>133</v>
      </c>
      <c r="AH237" s="130">
        <f t="shared" si="54"/>
        <v>46158</v>
      </c>
      <c r="AI237" s="495"/>
      <c r="AJ237" s="439"/>
      <c r="AK237" s="121">
        <f t="shared" si="52"/>
        <v>4576000</v>
      </c>
      <c r="AL237" s="440" t="str">
        <f t="shared" ca="1" si="48"/>
        <v>관리</v>
      </c>
      <c r="AM237" s="440" t="s">
        <v>1585</v>
      </c>
      <c r="AN237" s="440"/>
      <c r="AO237" s="440"/>
    </row>
    <row r="238" spans="1:41" ht="16.5" hidden="1" customHeight="1">
      <c r="A238" s="492" t="s">
        <v>1388</v>
      </c>
      <c r="B238" s="493" t="s">
        <v>1428</v>
      </c>
      <c r="C238" s="492" t="s">
        <v>1388</v>
      </c>
      <c r="D238" s="492" t="s">
        <v>1388</v>
      </c>
      <c r="E238" s="493" t="s">
        <v>116</v>
      </c>
      <c r="F238" s="493" t="s">
        <v>377</v>
      </c>
      <c r="G238" s="493" t="s">
        <v>117</v>
      </c>
      <c r="H238" s="493" t="s">
        <v>118</v>
      </c>
      <c r="I238" s="493" t="s">
        <v>119</v>
      </c>
      <c r="J238" s="493" t="s">
        <v>135</v>
      </c>
      <c r="K238" s="493" t="s">
        <v>377</v>
      </c>
      <c r="L238" s="493" t="s">
        <v>579</v>
      </c>
      <c r="M238" s="493" t="s">
        <v>137</v>
      </c>
      <c r="N238" s="493" t="s">
        <v>138</v>
      </c>
      <c r="O238" s="493">
        <v>1606000</v>
      </c>
      <c r="P238" s="439">
        <v>1460000</v>
      </c>
      <c r="Q238" s="493">
        <v>146000</v>
      </c>
      <c r="R238" s="493" t="s">
        <v>124</v>
      </c>
      <c r="S238" s="493" t="s">
        <v>382</v>
      </c>
      <c r="T238" s="493" t="s">
        <v>125</v>
      </c>
      <c r="U238" s="493" t="s">
        <v>126</v>
      </c>
      <c r="V238" s="493" t="s">
        <v>127</v>
      </c>
      <c r="W238" s="493" t="s">
        <v>128</v>
      </c>
      <c r="X238" s="493" t="s">
        <v>139</v>
      </c>
      <c r="Y238" s="493" t="s">
        <v>377</v>
      </c>
      <c r="Z238" s="493" t="s">
        <v>1388</v>
      </c>
      <c r="AA238" s="493" t="s">
        <v>130</v>
      </c>
      <c r="AB238" s="493" t="s">
        <v>377</v>
      </c>
      <c r="AC238" s="493" t="s">
        <v>131</v>
      </c>
      <c r="AD238" s="493" t="s">
        <v>1429</v>
      </c>
      <c r="AE238" s="493">
        <v>1460000</v>
      </c>
      <c r="AF238" s="493">
        <v>146000</v>
      </c>
      <c r="AG238" s="493" t="s">
        <v>1511</v>
      </c>
      <c r="AH238" s="130">
        <f t="shared" si="54"/>
        <v>46158</v>
      </c>
      <c r="AI238" s="495"/>
      <c r="AJ238" s="439"/>
      <c r="AK238" s="121">
        <f t="shared" si="52"/>
        <v>1606000.0000000002</v>
      </c>
      <c r="AL238" s="440" t="str">
        <f t="shared" ca="1" si="48"/>
        <v>관리</v>
      </c>
      <c r="AM238" s="440"/>
      <c r="AN238" s="440"/>
      <c r="AO238" s="440"/>
    </row>
    <row r="239" spans="1:41" ht="16.5" hidden="1" customHeight="1">
      <c r="A239" s="492" t="s">
        <v>1388</v>
      </c>
      <c r="B239" s="493" t="s">
        <v>1430</v>
      </c>
      <c r="C239" s="492" t="s">
        <v>1388</v>
      </c>
      <c r="D239" s="492" t="s">
        <v>1388</v>
      </c>
      <c r="E239" s="493" t="s">
        <v>116</v>
      </c>
      <c r="F239" s="493" t="s">
        <v>377</v>
      </c>
      <c r="G239" s="493" t="s">
        <v>117</v>
      </c>
      <c r="H239" s="493" t="s">
        <v>118</v>
      </c>
      <c r="I239" s="493" t="s">
        <v>119</v>
      </c>
      <c r="J239" s="493" t="s">
        <v>135</v>
      </c>
      <c r="K239" s="493" t="s">
        <v>377</v>
      </c>
      <c r="L239" s="493" t="s">
        <v>579</v>
      </c>
      <c r="M239" s="493" t="s">
        <v>137</v>
      </c>
      <c r="N239" s="493" t="s">
        <v>138</v>
      </c>
      <c r="O239" s="493">
        <v>792000</v>
      </c>
      <c r="P239" s="439">
        <v>720000</v>
      </c>
      <c r="Q239" s="493">
        <v>72000</v>
      </c>
      <c r="R239" s="493" t="s">
        <v>124</v>
      </c>
      <c r="S239" s="493" t="s">
        <v>382</v>
      </c>
      <c r="T239" s="493" t="s">
        <v>125</v>
      </c>
      <c r="U239" s="493" t="s">
        <v>126</v>
      </c>
      <c r="V239" s="493" t="s">
        <v>127</v>
      </c>
      <c r="W239" s="493" t="s">
        <v>128</v>
      </c>
      <c r="X239" s="493" t="s">
        <v>139</v>
      </c>
      <c r="Y239" s="493" t="s">
        <v>377</v>
      </c>
      <c r="Z239" s="493" t="s">
        <v>1388</v>
      </c>
      <c r="AA239" s="493" t="s">
        <v>130</v>
      </c>
      <c r="AB239" s="493" t="s">
        <v>377</v>
      </c>
      <c r="AC239" s="493" t="s">
        <v>131</v>
      </c>
      <c r="AD239" s="493" t="s">
        <v>1431</v>
      </c>
      <c r="AE239" s="493">
        <v>720000</v>
      </c>
      <c r="AF239" s="493">
        <v>72000</v>
      </c>
      <c r="AG239" s="493" t="s">
        <v>1512</v>
      </c>
      <c r="AH239" s="130">
        <f t="shared" si="54"/>
        <v>46158</v>
      </c>
      <c r="AI239" s="495"/>
      <c r="AJ239" s="439"/>
      <c r="AK239" s="121">
        <f t="shared" si="52"/>
        <v>792000.00000000012</v>
      </c>
      <c r="AL239" s="440" t="str">
        <f t="shared" ca="1" si="48"/>
        <v>관리</v>
      </c>
      <c r="AM239" s="440"/>
      <c r="AN239" s="440"/>
      <c r="AO239" s="440"/>
    </row>
    <row r="240" spans="1:41" ht="16.5" hidden="1" customHeight="1">
      <c r="A240" s="492" t="s">
        <v>1388</v>
      </c>
      <c r="B240" s="493" t="s">
        <v>1432</v>
      </c>
      <c r="C240" s="492" t="s">
        <v>1388</v>
      </c>
      <c r="D240" s="492" t="s">
        <v>1388</v>
      </c>
      <c r="E240" s="493" t="s">
        <v>116</v>
      </c>
      <c r="F240" s="493" t="s">
        <v>377</v>
      </c>
      <c r="G240" s="493" t="s">
        <v>117</v>
      </c>
      <c r="H240" s="493" t="s">
        <v>118</v>
      </c>
      <c r="I240" s="493" t="s">
        <v>119</v>
      </c>
      <c r="J240" s="493" t="s">
        <v>1433</v>
      </c>
      <c r="K240" s="493" t="s">
        <v>377</v>
      </c>
      <c r="L240" s="493" t="s">
        <v>1434</v>
      </c>
      <c r="M240" s="493" t="s">
        <v>1435</v>
      </c>
      <c r="N240" s="493" t="s">
        <v>1436</v>
      </c>
      <c r="O240" s="493">
        <v>3718000</v>
      </c>
      <c r="P240" s="439">
        <v>3380000</v>
      </c>
      <c r="Q240" s="493">
        <v>338000</v>
      </c>
      <c r="R240" s="493" t="s">
        <v>124</v>
      </c>
      <c r="S240" s="493" t="s">
        <v>382</v>
      </c>
      <c r="T240" s="493" t="s">
        <v>125</v>
      </c>
      <c r="U240" s="493" t="s">
        <v>126</v>
      </c>
      <c r="V240" s="493" t="s">
        <v>127</v>
      </c>
      <c r="W240" s="493" t="s">
        <v>128</v>
      </c>
      <c r="X240" s="493" t="s">
        <v>1437</v>
      </c>
      <c r="Y240" s="493" t="s">
        <v>377</v>
      </c>
      <c r="Z240" s="493" t="s">
        <v>1388</v>
      </c>
      <c r="AA240" s="493" t="s">
        <v>130</v>
      </c>
      <c r="AB240" s="493" t="s">
        <v>377</v>
      </c>
      <c r="AC240" s="493" t="s">
        <v>131</v>
      </c>
      <c r="AD240" s="493" t="s">
        <v>1438</v>
      </c>
      <c r="AE240" s="493">
        <v>3380000</v>
      </c>
      <c r="AF240" s="493">
        <v>338000</v>
      </c>
      <c r="AG240" s="493" t="s">
        <v>1513</v>
      </c>
      <c r="AH240" s="130">
        <f t="shared" si="54"/>
        <v>46158</v>
      </c>
      <c r="AI240" s="495">
        <v>46127</v>
      </c>
      <c r="AJ240" s="439">
        <f>P240*1.1</f>
        <v>3718000.0000000005</v>
      </c>
      <c r="AK240" s="121">
        <f t="shared" si="52"/>
        <v>0</v>
      </c>
      <c r="AL240" s="440" t="str">
        <f t="shared" ca="1" si="48"/>
        <v/>
      </c>
      <c r="AM240" s="440"/>
      <c r="AN240" s="440"/>
      <c r="AO240" s="440"/>
    </row>
    <row r="241" spans="1:41" ht="16.5" hidden="1" customHeight="1">
      <c r="A241" s="492" t="s">
        <v>1388</v>
      </c>
      <c r="B241" s="493" t="s">
        <v>1439</v>
      </c>
      <c r="C241" s="492" t="s">
        <v>1388</v>
      </c>
      <c r="D241" s="492" t="s">
        <v>1388</v>
      </c>
      <c r="E241" s="493" t="s">
        <v>116</v>
      </c>
      <c r="F241" s="493" t="s">
        <v>377</v>
      </c>
      <c r="G241" s="493" t="s">
        <v>117</v>
      </c>
      <c r="H241" s="493" t="s">
        <v>118</v>
      </c>
      <c r="I241" s="493" t="s">
        <v>119</v>
      </c>
      <c r="J241" s="493" t="s">
        <v>510</v>
      </c>
      <c r="K241" s="493" t="s">
        <v>377</v>
      </c>
      <c r="L241" s="493" t="s">
        <v>511</v>
      </c>
      <c r="M241" s="493" t="s">
        <v>512</v>
      </c>
      <c r="N241" s="493" t="s">
        <v>513</v>
      </c>
      <c r="O241" s="493">
        <v>1353000</v>
      </c>
      <c r="P241" s="439">
        <v>1230000</v>
      </c>
      <c r="Q241" s="493">
        <v>123000</v>
      </c>
      <c r="R241" s="493" t="s">
        <v>124</v>
      </c>
      <c r="S241" s="493" t="s">
        <v>382</v>
      </c>
      <c r="T241" s="493" t="s">
        <v>125</v>
      </c>
      <c r="U241" s="493" t="s">
        <v>126</v>
      </c>
      <c r="V241" s="493" t="s">
        <v>127</v>
      </c>
      <c r="W241" s="493" t="s">
        <v>128</v>
      </c>
      <c r="X241" s="493" t="s">
        <v>514</v>
      </c>
      <c r="Y241" s="493" t="s">
        <v>377</v>
      </c>
      <c r="Z241" s="493" t="s">
        <v>1388</v>
      </c>
      <c r="AA241" s="493" t="s">
        <v>130</v>
      </c>
      <c r="AB241" s="493" t="s">
        <v>377</v>
      </c>
      <c r="AC241" s="493" t="s">
        <v>131</v>
      </c>
      <c r="AD241" s="493" t="s">
        <v>1440</v>
      </c>
      <c r="AE241" s="493">
        <v>1230000</v>
      </c>
      <c r="AF241" s="493">
        <v>123000</v>
      </c>
      <c r="AG241" s="493" t="s">
        <v>1514</v>
      </c>
      <c r="AH241" s="130">
        <f t="shared" si="54"/>
        <v>46158</v>
      </c>
      <c r="AI241" s="495"/>
      <c r="AJ241" s="439"/>
      <c r="AK241" s="121">
        <f t="shared" si="52"/>
        <v>1353000</v>
      </c>
      <c r="AL241" s="440" t="str">
        <f t="shared" ca="1" si="48"/>
        <v>관리</v>
      </c>
      <c r="AM241" s="440"/>
      <c r="AN241" s="440"/>
      <c r="AO241" s="440"/>
    </row>
    <row r="242" spans="1:41" ht="16.5" hidden="1" customHeight="1">
      <c r="A242" s="492" t="s">
        <v>1388</v>
      </c>
      <c r="B242" s="493" t="s">
        <v>1441</v>
      </c>
      <c r="C242" s="492" t="s">
        <v>1388</v>
      </c>
      <c r="D242" s="492" t="s">
        <v>1388</v>
      </c>
      <c r="E242" s="493" t="s">
        <v>116</v>
      </c>
      <c r="F242" s="493" t="s">
        <v>377</v>
      </c>
      <c r="G242" s="493" t="s">
        <v>117</v>
      </c>
      <c r="H242" s="493" t="s">
        <v>118</v>
      </c>
      <c r="I242" s="493" t="s">
        <v>119</v>
      </c>
      <c r="J242" s="493" t="s">
        <v>949</v>
      </c>
      <c r="K242" s="493" t="s">
        <v>377</v>
      </c>
      <c r="L242" s="493" t="s">
        <v>86</v>
      </c>
      <c r="M242" s="493" t="s">
        <v>950</v>
      </c>
      <c r="N242" s="493" t="s">
        <v>951</v>
      </c>
      <c r="O242" s="493">
        <v>2616350</v>
      </c>
      <c r="P242" s="439">
        <v>2378500</v>
      </c>
      <c r="Q242" s="493">
        <v>237850</v>
      </c>
      <c r="R242" s="493" t="s">
        <v>124</v>
      </c>
      <c r="S242" s="493" t="s">
        <v>382</v>
      </c>
      <c r="T242" s="493" t="s">
        <v>125</v>
      </c>
      <c r="U242" s="493" t="s">
        <v>126</v>
      </c>
      <c r="V242" s="493" t="s">
        <v>127</v>
      </c>
      <c r="W242" s="493" t="s">
        <v>128</v>
      </c>
      <c r="X242" s="493" t="s">
        <v>952</v>
      </c>
      <c r="Y242" s="493" t="s">
        <v>377</v>
      </c>
      <c r="Z242" s="493" t="s">
        <v>1388</v>
      </c>
      <c r="AA242" s="493" t="s">
        <v>130</v>
      </c>
      <c r="AB242" s="493" t="s">
        <v>377</v>
      </c>
      <c r="AC242" s="493" t="s">
        <v>131</v>
      </c>
      <c r="AD242" s="493" t="s">
        <v>1442</v>
      </c>
      <c r="AE242" s="493">
        <v>2378500</v>
      </c>
      <c r="AF242" s="493">
        <v>237850</v>
      </c>
      <c r="AG242" s="493" t="s">
        <v>1515</v>
      </c>
      <c r="AH242" s="130">
        <f t="shared" si="54"/>
        <v>46158</v>
      </c>
      <c r="AI242" s="495"/>
      <c r="AJ242" s="439"/>
      <c r="AK242" s="121">
        <f t="shared" si="52"/>
        <v>2616350</v>
      </c>
      <c r="AL242" s="440" t="str">
        <f t="shared" ca="1" si="48"/>
        <v>관리</v>
      </c>
      <c r="AM242" s="440"/>
      <c r="AN242" s="440"/>
      <c r="AO242" s="440"/>
    </row>
    <row r="243" spans="1:41" ht="16.5" hidden="1" customHeight="1">
      <c r="A243" s="492" t="s">
        <v>1388</v>
      </c>
      <c r="B243" s="493" t="s">
        <v>1443</v>
      </c>
      <c r="C243" s="492" t="s">
        <v>1388</v>
      </c>
      <c r="D243" s="492" t="s">
        <v>1388</v>
      </c>
      <c r="E243" s="493" t="s">
        <v>116</v>
      </c>
      <c r="F243" s="493" t="s">
        <v>377</v>
      </c>
      <c r="G243" s="493" t="s">
        <v>117</v>
      </c>
      <c r="H243" s="493" t="s">
        <v>118</v>
      </c>
      <c r="I243" s="493" t="s">
        <v>119</v>
      </c>
      <c r="J243" s="493" t="s">
        <v>1270</v>
      </c>
      <c r="K243" s="493" t="s">
        <v>377</v>
      </c>
      <c r="L243" s="493" t="s">
        <v>1271</v>
      </c>
      <c r="M243" s="493" t="s">
        <v>1272</v>
      </c>
      <c r="N243" s="493" t="s">
        <v>1273</v>
      </c>
      <c r="O243" s="493">
        <v>1052700</v>
      </c>
      <c r="P243" s="439">
        <v>957000</v>
      </c>
      <c r="Q243" s="493">
        <v>95700</v>
      </c>
      <c r="R243" s="493" t="s">
        <v>124</v>
      </c>
      <c r="S243" s="493" t="s">
        <v>382</v>
      </c>
      <c r="T243" s="493" t="s">
        <v>125</v>
      </c>
      <c r="U243" s="493" t="s">
        <v>126</v>
      </c>
      <c r="V243" s="493" t="s">
        <v>127</v>
      </c>
      <c r="W243" s="493" t="s">
        <v>128</v>
      </c>
      <c r="X243" s="493" t="s">
        <v>1274</v>
      </c>
      <c r="Y243" s="493" t="s">
        <v>377</v>
      </c>
      <c r="Z243" s="493" t="s">
        <v>1388</v>
      </c>
      <c r="AA243" s="493" t="s">
        <v>130</v>
      </c>
      <c r="AB243" s="493" t="s">
        <v>377</v>
      </c>
      <c r="AC243" s="493" t="s">
        <v>131</v>
      </c>
      <c r="AD243" s="493" t="s">
        <v>1444</v>
      </c>
      <c r="AE243" s="493">
        <v>957000</v>
      </c>
      <c r="AF243" s="493">
        <v>95700</v>
      </c>
      <c r="AG243" s="493" t="s">
        <v>1516</v>
      </c>
      <c r="AH243" s="130">
        <f t="shared" si="54"/>
        <v>46158</v>
      </c>
      <c r="AI243" s="495">
        <v>46170</v>
      </c>
      <c r="AJ243" s="439">
        <f>P243*1.1</f>
        <v>1052700</v>
      </c>
      <c r="AK243" s="121">
        <f t="shared" si="52"/>
        <v>0</v>
      </c>
      <c r="AL243" s="440" t="str">
        <f t="shared" ca="1" si="48"/>
        <v/>
      </c>
      <c r="AM243" s="440"/>
      <c r="AN243" s="440"/>
      <c r="AO243" s="440"/>
    </row>
    <row r="244" spans="1:41" ht="16.5" hidden="1" customHeight="1">
      <c r="A244" s="492" t="s">
        <v>1388</v>
      </c>
      <c r="B244" s="493" t="s">
        <v>1445</v>
      </c>
      <c r="C244" s="492" t="s">
        <v>1388</v>
      </c>
      <c r="D244" s="492" t="s">
        <v>1388</v>
      </c>
      <c r="E244" s="493" t="s">
        <v>116</v>
      </c>
      <c r="F244" s="493" t="s">
        <v>377</v>
      </c>
      <c r="G244" s="493" t="s">
        <v>117</v>
      </c>
      <c r="H244" s="493" t="s">
        <v>118</v>
      </c>
      <c r="I244" s="493" t="s">
        <v>119</v>
      </c>
      <c r="J244" s="493" t="s">
        <v>855</v>
      </c>
      <c r="K244" s="493" t="s">
        <v>377</v>
      </c>
      <c r="L244" s="493" t="s">
        <v>856</v>
      </c>
      <c r="M244" s="493" t="s">
        <v>857</v>
      </c>
      <c r="N244" s="493" t="s">
        <v>858</v>
      </c>
      <c r="O244" s="493">
        <v>3272500</v>
      </c>
      <c r="P244" s="439">
        <v>2975000</v>
      </c>
      <c r="Q244" s="493">
        <v>297500</v>
      </c>
      <c r="R244" s="493" t="s">
        <v>124</v>
      </c>
      <c r="S244" s="493" t="s">
        <v>382</v>
      </c>
      <c r="T244" s="493" t="s">
        <v>125</v>
      </c>
      <c r="U244" s="493" t="s">
        <v>126</v>
      </c>
      <c r="V244" s="493" t="s">
        <v>127</v>
      </c>
      <c r="W244" s="493" t="s">
        <v>128</v>
      </c>
      <c r="X244" s="493" t="s">
        <v>859</v>
      </c>
      <c r="Y244" s="493" t="s">
        <v>377</v>
      </c>
      <c r="Z244" s="493" t="s">
        <v>1388</v>
      </c>
      <c r="AA244" s="493" t="s">
        <v>130</v>
      </c>
      <c r="AB244" s="493" t="s">
        <v>377</v>
      </c>
      <c r="AC244" s="493" t="s">
        <v>131</v>
      </c>
      <c r="AD244" s="493" t="s">
        <v>1446</v>
      </c>
      <c r="AE244" s="493">
        <v>2975000</v>
      </c>
      <c r="AF244" s="493">
        <v>297500</v>
      </c>
      <c r="AG244" s="493" t="s">
        <v>1517</v>
      </c>
      <c r="AH244" s="130">
        <f t="shared" si="54"/>
        <v>46158</v>
      </c>
      <c r="AI244" s="495"/>
      <c r="AJ244" s="439"/>
      <c r="AK244" s="121">
        <f t="shared" si="52"/>
        <v>3272500.0000000005</v>
      </c>
      <c r="AL244" s="440" t="str">
        <f t="shared" ca="1" si="48"/>
        <v>관리</v>
      </c>
      <c r="AM244" s="440"/>
      <c r="AN244" s="440"/>
      <c r="AO244" s="440"/>
    </row>
    <row r="245" spans="1:41" ht="16.5" hidden="1" customHeight="1">
      <c r="A245" s="492" t="s">
        <v>1543</v>
      </c>
      <c r="B245" s="493" t="s">
        <v>1635</v>
      </c>
      <c r="C245" s="492" t="s">
        <v>1586</v>
      </c>
      <c r="D245" s="492" t="s">
        <v>1586</v>
      </c>
      <c r="E245" s="493" t="s">
        <v>116</v>
      </c>
      <c r="F245" s="493" t="s">
        <v>377</v>
      </c>
      <c r="G245" s="493" t="s">
        <v>117</v>
      </c>
      <c r="H245" s="493" t="s">
        <v>118</v>
      </c>
      <c r="I245" s="493" t="s">
        <v>119</v>
      </c>
      <c r="J245" s="493" t="s">
        <v>734</v>
      </c>
      <c r="K245" s="493" t="s">
        <v>377</v>
      </c>
      <c r="L245" s="493" t="s">
        <v>735</v>
      </c>
      <c r="M245" s="493" t="s">
        <v>736</v>
      </c>
      <c r="N245" s="493" t="s">
        <v>737</v>
      </c>
      <c r="O245" s="493">
        <v>112604800</v>
      </c>
      <c r="P245" s="439">
        <v>102368000</v>
      </c>
      <c r="Q245" s="493">
        <v>10236800</v>
      </c>
      <c r="R245" s="493" t="s">
        <v>441</v>
      </c>
      <c r="S245" s="493" t="s">
        <v>442</v>
      </c>
      <c r="T245" s="493" t="s">
        <v>125</v>
      </c>
      <c r="U245" s="493" t="s">
        <v>1632</v>
      </c>
      <c r="V245" s="493" t="s">
        <v>127</v>
      </c>
      <c r="W245" s="493" t="s">
        <v>128</v>
      </c>
      <c r="X245" s="493" t="s">
        <v>738</v>
      </c>
      <c r="Y245" s="493" t="s">
        <v>377</v>
      </c>
      <c r="Z245" s="493" t="s">
        <v>1543</v>
      </c>
      <c r="AA245" s="493" t="s">
        <v>130</v>
      </c>
      <c r="AB245" s="493" t="s">
        <v>377</v>
      </c>
      <c r="AC245" s="493" t="s">
        <v>131</v>
      </c>
      <c r="AD245" s="493" t="s">
        <v>1633</v>
      </c>
      <c r="AE245" s="493">
        <v>102368000</v>
      </c>
      <c r="AF245" s="493">
        <v>10236800</v>
      </c>
      <c r="AG245" s="493" t="s">
        <v>1554</v>
      </c>
      <c r="AH245" s="130">
        <f t="shared" si="54"/>
        <v>46160</v>
      </c>
      <c r="AI245" s="495"/>
      <c r="AJ245" s="439"/>
      <c r="AK245" s="121">
        <f t="shared" ref="AK245:AK256" si="57">(P245*1.1)-AJ245</f>
        <v>112604800.00000001</v>
      </c>
      <c r="AL245" s="440" t="str">
        <f t="shared" ca="1" si="48"/>
        <v>관리</v>
      </c>
      <c r="AM245" s="440"/>
      <c r="AN245" s="440"/>
      <c r="AO245" s="440"/>
    </row>
    <row r="246" spans="1:41" ht="16.5" hidden="1" customHeight="1">
      <c r="A246" s="492" t="s">
        <v>1543</v>
      </c>
      <c r="B246" s="493" t="s">
        <v>1544</v>
      </c>
      <c r="C246" s="492" t="s">
        <v>1543</v>
      </c>
      <c r="D246" s="492" t="s">
        <v>1543</v>
      </c>
      <c r="E246" s="493" t="s">
        <v>116</v>
      </c>
      <c r="F246" s="493" t="s">
        <v>377</v>
      </c>
      <c r="G246" s="493" t="s">
        <v>117</v>
      </c>
      <c r="H246" s="493" t="s">
        <v>118</v>
      </c>
      <c r="I246" s="493" t="s">
        <v>119</v>
      </c>
      <c r="J246" s="493" t="s">
        <v>1545</v>
      </c>
      <c r="K246" s="493" t="s">
        <v>377</v>
      </c>
      <c r="L246" s="493" t="s">
        <v>1546</v>
      </c>
      <c r="M246" s="493" t="s">
        <v>1547</v>
      </c>
      <c r="N246" s="493" t="s">
        <v>1548</v>
      </c>
      <c r="O246" s="493">
        <v>1121780</v>
      </c>
      <c r="P246" s="439">
        <v>1019800</v>
      </c>
      <c r="Q246" s="493">
        <v>101980</v>
      </c>
      <c r="R246" s="493" t="s">
        <v>124</v>
      </c>
      <c r="S246" s="493" t="s">
        <v>382</v>
      </c>
      <c r="T246" s="493" t="s">
        <v>125</v>
      </c>
      <c r="U246" s="493" t="s">
        <v>445</v>
      </c>
      <c r="V246" s="493" t="s">
        <v>127</v>
      </c>
      <c r="W246" s="493" t="s">
        <v>128</v>
      </c>
      <c r="X246" s="493" t="s">
        <v>1549</v>
      </c>
      <c r="Y246" s="493" t="s">
        <v>377</v>
      </c>
      <c r="Z246" s="493" t="s">
        <v>1543</v>
      </c>
      <c r="AA246" s="493" t="s">
        <v>130</v>
      </c>
      <c r="AB246" s="493" t="s">
        <v>377</v>
      </c>
      <c r="AC246" s="493" t="s">
        <v>131</v>
      </c>
      <c r="AD246" s="493" t="s">
        <v>1550</v>
      </c>
      <c r="AE246" s="493">
        <v>1019800</v>
      </c>
      <c r="AF246" s="493">
        <v>101980</v>
      </c>
      <c r="AG246" s="493" t="s">
        <v>1551</v>
      </c>
      <c r="AH246" s="130">
        <f t="shared" si="54"/>
        <v>46160</v>
      </c>
      <c r="AI246" s="495"/>
      <c r="AJ246" s="439"/>
      <c r="AK246" s="121">
        <f t="shared" si="57"/>
        <v>1121780</v>
      </c>
      <c r="AL246" s="440" t="str">
        <f t="shared" ca="1" si="48"/>
        <v>관리</v>
      </c>
      <c r="AM246" s="440" t="s">
        <v>1631</v>
      </c>
      <c r="AN246" s="440"/>
      <c r="AO246" s="440"/>
    </row>
    <row r="247" spans="1:41" ht="16.5" hidden="1" customHeight="1">
      <c r="A247" s="492" t="s">
        <v>1543</v>
      </c>
      <c r="B247" s="493" t="s">
        <v>1552</v>
      </c>
      <c r="C247" s="492" t="s">
        <v>1543</v>
      </c>
      <c r="D247" s="492" t="s">
        <v>1543</v>
      </c>
      <c r="E247" s="493" t="s">
        <v>116</v>
      </c>
      <c r="F247" s="493" t="s">
        <v>377</v>
      </c>
      <c r="G247" s="493" t="s">
        <v>117</v>
      </c>
      <c r="H247" s="493" t="s">
        <v>118</v>
      </c>
      <c r="I247" s="493" t="s">
        <v>119</v>
      </c>
      <c r="J247" s="493" t="s">
        <v>510</v>
      </c>
      <c r="K247" s="493" t="s">
        <v>377</v>
      </c>
      <c r="L247" s="493" t="s">
        <v>511</v>
      </c>
      <c r="M247" s="493" t="s">
        <v>512</v>
      </c>
      <c r="N247" s="493" t="s">
        <v>513</v>
      </c>
      <c r="O247" s="493">
        <v>621500</v>
      </c>
      <c r="P247" s="439">
        <v>565000</v>
      </c>
      <c r="Q247" s="493">
        <v>56500</v>
      </c>
      <c r="R247" s="493" t="s">
        <v>124</v>
      </c>
      <c r="S247" s="493" t="s">
        <v>382</v>
      </c>
      <c r="T247" s="493" t="s">
        <v>125</v>
      </c>
      <c r="U247" s="493" t="s">
        <v>126</v>
      </c>
      <c r="V247" s="493" t="s">
        <v>127</v>
      </c>
      <c r="W247" s="493" t="s">
        <v>128</v>
      </c>
      <c r="X247" s="493" t="s">
        <v>514</v>
      </c>
      <c r="Y247" s="493" t="s">
        <v>377</v>
      </c>
      <c r="Z247" s="493" t="s">
        <v>1543</v>
      </c>
      <c r="AA247" s="493" t="s">
        <v>130</v>
      </c>
      <c r="AB247" s="493" t="s">
        <v>377</v>
      </c>
      <c r="AC247" s="493" t="s">
        <v>131</v>
      </c>
      <c r="AD247" s="493" t="s">
        <v>1553</v>
      </c>
      <c r="AE247" s="493">
        <v>565000</v>
      </c>
      <c r="AF247" s="493">
        <v>56500</v>
      </c>
      <c r="AG247" s="493" t="s">
        <v>1534</v>
      </c>
      <c r="AH247" s="130">
        <f t="shared" si="54"/>
        <v>46160</v>
      </c>
      <c r="AI247" s="495"/>
      <c r="AJ247" s="439"/>
      <c r="AK247" s="121">
        <f t="shared" si="57"/>
        <v>621500</v>
      </c>
      <c r="AL247" s="440" t="str">
        <f t="shared" ca="1" si="48"/>
        <v>관리</v>
      </c>
      <c r="AM247" s="440"/>
      <c r="AN247" s="440"/>
      <c r="AO247" s="440"/>
    </row>
    <row r="248" spans="1:41" ht="16.5" hidden="1" customHeight="1">
      <c r="A248" s="492" t="s">
        <v>1543</v>
      </c>
      <c r="B248" s="493" t="s">
        <v>1555</v>
      </c>
      <c r="C248" s="492" t="s">
        <v>1543</v>
      </c>
      <c r="D248" s="492" t="s">
        <v>1543</v>
      </c>
      <c r="E248" s="493" t="s">
        <v>116</v>
      </c>
      <c r="F248" s="493" t="s">
        <v>377</v>
      </c>
      <c r="G248" s="493" t="s">
        <v>117</v>
      </c>
      <c r="H248" s="493" t="s">
        <v>118</v>
      </c>
      <c r="I248" s="493" t="s">
        <v>119</v>
      </c>
      <c r="J248" s="493" t="s">
        <v>828</v>
      </c>
      <c r="K248" s="493" t="s">
        <v>377</v>
      </c>
      <c r="L248" s="493" t="s">
        <v>829</v>
      </c>
      <c r="M248" s="493" t="s">
        <v>830</v>
      </c>
      <c r="N248" s="493" t="s">
        <v>831</v>
      </c>
      <c r="O248" s="493">
        <v>12100000</v>
      </c>
      <c r="P248" s="439">
        <v>11000000</v>
      </c>
      <c r="Q248" s="493">
        <v>1100000</v>
      </c>
      <c r="R248" s="493" t="s">
        <v>124</v>
      </c>
      <c r="S248" s="493" t="s">
        <v>382</v>
      </c>
      <c r="T248" s="493" t="s">
        <v>125</v>
      </c>
      <c r="U248" s="493" t="s">
        <v>126</v>
      </c>
      <c r="V248" s="493" t="s">
        <v>127</v>
      </c>
      <c r="W248" s="493" t="s">
        <v>128</v>
      </c>
      <c r="X248" s="493" t="s">
        <v>832</v>
      </c>
      <c r="Y248" s="493" t="s">
        <v>377</v>
      </c>
      <c r="Z248" s="493" t="s">
        <v>1543</v>
      </c>
      <c r="AA248" s="493" t="s">
        <v>130</v>
      </c>
      <c r="AB248" s="493" t="s">
        <v>377</v>
      </c>
      <c r="AC248" s="493" t="s">
        <v>131</v>
      </c>
      <c r="AD248" s="493" t="s">
        <v>926</v>
      </c>
      <c r="AE248" s="493">
        <v>11000000</v>
      </c>
      <c r="AF248" s="493">
        <v>1100000</v>
      </c>
      <c r="AG248" s="493" t="s">
        <v>1556</v>
      </c>
      <c r="AH248" s="130">
        <f t="shared" si="54"/>
        <v>46160</v>
      </c>
      <c r="AI248" s="495">
        <v>46134</v>
      </c>
      <c r="AJ248" s="439">
        <f>P248*1.1</f>
        <v>12100000.000000002</v>
      </c>
      <c r="AK248" s="121">
        <f t="shared" si="57"/>
        <v>0</v>
      </c>
      <c r="AL248" s="440" t="str">
        <f t="shared" ca="1" si="48"/>
        <v/>
      </c>
      <c r="AM248" s="440"/>
      <c r="AN248" s="440"/>
      <c r="AO248" s="440"/>
    </row>
    <row r="249" spans="1:41" ht="16.5" hidden="1" customHeight="1">
      <c r="A249" s="492" t="s">
        <v>1543</v>
      </c>
      <c r="B249" s="493" t="s">
        <v>1557</v>
      </c>
      <c r="C249" s="492" t="s">
        <v>1543</v>
      </c>
      <c r="D249" s="492" t="s">
        <v>1543</v>
      </c>
      <c r="E249" s="493" t="s">
        <v>116</v>
      </c>
      <c r="F249" s="493" t="s">
        <v>377</v>
      </c>
      <c r="G249" s="493" t="s">
        <v>117</v>
      </c>
      <c r="H249" s="493" t="s">
        <v>118</v>
      </c>
      <c r="I249" s="493" t="s">
        <v>119</v>
      </c>
      <c r="J249" s="493" t="s">
        <v>797</v>
      </c>
      <c r="K249" s="493" t="s">
        <v>377</v>
      </c>
      <c r="L249" s="493" t="s">
        <v>798</v>
      </c>
      <c r="M249" s="493" t="s">
        <v>799</v>
      </c>
      <c r="N249" s="493" t="s">
        <v>800</v>
      </c>
      <c r="O249" s="493">
        <v>24200000</v>
      </c>
      <c r="P249" s="439">
        <v>22000000</v>
      </c>
      <c r="Q249" s="493">
        <v>2200000</v>
      </c>
      <c r="R249" s="493" t="s">
        <v>124</v>
      </c>
      <c r="S249" s="493" t="s">
        <v>382</v>
      </c>
      <c r="T249" s="493" t="s">
        <v>125</v>
      </c>
      <c r="U249" s="493" t="s">
        <v>126</v>
      </c>
      <c r="V249" s="493" t="s">
        <v>127</v>
      </c>
      <c r="W249" s="493" t="s">
        <v>128</v>
      </c>
      <c r="X249" s="493" t="s">
        <v>801</v>
      </c>
      <c r="Y249" s="493" t="s">
        <v>377</v>
      </c>
      <c r="Z249" s="493" t="s">
        <v>1543</v>
      </c>
      <c r="AA249" s="493" t="s">
        <v>130</v>
      </c>
      <c r="AB249" s="493" t="s">
        <v>377</v>
      </c>
      <c r="AC249" s="493" t="s">
        <v>131</v>
      </c>
      <c r="AD249" s="493" t="s">
        <v>1558</v>
      </c>
      <c r="AE249" s="493">
        <v>22000000</v>
      </c>
      <c r="AF249" s="493">
        <v>2200000</v>
      </c>
      <c r="AG249" s="493" t="s">
        <v>1556</v>
      </c>
      <c r="AH249" s="130">
        <f t="shared" si="54"/>
        <v>46160</v>
      </c>
      <c r="AI249" s="495">
        <v>46171</v>
      </c>
      <c r="AJ249" s="439">
        <f>P249*1.1</f>
        <v>24200000.000000004</v>
      </c>
      <c r="AK249" s="121">
        <f t="shared" si="57"/>
        <v>0</v>
      </c>
      <c r="AL249" s="440" t="str">
        <f t="shared" ca="1" si="48"/>
        <v/>
      </c>
      <c r="AM249" s="440"/>
      <c r="AN249" s="440"/>
      <c r="AO249" s="440"/>
    </row>
    <row r="250" spans="1:41" ht="16.5" hidden="1" customHeight="1">
      <c r="A250" s="492" t="s">
        <v>1543</v>
      </c>
      <c r="B250" s="493" t="s">
        <v>1559</v>
      </c>
      <c r="C250" s="492" t="s">
        <v>1543</v>
      </c>
      <c r="D250" s="492" t="s">
        <v>1543</v>
      </c>
      <c r="E250" s="493" t="s">
        <v>116</v>
      </c>
      <c r="F250" s="493" t="s">
        <v>377</v>
      </c>
      <c r="G250" s="493" t="s">
        <v>117</v>
      </c>
      <c r="H250" s="493" t="s">
        <v>118</v>
      </c>
      <c r="I250" s="493" t="s">
        <v>119</v>
      </c>
      <c r="J250" s="493" t="s">
        <v>681</v>
      </c>
      <c r="K250" s="493" t="s">
        <v>377</v>
      </c>
      <c r="L250" s="493" t="s">
        <v>682</v>
      </c>
      <c r="M250" s="493" t="s">
        <v>683</v>
      </c>
      <c r="N250" s="493" t="s">
        <v>684</v>
      </c>
      <c r="O250" s="493">
        <v>24200000</v>
      </c>
      <c r="P250" s="439">
        <v>22000000</v>
      </c>
      <c r="Q250" s="493">
        <v>2200000</v>
      </c>
      <c r="R250" s="493" t="s">
        <v>124</v>
      </c>
      <c r="S250" s="493" t="s">
        <v>382</v>
      </c>
      <c r="T250" s="493" t="s">
        <v>125</v>
      </c>
      <c r="U250" s="493" t="s">
        <v>126</v>
      </c>
      <c r="V250" s="493" t="s">
        <v>127</v>
      </c>
      <c r="W250" s="493" t="s">
        <v>128</v>
      </c>
      <c r="X250" s="493" t="s">
        <v>685</v>
      </c>
      <c r="Y250" s="493" t="s">
        <v>377</v>
      </c>
      <c r="Z250" s="493" t="s">
        <v>1543</v>
      </c>
      <c r="AA250" s="493" t="s">
        <v>130</v>
      </c>
      <c r="AB250" s="493" t="s">
        <v>377</v>
      </c>
      <c r="AC250" s="493" t="s">
        <v>131</v>
      </c>
      <c r="AD250" s="493" t="s">
        <v>1558</v>
      </c>
      <c r="AE250" s="493">
        <v>22000000</v>
      </c>
      <c r="AF250" s="493">
        <v>2200000</v>
      </c>
      <c r="AG250" s="493" t="s">
        <v>1560</v>
      </c>
      <c r="AH250" s="130">
        <f t="shared" si="54"/>
        <v>46160</v>
      </c>
      <c r="AI250" s="495">
        <v>46127</v>
      </c>
      <c r="AJ250" s="439">
        <f>P250*1.1</f>
        <v>24200000.000000004</v>
      </c>
      <c r="AK250" s="121">
        <f t="shared" si="57"/>
        <v>0</v>
      </c>
      <c r="AL250" s="440" t="str">
        <f t="shared" ca="1" si="48"/>
        <v/>
      </c>
      <c r="AM250" s="440"/>
      <c r="AN250" s="440"/>
      <c r="AO250" s="440"/>
    </row>
    <row r="251" spans="1:41" ht="16.5" hidden="1" customHeight="1">
      <c r="A251" s="492" t="s">
        <v>1543</v>
      </c>
      <c r="B251" s="493" t="s">
        <v>1561</v>
      </c>
      <c r="C251" s="492" t="s">
        <v>1543</v>
      </c>
      <c r="D251" s="492" t="s">
        <v>1543</v>
      </c>
      <c r="E251" s="493" t="s">
        <v>116</v>
      </c>
      <c r="F251" s="493" t="s">
        <v>377</v>
      </c>
      <c r="G251" s="493" t="s">
        <v>117</v>
      </c>
      <c r="H251" s="493" t="s">
        <v>118</v>
      </c>
      <c r="I251" s="493" t="s">
        <v>119</v>
      </c>
      <c r="J251" s="493" t="s">
        <v>510</v>
      </c>
      <c r="K251" s="493" t="s">
        <v>377</v>
      </c>
      <c r="L251" s="493" t="s">
        <v>511</v>
      </c>
      <c r="M251" s="493" t="s">
        <v>512</v>
      </c>
      <c r="N251" s="493" t="s">
        <v>513</v>
      </c>
      <c r="O251" s="493">
        <v>4058340</v>
      </c>
      <c r="P251" s="439">
        <v>3689400</v>
      </c>
      <c r="Q251" s="493">
        <v>368940</v>
      </c>
      <c r="R251" s="493" t="s">
        <v>124</v>
      </c>
      <c r="S251" s="493" t="s">
        <v>382</v>
      </c>
      <c r="T251" s="493" t="s">
        <v>125</v>
      </c>
      <c r="U251" s="493" t="s">
        <v>126</v>
      </c>
      <c r="V251" s="493" t="s">
        <v>127</v>
      </c>
      <c r="W251" s="493" t="s">
        <v>128</v>
      </c>
      <c r="X251" s="493" t="s">
        <v>514</v>
      </c>
      <c r="Y251" s="493" t="s">
        <v>377</v>
      </c>
      <c r="Z251" s="493" t="s">
        <v>1543</v>
      </c>
      <c r="AA251" s="493" t="s">
        <v>130</v>
      </c>
      <c r="AB251" s="493" t="s">
        <v>377</v>
      </c>
      <c r="AC251" s="493" t="s">
        <v>131</v>
      </c>
      <c r="AD251" s="493" t="s">
        <v>1562</v>
      </c>
      <c r="AE251" s="493">
        <v>3689400</v>
      </c>
      <c r="AF251" s="493">
        <v>368940</v>
      </c>
      <c r="AG251" s="493" t="s">
        <v>1563</v>
      </c>
      <c r="AH251" s="130">
        <f t="shared" si="54"/>
        <v>46160</v>
      </c>
      <c r="AI251" s="495"/>
      <c r="AJ251" s="439"/>
      <c r="AK251" s="121">
        <f t="shared" si="57"/>
        <v>4058340.0000000005</v>
      </c>
      <c r="AL251" s="440" t="str">
        <f t="shared" ca="1" si="48"/>
        <v>관리</v>
      </c>
      <c r="AM251" s="440"/>
      <c r="AN251" s="440"/>
      <c r="AO251" s="440"/>
    </row>
    <row r="252" spans="1:41" ht="16.5" hidden="1" customHeight="1">
      <c r="A252" s="492" t="s">
        <v>1543</v>
      </c>
      <c r="B252" s="493" t="s">
        <v>1564</v>
      </c>
      <c r="C252" s="492" t="s">
        <v>1543</v>
      </c>
      <c r="D252" s="492" t="s">
        <v>1543</v>
      </c>
      <c r="E252" s="493" t="s">
        <v>116</v>
      </c>
      <c r="F252" s="493" t="s">
        <v>377</v>
      </c>
      <c r="G252" s="493" t="s">
        <v>117</v>
      </c>
      <c r="H252" s="493" t="s">
        <v>118</v>
      </c>
      <c r="I252" s="493" t="s">
        <v>119</v>
      </c>
      <c r="J252" s="493" t="s">
        <v>120</v>
      </c>
      <c r="K252" s="493" t="s">
        <v>377</v>
      </c>
      <c r="L252" s="493" t="s">
        <v>390</v>
      </c>
      <c r="M252" s="493" t="s">
        <v>122</v>
      </c>
      <c r="N252" s="493" t="s">
        <v>123</v>
      </c>
      <c r="O252" s="493">
        <v>457600</v>
      </c>
      <c r="P252" s="439">
        <v>416000</v>
      </c>
      <c r="Q252" s="493">
        <v>41600</v>
      </c>
      <c r="R252" s="493" t="s">
        <v>124</v>
      </c>
      <c r="S252" s="493" t="s">
        <v>382</v>
      </c>
      <c r="T252" s="493" t="s">
        <v>125</v>
      </c>
      <c r="U252" s="493" t="s">
        <v>126</v>
      </c>
      <c r="V252" s="493" t="s">
        <v>127</v>
      </c>
      <c r="W252" s="493" t="s">
        <v>128</v>
      </c>
      <c r="X252" s="493" t="s">
        <v>129</v>
      </c>
      <c r="Y252" s="493" t="s">
        <v>377</v>
      </c>
      <c r="Z252" s="493" t="s">
        <v>1543</v>
      </c>
      <c r="AA252" s="493" t="s">
        <v>130</v>
      </c>
      <c r="AB252" s="493" t="s">
        <v>377</v>
      </c>
      <c r="AC252" s="493" t="s">
        <v>131</v>
      </c>
      <c r="AD252" s="493" t="s">
        <v>1565</v>
      </c>
      <c r="AE252" s="493">
        <v>416000</v>
      </c>
      <c r="AF252" s="493">
        <v>41600</v>
      </c>
      <c r="AG252" s="493" t="s">
        <v>1658</v>
      </c>
      <c r="AH252" s="130">
        <f t="shared" si="54"/>
        <v>46160</v>
      </c>
      <c r="AI252" s="495"/>
      <c r="AJ252" s="439"/>
      <c r="AK252" s="121">
        <f t="shared" si="57"/>
        <v>457600.00000000006</v>
      </c>
      <c r="AL252" s="440" t="str">
        <f t="shared" ca="1" si="48"/>
        <v>관리</v>
      </c>
      <c r="AM252" s="440"/>
      <c r="AN252" s="440"/>
      <c r="AO252" s="440"/>
    </row>
    <row r="253" spans="1:41" ht="16.5" hidden="1" customHeight="1">
      <c r="A253" s="492" t="s">
        <v>1543</v>
      </c>
      <c r="B253" s="493" t="s">
        <v>1566</v>
      </c>
      <c r="C253" s="492" t="s">
        <v>1543</v>
      </c>
      <c r="D253" s="492" t="s">
        <v>1543</v>
      </c>
      <c r="E253" s="493" t="s">
        <v>116</v>
      </c>
      <c r="F253" s="493" t="s">
        <v>377</v>
      </c>
      <c r="G253" s="493" t="s">
        <v>117</v>
      </c>
      <c r="H253" s="493" t="s">
        <v>118</v>
      </c>
      <c r="I253" s="493" t="s">
        <v>119</v>
      </c>
      <c r="J253" s="493" t="s">
        <v>120</v>
      </c>
      <c r="K253" s="493" t="s">
        <v>377</v>
      </c>
      <c r="L253" s="493" t="s">
        <v>390</v>
      </c>
      <c r="M253" s="493" t="s">
        <v>122</v>
      </c>
      <c r="N253" s="493" t="s">
        <v>123</v>
      </c>
      <c r="O253" s="493">
        <v>1929400</v>
      </c>
      <c r="P253" s="439">
        <v>1754000</v>
      </c>
      <c r="Q253" s="493">
        <v>175400</v>
      </c>
      <c r="R253" s="493" t="s">
        <v>124</v>
      </c>
      <c r="S253" s="493" t="s">
        <v>382</v>
      </c>
      <c r="T253" s="493" t="s">
        <v>125</v>
      </c>
      <c r="U253" s="493" t="s">
        <v>126</v>
      </c>
      <c r="V253" s="493" t="s">
        <v>127</v>
      </c>
      <c r="W253" s="493" t="s">
        <v>128</v>
      </c>
      <c r="X253" s="493" t="s">
        <v>129</v>
      </c>
      <c r="Y253" s="493" t="s">
        <v>377</v>
      </c>
      <c r="Z253" s="493" t="s">
        <v>1543</v>
      </c>
      <c r="AA253" s="493" t="s">
        <v>130</v>
      </c>
      <c r="AB253" s="493" t="s">
        <v>377</v>
      </c>
      <c r="AC253" s="493" t="s">
        <v>131</v>
      </c>
      <c r="AD253" s="493" t="s">
        <v>1567</v>
      </c>
      <c r="AE253" s="493">
        <v>1754000</v>
      </c>
      <c r="AF253" s="493">
        <v>175400</v>
      </c>
      <c r="AG253" s="493" t="s">
        <v>1658</v>
      </c>
      <c r="AH253" s="130">
        <f t="shared" si="54"/>
        <v>46160</v>
      </c>
      <c r="AI253" s="495"/>
      <c r="AJ253" s="439"/>
      <c r="AK253" s="121">
        <f t="shared" si="57"/>
        <v>1929400.0000000002</v>
      </c>
      <c r="AL253" s="440" t="str">
        <f t="shared" ca="1" si="48"/>
        <v>관리</v>
      </c>
      <c r="AM253" s="440"/>
      <c r="AN253" s="440"/>
      <c r="AO253" s="440"/>
    </row>
    <row r="254" spans="1:41" ht="16.5" hidden="1" customHeight="1">
      <c r="A254" s="492" t="s">
        <v>1543</v>
      </c>
      <c r="B254" s="493" t="s">
        <v>1568</v>
      </c>
      <c r="C254" s="492" t="s">
        <v>1543</v>
      </c>
      <c r="D254" s="492" t="s">
        <v>1543</v>
      </c>
      <c r="E254" s="493" t="s">
        <v>116</v>
      </c>
      <c r="F254" s="493" t="s">
        <v>377</v>
      </c>
      <c r="G254" s="493" t="s">
        <v>117</v>
      </c>
      <c r="H254" s="493" t="s">
        <v>118</v>
      </c>
      <c r="I254" s="493" t="s">
        <v>119</v>
      </c>
      <c r="J254" s="493" t="s">
        <v>1569</v>
      </c>
      <c r="K254" s="493" t="s">
        <v>377</v>
      </c>
      <c r="L254" s="493" t="s">
        <v>1570</v>
      </c>
      <c r="M254" s="493" t="s">
        <v>1571</v>
      </c>
      <c r="N254" s="493" t="s">
        <v>1572</v>
      </c>
      <c r="O254" s="493">
        <v>7608700</v>
      </c>
      <c r="P254" s="439">
        <v>6917000</v>
      </c>
      <c r="Q254" s="493">
        <v>691700</v>
      </c>
      <c r="R254" s="493" t="s">
        <v>124</v>
      </c>
      <c r="S254" s="493" t="s">
        <v>382</v>
      </c>
      <c r="T254" s="493" t="s">
        <v>125</v>
      </c>
      <c r="U254" s="493" t="s">
        <v>126</v>
      </c>
      <c r="V254" s="493" t="s">
        <v>127</v>
      </c>
      <c r="W254" s="493" t="s">
        <v>128</v>
      </c>
      <c r="X254" s="493" t="s">
        <v>1573</v>
      </c>
      <c r="Y254" s="493" t="s">
        <v>377</v>
      </c>
      <c r="Z254" s="493" t="s">
        <v>1543</v>
      </c>
      <c r="AA254" s="493" t="s">
        <v>130</v>
      </c>
      <c r="AB254" s="493" t="s">
        <v>377</v>
      </c>
      <c r="AC254" s="493" t="s">
        <v>131</v>
      </c>
      <c r="AD254" s="493" t="s">
        <v>1574</v>
      </c>
      <c r="AE254" s="493">
        <v>6917000</v>
      </c>
      <c r="AF254" s="493">
        <v>691700</v>
      </c>
      <c r="AG254" s="493" t="s">
        <v>1575</v>
      </c>
      <c r="AH254" s="130">
        <f t="shared" si="54"/>
        <v>46160</v>
      </c>
      <c r="AI254" s="495">
        <v>46133</v>
      </c>
      <c r="AJ254" s="439">
        <f>P254*1.1</f>
        <v>7608700.0000000009</v>
      </c>
      <c r="AK254" s="121">
        <f t="shared" si="57"/>
        <v>0</v>
      </c>
      <c r="AL254" s="440" t="str">
        <f t="shared" ca="1" si="48"/>
        <v/>
      </c>
      <c r="AM254" s="440"/>
      <c r="AN254" s="440"/>
      <c r="AO254" s="440"/>
    </row>
    <row r="255" spans="1:41" ht="16.5" hidden="1" customHeight="1">
      <c r="A255" s="492" t="s">
        <v>1543</v>
      </c>
      <c r="B255" s="493" t="s">
        <v>1576</v>
      </c>
      <c r="C255" s="492" t="s">
        <v>1543</v>
      </c>
      <c r="D255" s="492" t="s">
        <v>1543</v>
      </c>
      <c r="E255" s="493" t="s">
        <v>116</v>
      </c>
      <c r="F255" s="493" t="s">
        <v>377</v>
      </c>
      <c r="G255" s="493" t="s">
        <v>117</v>
      </c>
      <c r="H255" s="493" t="s">
        <v>118</v>
      </c>
      <c r="I255" s="493" t="s">
        <v>119</v>
      </c>
      <c r="J255" s="493" t="s">
        <v>1577</v>
      </c>
      <c r="K255" s="493" t="s">
        <v>377</v>
      </c>
      <c r="L255" s="493" t="s">
        <v>1578</v>
      </c>
      <c r="M255" s="493" t="s">
        <v>1579</v>
      </c>
      <c r="N255" s="493" t="s">
        <v>1580</v>
      </c>
      <c r="O255" s="493">
        <v>14825800</v>
      </c>
      <c r="P255" s="439">
        <v>13478000</v>
      </c>
      <c r="Q255" s="493">
        <v>1347800</v>
      </c>
      <c r="R255" s="493" t="s">
        <v>124</v>
      </c>
      <c r="S255" s="493" t="s">
        <v>382</v>
      </c>
      <c r="T255" s="493" t="s">
        <v>125</v>
      </c>
      <c r="U255" s="493" t="s">
        <v>126</v>
      </c>
      <c r="V255" s="493" t="s">
        <v>127</v>
      </c>
      <c r="W255" s="493" t="s">
        <v>128</v>
      </c>
      <c r="X255" s="493" t="s">
        <v>1581</v>
      </c>
      <c r="Y255" s="493" t="s">
        <v>377</v>
      </c>
      <c r="Z255" s="493" t="s">
        <v>1543</v>
      </c>
      <c r="AA255" s="493" t="s">
        <v>130</v>
      </c>
      <c r="AB255" s="493" t="s">
        <v>377</v>
      </c>
      <c r="AC255" s="493" t="s">
        <v>131</v>
      </c>
      <c r="AD255" s="493" t="s">
        <v>1582</v>
      </c>
      <c r="AE255" s="493">
        <v>13478000</v>
      </c>
      <c r="AF255" s="493">
        <v>1347800</v>
      </c>
      <c r="AG255" s="493" t="s">
        <v>1656</v>
      </c>
      <c r="AH255" s="130">
        <f t="shared" si="54"/>
        <v>46160</v>
      </c>
      <c r="AI255" s="495">
        <v>46122</v>
      </c>
      <c r="AJ255" s="439">
        <f>P255*1.1</f>
        <v>14825800.000000002</v>
      </c>
      <c r="AK255" s="121">
        <f t="shared" si="57"/>
        <v>0</v>
      </c>
      <c r="AL255" s="440" t="str">
        <f t="shared" ca="1" si="48"/>
        <v/>
      </c>
      <c r="AM255" s="440"/>
      <c r="AN255" s="440"/>
      <c r="AO255" s="440"/>
    </row>
    <row r="256" spans="1:41" ht="16.5" hidden="1" customHeight="1">
      <c r="A256" s="492" t="s">
        <v>1543</v>
      </c>
      <c r="B256" s="493" t="s">
        <v>1583</v>
      </c>
      <c r="C256" s="492" t="s">
        <v>1543</v>
      </c>
      <c r="D256" s="492" t="s">
        <v>1543</v>
      </c>
      <c r="E256" s="493" t="s">
        <v>116</v>
      </c>
      <c r="F256" s="493" t="s">
        <v>377</v>
      </c>
      <c r="G256" s="493" t="s">
        <v>117</v>
      </c>
      <c r="H256" s="493" t="s">
        <v>118</v>
      </c>
      <c r="I256" s="493" t="s">
        <v>119</v>
      </c>
      <c r="J256" s="493" t="s">
        <v>510</v>
      </c>
      <c r="K256" s="493" t="s">
        <v>377</v>
      </c>
      <c r="L256" s="493" t="s">
        <v>511</v>
      </c>
      <c r="M256" s="493" t="s">
        <v>512</v>
      </c>
      <c r="N256" s="493" t="s">
        <v>513</v>
      </c>
      <c r="O256" s="493">
        <v>12332980</v>
      </c>
      <c r="P256" s="439">
        <v>11211800</v>
      </c>
      <c r="Q256" s="493">
        <v>1121180</v>
      </c>
      <c r="R256" s="493" t="s">
        <v>124</v>
      </c>
      <c r="S256" s="493" t="s">
        <v>382</v>
      </c>
      <c r="T256" s="493" t="s">
        <v>125</v>
      </c>
      <c r="U256" s="493" t="s">
        <v>126</v>
      </c>
      <c r="V256" s="493" t="s">
        <v>127</v>
      </c>
      <c r="W256" s="493" t="s">
        <v>128</v>
      </c>
      <c r="X256" s="493" t="s">
        <v>514</v>
      </c>
      <c r="Y256" s="493" t="s">
        <v>377</v>
      </c>
      <c r="Z256" s="493" t="s">
        <v>1543</v>
      </c>
      <c r="AA256" s="493" t="s">
        <v>130</v>
      </c>
      <c r="AB256" s="493" t="s">
        <v>377</v>
      </c>
      <c r="AC256" s="493" t="s">
        <v>131</v>
      </c>
      <c r="AD256" s="493" t="s">
        <v>1584</v>
      </c>
      <c r="AE256" s="493">
        <v>11211800</v>
      </c>
      <c r="AF256" s="493">
        <v>1121180</v>
      </c>
      <c r="AG256" s="493" t="s">
        <v>1657</v>
      </c>
      <c r="AH256" s="130">
        <f t="shared" si="54"/>
        <v>46160</v>
      </c>
      <c r="AI256" s="495"/>
      <c r="AJ256" s="439"/>
      <c r="AK256" s="121">
        <f t="shared" si="57"/>
        <v>12332980.000000002</v>
      </c>
      <c r="AL256" s="440" t="str">
        <f t="shared" ca="1" si="48"/>
        <v>관리</v>
      </c>
      <c r="AM256" s="440"/>
      <c r="AN256" s="440"/>
      <c r="AO256" s="440"/>
    </row>
    <row r="257" spans="1:41" ht="16.5" hidden="1" customHeight="1">
      <c r="A257" s="492" t="s">
        <v>1586</v>
      </c>
      <c r="B257" s="493" t="s">
        <v>1587</v>
      </c>
      <c r="C257" s="492" t="s">
        <v>1586</v>
      </c>
      <c r="D257" s="492" t="s">
        <v>1586</v>
      </c>
      <c r="E257" s="493" t="s">
        <v>116</v>
      </c>
      <c r="F257" s="493" t="s">
        <v>377</v>
      </c>
      <c r="G257" s="493" t="s">
        <v>117</v>
      </c>
      <c r="H257" s="493" t="s">
        <v>118</v>
      </c>
      <c r="I257" s="493" t="s">
        <v>119</v>
      </c>
      <c r="J257" s="493" t="s">
        <v>120</v>
      </c>
      <c r="K257" s="493" t="s">
        <v>377</v>
      </c>
      <c r="L257" s="493" t="s">
        <v>390</v>
      </c>
      <c r="M257" s="493" t="s">
        <v>122</v>
      </c>
      <c r="N257" s="493" t="s">
        <v>123</v>
      </c>
      <c r="O257" s="493">
        <v>4941200</v>
      </c>
      <c r="P257" s="439">
        <v>4492000</v>
      </c>
      <c r="Q257" s="493">
        <v>449200</v>
      </c>
      <c r="R257" s="493" t="s">
        <v>124</v>
      </c>
      <c r="S257" s="493" t="s">
        <v>382</v>
      </c>
      <c r="T257" s="493" t="s">
        <v>125</v>
      </c>
      <c r="U257" s="493" t="s">
        <v>126</v>
      </c>
      <c r="V257" s="493" t="s">
        <v>127</v>
      </c>
      <c r="W257" s="493" t="s">
        <v>128</v>
      </c>
      <c r="X257" s="493" t="s">
        <v>129</v>
      </c>
      <c r="Y257" s="493" t="s">
        <v>377</v>
      </c>
      <c r="Z257" s="493" t="s">
        <v>1586</v>
      </c>
      <c r="AA257" s="493" t="s">
        <v>130</v>
      </c>
      <c r="AB257" s="493" t="s">
        <v>377</v>
      </c>
      <c r="AC257" s="493" t="s">
        <v>131</v>
      </c>
      <c r="AD257" s="493" t="s">
        <v>1588</v>
      </c>
      <c r="AE257" s="493">
        <v>4492000</v>
      </c>
      <c r="AF257" s="493">
        <v>449200</v>
      </c>
      <c r="AG257" s="493" t="s">
        <v>1589</v>
      </c>
      <c r="AH257" s="130">
        <f t="shared" si="54"/>
        <v>46161</v>
      </c>
      <c r="AI257" s="495"/>
      <c r="AJ257" s="439"/>
      <c r="AK257" s="121">
        <f t="shared" ref="AK257:AK268" si="58">(P257*1.1)-AJ257</f>
        <v>4941200</v>
      </c>
      <c r="AL257" s="440" t="str">
        <f t="shared" ref="AL257:AL318" ca="1" si="59">IF(OR(A257="",AK257=0),"",IF(TODAY()-A257&gt;=91,"장기미수",IF(TODAY()-A257&gt;=41,"관리","")))</f>
        <v>관리</v>
      </c>
      <c r="AM257" s="440"/>
      <c r="AN257" s="440"/>
      <c r="AO257" s="440"/>
    </row>
    <row r="258" spans="1:41" ht="16.5" hidden="1" customHeight="1">
      <c r="A258" s="492" t="s">
        <v>1586</v>
      </c>
      <c r="B258" s="493" t="s">
        <v>1590</v>
      </c>
      <c r="C258" s="492" t="s">
        <v>1586</v>
      </c>
      <c r="D258" s="492" t="s">
        <v>1586</v>
      </c>
      <c r="E258" s="493" t="s">
        <v>116</v>
      </c>
      <c r="F258" s="493" t="s">
        <v>377</v>
      </c>
      <c r="G258" s="493" t="s">
        <v>117</v>
      </c>
      <c r="H258" s="493" t="s">
        <v>118</v>
      </c>
      <c r="I258" s="493" t="s">
        <v>119</v>
      </c>
      <c r="J258" s="493" t="s">
        <v>1577</v>
      </c>
      <c r="K258" s="493" t="s">
        <v>377</v>
      </c>
      <c r="L258" s="493" t="s">
        <v>1578</v>
      </c>
      <c r="M258" s="493" t="s">
        <v>1579</v>
      </c>
      <c r="N258" s="493" t="s">
        <v>1580</v>
      </c>
      <c r="O258" s="493">
        <v>34150050</v>
      </c>
      <c r="P258" s="439">
        <v>31045500</v>
      </c>
      <c r="Q258" s="493">
        <v>3104550</v>
      </c>
      <c r="R258" s="493" t="s">
        <v>124</v>
      </c>
      <c r="S258" s="493" t="s">
        <v>382</v>
      </c>
      <c r="T258" s="493" t="s">
        <v>125</v>
      </c>
      <c r="U258" s="493" t="s">
        <v>126</v>
      </c>
      <c r="V258" s="493" t="s">
        <v>127</v>
      </c>
      <c r="W258" s="493" t="s">
        <v>128</v>
      </c>
      <c r="X258" s="493" t="s">
        <v>1581</v>
      </c>
      <c r="Y258" s="493" t="s">
        <v>377</v>
      </c>
      <c r="Z258" s="493" t="s">
        <v>1586</v>
      </c>
      <c r="AA258" s="493" t="s">
        <v>130</v>
      </c>
      <c r="AB258" s="493" t="s">
        <v>377</v>
      </c>
      <c r="AC258" s="493" t="s">
        <v>131</v>
      </c>
      <c r="AD258" s="493" t="s">
        <v>1591</v>
      </c>
      <c r="AE258" s="493">
        <v>31045500</v>
      </c>
      <c r="AF258" s="493">
        <v>3104550</v>
      </c>
      <c r="AG258" s="493" t="s">
        <v>1592</v>
      </c>
      <c r="AH258" s="130">
        <f t="shared" si="54"/>
        <v>46161</v>
      </c>
      <c r="AI258" s="495"/>
      <c r="AJ258" s="439"/>
      <c r="AK258" s="121">
        <f t="shared" si="58"/>
        <v>34150050</v>
      </c>
      <c r="AL258" s="440" t="str">
        <f t="shared" ca="1" si="59"/>
        <v>관리</v>
      </c>
      <c r="AM258" s="440"/>
      <c r="AN258" s="440"/>
      <c r="AO258" s="440"/>
    </row>
    <row r="259" spans="1:41" ht="16.5" hidden="1" customHeight="1">
      <c r="A259" s="492" t="s">
        <v>1586</v>
      </c>
      <c r="B259" s="493" t="s">
        <v>1593</v>
      </c>
      <c r="C259" s="492" t="s">
        <v>1586</v>
      </c>
      <c r="D259" s="492" t="s">
        <v>1586</v>
      </c>
      <c r="E259" s="493" t="s">
        <v>116</v>
      </c>
      <c r="F259" s="493" t="s">
        <v>377</v>
      </c>
      <c r="G259" s="493" t="s">
        <v>117</v>
      </c>
      <c r="H259" s="493" t="s">
        <v>118</v>
      </c>
      <c r="I259" s="493" t="s">
        <v>119</v>
      </c>
      <c r="J259" s="493" t="s">
        <v>1577</v>
      </c>
      <c r="K259" s="493" t="s">
        <v>377</v>
      </c>
      <c r="L259" s="493" t="s">
        <v>1578</v>
      </c>
      <c r="M259" s="493" t="s">
        <v>1579</v>
      </c>
      <c r="N259" s="493" t="s">
        <v>1580</v>
      </c>
      <c r="O259" s="493">
        <v>632280</v>
      </c>
      <c r="P259" s="439">
        <v>574800</v>
      </c>
      <c r="Q259" s="493">
        <v>57480</v>
      </c>
      <c r="R259" s="493" t="s">
        <v>124</v>
      </c>
      <c r="S259" s="493" t="s">
        <v>382</v>
      </c>
      <c r="T259" s="493" t="s">
        <v>125</v>
      </c>
      <c r="U259" s="493" t="s">
        <v>126</v>
      </c>
      <c r="V259" s="493" t="s">
        <v>127</v>
      </c>
      <c r="W259" s="493" t="s">
        <v>128</v>
      </c>
      <c r="X259" s="493" t="s">
        <v>1581</v>
      </c>
      <c r="Y259" s="493" t="s">
        <v>377</v>
      </c>
      <c r="Z259" s="493" t="s">
        <v>1586</v>
      </c>
      <c r="AA259" s="493" t="s">
        <v>130</v>
      </c>
      <c r="AB259" s="493" t="s">
        <v>377</v>
      </c>
      <c r="AC259" s="493" t="s">
        <v>131</v>
      </c>
      <c r="AD259" s="493" t="s">
        <v>1594</v>
      </c>
      <c r="AE259" s="493">
        <v>574800</v>
      </c>
      <c r="AF259" s="493">
        <v>57480</v>
      </c>
      <c r="AG259" s="493" t="s">
        <v>1595</v>
      </c>
      <c r="AH259" s="130">
        <f t="shared" si="54"/>
        <v>46161</v>
      </c>
      <c r="AI259" s="495">
        <v>46155</v>
      </c>
      <c r="AJ259" s="439">
        <f>P259*1.1</f>
        <v>632280</v>
      </c>
      <c r="AK259" s="121">
        <f t="shared" si="58"/>
        <v>0</v>
      </c>
      <c r="AL259" s="440" t="str">
        <f t="shared" ca="1" si="59"/>
        <v/>
      </c>
      <c r="AM259" s="440"/>
      <c r="AN259" s="440"/>
      <c r="AO259" s="440"/>
    </row>
    <row r="260" spans="1:41" ht="16.5" hidden="1" customHeight="1">
      <c r="A260" s="492" t="s">
        <v>1586</v>
      </c>
      <c r="B260" s="493" t="s">
        <v>1596</v>
      </c>
      <c r="C260" s="492" t="s">
        <v>1586</v>
      </c>
      <c r="D260" s="492" t="s">
        <v>1586</v>
      </c>
      <c r="E260" s="493" t="s">
        <v>116</v>
      </c>
      <c r="F260" s="493" t="s">
        <v>377</v>
      </c>
      <c r="G260" s="493" t="s">
        <v>117</v>
      </c>
      <c r="H260" s="493" t="s">
        <v>118</v>
      </c>
      <c r="I260" s="493" t="s">
        <v>119</v>
      </c>
      <c r="J260" s="493" t="s">
        <v>519</v>
      </c>
      <c r="K260" s="493" t="s">
        <v>377</v>
      </c>
      <c r="L260" s="493" t="s">
        <v>520</v>
      </c>
      <c r="M260" s="493" t="s">
        <v>521</v>
      </c>
      <c r="N260" s="493" t="s">
        <v>522</v>
      </c>
      <c r="O260" s="493">
        <v>4056250</v>
      </c>
      <c r="P260" s="439">
        <v>3687500</v>
      </c>
      <c r="Q260" s="493">
        <v>368750</v>
      </c>
      <c r="R260" s="493" t="s">
        <v>124</v>
      </c>
      <c r="S260" s="493" t="s">
        <v>382</v>
      </c>
      <c r="T260" s="493" t="s">
        <v>125</v>
      </c>
      <c r="U260" s="493" t="s">
        <v>126</v>
      </c>
      <c r="V260" s="493" t="s">
        <v>127</v>
      </c>
      <c r="W260" s="493" t="s">
        <v>128</v>
      </c>
      <c r="X260" s="493" t="s">
        <v>523</v>
      </c>
      <c r="Y260" s="493" t="s">
        <v>377</v>
      </c>
      <c r="Z260" s="493" t="s">
        <v>1586</v>
      </c>
      <c r="AA260" s="493" t="s">
        <v>130</v>
      </c>
      <c r="AB260" s="493" t="s">
        <v>377</v>
      </c>
      <c r="AC260" s="493" t="s">
        <v>131</v>
      </c>
      <c r="AD260" s="493" t="s">
        <v>1597</v>
      </c>
      <c r="AE260" s="493">
        <v>3687500</v>
      </c>
      <c r="AF260" s="493">
        <v>368750</v>
      </c>
      <c r="AG260" s="493" t="s">
        <v>1598</v>
      </c>
      <c r="AH260" s="130">
        <f t="shared" si="54"/>
        <v>46161</v>
      </c>
      <c r="AI260" s="495">
        <v>46126</v>
      </c>
      <c r="AJ260" s="439">
        <f>P260*1.1</f>
        <v>4056250.0000000005</v>
      </c>
      <c r="AK260" s="121">
        <f t="shared" si="58"/>
        <v>0</v>
      </c>
      <c r="AL260" s="440" t="str">
        <f t="shared" ca="1" si="59"/>
        <v/>
      </c>
      <c r="AM260" s="440"/>
      <c r="AN260" s="440"/>
      <c r="AO260" s="440"/>
    </row>
    <row r="261" spans="1:41" ht="16.5" hidden="1" customHeight="1">
      <c r="A261" s="492" t="s">
        <v>1586</v>
      </c>
      <c r="B261" s="493" t="s">
        <v>1599</v>
      </c>
      <c r="C261" s="492" t="s">
        <v>1586</v>
      </c>
      <c r="D261" s="492" t="s">
        <v>1586</v>
      </c>
      <c r="E261" s="493" t="s">
        <v>116</v>
      </c>
      <c r="F261" s="493" t="s">
        <v>377</v>
      </c>
      <c r="G261" s="493" t="s">
        <v>117</v>
      </c>
      <c r="H261" s="493" t="s">
        <v>118</v>
      </c>
      <c r="I261" s="493" t="s">
        <v>119</v>
      </c>
      <c r="J261" s="493" t="s">
        <v>681</v>
      </c>
      <c r="K261" s="493" t="s">
        <v>377</v>
      </c>
      <c r="L261" s="493" t="s">
        <v>682</v>
      </c>
      <c r="M261" s="493" t="s">
        <v>683</v>
      </c>
      <c r="N261" s="493" t="s">
        <v>684</v>
      </c>
      <c r="O261" s="493">
        <v>23958000</v>
      </c>
      <c r="P261" s="439">
        <v>21780000</v>
      </c>
      <c r="Q261" s="493">
        <v>2178000</v>
      </c>
      <c r="R261" s="493" t="s">
        <v>124</v>
      </c>
      <c r="S261" s="493" t="s">
        <v>382</v>
      </c>
      <c r="T261" s="493" t="s">
        <v>125</v>
      </c>
      <c r="U261" s="493" t="s">
        <v>126</v>
      </c>
      <c r="V261" s="493" t="s">
        <v>127</v>
      </c>
      <c r="W261" s="493" t="s">
        <v>128</v>
      </c>
      <c r="X261" s="493" t="s">
        <v>685</v>
      </c>
      <c r="Y261" s="493" t="s">
        <v>377</v>
      </c>
      <c r="Z261" s="493" t="s">
        <v>1586</v>
      </c>
      <c r="AA261" s="493" t="s">
        <v>130</v>
      </c>
      <c r="AB261" s="493" t="s">
        <v>377</v>
      </c>
      <c r="AC261" s="493" t="s">
        <v>131</v>
      </c>
      <c r="AD261" s="493" t="s">
        <v>1600</v>
      </c>
      <c r="AE261" s="493">
        <v>21780000</v>
      </c>
      <c r="AF261" s="493">
        <v>2178000</v>
      </c>
      <c r="AG261" s="493" t="s">
        <v>1601</v>
      </c>
      <c r="AH261" s="130">
        <f t="shared" si="54"/>
        <v>46161</v>
      </c>
      <c r="AI261" s="495">
        <v>46127</v>
      </c>
      <c r="AJ261" s="439">
        <f>P261*1.1</f>
        <v>23958000.000000004</v>
      </c>
      <c r="AK261" s="121">
        <f t="shared" si="58"/>
        <v>0</v>
      </c>
      <c r="AL261" s="440" t="str">
        <f t="shared" ca="1" si="59"/>
        <v/>
      </c>
      <c r="AM261" s="440"/>
      <c r="AN261" s="440"/>
      <c r="AO261" s="440"/>
    </row>
    <row r="262" spans="1:41" ht="16.5" hidden="1" customHeight="1">
      <c r="A262" s="492" t="s">
        <v>1586</v>
      </c>
      <c r="B262" s="493" t="s">
        <v>1602</v>
      </c>
      <c r="C262" s="492" t="s">
        <v>1586</v>
      </c>
      <c r="D262" s="492" t="s">
        <v>1586</v>
      </c>
      <c r="E262" s="493" t="s">
        <v>116</v>
      </c>
      <c r="F262" s="493" t="s">
        <v>377</v>
      </c>
      <c r="G262" s="493" t="s">
        <v>117</v>
      </c>
      <c r="H262" s="493" t="s">
        <v>118</v>
      </c>
      <c r="I262" s="493" t="s">
        <v>119</v>
      </c>
      <c r="J262" s="493" t="s">
        <v>1603</v>
      </c>
      <c r="K262" s="493" t="s">
        <v>377</v>
      </c>
      <c r="L262" s="493" t="s">
        <v>1604</v>
      </c>
      <c r="M262" s="493" t="s">
        <v>1605</v>
      </c>
      <c r="N262" s="493" t="s">
        <v>1606</v>
      </c>
      <c r="O262" s="493">
        <v>1793000</v>
      </c>
      <c r="P262" s="439">
        <v>1630000</v>
      </c>
      <c r="Q262" s="493">
        <v>163000</v>
      </c>
      <c r="R262" s="493" t="s">
        <v>124</v>
      </c>
      <c r="S262" s="493" t="s">
        <v>382</v>
      </c>
      <c r="T262" s="493" t="s">
        <v>125</v>
      </c>
      <c r="U262" s="493" t="s">
        <v>445</v>
      </c>
      <c r="V262" s="493" t="s">
        <v>127</v>
      </c>
      <c r="W262" s="493" t="s">
        <v>128</v>
      </c>
      <c r="X262" s="493" t="s">
        <v>1607</v>
      </c>
      <c r="Y262" s="493" t="s">
        <v>377</v>
      </c>
      <c r="Z262" s="493" t="s">
        <v>1586</v>
      </c>
      <c r="AA262" s="493" t="s">
        <v>130</v>
      </c>
      <c r="AB262" s="493" t="s">
        <v>377</v>
      </c>
      <c r="AC262" s="493" t="s">
        <v>131</v>
      </c>
      <c r="AD262" s="493" t="s">
        <v>1608</v>
      </c>
      <c r="AE262" s="493">
        <v>1630000</v>
      </c>
      <c r="AF262" s="493">
        <v>163000</v>
      </c>
      <c r="AG262" s="493" t="s">
        <v>1609</v>
      </c>
      <c r="AH262" s="130">
        <f t="shared" si="54"/>
        <v>46161</v>
      </c>
      <c r="AI262" s="495">
        <v>46157</v>
      </c>
      <c r="AJ262" s="439">
        <f>P262*1.1</f>
        <v>1793000.0000000002</v>
      </c>
      <c r="AK262" s="121">
        <f t="shared" si="58"/>
        <v>0</v>
      </c>
      <c r="AL262" s="440" t="str">
        <f t="shared" ca="1" si="59"/>
        <v/>
      </c>
      <c r="AM262" s="440" t="s">
        <v>1631</v>
      </c>
      <c r="AN262" s="440"/>
      <c r="AO262" s="440"/>
    </row>
    <row r="263" spans="1:41" ht="16.5" hidden="1" customHeight="1">
      <c r="A263" s="492" t="s">
        <v>1586</v>
      </c>
      <c r="B263" s="493" t="s">
        <v>1610</v>
      </c>
      <c r="C263" s="492" t="s">
        <v>1586</v>
      </c>
      <c r="D263" s="492" t="s">
        <v>1586</v>
      </c>
      <c r="E263" s="493" t="s">
        <v>116</v>
      </c>
      <c r="F263" s="493" t="s">
        <v>377</v>
      </c>
      <c r="G263" s="493" t="s">
        <v>117</v>
      </c>
      <c r="H263" s="493" t="s">
        <v>118</v>
      </c>
      <c r="I263" s="493" t="s">
        <v>119</v>
      </c>
      <c r="J263" s="493" t="s">
        <v>1189</v>
      </c>
      <c r="K263" s="493" t="s">
        <v>377</v>
      </c>
      <c r="L263" s="493" t="s">
        <v>1190</v>
      </c>
      <c r="M263" s="493" t="s">
        <v>1191</v>
      </c>
      <c r="N263" s="493" t="s">
        <v>1192</v>
      </c>
      <c r="O263" s="493">
        <v>22241560</v>
      </c>
      <c r="P263" s="439">
        <v>20219600</v>
      </c>
      <c r="Q263" s="493">
        <v>2021960</v>
      </c>
      <c r="R263" s="493" t="s">
        <v>124</v>
      </c>
      <c r="S263" s="493" t="s">
        <v>382</v>
      </c>
      <c r="T263" s="493" t="s">
        <v>125</v>
      </c>
      <c r="U263" s="493" t="s">
        <v>126</v>
      </c>
      <c r="V263" s="493" t="s">
        <v>127</v>
      </c>
      <c r="W263" s="493" t="s">
        <v>128</v>
      </c>
      <c r="X263" s="493" t="s">
        <v>1193</v>
      </c>
      <c r="Y263" s="493" t="s">
        <v>377</v>
      </c>
      <c r="Z263" s="493" t="s">
        <v>1586</v>
      </c>
      <c r="AA263" s="493" t="s">
        <v>130</v>
      </c>
      <c r="AB263" s="493" t="s">
        <v>377</v>
      </c>
      <c r="AC263" s="493" t="s">
        <v>131</v>
      </c>
      <c r="AD263" s="493" t="s">
        <v>1611</v>
      </c>
      <c r="AE263" s="493">
        <v>20219600</v>
      </c>
      <c r="AF263" s="493">
        <v>2021960</v>
      </c>
      <c r="AG263" s="493" t="s">
        <v>2171</v>
      </c>
      <c r="AH263" s="130">
        <f t="shared" si="54"/>
        <v>46161</v>
      </c>
      <c r="AI263" s="495">
        <v>46171</v>
      </c>
      <c r="AJ263" s="439">
        <f t="shared" ref="AJ263" si="60">P263*1.1</f>
        <v>22241560</v>
      </c>
      <c r="AK263" s="121">
        <f t="shared" si="58"/>
        <v>0</v>
      </c>
      <c r="AL263" s="440" t="str">
        <f t="shared" ca="1" si="59"/>
        <v/>
      </c>
      <c r="AM263" s="440"/>
      <c r="AN263" s="440"/>
      <c r="AO263" s="440"/>
    </row>
    <row r="264" spans="1:41" ht="16.5" hidden="1" customHeight="1">
      <c r="A264" s="492" t="s">
        <v>1586</v>
      </c>
      <c r="B264" s="493" t="s">
        <v>1612</v>
      </c>
      <c r="C264" s="492" t="s">
        <v>1586</v>
      </c>
      <c r="D264" s="492" t="s">
        <v>1586</v>
      </c>
      <c r="E264" s="493" t="s">
        <v>116</v>
      </c>
      <c r="F264" s="493" t="s">
        <v>377</v>
      </c>
      <c r="G264" s="493" t="s">
        <v>117</v>
      </c>
      <c r="H264" s="493" t="s">
        <v>118</v>
      </c>
      <c r="I264" s="493" t="s">
        <v>119</v>
      </c>
      <c r="J264" s="493" t="s">
        <v>510</v>
      </c>
      <c r="K264" s="493" t="s">
        <v>377</v>
      </c>
      <c r="L264" s="493" t="s">
        <v>511</v>
      </c>
      <c r="M264" s="493" t="s">
        <v>512</v>
      </c>
      <c r="N264" s="493" t="s">
        <v>513</v>
      </c>
      <c r="O264" s="493">
        <v>1059520</v>
      </c>
      <c r="P264" s="439">
        <v>963200</v>
      </c>
      <c r="Q264" s="493">
        <v>96320</v>
      </c>
      <c r="R264" s="493" t="s">
        <v>124</v>
      </c>
      <c r="S264" s="493" t="s">
        <v>382</v>
      </c>
      <c r="T264" s="493" t="s">
        <v>125</v>
      </c>
      <c r="U264" s="493" t="s">
        <v>126</v>
      </c>
      <c r="V264" s="493" t="s">
        <v>127</v>
      </c>
      <c r="W264" s="493" t="s">
        <v>128</v>
      </c>
      <c r="X264" s="493" t="s">
        <v>514</v>
      </c>
      <c r="Y264" s="493" t="s">
        <v>377</v>
      </c>
      <c r="Z264" s="493" t="s">
        <v>1586</v>
      </c>
      <c r="AA264" s="493" t="s">
        <v>130</v>
      </c>
      <c r="AB264" s="493" t="s">
        <v>377</v>
      </c>
      <c r="AC264" s="493" t="s">
        <v>131</v>
      </c>
      <c r="AD264" s="493" t="s">
        <v>1613</v>
      </c>
      <c r="AE264" s="493">
        <v>963200</v>
      </c>
      <c r="AF264" s="493">
        <v>96320</v>
      </c>
      <c r="AG264" s="493" t="s">
        <v>377</v>
      </c>
      <c r="AH264" s="130">
        <f t="shared" si="54"/>
        <v>46161</v>
      </c>
      <c r="AI264" s="495"/>
      <c r="AJ264" s="439"/>
      <c r="AK264" s="121">
        <f t="shared" si="58"/>
        <v>1059520</v>
      </c>
      <c r="AL264" s="440" t="str">
        <f t="shared" ca="1" si="59"/>
        <v>관리</v>
      </c>
      <c r="AM264" s="440"/>
      <c r="AN264" s="440"/>
      <c r="AO264" s="440"/>
    </row>
    <row r="265" spans="1:41" ht="16.5" hidden="1" customHeight="1">
      <c r="A265" s="492" t="s">
        <v>1586</v>
      </c>
      <c r="B265" s="493" t="s">
        <v>1614</v>
      </c>
      <c r="C265" s="492" t="s">
        <v>1586</v>
      </c>
      <c r="D265" s="492" t="s">
        <v>1586</v>
      </c>
      <c r="E265" s="493" t="s">
        <v>116</v>
      </c>
      <c r="F265" s="493" t="s">
        <v>377</v>
      </c>
      <c r="G265" s="493" t="s">
        <v>117</v>
      </c>
      <c r="H265" s="493" t="s">
        <v>118</v>
      </c>
      <c r="I265" s="493" t="s">
        <v>119</v>
      </c>
      <c r="J265" s="493" t="s">
        <v>1615</v>
      </c>
      <c r="K265" s="493" t="s">
        <v>377</v>
      </c>
      <c r="L265" s="493" t="s">
        <v>1616</v>
      </c>
      <c r="M265" s="493" t="s">
        <v>1617</v>
      </c>
      <c r="N265" s="493" t="s">
        <v>1618</v>
      </c>
      <c r="O265" s="493">
        <v>1518000</v>
      </c>
      <c r="P265" s="439">
        <v>1380000</v>
      </c>
      <c r="Q265" s="493">
        <v>138000</v>
      </c>
      <c r="R265" s="493" t="s">
        <v>124</v>
      </c>
      <c r="S265" s="493" t="s">
        <v>382</v>
      </c>
      <c r="T265" s="493" t="s">
        <v>125</v>
      </c>
      <c r="U265" s="493" t="s">
        <v>126</v>
      </c>
      <c r="V265" s="493" t="s">
        <v>127</v>
      </c>
      <c r="W265" s="493" t="s">
        <v>128</v>
      </c>
      <c r="X265" s="493" t="s">
        <v>1619</v>
      </c>
      <c r="Y265" s="493" t="s">
        <v>377</v>
      </c>
      <c r="Z265" s="493" t="s">
        <v>1586</v>
      </c>
      <c r="AA265" s="493" t="s">
        <v>130</v>
      </c>
      <c r="AB265" s="493" t="s">
        <v>377</v>
      </c>
      <c r="AC265" s="493" t="s">
        <v>131</v>
      </c>
      <c r="AD265" s="493" t="s">
        <v>1620</v>
      </c>
      <c r="AE265" s="493">
        <v>1380000</v>
      </c>
      <c r="AF265" s="493">
        <v>138000</v>
      </c>
      <c r="AG265" s="493" t="s">
        <v>1621</v>
      </c>
      <c r="AH265" s="130">
        <f t="shared" si="54"/>
        <v>46161</v>
      </c>
      <c r="AI265" s="495">
        <v>46136</v>
      </c>
      <c r="AJ265" s="439">
        <f>P265*1.1</f>
        <v>1518000.0000000002</v>
      </c>
      <c r="AK265" s="121">
        <f t="shared" si="58"/>
        <v>0</v>
      </c>
      <c r="AL265" s="440" t="str">
        <f t="shared" ca="1" si="59"/>
        <v/>
      </c>
      <c r="AM265" s="440"/>
      <c r="AN265" s="440"/>
      <c r="AO265" s="440"/>
    </row>
    <row r="266" spans="1:41" ht="16.5" hidden="1" customHeight="1">
      <c r="A266" s="492" t="s">
        <v>1622</v>
      </c>
      <c r="B266" s="493" t="s">
        <v>1623</v>
      </c>
      <c r="C266" s="492" t="s">
        <v>1622</v>
      </c>
      <c r="D266" s="492" t="s">
        <v>1622</v>
      </c>
      <c r="E266" s="493" t="s">
        <v>116</v>
      </c>
      <c r="F266" s="493" t="s">
        <v>377</v>
      </c>
      <c r="G266" s="493" t="s">
        <v>117</v>
      </c>
      <c r="H266" s="493" t="s">
        <v>118</v>
      </c>
      <c r="I266" s="493" t="s">
        <v>119</v>
      </c>
      <c r="J266" s="493" t="s">
        <v>869</v>
      </c>
      <c r="K266" s="493" t="s">
        <v>377</v>
      </c>
      <c r="L266" s="493" t="s">
        <v>870</v>
      </c>
      <c r="M266" s="493" t="s">
        <v>871</v>
      </c>
      <c r="N266" s="493" t="s">
        <v>872</v>
      </c>
      <c r="O266" s="493">
        <v>451000</v>
      </c>
      <c r="P266" s="439">
        <v>410000</v>
      </c>
      <c r="Q266" s="493">
        <v>41000</v>
      </c>
      <c r="R266" s="493" t="s">
        <v>124</v>
      </c>
      <c r="S266" s="493" t="s">
        <v>382</v>
      </c>
      <c r="T266" s="493" t="s">
        <v>125</v>
      </c>
      <c r="U266" s="493" t="s">
        <v>126</v>
      </c>
      <c r="V266" s="493" t="s">
        <v>127</v>
      </c>
      <c r="W266" s="493" t="s">
        <v>128</v>
      </c>
      <c r="X266" s="493" t="s">
        <v>873</v>
      </c>
      <c r="Y266" s="493" t="s">
        <v>377</v>
      </c>
      <c r="Z266" s="493" t="s">
        <v>1622</v>
      </c>
      <c r="AA266" s="493" t="s">
        <v>130</v>
      </c>
      <c r="AB266" s="493" t="s">
        <v>377</v>
      </c>
      <c r="AC266" s="493" t="s">
        <v>131</v>
      </c>
      <c r="AD266" s="493" t="s">
        <v>1624</v>
      </c>
      <c r="AE266" s="493">
        <v>410000</v>
      </c>
      <c r="AF266" s="493">
        <v>41000</v>
      </c>
      <c r="AG266" s="493" t="s">
        <v>1625</v>
      </c>
      <c r="AH266" s="130">
        <f t="shared" si="54"/>
        <v>46162</v>
      </c>
      <c r="AI266" s="495">
        <v>46136</v>
      </c>
      <c r="AJ266" s="439">
        <f>P266*1.1</f>
        <v>451000.00000000006</v>
      </c>
      <c r="AK266" s="121">
        <f t="shared" si="58"/>
        <v>0</v>
      </c>
      <c r="AL266" s="440" t="str">
        <f t="shared" ca="1" si="59"/>
        <v/>
      </c>
      <c r="AM266" s="440"/>
      <c r="AN266" s="440"/>
      <c r="AO266" s="440"/>
    </row>
    <row r="267" spans="1:41" ht="16.5" hidden="1" customHeight="1">
      <c r="A267" s="492" t="s">
        <v>1622</v>
      </c>
      <c r="B267" s="493" t="s">
        <v>1626</v>
      </c>
      <c r="C267" s="492" t="s">
        <v>1622</v>
      </c>
      <c r="D267" s="492" t="s">
        <v>1622</v>
      </c>
      <c r="E267" s="493" t="s">
        <v>116</v>
      </c>
      <c r="F267" s="493" t="s">
        <v>377</v>
      </c>
      <c r="G267" s="493" t="s">
        <v>117</v>
      </c>
      <c r="H267" s="493" t="s">
        <v>118</v>
      </c>
      <c r="I267" s="493" t="s">
        <v>119</v>
      </c>
      <c r="J267" s="493" t="s">
        <v>510</v>
      </c>
      <c r="K267" s="493" t="s">
        <v>377</v>
      </c>
      <c r="L267" s="493" t="s">
        <v>511</v>
      </c>
      <c r="M267" s="493" t="s">
        <v>512</v>
      </c>
      <c r="N267" s="493" t="s">
        <v>513</v>
      </c>
      <c r="O267" s="493">
        <v>510400</v>
      </c>
      <c r="P267" s="439">
        <v>464000</v>
      </c>
      <c r="Q267" s="493">
        <v>46400</v>
      </c>
      <c r="R267" s="493" t="s">
        <v>124</v>
      </c>
      <c r="S267" s="493" t="s">
        <v>382</v>
      </c>
      <c r="T267" s="493" t="s">
        <v>125</v>
      </c>
      <c r="U267" s="493" t="s">
        <v>126</v>
      </c>
      <c r="V267" s="493" t="s">
        <v>127</v>
      </c>
      <c r="W267" s="493" t="s">
        <v>128</v>
      </c>
      <c r="X267" s="493" t="s">
        <v>514</v>
      </c>
      <c r="Y267" s="493" t="s">
        <v>377</v>
      </c>
      <c r="Z267" s="493" t="s">
        <v>1622</v>
      </c>
      <c r="AA267" s="493" t="s">
        <v>130</v>
      </c>
      <c r="AB267" s="493" t="s">
        <v>377</v>
      </c>
      <c r="AC267" s="493" t="s">
        <v>131</v>
      </c>
      <c r="AD267" s="493" t="s">
        <v>1627</v>
      </c>
      <c r="AE267" s="493">
        <v>464000</v>
      </c>
      <c r="AF267" s="493">
        <v>46400</v>
      </c>
      <c r="AG267" s="493" t="s">
        <v>1527</v>
      </c>
      <c r="AH267" s="130">
        <f t="shared" si="54"/>
        <v>46162</v>
      </c>
      <c r="AI267" s="495"/>
      <c r="AJ267" s="439"/>
      <c r="AK267" s="121">
        <f t="shared" si="58"/>
        <v>510400.00000000006</v>
      </c>
      <c r="AL267" s="440" t="str">
        <f t="shared" ca="1" si="59"/>
        <v>관리</v>
      </c>
      <c r="AM267" s="440"/>
      <c r="AN267" s="440"/>
      <c r="AO267" s="440"/>
    </row>
    <row r="268" spans="1:41" ht="16.5" hidden="1" customHeight="1">
      <c r="A268" s="492" t="s">
        <v>1622</v>
      </c>
      <c r="B268" s="493" t="s">
        <v>1628</v>
      </c>
      <c r="C268" s="492" t="s">
        <v>1622</v>
      </c>
      <c r="D268" s="492" t="s">
        <v>1622</v>
      </c>
      <c r="E268" s="493" t="s">
        <v>116</v>
      </c>
      <c r="F268" s="493" t="s">
        <v>377</v>
      </c>
      <c r="G268" s="493" t="s">
        <v>117</v>
      </c>
      <c r="H268" s="493" t="s">
        <v>118</v>
      </c>
      <c r="I268" s="493" t="s">
        <v>119</v>
      </c>
      <c r="J268" s="493" t="s">
        <v>674</v>
      </c>
      <c r="K268" s="493" t="s">
        <v>377</v>
      </c>
      <c r="L268" s="493" t="s">
        <v>675</v>
      </c>
      <c r="M268" s="493" t="s">
        <v>676</v>
      </c>
      <c r="N268" s="493" t="s">
        <v>677</v>
      </c>
      <c r="O268" s="493">
        <v>1387100</v>
      </c>
      <c r="P268" s="439">
        <v>1261000</v>
      </c>
      <c r="Q268" s="493">
        <v>126100</v>
      </c>
      <c r="R268" s="493" t="s">
        <v>124</v>
      </c>
      <c r="S268" s="493" t="s">
        <v>382</v>
      </c>
      <c r="T268" s="493" t="s">
        <v>125</v>
      </c>
      <c r="U268" s="493" t="s">
        <v>126</v>
      </c>
      <c r="V268" s="493" t="s">
        <v>127</v>
      </c>
      <c r="W268" s="493" t="s">
        <v>128</v>
      </c>
      <c r="X268" s="493" t="s">
        <v>678</v>
      </c>
      <c r="Y268" s="493" t="s">
        <v>377</v>
      </c>
      <c r="Z268" s="493" t="s">
        <v>1622</v>
      </c>
      <c r="AA268" s="493" t="s">
        <v>130</v>
      </c>
      <c r="AB268" s="493" t="s">
        <v>377</v>
      </c>
      <c r="AC268" s="493" t="s">
        <v>131</v>
      </c>
      <c r="AD268" s="493" t="s">
        <v>1629</v>
      </c>
      <c r="AE268" s="493">
        <v>1261000</v>
      </c>
      <c r="AF268" s="493">
        <v>126100</v>
      </c>
      <c r="AG268" s="493" t="s">
        <v>1630</v>
      </c>
      <c r="AH268" s="130">
        <f t="shared" si="54"/>
        <v>46162</v>
      </c>
      <c r="AI268" s="495">
        <v>46142</v>
      </c>
      <c r="AJ268" s="439">
        <f t="shared" ref="AJ268:AJ269" si="61">P268*1.1</f>
        <v>1387100</v>
      </c>
      <c r="AK268" s="121">
        <f t="shared" si="58"/>
        <v>0</v>
      </c>
      <c r="AL268" s="440" t="str">
        <f t="shared" ca="1" si="59"/>
        <v/>
      </c>
      <c r="AM268" s="440"/>
      <c r="AN268" s="440"/>
      <c r="AO268" s="440"/>
    </row>
    <row r="269" spans="1:41" ht="16.5" hidden="1" customHeight="1">
      <c r="A269" s="492" t="s">
        <v>1292</v>
      </c>
      <c r="B269" s="493" t="s">
        <v>1646</v>
      </c>
      <c r="C269" s="492" t="s">
        <v>1586</v>
      </c>
      <c r="D269" s="492" t="s">
        <v>1586</v>
      </c>
      <c r="E269" s="493" t="s">
        <v>116</v>
      </c>
      <c r="F269" s="493" t="s">
        <v>377</v>
      </c>
      <c r="G269" s="493" t="s">
        <v>117</v>
      </c>
      <c r="H269" s="493" t="s">
        <v>118</v>
      </c>
      <c r="I269" s="493" t="s">
        <v>119</v>
      </c>
      <c r="J269" s="493" t="s">
        <v>734</v>
      </c>
      <c r="K269" s="493" t="s">
        <v>377</v>
      </c>
      <c r="L269" s="493" t="s">
        <v>735</v>
      </c>
      <c r="M269" s="493" t="s">
        <v>736</v>
      </c>
      <c r="N269" s="493" t="s">
        <v>737</v>
      </c>
      <c r="O269" s="493">
        <v>4592940</v>
      </c>
      <c r="P269" s="439">
        <v>4175400</v>
      </c>
      <c r="Q269" s="493">
        <v>417540</v>
      </c>
      <c r="R269" s="493" t="s">
        <v>441</v>
      </c>
      <c r="S269" s="493" t="s">
        <v>442</v>
      </c>
      <c r="T269" s="493" t="s">
        <v>125</v>
      </c>
      <c r="U269" s="493" t="s">
        <v>1647</v>
      </c>
      <c r="V269" s="493" t="s">
        <v>127</v>
      </c>
      <c r="W269" s="493" t="s">
        <v>128</v>
      </c>
      <c r="X269" s="493" t="s">
        <v>738</v>
      </c>
      <c r="Y269" s="493" t="s">
        <v>377</v>
      </c>
      <c r="Z269" s="493" t="s">
        <v>1292</v>
      </c>
      <c r="AA269" s="493" t="s">
        <v>130</v>
      </c>
      <c r="AB269" s="493" t="s">
        <v>377</v>
      </c>
      <c r="AC269" s="493" t="s">
        <v>131</v>
      </c>
      <c r="AD269" s="493" t="s">
        <v>1648</v>
      </c>
      <c r="AE269" s="493">
        <v>4175400</v>
      </c>
      <c r="AF269" s="493">
        <v>417540</v>
      </c>
      <c r="AG269" s="493" t="s">
        <v>1554</v>
      </c>
      <c r="AH269" s="130">
        <f t="shared" si="54"/>
        <v>46147</v>
      </c>
      <c r="AI269" s="495">
        <v>46142</v>
      </c>
      <c r="AJ269" s="439">
        <f t="shared" si="61"/>
        <v>4592940</v>
      </c>
      <c r="AK269" s="121">
        <f t="shared" ref="AK269" si="62">(P269*1.1)-AJ269</f>
        <v>0</v>
      </c>
      <c r="AL269" s="440" t="str">
        <f t="shared" ca="1" si="59"/>
        <v/>
      </c>
      <c r="AM269" s="440"/>
      <c r="AN269" s="440"/>
      <c r="AO269" s="440"/>
    </row>
    <row r="270" spans="1:41" ht="16.5" hidden="1" customHeight="1">
      <c r="A270" s="492" t="s">
        <v>1622</v>
      </c>
      <c r="B270" s="493" t="s">
        <v>1649</v>
      </c>
      <c r="C270" s="492" t="s">
        <v>1622</v>
      </c>
      <c r="D270" s="492" t="s">
        <v>1622</v>
      </c>
      <c r="E270" s="493" t="s">
        <v>116</v>
      </c>
      <c r="F270" s="493" t="s">
        <v>377</v>
      </c>
      <c r="G270" s="493" t="s">
        <v>117</v>
      </c>
      <c r="H270" s="493" t="s">
        <v>118</v>
      </c>
      <c r="I270" s="493" t="s">
        <v>119</v>
      </c>
      <c r="J270" s="493" t="s">
        <v>503</v>
      </c>
      <c r="K270" s="493" t="s">
        <v>377</v>
      </c>
      <c r="L270" s="493" t="s">
        <v>504</v>
      </c>
      <c r="M270" s="493" t="s">
        <v>505</v>
      </c>
      <c r="N270" s="493" t="s">
        <v>506</v>
      </c>
      <c r="O270" s="493">
        <v>953040</v>
      </c>
      <c r="P270" s="439">
        <v>866400</v>
      </c>
      <c r="Q270" s="493">
        <v>86640</v>
      </c>
      <c r="R270" s="493" t="s">
        <v>124</v>
      </c>
      <c r="S270" s="493" t="s">
        <v>382</v>
      </c>
      <c r="T270" s="493" t="s">
        <v>125</v>
      </c>
      <c r="U270" s="493" t="s">
        <v>126</v>
      </c>
      <c r="V270" s="493" t="s">
        <v>127</v>
      </c>
      <c r="W270" s="493" t="s">
        <v>128</v>
      </c>
      <c r="X270" s="493" t="s">
        <v>507</v>
      </c>
      <c r="Y270" s="493" t="s">
        <v>377</v>
      </c>
      <c r="Z270" s="493" t="s">
        <v>1622</v>
      </c>
      <c r="AA270" s="493" t="s">
        <v>130</v>
      </c>
      <c r="AB270" s="493" t="s">
        <v>377</v>
      </c>
      <c r="AC270" s="493" t="s">
        <v>131</v>
      </c>
      <c r="AD270" s="493" t="s">
        <v>1650</v>
      </c>
      <c r="AE270" s="493">
        <v>866400</v>
      </c>
      <c r="AF270" s="493">
        <v>86640</v>
      </c>
      <c r="AG270" s="493" t="s">
        <v>1651</v>
      </c>
      <c r="AH270" s="130">
        <f t="shared" si="54"/>
        <v>46162</v>
      </c>
      <c r="AI270" s="495">
        <v>46122</v>
      </c>
      <c r="AJ270" s="439">
        <f>P270*1.1</f>
        <v>953040.00000000012</v>
      </c>
      <c r="AK270" s="121">
        <f t="shared" ref="AK270" si="63">(P270*1.1)-AJ270</f>
        <v>0</v>
      </c>
      <c r="AL270" s="440" t="str">
        <f t="shared" ca="1" si="59"/>
        <v/>
      </c>
      <c r="AM270" s="440"/>
      <c r="AN270" s="440"/>
      <c r="AO270" s="440"/>
    </row>
    <row r="271" spans="1:41" ht="16.5" hidden="1" customHeight="1">
      <c r="A271" s="492" t="s">
        <v>1622</v>
      </c>
      <c r="B271" s="493" t="s">
        <v>1652</v>
      </c>
      <c r="C271" s="492" t="s">
        <v>1622</v>
      </c>
      <c r="D271" s="492" t="s">
        <v>1622</v>
      </c>
      <c r="E271" s="493" t="s">
        <v>116</v>
      </c>
      <c r="F271" s="493" t="s">
        <v>377</v>
      </c>
      <c r="G271" s="493" t="s">
        <v>117</v>
      </c>
      <c r="H271" s="493" t="s">
        <v>118</v>
      </c>
      <c r="I271" s="493" t="s">
        <v>119</v>
      </c>
      <c r="J271" s="493" t="s">
        <v>510</v>
      </c>
      <c r="K271" s="493" t="s">
        <v>377</v>
      </c>
      <c r="L271" s="493" t="s">
        <v>511</v>
      </c>
      <c r="M271" s="493" t="s">
        <v>512</v>
      </c>
      <c r="N271" s="493" t="s">
        <v>513</v>
      </c>
      <c r="O271" s="493">
        <v>-863940</v>
      </c>
      <c r="P271" s="439">
        <v>-785400</v>
      </c>
      <c r="Q271" s="493">
        <v>-78540</v>
      </c>
      <c r="R271" s="493" t="s">
        <v>124</v>
      </c>
      <c r="S271" s="493" t="s">
        <v>382</v>
      </c>
      <c r="T271" s="493" t="s">
        <v>125</v>
      </c>
      <c r="U271" s="493" t="s">
        <v>126</v>
      </c>
      <c r="V271" s="493" t="s">
        <v>127</v>
      </c>
      <c r="W271" s="493" t="s">
        <v>128</v>
      </c>
      <c r="X271" s="493" t="s">
        <v>514</v>
      </c>
      <c r="Y271" s="493" t="s">
        <v>377</v>
      </c>
      <c r="Z271" s="493" t="s">
        <v>1622</v>
      </c>
      <c r="AA271" s="493" t="s">
        <v>1653</v>
      </c>
      <c r="AB271" s="493" t="s">
        <v>377</v>
      </c>
      <c r="AC271" s="493" t="s">
        <v>1634</v>
      </c>
      <c r="AD271" s="493" t="s">
        <v>1654</v>
      </c>
      <c r="AE271" s="493">
        <v>-785400</v>
      </c>
      <c r="AF271" s="493">
        <v>-78540</v>
      </c>
      <c r="AG271" s="493" t="s">
        <v>1655</v>
      </c>
      <c r="AH271" s="130">
        <f t="shared" si="54"/>
        <v>46162</v>
      </c>
      <c r="AI271" s="495">
        <v>46141</v>
      </c>
      <c r="AJ271" s="439">
        <f>P271*1.1</f>
        <v>-863940.00000000012</v>
      </c>
      <c r="AK271" s="121">
        <f t="shared" ref="AK271" si="64">(P271*1.1)-AJ271</f>
        <v>0</v>
      </c>
      <c r="AL271" s="440" t="str">
        <f t="shared" ca="1" si="59"/>
        <v/>
      </c>
      <c r="AM271" s="440"/>
      <c r="AN271" s="440"/>
      <c r="AO271" s="440"/>
    </row>
    <row r="272" spans="1:41" ht="16.5" hidden="1" customHeight="1">
      <c r="A272" s="492" t="s">
        <v>1686</v>
      </c>
      <c r="B272" s="493" t="s">
        <v>1687</v>
      </c>
      <c r="C272" s="492" t="s">
        <v>1686</v>
      </c>
      <c r="D272" s="492" t="s">
        <v>1686</v>
      </c>
      <c r="E272" s="493" t="s">
        <v>116</v>
      </c>
      <c r="F272" s="493" t="s">
        <v>377</v>
      </c>
      <c r="G272" s="493" t="s">
        <v>117</v>
      </c>
      <c r="H272" s="493" t="s">
        <v>118</v>
      </c>
      <c r="I272" s="493" t="s">
        <v>119</v>
      </c>
      <c r="J272" s="493" t="s">
        <v>797</v>
      </c>
      <c r="K272" s="493" t="s">
        <v>377</v>
      </c>
      <c r="L272" s="493" t="s">
        <v>798</v>
      </c>
      <c r="M272" s="493" t="s">
        <v>799</v>
      </c>
      <c r="N272" s="493" t="s">
        <v>800</v>
      </c>
      <c r="O272" s="493">
        <v>48974750</v>
      </c>
      <c r="P272" s="439">
        <v>44522500</v>
      </c>
      <c r="Q272" s="493">
        <v>4452250</v>
      </c>
      <c r="R272" s="493" t="s">
        <v>124</v>
      </c>
      <c r="S272" s="493" t="s">
        <v>382</v>
      </c>
      <c r="T272" s="493" t="s">
        <v>125</v>
      </c>
      <c r="U272" s="493" t="s">
        <v>445</v>
      </c>
      <c r="V272" s="493" t="s">
        <v>127</v>
      </c>
      <c r="W272" s="493" t="s">
        <v>128</v>
      </c>
      <c r="X272" s="493" t="s">
        <v>801</v>
      </c>
      <c r="Y272" s="493" t="s">
        <v>377</v>
      </c>
      <c r="Z272" s="493" t="s">
        <v>1686</v>
      </c>
      <c r="AA272" s="493" t="s">
        <v>130</v>
      </c>
      <c r="AB272" s="493" t="s">
        <v>377</v>
      </c>
      <c r="AC272" s="493" t="s">
        <v>131</v>
      </c>
      <c r="AD272" s="493" t="s">
        <v>1688</v>
      </c>
      <c r="AE272" s="493">
        <v>44522500</v>
      </c>
      <c r="AF272" s="493">
        <v>4452250</v>
      </c>
      <c r="AG272" s="493" t="s">
        <v>1280</v>
      </c>
      <c r="AH272" s="130">
        <f t="shared" ref="AH272:AH332" si="65">IF(A272&lt;&gt;"", A272+40, "")</f>
        <v>46165</v>
      </c>
      <c r="AI272" s="495">
        <v>46171</v>
      </c>
      <c r="AJ272" s="439">
        <f>P272*1.1</f>
        <v>48974750.000000007</v>
      </c>
      <c r="AK272" s="121">
        <f t="shared" ref="AK272:AK285" si="66">(P272*1.1)-AJ272</f>
        <v>0</v>
      </c>
      <c r="AL272" s="440" t="str">
        <f t="shared" ca="1" si="59"/>
        <v/>
      </c>
      <c r="AM272" s="440" t="s">
        <v>783</v>
      </c>
      <c r="AN272" s="440"/>
      <c r="AO272" s="440"/>
    </row>
    <row r="273" spans="1:41" ht="16.5" hidden="1" customHeight="1">
      <c r="A273" s="492" t="s">
        <v>1686</v>
      </c>
      <c r="B273" s="493" t="s">
        <v>1689</v>
      </c>
      <c r="C273" s="492" t="s">
        <v>1686</v>
      </c>
      <c r="D273" s="492" t="s">
        <v>1686</v>
      </c>
      <c r="E273" s="493" t="s">
        <v>116</v>
      </c>
      <c r="F273" s="493" t="s">
        <v>377</v>
      </c>
      <c r="G273" s="493" t="s">
        <v>117</v>
      </c>
      <c r="H273" s="493" t="s">
        <v>118</v>
      </c>
      <c r="I273" s="493" t="s">
        <v>119</v>
      </c>
      <c r="J273" s="493" t="s">
        <v>1690</v>
      </c>
      <c r="K273" s="493" t="s">
        <v>377</v>
      </c>
      <c r="L273" s="493" t="s">
        <v>1691</v>
      </c>
      <c r="M273" s="493" t="s">
        <v>1692</v>
      </c>
      <c r="N273" s="493" t="s">
        <v>1693</v>
      </c>
      <c r="O273" s="493">
        <v>11629200</v>
      </c>
      <c r="P273" s="439">
        <v>10572000</v>
      </c>
      <c r="Q273" s="493">
        <v>1057200</v>
      </c>
      <c r="R273" s="493" t="s">
        <v>124</v>
      </c>
      <c r="S273" s="493" t="s">
        <v>382</v>
      </c>
      <c r="T273" s="493" t="s">
        <v>125</v>
      </c>
      <c r="U273" s="493" t="s">
        <v>126</v>
      </c>
      <c r="V273" s="493" t="s">
        <v>127</v>
      </c>
      <c r="W273" s="493" t="s">
        <v>128</v>
      </c>
      <c r="X273" s="493" t="s">
        <v>1694</v>
      </c>
      <c r="Y273" s="493" t="s">
        <v>377</v>
      </c>
      <c r="Z273" s="493" t="s">
        <v>1686</v>
      </c>
      <c r="AA273" s="493" t="s">
        <v>130</v>
      </c>
      <c r="AB273" s="493" t="s">
        <v>377</v>
      </c>
      <c r="AC273" s="493" t="s">
        <v>131</v>
      </c>
      <c r="AD273" s="493" t="s">
        <v>1695</v>
      </c>
      <c r="AE273" s="493">
        <v>10572000</v>
      </c>
      <c r="AF273" s="493">
        <v>1057200</v>
      </c>
      <c r="AG273" s="493" t="s">
        <v>1751</v>
      </c>
      <c r="AH273" s="130">
        <f t="shared" si="65"/>
        <v>46165</v>
      </c>
      <c r="AI273" s="495">
        <v>46126</v>
      </c>
      <c r="AJ273" s="439">
        <f>P273*1.1</f>
        <v>11629200.000000002</v>
      </c>
      <c r="AK273" s="121">
        <f t="shared" si="66"/>
        <v>0</v>
      </c>
      <c r="AL273" s="440" t="str">
        <f t="shared" ca="1" si="59"/>
        <v/>
      </c>
      <c r="AM273" s="440"/>
      <c r="AN273" s="440"/>
      <c r="AO273" s="440"/>
    </row>
    <row r="274" spans="1:41" ht="16.5" hidden="1" customHeight="1">
      <c r="A274" s="492" t="s">
        <v>1686</v>
      </c>
      <c r="B274" s="493" t="s">
        <v>1696</v>
      </c>
      <c r="C274" s="492" t="s">
        <v>1686</v>
      </c>
      <c r="D274" s="492" t="s">
        <v>1686</v>
      </c>
      <c r="E274" s="493" t="s">
        <v>116</v>
      </c>
      <c r="F274" s="493" t="s">
        <v>377</v>
      </c>
      <c r="G274" s="493" t="s">
        <v>117</v>
      </c>
      <c r="H274" s="493" t="s">
        <v>118</v>
      </c>
      <c r="I274" s="493" t="s">
        <v>119</v>
      </c>
      <c r="J274" s="493" t="s">
        <v>1697</v>
      </c>
      <c r="K274" s="493" t="s">
        <v>377</v>
      </c>
      <c r="L274" s="493" t="s">
        <v>1698</v>
      </c>
      <c r="M274" s="493" t="s">
        <v>1699</v>
      </c>
      <c r="N274" s="493" t="s">
        <v>1700</v>
      </c>
      <c r="O274" s="493">
        <v>308000</v>
      </c>
      <c r="P274" s="439">
        <v>280000</v>
      </c>
      <c r="Q274" s="493">
        <v>28000</v>
      </c>
      <c r="R274" s="493" t="s">
        <v>124</v>
      </c>
      <c r="S274" s="493" t="s">
        <v>382</v>
      </c>
      <c r="T274" s="493" t="s">
        <v>125</v>
      </c>
      <c r="U274" s="493" t="s">
        <v>126</v>
      </c>
      <c r="V274" s="493" t="s">
        <v>127</v>
      </c>
      <c r="W274" s="493" t="s">
        <v>128</v>
      </c>
      <c r="X274" s="493" t="s">
        <v>1701</v>
      </c>
      <c r="Y274" s="493" t="s">
        <v>377</v>
      </c>
      <c r="Z274" s="493" t="s">
        <v>1686</v>
      </c>
      <c r="AA274" s="493" t="s">
        <v>130</v>
      </c>
      <c r="AB274" s="493" t="s">
        <v>377</v>
      </c>
      <c r="AC274" s="493" t="s">
        <v>131</v>
      </c>
      <c r="AD274" s="493" t="s">
        <v>1702</v>
      </c>
      <c r="AE274" s="493">
        <v>280000</v>
      </c>
      <c r="AF274" s="493">
        <v>28000</v>
      </c>
      <c r="AG274" s="493" t="s">
        <v>1286</v>
      </c>
      <c r="AH274" s="130">
        <f t="shared" si="65"/>
        <v>46165</v>
      </c>
      <c r="AI274" s="495">
        <v>46125</v>
      </c>
      <c r="AJ274" s="439">
        <f>P274*1.1</f>
        <v>308000</v>
      </c>
      <c r="AK274" s="121">
        <f t="shared" si="66"/>
        <v>0</v>
      </c>
      <c r="AL274" s="440" t="str">
        <f t="shared" ca="1" si="59"/>
        <v/>
      </c>
      <c r="AM274" s="440"/>
      <c r="AN274" s="440"/>
      <c r="AO274" s="440"/>
    </row>
    <row r="275" spans="1:41" ht="16.5" hidden="1" customHeight="1">
      <c r="A275" s="492" t="s">
        <v>1686</v>
      </c>
      <c r="B275" s="493" t="s">
        <v>1703</v>
      </c>
      <c r="C275" s="492" t="s">
        <v>1686</v>
      </c>
      <c r="D275" s="492" t="s">
        <v>1686</v>
      </c>
      <c r="E275" s="493" t="s">
        <v>116</v>
      </c>
      <c r="F275" s="493" t="s">
        <v>377</v>
      </c>
      <c r="G275" s="493" t="s">
        <v>117</v>
      </c>
      <c r="H275" s="493" t="s">
        <v>118</v>
      </c>
      <c r="I275" s="493" t="s">
        <v>119</v>
      </c>
      <c r="J275" s="493" t="s">
        <v>1189</v>
      </c>
      <c r="K275" s="493" t="s">
        <v>377</v>
      </c>
      <c r="L275" s="493" t="s">
        <v>1190</v>
      </c>
      <c r="M275" s="493" t="s">
        <v>1191</v>
      </c>
      <c r="N275" s="493" t="s">
        <v>1192</v>
      </c>
      <c r="O275" s="493">
        <v>8431500</v>
      </c>
      <c r="P275" s="439">
        <v>7665000</v>
      </c>
      <c r="Q275" s="493">
        <v>766500</v>
      </c>
      <c r="R275" s="493" t="s">
        <v>124</v>
      </c>
      <c r="S275" s="493" t="s">
        <v>382</v>
      </c>
      <c r="T275" s="493" t="s">
        <v>125</v>
      </c>
      <c r="U275" s="493" t="s">
        <v>126</v>
      </c>
      <c r="V275" s="493" t="s">
        <v>127</v>
      </c>
      <c r="W275" s="493" t="s">
        <v>128</v>
      </c>
      <c r="X275" s="493" t="s">
        <v>1193</v>
      </c>
      <c r="Y275" s="493" t="s">
        <v>377</v>
      </c>
      <c r="Z275" s="493" t="s">
        <v>1686</v>
      </c>
      <c r="AA275" s="493" t="s">
        <v>130</v>
      </c>
      <c r="AB275" s="493" t="s">
        <v>377</v>
      </c>
      <c r="AC275" s="493" t="s">
        <v>131</v>
      </c>
      <c r="AD275" s="493" t="s">
        <v>1704</v>
      </c>
      <c r="AE275" s="493">
        <v>7665000</v>
      </c>
      <c r="AF275" s="493">
        <v>766500</v>
      </c>
      <c r="AG275" s="493" t="s">
        <v>1205</v>
      </c>
      <c r="AH275" s="130">
        <f t="shared" si="65"/>
        <v>46165</v>
      </c>
      <c r="AI275" s="495">
        <v>46171</v>
      </c>
      <c r="AJ275" s="439">
        <f t="shared" ref="AJ275" si="67">P275*1.1</f>
        <v>8431500</v>
      </c>
      <c r="AK275" s="121">
        <f t="shared" si="66"/>
        <v>0</v>
      </c>
      <c r="AL275" s="440" t="str">
        <f t="shared" ca="1" si="59"/>
        <v/>
      </c>
      <c r="AM275" s="440"/>
      <c r="AN275" s="440"/>
      <c r="AO275" s="440"/>
    </row>
    <row r="276" spans="1:41" ht="16.5" hidden="1" customHeight="1">
      <c r="A276" s="492" t="s">
        <v>1686</v>
      </c>
      <c r="B276" s="493" t="s">
        <v>1705</v>
      </c>
      <c r="C276" s="492" t="s">
        <v>1686</v>
      </c>
      <c r="D276" s="492" t="s">
        <v>1686</v>
      </c>
      <c r="E276" s="493" t="s">
        <v>116</v>
      </c>
      <c r="F276" s="493" t="s">
        <v>377</v>
      </c>
      <c r="G276" s="493" t="s">
        <v>117</v>
      </c>
      <c r="H276" s="493" t="s">
        <v>118</v>
      </c>
      <c r="I276" s="493" t="s">
        <v>119</v>
      </c>
      <c r="J276" s="493" t="s">
        <v>1706</v>
      </c>
      <c r="K276" s="493" t="s">
        <v>377</v>
      </c>
      <c r="L276" s="493" t="s">
        <v>1707</v>
      </c>
      <c r="M276" s="493" t="s">
        <v>1708</v>
      </c>
      <c r="N276" s="493" t="s">
        <v>1709</v>
      </c>
      <c r="O276" s="493">
        <v>529210</v>
      </c>
      <c r="P276" s="439">
        <v>481100</v>
      </c>
      <c r="Q276" s="493">
        <v>48110</v>
      </c>
      <c r="R276" s="493" t="s">
        <v>124</v>
      </c>
      <c r="S276" s="493" t="s">
        <v>382</v>
      </c>
      <c r="T276" s="493" t="s">
        <v>125</v>
      </c>
      <c r="U276" s="493" t="s">
        <v>126</v>
      </c>
      <c r="V276" s="493" t="s">
        <v>127</v>
      </c>
      <c r="W276" s="493" t="s">
        <v>128</v>
      </c>
      <c r="X276" s="493" t="s">
        <v>1710</v>
      </c>
      <c r="Y276" s="493" t="s">
        <v>377</v>
      </c>
      <c r="Z276" s="493" t="s">
        <v>1686</v>
      </c>
      <c r="AA276" s="493" t="s">
        <v>130</v>
      </c>
      <c r="AB276" s="493" t="s">
        <v>377</v>
      </c>
      <c r="AC276" s="493" t="s">
        <v>131</v>
      </c>
      <c r="AD276" s="493" t="s">
        <v>1711</v>
      </c>
      <c r="AE276" s="493">
        <v>481100</v>
      </c>
      <c r="AF276" s="493">
        <v>48110</v>
      </c>
      <c r="AG276" s="493" t="s">
        <v>1744</v>
      </c>
      <c r="AH276" s="130">
        <f t="shared" si="65"/>
        <v>46165</v>
      </c>
      <c r="AI276" s="495">
        <v>46142</v>
      </c>
      <c r="AJ276" s="439">
        <f>P276*1.1</f>
        <v>529210</v>
      </c>
      <c r="AK276" s="121">
        <f t="shared" si="66"/>
        <v>0</v>
      </c>
      <c r="AL276" s="440" t="str">
        <f t="shared" ca="1" si="59"/>
        <v/>
      </c>
      <c r="AM276" s="440"/>
      <c r="AN276" s="440"/>
      <c r="AO276" s="440"/>
    </row>
    <row r="277" spans="1:41" ht="16.5" hidden="1" customHeight="1">
      <c r="A277" s="492" t="s">
        <v>1686</v>
      </c>
      <c r="B277" s="493" t="s">
        <v>1712</v>
      </c>
      <c r="C277" s="492" t="s">
        <v>1686</v>
      </c>
      <c r="D277" s="492" t="s">
        <v>1686</v>
      </c>
      <c r="E277" s="493" t="s">
        <v>116</v>
      </c>
      <c r="F277" s="493" t="s">
        <v>377</v>
      </c>
      <c r="G277" s="493" t="s">
        <v>117</v>
      </c>
      <c r="H277" s="493" t="s">
        <v>118</v>
      </c>
      <c r="I277" s="493" t="s">
        <v>119</v>
      </c>
      <c r="J277" s="493" t="s">
        <v>1270</v>
      </c>
      <c r="K277" s="493" t="s">
        <v>377</v>
      </c>
      <c r="L277" s="493" t="s">
        <v>1271</v>
      </c>
      <c r="M277" s="493" t="s">
        <v>1272</v>
      </c>
      <c r="N277" s="493" t="s">
        <v>1273</v>
      </c>
      <c r="O277" s="493">
        <v>3420450</v>
      </c>
      <c r="P277" s="439">
        <v>3109500</v>
      </c>
      <c r="Q277" s="493">
        <v>310950</v>
      </c>
      <c r="R277" s="493" t="s">
        <v>124</v>
      </c>
      <c r="S277" s="493" t="s">
        <v>382</v>
      </c>
      <c r="T277" s="493" t="s">
        <v>125</v>
      </c>
      <c r="U277" s="493" t="s">
        <v>126</v>
      </c>
      <c r="V277" s="493" t="s">
        <v>127</v>
      </c>
      <c r="W277" s="493" t="s">
        <v>128</v>
      </c>
      <c r="X277" s="493" t="s">
        <v>1274</v>
      </c>
      <c r="Y277" s="493" t="s">
        <v>377</v>
      </c>
      <c r="Z277" s="493" t="s">
        <v>1686</v>
      </c>
      <c r="AA277" s="493" t="s">
        <v>130</v>
      </c>
      <c r="AB277" s="493" t="s">
        <v>377</v>
      </c>
      <c r="AC277" s="493" t="s">
        <v>131</v>
      </c>
      <c r="AD277" s="493" t="s">
        <v>1713</v>
      </c>
      <c r="AE277" s="493">
        <v>3109500</v>
      </c>
      <c r="AF277" s="493">
        <v>310950</v>
      </c>
      <c r="AG277" s="493" t="s">
        <v>1284</v>
      </c>
      <c r="AH277" s="130">
        <f t="shared" si="65"/>
        <v>46165</v>
      </c>
      <c r="AI277" s="495">
        <v>46170</v>
      </c>
      <c r="AJ277" s="439">
        <f>P277*1.1</f>
        <v>3420450.0000000005</v>
      </c>
      <c r="AK277" s="121">
        <f t="shared" si="66"/>
        <v>0</v>
      </c>
      <c r="AL277" s="440" t="str">
        <f t="shared" ca="1" si="59"/>
        <v/>
      </c>
      <c r="AM277" s="440"/>
      <c r="AN277" s="440"/>
      <c r="AO277" s="440"/>
    </row>
    <row r="278" spans="1:41" ht="16.5" hidden="1" customHeight="1">
      <c r="A278" s="492" t="s">
        <v>1686</v>
      </c>
      <c r="B278" s="493" t="s">
        <v>1714</v>
      </c>
      <c r="C278" s="492" t="s">
        <v>1686</v>
      </c>
      <c r="D278" s="492" t="s">
        <v>1686</v>
      </c>
      <c r="E278" s="493" t="s">
        <v>116</v>
      </c>
      <c r="F278" s="493" t="s">
        <v>377</v>
      </c>
      <c r="G278" s="493" t="s">
        <v>117</v>
      </c>
      <c r="H278" s="493" t="s">
        <v>118</v>
      </c>
      <c r="I278" s="493" t="s">
        <v>119</v>
      </c>
      <c r="J278" s="493" t="s">
        <v>1715</v>
      </c>
      <c r="K278" s="493" t="s">
        <v>377</v>
      </c>
      <c r="L278" s="493" t="s">
        <v>1716</v>
      </c>
      <c r="M278" s="493" t="s">
        <v>1717</v>
      </c>
      <c r="N278" s="493" t="s">
        <v>1718</v>
      </c>
      <c r="O278" s="493">
        <v>439890</v>
      </c>
      <c r="P278" s="439">
        <v>399900</v>
      </c>
      <c r="Q278" s="493">
        <v>39990</v>
      </c>
      <c r="R278" s="493" t="s">
        <v>124</v>
      </c>
      <c r="S278" s="493" t="s">
        <v>382</v>
      </c>
      <c r="T278" s="493" t="s">
        <v>125</v>
      </c>
      <c r="U278" s="493" t="s">
        <v>126</v>
      </c>
      <c r="V278" s="493" t="s">
        <v>127</v>
      </c>
      <c r="W278" s="493" t="s">
        <v>128</v>
      </c>
      <c r="X278" s="493" t="s">
        <v>1719</v>
      </c>
      <c r="Y278" s="493" t="s">
        <v>377</v>
      </c>
      <c r="Z278" s="493" t="s">
        <v>1686</v>
      </c>
      <c r="AA278" s="493" t="s">
        <v>130</v>
      </c>
      <c r="AB278" s="493" t="s">
        <v>377</v>
      </c>
      <c r="AC278" s="493" t="s">
        <v>131</v>
      </c>
      <c r="AD278" s="493" t="s">
        <v>1720</v>
      </c>
      <c r="AE278" s="493">
        <v>399900</v>
      </c>
      <c r="AF278" s="493">
        <v>39990</v>
      </c>
      <c r="AG278" s="493" t="s">
        <v>1741</v>
      </c>
      <c r="AH278" s="130">
        <f t="shared" si="65"/>
        <v>46165</v>
      </c>
      <c r="AI278" s="495">
        <v>46171</v>
      </c>
      <c r="AJ278" s="439">
        <f>P278*1.1</f>
        <v>439890.00000000006</v>
      </c>
      <c r="AK278" s="121">
        <f t="shared" si="66"/>
        <v>0</v>
      </c>
      <c r="AL278" s="440" t="str">
        <f t="shared" ca="1" si="59"/>
        <v/>
      </c>
      <c r="AM278" s="440"/>
      <c r="AN278" s="440"/>
      <c r="AO278" s="440"/>
    </row>
    <row r="279" spans="1:41" ht="16.5" customHeight="1">
      <c r="A279" s="492" t="s">
        <v>1686</v>
      </c>
      <c r="B279" s="493" t="s">
        <v>1721</v>
      </c>
      <c r="C279" s="492" t="s">
        <v>1686</v>
      </c>
      <c r="D279" s="492" t="s">
        <v>1686</v>
      </c>
      <c r="E279" s="493" t="s">
        <v>116</v>
      </c>
      <c r="F279" s="493" t="s">
        <v>377</v>
      </c>
      <c r="G279" s="493" t="s">
        <v>117</v>
      </c>
      <c r="H279" s="493" t="s">
        <v>118</v>
      </c>
      <c r="I279" s="493" t="s">
        <v>119</v>
      </c>
      <c r="J279" s="493" t="s">
        <v>1722</v>
      </c>
      <c r="K279" s="493" t="s">
        <v>377</v>
      </c>
      <c r="L279" s="493" t="s">
        <v>1723</v>
      </c>
      <c r="M279" s="493" t="s">
        <v>1724</v>
      </c>
      <c r="N279" s="493" t="s">
        <v>1725</v>
      </c>
      <c r="O279" s="493">
        <v>5146130</v>
      </c>
      <c r="P279" s="439">
        <v>4678300</v>
      </c>
      <c r="Q279" s="493">
        <v>467830</v>
      </c>
      <c r="R279" s="493" t="s">
        <v>124</v>
      </c>
      <c r="S279" s="493" t="s">
        <v>382</v>
      </c>
      <c r="T279" s="493" t="s">
        <v>125</v>
      </c>
      <c r="U279" s="493" t="s">
        <v>126</v>
      </c>
      <c r="V279" s="493" t="s">
        <v>127</v>
      </c>
      <c r="W279" s="493" t="s">
        <v>128</v>
      </c>
      <c r="X279" s="493" t="s">
        <v>1726</v>
      </c>
      <c r="Y279" s="493" t="s">
        <v>377</v>
      </c>
      <c r="Z279" s="493" t="s">
        <v>1686</v>
      </c>
      <c r="AA279" s="493" t="s">
        <v>130</v>
      </c>
      <c r="AB279" s="493" t="s">
        <v>377</v>
      </c>
      <c r="AC279" s="493" t="s">
        <v>131</v>
      </c>
      <c r="AD279" s="493" t="s">
        <v>1727</v>
      </c>
      <c r="AE279" s="493">
        <v>4678300</v>
      </c>
      <c r="AF279" s="493">
        <v>467830</v>
      </c>
      <c r="AG279" s="493" t="s">
        <v>1745</v>
      </c>
      <c r="AH279" s="130">
        <f t="shared" si="65"/>
        <v>46165</v>
      </c>
      <c r="AI279" s="495">
        <v>46148</v>
      </c>
      <c r="AJ279" s="439"/>
      <c r="AK279" s="121">
        <f t="shared" si="66"/>
        <v>5146130</v>
      </c>
      <c r="AL279" s="440" t="str">
        <f t="shared" ca="1" si="59"/>
        <v>관리</v>
      </c>
      <c r="AM279" s="440"/>
      <c r="AN279" s="440"/>
      <c r="AO279" s="440"/>
    </row>
    <row r="280" spans="1:41" ht="16.5" customHeight="1">
      <c r="A280" s="492" t="s">
        <v>1686</v>
      </c>
      <c r="B280" s="493" t="s">
        <v>1728</v>
      </c>
      <c r="C280" s="492" t="s">
        <v>1686</v>
      </c>
      <c r="D280" s="492" t="s">
        <v>1686</v>
      </c>
      <c r="E280" s="493" t="s">
        <v>116</v>
      </c>
      <c r="F280" s="493" t="s">
        <v>377</v>
      </c>
      <c r="G280" s="493" t="s">
        <v>117</v>
      </c>
      <c r="H280" s="493" t="s">
        <v>118</v>
      </c>
      <c r="I280" s="493" t="s">
        <v>119</v>
      </c>
      <c r="J280" s="493" t="s">
        <v>1722</v>
      </c>
      <c r="K280" s="493" t="s">
        <v>377</v>
      </c>
      <c r="L280" s="493" t="s">
        <v>1723</v>
      </c>
      <c r="M280" s="493" t="s">
        <v>1724</v>
      </c>
      <c r="N280" s="493" t="s">
        <v>1725</v>
      </c>
      <c r="O280" s="493">
        <v>1035320</v>
      </c>
      <c r="P280" s="439">
        <v>941200</v>
      </c>
      <c r="Q280" s="493">
        <v>94120</v>
      </c>
      <c r="R280" s="493" t="s">
        <v>124</v>
      </c>
      <c r="S280" s="493" t="s">
        <v>382</v>
      </c>
      <c r="T280" s="493" t="s">
        <v>125</v>
      </c>
      <c r="U280" s="493" t="s">
        <v>126</v>
      </c>
      <c r="V280" s="493" t="s">
        <v>127</v>
      </c>
      <c r="W280" s="493" t="s">
        <v>128</v>
      </c>
      <c r="X280" s="493" t="s">
        <v>1726</v>
      </c>
      <c r="Y280" s="493" t="s">
        <v>377</v>
      </c>
      <c r="Z280" s="493" t="s">
        <v>1686</v>
      </c>
      <c r="AA280" s="493" t="s">
        <v>130</v>
      </c>
      <c r="AB280" s="493" t="s">
        <v>377</v>
      </c>
      <c r="AC280" s="493" t="s">
        <v>131</v>
      </c>
      <c r="AD280" s="493" t="s">
        <v>1729</v>
      </c>
      <c r="AE280" s="493">
        <v>941200</v>
      </c>
      <c r="AF280" s="493">
        <v>94120</v>
      </c>
      <c r="AG280" s="493" t="s">
        <v>1746</v>
      </c>
      <c r="AH280" s="130">
        <f t="shared" si="65"/>
        <v>46165</v>
      </c>
      <c r="AI280" s="495">
        <v>46148</v>
      </c>
      <c r="AJ280" s="439"/>
      <c r="AK280" s="121">
        <f t="shared" si="66"/>
        <v>1035320.0000000001</v>
      </c>
      <c r="AL280" s="440" t="str">
        <f t="shared" ca="1" si="59"/>
        <v>관리</v>
      </c>
      <c r="AM280" s="440"/>
      <c r="AN280" s="440"/>
      <c r="AO280" s="440"/>
    </row>
    <row r="281" spans="1:41" ht="16.5" hidden="1" customHeight="1">
      <c r="A281" s="492" t="s">
        <v>1686</v>
      </c>
      <c r="B281" s="493" t="s">
        <v>1730</v>
      </c>
      <c r="C281" s="492" t="s">
        <v>1686</v>
      </c>
      <c r="D281" s="492" t="s">
        <v>1686</v>
      </c>
      <c r="E281" s="493" t="s">
        <v>116</v>
      </c>
      <c r="F281" s="493" t="s">
        <v>377</v>
      </c>
      <c r="G281" s="493" t="s">
        <v>117</v>
      </c>
      <c r="H281" s="493" t="s">
        <v>118</v>
      </c>
      <c r="I281" s="493" t="s">
        <v>119</v>
      </c>
      <c r="J281" s="493" t="s">
        <v>519</v>
      </c>
      <c r="K281" s="493" t="s">
        <v>377</v>
      </c>
      <c r="L281" s="493" t="s">
        <v>520</v>
      </c>
      <c r="M281" s="493" t="s">
        <v>521</v>
      </c>
      <c r="N281" s="493" t="s">
        <v>522</v>
      </c>
      <c r="O281" s="493">
        <v>2074380</v>
      </c>
      <c r="P281" s="439">
        <v>1885800</v>
      </c>
      <c r="Q281" s="493">
        <v>188580</v>
      </c>
      <c r="R281" s="493" t="s">
        <v>124</v>
      </c>
      <c r="S281" s="493" t="s">
        <v>382</v>
      </c>
      <c r="T281" s="493" t="s">
        <v>125</v>
      </c>
      <c r="U281" s="493" t="s">
        <v>126</v>
      </c>
      <c r="V281" s="493" t="s">
        <v>127</v>
      </c>
      <c r="W281" s="493" t="s">
        <v>128</v>
      </c>
      <c r="X281" s="493" t="s">
        <v>523</v>
      </c>
      <c r="Y281" s="493" t="s">
        <v>377</v>
      </c>
      <c r="Z281" s="493" t="s">
        <v>1686</v>
      </c>
      <c r="AA281" s="493" t="s">
        <v>130</v>
      </c>
      <c r="AB281" s="493" t="s">
        <v>377</v>
      </c>
      <c r="AC281" s="493" t="s">
        <v>131</v>
      </c>
      <c r="AD281" s="493" t="s">
        <v>1731</v>
      </c>
      <c r="AE281" s="493">
        <v>1885800</v>
      </c>
      <c r="AF281" s="493">
        <v>188580</v>
      </c>
      <c r="AG281" s="493" t="s">
        <v>1636</v>
      </c>
      <c r="AH281" s="130">
        <f t="shared" si="65"/>
        <v>46165</v>
      </c>
      <c r="AI281" s="495">
        <v>46126</v>
      </c>
      <c r="AJ281" s="439">
        <f>P281*1.1</f>
        <v>2074380.0000000002</v>
      </c>
      <c r="AK281" s="121">
        <f t="shared" si="66"/>
        <v>0</v>
      </c>
      <c r="AL281" s="440" t="str">
        <f t="shared" ca="1" si="59"/>
        <v/>
      </c>
      <c r="AM281" s="440"/>
      <c r="AN281" s="440"/>
      <c r="AO281" s="440"/>
    </row>
    <row r="282" spans="1:41" ht="16.5" hidden="1" customHeight="1">
      <c r="A282" s="492" t="s">
        <v>1686</v>
      </c>
      <c r="B282" s="493" t="s">
        <v>1732</v>
      </c>
      <c r="C282" s="492" t="s">
        <v>1686</v>
      </c>
      <c r="D282" s="492" t="s">
        <v>1686</v>
      </c>
      <c r="E282" s="493" t="s">
        <v>116</v>
      </c>
      <c r="F282" s="493" t="s">
        <v>377</v>
      </c>
      <c r="G282" s="493" t="s">
        <v>117</v>
      </c>
      <c r="H282" s="493" t="s">
        <v>118</v>
      </c>
      <c r="I282" s="493" t="s">
        <v>119</v>
      </c>
      <c r="J282" s="493" t="s">
        <v>628</v>
      </c>
      <c r="K282" s="493" t="s">
        <v>377</v>
      </c>
      <c r="L282" s="493" t="s">
        <v>629</v>
      </c>
      <c r="M282" s="493" t="s">
        <v>630</v>
      </c>
      <c r="N282" s="493" t="s">
        <v>631</v>
      </c>
      <c r="O282" s="493">
        <v>365640</v>
      </c>
      <c r="P282" s="439">
        <v>332400</v>
      </c>
      <c r="Q282" s="493">
        <v>33240</v>
      </c>
      <c r="R282" s="493" t="s">
        <v>124</v>
      </c>
      <c r="S282" s="493" t="s">
        <v>382</v>
      </c>
      <c r="T282" s="493" t="s">
        <v>125</v>
      </c>
      <c r="U282" s="493" t="s">
        <v>126</v>
      </c>
      <c r="V282" s="493" t="s">
        <v>127</v>
      </c>
      <c r="W282" s="493" t="s">
        <v>128</v>
      </c>
      <c r="X282" s="493" t="s">
        <v>632</v>
      </c>
      <c r="Y282" s="493" t="s">
        <v>377</v>
      </c>
      <c r="Z282" s="493" t="s">
        <v>1686</v>
      </c>
      <c r="AA282" s="493" t="s">
        <v>130</v>
      </c>
      <c r="AB282" s="493" t="s">
        <v>377</v>
      </c>
      <c r="AC282" s="493" t="s">
        <v>131</v>
      </c>
      <c r="AD282" s="493" t="s">
        <v>1733</v>
      </c>
      <c r="AE282" s="493">
        <v>332400</v>
      </c>
      <c r="AF282" s="493">
        <v>33240</v>
      </c>
      <c r="AG282" s="493" t="s">
        <v>1747</v>
      </c>
      <c r="AH282" s="130">
        <f t="shared" si="65"/>
        <v>46165</v>
      </c>
      <c r="AI282" s="495"/>
      <c r="AJ282" s="439"/>
      <c r="AK282" s="121">
        <f t="shared" si="66"/>
        <v>365640.00000000006</v>
      </c>
      <c r="AL282" s="440" t="str">
        <f t="shared" ca="1" si="59"/>
        <v>관리</v>
      </c>
      <c r="AM282" s="440"/>
      <c r="AN282" s="440"/>
      <c r="AO282" s="440"/>
    </row>
    <row r="283" spans="1:41" ht="16.5" hidden="1" customHeight="1">
      <c r="A283" s="492" t="s">
        <v>1686</v>
      </c>
      <c r="B283" s="493" t="s">
        <v>1734</v>
      </c>
      <c r="C283" s="492" t="s">
        <v>1686</v>
      </c>
      <c r="D283" s="492" t="s">
        <v>1686</v>
      </c>
      <c r="E283" s="493" t="s">
        <v>116</v>
      </c>
      <c r="F283" s="493" t="s">
        <v>377</v>
      </c>
      <c r="G283" s="493" t="s">
        <v>117</v>
      </c>
      <c r="H283" s="493" t="s">
        <v>118</v>
      </c>
      <c r="I283" s="493" t="s">
        <v>119</v>
      </c>
      <c r="J283" s="493" t="s">
        <v>1173</v>
      </c>
      <c r="K283" s="493" t="s">
        <v>377</v>
      </c>
      <c r="L283" s="493" t="s">
        <v>1174</v>
      </c>
      <c r="M283" s="493" t="s">
        <v>1175</v>
      </c>
      <c r="N283" s="493" t="s">
        <v>1176</v>
      </c>
      <c r="O283" s="493">
        <v>1379400</v>
      </c>
      <c r="P283" s="439">
        <v>1254000</v>
      </c>
      <c r="Q283" s="493">
        <v>125400</v>
      </c>
      <c r="R283" s="493" t="s">
        <v>124</v>
      </c>
      <c r="S283" s="493" t="s">
        <v>382</v>
      </c>
      <c r="T283" s="493" t="s">
        <v>125</v>
      </c>
      <c r="U283" s="493" t="s">
        <v>126</v>
      </c>
      <c r="V283" s="493" t="s">
        <v>127</v>
      </c>
      <c r="W283" s="493" t="s">
        <v>128</v>
      </c>
      <c r="X283" s="493" t="s">
        <v>1177</v>
      </c>
      <c r="Y283" s="493" t="s">
        <v>377</v>
      </c>
      <c r="Z283" s="493" t="s">
        <v>1686</v>
      </c>
      <c r="AA283" s="493" t="s">
        <v>130</v>
      </c>
      <c r="AB283" s="493" t="s">
        <v>377</v>
      </c>
      <c r="AC283" s="493" t="s">
        <v>131</v>
      </c>
      <c r="AD283" s="493" t="s">
        <v>1735</v>
      </c>
      <c r="AE283" s="493">
        <v>1254000</v>
      </c>
      <c r="AF283" s="493">
        <v>125400</v>
      </c>
      <c r="AG283" s="493" t="s">
        <v>1748</v>
      </c>
      <c r="AH283" s="130">
        <f t="shared" si="65"/>
        <v>46165</v>
      </c>
      <c r="AI283" s="495">
        <v>46126</v>
      </c>
      <c r="AJ283" s="439">
        <f>P283*1.1</f>
        <v>1379400</v>
      </c>
      <c r="AK283" s="121">
        <f t="shared" si="66"/>
        <v>0</v>
      </c>
      <c r="AL283" s="440" t="str">
        <f t="shared" ca="1" si="59"/>
        <v/>
      </c>
      <c r="AM283" s="440"/>
      <c r="AN283" s="440"/>
      <c r="AO283" s="440"/>
    </row>
    <row r="284" spans="1:41" ht="16.5" hidden="1" customHeight="1">
      <c r="A284" s="492" t="s">
        <v>1686</v>
      </c>
      <c r="B284" s="493" t="s">
        <v>1736</v>
      </c>
      <c r="C284" s="492" t="s">
        <v>1686</v>
      </c>
      <c r="D284" s="492" t="s">
        <v>1686</v>
      </c>
      <c r="E284" s="493" t="s">
        <v>116</v>
      </c>
      <c r="F284" s="493" t="s">
        <v>377</v>
      </c>
      <c r="G284" s="493" t="s">
        <v>117</v>
      </c>
      <c r="H284" s="493" t="s">
        <v>118</v>
      </c>
      <c r="I284" s="493" t="s">
        <v>119</v>
      </c>
      <c r="J284" s="493" t="s">
        <v>1403</v>
      </c>
      <c r="K284" s="493" t="s">
        <v>377</v>
      </c>
      <c r="L284" s="493" t="s">
        <v>1404</v>
      </c>
      <c r="M284" s="493" t="s">
        <v>1405</v>
      </c>
      <c r="N284" s="493" t="s">
        <v>1406</v>
      </c>
      <c r="O284" s="493">
        <v>8448000</v>
      </c>
      <c r="P284" s="439">
        <v>7680000</v>
      </c>
      <c r="Q284" s="493">
        <v>768000</v>
      </c>
      <c r="R284" s="493" t="s">
        <v>124</v>
      </c>
      <c r="S284" s="493" t="s">
        <v>382</v>
      </c>
      <c r="T284" s="493" t="s">
        <v>125</v>
      </c>
      <c r="U284" s="493" t="s">
        <v>126</v>
      </c>
      <c r="V284" s="493" t="s">
        <v>127</v>
      </c>
      <c r="W284" s="493" t="s">
        <v>128</v>
      </c>
      <c r="X284" s="493" t="s">
        <v>1407</v>
      </c>
      <c r="Y284" s="493" t="s">
        <v>377</v>
      </c>
      <c r="Z284" s="493" t="s">
        <v>1686</v>
      </c>
      <c r="AA284" s="493" t="s">
        <v>130</v>
      </c>
      <c r="AB284" s="493" t="s">
        <v>377</v>
      </c>
      <c r="AC284" s="493" t="s">
        <v>131</v>
      </c>
      <c r="AD284" s="493" t="s">
        <v>1737</v>
      </c>
      <c r="AE284" s="493">
        <v>7680000</v>
      </c>
      <c r="AF284" s="493">
        <v>768000</v>
      </c>
      <c r="AG284" s="493" t="s">
        <v>1749</v>
      </c>
      <c r="AH284" s="130">
        <f t="shared" si="65"/>
        <v>46165</v>
      </c>
      <c r="AI284" s="495"/>
      <c r="AJ284" s="439"/>
      <c r="AK284" s="121">
        <f t="shared" si="66"/>
        <v>8448000</v>
      </c>
      <c r="AL284" s="440" t="str">
        <f t="shared" ca="1" si="59"/>
        <v>관리</v>
      </c>
      <c r="AM284" s="440"/>
      <c r="AN284" s="440"/>
      <c r="AO284" s="440"/>
    </row>
    <row r="285" spans="1:41" ht="16.5" hidden="1" customHeight="1">
      <c r="A285" s="492" t="s">
        <v>1686</v>
      </c>
      <c r="B285" s="493" t="s">
        <v>1738</v>
      </c>
      <c r="C285" s="492" t="s">
        <v>1686</v>
      </c>
      <c r="D285" s="492" t="s">
        <v>1686</v>
      </c>
      <c r="E285" s="493" t="s">
        <v>1739</v>
      </c>
      <c r="F285" s="493" t="s">
        <v>377</v>
      </c>
      <c r="G285" s="493" t="s">
        <v>117</v>
      </c>
      <c r="H285" s="493" t="s">
        <v>118</v>
      </c>
      <c r="I285" s="493" t="s">
        <v>119</v>
      </c>
      <c r="J285" s="493" t="s">
        <v>636</v>
      </c>
      <c r="K285" s="493" t="s">
        <v>377</v>
      </c>
      <c r="L285" s="493" t="s">
        <v>637</v>
      </c>
      <c r="M285" s="493" t="s">
        <v>638</v>
      </c>
      <c r="N285" s="493" t="s">
        <v>639</v>
      </c>
      <c r="O285" s="493">
        <v>792220</v>
      </c>
      <c r="P285" s="439">
        <v>720200</v>
      </c>
      <c r="Q285" s="493">
        <v>72020</v>
      </c>
      <c r="R285" s="493" t="s">
        <v>124</v>
      </c>
      <c r="S285" s="493" t="s">
        <v>382</v>
      </c>
      <c r="T285" s="493" t="s">
        <v>125</v>
      </c>
      <c r="U285" s="493" t="s">
        <v>126</v>
      </c>
      <c r="V285" s="493" t="s">
        <v>127</v>
      </c>
      <c r="W285" s="493" t="s">
        <v>128</v>
      </c>
      <c r="X285" s="493" t="s">
        <v>640</v>
      </c>
      <c r="Y285" s="493" t="s">
        <v>377</v>
      </c>
      <c r="Z285" s="493" t="s">
        <v>1686</v>
      </c>
      <c r="AA285" s="493" t="s">
        <v>130</v>
      </c>
      <c r="AB285" s="493" t="s">
        <v>377</v>
      </c>
      <c r="AC285" s="493" t="s">
        <v>131</v>
      </c>
      <c r="AD285" s="493" t="s">
        <v>1740</v>
      </c>
      <c r="AE285" s="493">
        <v>720200</v>
      </c>
      <c r="AF285" s="493">
        <v>72020</v>
      </c>
      <c r="AG285" s="493" t="s">
        <v>1750</v>
      </c>
      <c r="AH285" s="130">
        <f t="shared" si="65"/>
        <v>46165</v>
      </c>
      <c r="AI285" s="495"/>
      <c r="AJ285" s="439"/>
      <c r="AK285" s="121">
        <f t="shared" si="66"/>
        <v>792220.00000000012</v>
      </c>
      <c r="AL285" s="440" t="str">
        <f t="shared" ca="1" si="59"/>
        <v>관리</v>
      </c>
      <c r="AM285" s="440"/>
      <c r="AN285" s="440"/>
      <c r="AO285" s="440"/>
    </row>
    <row r="286" spans="1:41" ht="16.5" hidden="1" customHeight="1">
      <c r="A286" s="492" t="s">
        <v>1662</v>
      </c>
      <c r="B286" s="493" t="s">
        <v>1755</v>
      </c>
      <c r="C286" s="492" t="s">
        <v>1662</v>
      </c>
      <c r="D286" s="492" t="s">
        <v>1662</v>
      </c>
      <c r="E286" s="493" t="s">
        <v>116</v>
      </c>
      <c r="F286" s="493" t="s">
        <v>377</v>
      </c>
      <c r="G286" s="493" t="s">
        <v>117</v>
      </c>
      <c r="H286" s="493" t="s">
        <v>118</v>
      </c>
      <c r="I286" s="493" t="s">
        <v>119</v>
      </c>
      <c r="J286" s="493" t="s">
        <v>636</v>
      </c>
      <c r="K286" s="493" t="s">
        <v>377</v>
      </c>
      <c r="L286" s="493" t="s">
        <v>637</v>
      </c>
      <c r="M286" s="493" t="s">
        <v>638</v>
      </c>
      <c r="N286" s="493" t="s">
        <v>639</v>
      </c>
      <c r="O286" s="493">
        <v>882200</v>
      </c>
      <c r="P286" s="439">
        <v>802000</v>
      </c>
      <c r="Q286" s="493">
        <v>80200</v>
      </c>
      <c r="R286" s="493" t="s">
        <v>124</v>
      </c>
      <c r="S286" s="493" t="s">
        <v>382</v>
      </c>
      <c r="T286" s="493" t="s">
        <v>125</v>
      </c>
      <c r="U286" s="493" t="s">
        <v>126</v>
      </c>
      <c r="V286" s="493" t="s">
        <v>127</v>
      </c>
      <c r="W286" s="493" t="s">
        <v>128</v>
      </c>
      <c r="X286" s="493" t="s">
        <v>640</v>
      </c>
      <c r="Y286" s="493" t="s">
        <v>377</v>
      </c>
      <c r="Z286" s="493" t="s">
        <v>1662</v>
      </c>
      <c r="AA286" s="493" t="s">
        <v>130</v>
      </c>
      <c r="AB286" s="493" t="s">
        <v>377</v>
      </c>
      <c r="AC286" s="493" t="s">
        <v>131</v>
      </c>
      <c r="AD286" s="493" t="s">
        <v>1756</v>
      </c>
      <c r="AE286" s="493">
        <v>802000</v>
      </c>
      <c r="AF286" s="493">
        <v>80200</v>
      </c>
      <c r="AG286" s="493" t="s">
        <v>1750</v>
      </c>
      <c r="AH286" s="130">
        <f t="shared" si="65"/>
        <v>46166</v>
      </c>
      <c r="AI286" s="495"/>
      <c r="AJ286" s="439"/>
      <c r="AK286" s="121">
        <f t="shared" ref="AK286:AK294" si="68">(P286*1.1)-AJ286</f>
        <v>882200.00000000012</v>
      </c>
      <c r="AL286" s="440" t="str">
        <f t="shared" ca="1" si="59"/>
        <v>관리</v>
      </c>
      <c r="AM286" s="440"/>
      <c r="AN286" s="440"/>
      <c r="AO286" s="440"/>
    </row>
    <row r="287" spans="1:41" ht="16.5" hidden="1" customHeight="1">
      <c r="A287" s="492" t="s">
        <v>1662</v>
      </c>
      <c r="B287" s="493" t="s">
        <v>1757</v>
      </c>
      <c r="C287" s="492" t="s">
        <v>1662</v>
      </c>
      <c r="D287" s="492" t="s">
        <v>1662</v>
      </c>
      <c r="E287" s="493" t="s">
        <v>116</v>
      </c>
      <c r="F287" s="493" t="s">
        <v>377</v>
      </c>
      <c r="G287" s="493" t="s">
        <v>117</v>
      </c>
      <c r="H287" s="493" t="s">
        <v>118</v>
      </c>
      <c r="I287" s="493" t="s">
        <v>119</v>
      </c>
      <c r="J287" s="493" t="s">
        <v>1545</v>
      </c>
      <c r="K287" s="493" t="s">
        <v>377</v>
      </c>
      <c r="L287" s="493" t="s">
        <v>1546</v>
      </c>
      <c r="M287" s="493" t="s">
        <v>1547</v>
      </c>
      <c r="N287" s="493" t="s">
        <v>1548</v>
      </c>
      <c r="O287" s="493">
        <v>1089000</v>
      </c>
      <c r="P287" s="439">
        <v>990000</v>
      </c>
      <c r="Q287" s="493">
        <v>99000</v>
      </c>
      <c r="R287" s="493" t="s">
        <v>124</v>
      </c>
      <c r="S287" s="493" t="s">
        <v>382</v>
      </c>
      <c r="T287" s="493" t="s">
        <v>125</v>
      </c>
      <c r="U287" s="493" t="s">
        <v>445</v>
      </c>
      <c r="V287" s="493" t="s">
        <v>127</v>
      </c>
      <c r="W287" s="493" t="s">
        <v>128</v>
      </c>
      <c r="X287" s="493" t="s">
        <v>1549</v>
      </c>
      <c r="Y287" s="493" t="s">
        <v>377</v>
      </c>
      <c r="Z287" s="493" t="s">
        <v>1662</v>
      </c>
      <c r="AA287" s="493" t="s">
        <v>130</v>
      </c>
      <c r="AB287" s="493" t="s">
        <v>377</v>
      </c>
      <c r="AC287" s="493" t="s">
        <v>131</v>
      </c>
      <c r="AD287" s="493" t="s">
        <v>1758</v>
      </c>
      <c r="AE287" s="493">
        <v>990000</v>
      </c>
      <c r="AF287" s="493">
        <v>99000</v>
      </c>
      <c r="AG287" s="493" t="s">
        <v>1769</v>
      </c>
      <c r="AH287" s="130">
        <f t="shared" si="65"/>
        <v>46166</v>
      </c>
      <c r="AI287" s="495"/>
      <c r="AJ287" s="439"/>
      <c r="AK287" s="121">
        <f t="shared" si="68"/>
        <v>1089000</v>
      </c>
      <c r="AL287" s="440" t="str">
        <f t="shared" ca="1" si="59"/>
        <v>관리</v>
      </c>
      <c r="AM287" s="440" t="s">
        <v>783</v>
      </c>
      <c r="AN287" s="440"/>
      <c r="AO287" s="440"/>
    </row>
    <row r="288" spans="1:41" ht="16.5" hidden="1" customHeight="1">
      <c r="A288" s="492" t="s">
        <v>1662</v>
      </c>
      <c r="B288" s="493" t="s">
        <v>1759</v>
      </c>
      <c r="C288" s="492" t="s">
        <v>1662</v>
      </c>
      <c r="D288" s="492" t="s">
        <v>1662</v>
      </c>
      <c r="E288" s="493" t="s">
        <v>116</v>
      </c>
      <c r="F288" s="493" t="s">
        <v>377</v>
      </c>
      <c r="G288" s="493" t="s">
        <v>117</v>
      </c>
      <c r="H288" s="493" t="s">
        <v>118</v>
      </c>
      <c r="I288" s="493" t="s">
        <v>119</v>
      </c>
      <c r="J288" s="493" t="s">
        <v>1760</v>
      </c>
      <c r="K288" s="493" t="s">
        <v>377</v>
      </c>
      <c r="L288" s="493" t="s">
        <v>1761</v>
      </c>
      <c r="M288" s="493" t="s">
        <v>1762</v>
      </c>
      <c r="N288" s="493" t="s">
        <v>1763</v>
      </c>
      <c r="O288" s="493">
        <v>3951530</v>
      </c>
      <c r="P288" s="439">
        <v>3592300</v>
      </c>
      <c r="Q288" s="493">
        <v>359230</v>
      </c>
      <c r="R288" s="493" t="s">
        <v>124</v>
      </c>
      <c r="S288" s="493" t="s">
        <v>382</v>
      </c>
      <c r="T288" s="493" t="s">
        <v>125</v>
      </c>
      <c r="U288" s="493" t="s">
        <v>126</v>
      </c>
      <c r="V288" s="493" t="s">
        <v>127</v>
      </c>
      <c r="W288" s="493" t="s">
        <v>128</v>
      </c>
      <c r="X288" s="493" t="s">
        <v>1764</v>
      </c>
      <c r="Y288" s="493" t="s">
        <v>377</v>
      </c>
      <c r="Z288" s="493" t="s">
        <v>1662</v>
      </c>
      <c r="AA288" s="493" t="s">
        <v>130</v>
      </c>
      <c r="AB288" s="493" t="s">
        <v>377</v>
      </c>
      <c r="AC288" s="493" t="s">
        <v>131</v>
      </c>
      <c r="AD288" s="493" t="s">
        <v>1765</v>
      </c>
      <c r="AE288" s="493">
        <v>3592300</v>
      </c>
      <c r="AF288" s="493">
        <v>359230</v>
      </c>
      <c r="AG288" s="493" t="s">
        <v>1770</v>
      </c>
      <c r="AH288" s="130">
        <f t="shared" si="65"/>
        <v>46166</v>
      </c>
      <c r="AI288" s="495">
        <v>46126</v>
      </c>
      <c r="AJ288" s="439">
        <f>P288*1.1</f>
        <v>3951530.0000000005</v>
      </c>
      <c r="AK288" s="121">
        <f t="shared" si="68"/>
        <v>0</v>
      </c>
      <c r="AL288" s="440" t="str">
        <f t="shared" ca="1" si="59"/>
        <v/>
      </c>
      <c r="AM288" s="440"/>
      <c r="AN288" s="440"/>
      <c r="AO288" s="440"/>
    </row>
    <row r="289" spans="1:41" ht="16.5" hidden="1" customHeight="1">
      <c r="A289" s="492" t="s">
        <v>1662</v>
      </c>
      <c r="B289" s="493" t="s">
        <v>1766</v>
      </c>
      <c r="C289" s="492" t="s">
        <v>1662</v>
      </c>
      <c r="D289" s="492" t="s">
        <v>1662</v>
      </c>
      <c r="E289" s="493" t="s">
        <v>116</v>
      </c>
      <c r="F289" s="493" t="s">
        <v>377</v>
      </c>
      <c r="G289" s="493" t="s">
        <v>117</v>
      </c>
      <c r="H289" s="493" t="s">
        <v>118</v>
      </c>
      <c r="I289" s="493" t="s">
        <v>119</v>
      </c>
      <c r="J289" s="493" t="s">
        <v>1173</v>
      </c>
      <c r="K289" s="493" t="s">
        <v>377</v>
      </c>
      <c r="L289" s="493" t="s">
        <v>1174</v>
      </c>
      <c r="M289" s="493" t="s">
        <v>1175</v>
      </c>
      <c r="N289" s="493" t="s">
        <v>1176</v>
      </c>
      <c r="O289" s="493">
        <v>12100000</v>
      </c>
      <c r="P289" s="439">
        <v>11000000</v>
      </c>
      <c r="Q289" s="493">
        <v>1100000</v>
      </c>
      <c r="R289" s="493" t="s">
        <v>124</v>
      </c>
      <c r="S289" s="493" t="s">
        <v>382</v>
      </c>
      <c r="T289" s="493" t="s">
        <v>125</v>
      </c>
      <c r="U289" s="493" t="s">
        <v>126</v>
      </c>
      <c r="V289" s="493" t="s">
        <v>127</v>
      </c>
      <c r="W289" s="493" t="s">
        <v>128</v>
      </c>
      <c r="X289" s="493" t="s">
        <v>1177</v>
      </c>
      <c r="Y289" s="493" t="s">
        <v>377</v>
      </c>
      <c r="Z289" s="493" t="s">
        <v>1662</v>
      </c>
      <c r="AA289" s="493" t="s">
        <v>130</v>
      </c>
      <c r="AB289" s="493" t="s">
        <v>377</v>
      </c>
      <c r="AC289" s="493" t="s">
        <v>131</v>
      </c>
      <c r="AD289" s="493" t="s">
        <v>926</v>
      </c>
      <c r="AE289" s="493">
        <v>11000000</v>
      </c>
      <c r="AF289" s="493">
        <v>1100000</v>
      </c>
      <c r="AG289" s="493" t="s">
        <v>1748</v>
      </c>
      <c r="AH289" s="130">
        <f t="shared" si="65"/>
        <v>46166</v>
      </c>
      <c r="AI289" s="495">
        <v>46126</v>
      </c>
      <c r="AJ289" s="439">
        <f>P289*1.1</f>
        <v>12100000.000000002</v>
      </c>
      <c r="AK289" s="121">
        <f t="shared" si="68"/>
        <v>0</v>
      </c>
      <c r="AL289" s="440" t="str">
        <f t="shared" ca="1" si="59"/>
        <v/>
      </c>
      <c r="AM289" s="440"/>
      <c r="AN289" s="440"/>
      <c r="AO289" s="440"/>
    </row>
    <row r="290" spans="1:41" ht="16.5" hidden="1" customHeight="1">
      <c r="A290" s="492" t="s">
        <v>1662</v>
      </c>
      <c r="B290" s="493" t="s">
        <v>1767</v>
      </c>
      <c r="C290" s="492" t="s">
        <v>1662</v>
      </c>
      <c r="D290" s="492" t="s">
        <v>1662</v>
      </c>
      <c r="E290" s="493" t="s">
        <v>116</v>
      </c>
      <c r="F290" s="493" t="s">
        <v>377</v>
      </c>
      <c r="G290" s="493" t="s">
        <v>117</v>
      </c>
      <c r="H290" s="493" t="s">
        <v>118</v>
      </c>
      <c r="I290" s="493" t="s">
        <v>119</v>
      </c>
      <c r="J290" s="493" t="s">
        <v>949</v>
      </c>
      <c r="K290" s="493" t="s">
        <v>377</v>
      </c>
      <c r="L290" s="493" t="s">
        <v>86</v>
      </c>
      <c r="M290" s="493" t="s">
        <v>950</v>
      </c>
      <c r="N290" s="493" t="s">
        <v>951</v>
      </c>
      <c r="O290" s="493">
        <v>12425160</v>
      </c>
      <c r="P290" s="439">
        <v>11295600</v>
      </c>
      <c r="Q290" s="493">
        <v>1129560</v>
      </c>
      <c r="R290" s="493" t="s">
        <v>124</v>
      </c>
      <c r="S290" s="493" t="s">
        <v>382</v>
      </c>
      <c r="T290" s="493" t="s">
        <v>125</v>
      </c>
      <c r="U290" s="493" t="s">
        <v>126</v>
      </c>
      <c r="V290" s="493" t="s">
        <v>127</v>
      </c>
      <c r="W290" s="493" t="s">
        <v>128</v>
      </c>
      <c r="X290" s="493" t="s">
        <v>952</v>
      </c>
      <c r="Y290" s="493" t="s">
        <v>377</v>
      </c>
      <c r="Z290" s="493" t="s">
        <v>1662</v>
      </c>
      <c r="AA290" s="493" t="s">
        <v>130</v>
      </c>
      <c r="AB290" s="493" t="s">
        <v>377</v>
      </c>
      <c r="AC290" s="493" t="s">
        <v>131</v>
      </c>
      <c r="AD290" s="493" t="s">
        <v>1768</v>
      </c>
      <c r="AE290" s="493">
        <v>11295600</v>
      </c>
      <c r="AF290" s="493">
        <v>1129560</v>
      </c>
      <c r="AG290" s="493" t="s">
        <v>1771</v>
      </c>
      <c r="AH290" s="130">
        <f t="shared" si="65"/>
        <v>46166</v>
      </c>
      <c r="AI290" s="495"/>
      <c r="AJ290" s="439"/>
      <c r="AK290" s="121">
        <f t="shared" si="68"/>
        <v>12425160.000000002</v>
      </c>
      <c r="AL290" s="440" t="str">
        <f t="shared" ca="1" si="59"/>
        <v>관리</v>
      </c>
      <c r="AM290" s="440"/>
      <c r="AN290" s="440"/>
      <c r="AO290" s="440"/>
    </row>
    <row r="291" spans="1:41" ht="16.5" hidden="1" customHeight="1">
      <c r="A291" s="492" t="s">
        <v>1662</v>
      </c>
      <c r="B291" s="493" t="s">
        <v>1663</v>
      </c>
      <c r="C291" s="492" t="s">
        <v>1662</v>
      </c>
      <c r="D291" s="492" t="s">
        <v>1662</v>
      </c>
      <c r="E291" s="493" t="s">
        <v>116</v>
      </c>
      <c r="F291" s="493" t="s">
        <v>377</v>
      </c>
      <c r="G291" s="493" t="s">
        <v>117</v>
      </c>
      <c r="H291" s="493" t="s">
        <v>118</v>
      </c>
      <c r="I291" s="493" t="s">
        <v>119</v>
      </c>
      <c r="J291" s="493" t="s">
        <v>510</v>
      </c>
      <c r="K291" s="493" t="s">
        <v>377</v>
      </c>
      <c r="L291" s="493" t="s">
        <v>511</v>
      </c>
      <c r="M291" s="493" t="s">
        <v>512</v>
      </c>
      <c r="N291" s="493" t="s">
        <v>513</v>
      </c>
      <c r="O291" s="493">
        <v>57964500</v>
      </c>
      <c r="P291" s="439">
        <v>52695000</v>
      </c>
      <c r="Q291" s="493">
        <v>5269500</v>
      </c>
      <c r="R291" s="493" t="s">
        <v>124</v>
      </c>
      <c r="S291" s="493" t="s">
        <v>382</v>
      </c>
      <c r="T291" s="493" t="s">
        <v>125</v>
      </c>
      <c r="U291" s="493" t="s">
        <v>126</v>
      </c>
      <c r="V291" s="493" t="s">
        <v>127</v>
      </c>
      <c r="W291" s="493" t="s">
        <v>128</v>
      </c>
      <c r="X291" s="493" t="s">
        <v>514</v>
      </c>
      <c r="Y291" s="493" t="s">
        <v>377</v>
      </c>
      <c r="Z291" s="493" t="s">
        <v>1662</v>
      </c>
      <c r="AA291" s="493" t="s">
        <v>130</v>
      </c>
      <c r="AB291" s="493" t="s">
        <v>377</v>
      </c>
      <c r="AC291" s="493" t="s">
        <v>131</v>
      </c>
      <c r="AD291" s="493" t="s">
        <v>1664</v>
      </c>
      <c r="AE291" s="493">
        <v>52695000</v>
      </c>
      <c r="AF291" s="493">
        <v>5269500</v>
      </c>
      <c r="AG291" s="493" t="s">
        <v>1026</v>
      </c>
      <c r="AH291" s="130">
        <f t="shared" si="65"/>
        <v>46166</v>
      </c>
      <c r="AI291" s="495"/>
      <c r="AJ291" s="439"/>
      <c r="AK291" s="121">
        <f t="shared" si="68"/>
        <v>57964500.000000007</v>
      </c>
      <c r="AL291" s="440" t="str">
        <f t="shared" ca="1" si="59"/>
        <v>관리</v>
      </c>
      <c r="AM291" s="440"/>
      <c r="AN291" s="440"/>
      <c r="AO291" s="440"/>
    </row>
    <row r="292" spans="1:41" ht="16.5" hidden="1" customHeight="1">
      <c r="A292" s="492" t="s">
        <v>1662</v>
      </c>
      <c r="B292" s="493" t="s">
        <v>1665</v>
      </c>
      <c r="C292" s="492" t="s">
        <v>1662</v>
      </c>
      <c r="D292" s="492" t="s">
        <v>1662</v>
      </c>
      <c r="E292" s="493" t="s">
        <v>116</v>
      </c>
      <c r="F292" s="493" t="s">
        <v>377</v>
      </c>
      <c r="G292" s="493" t="s">
        <v>117</v>
      </c>
      <c r="H292" s="493" t="s">
        <v>118</v>
      </c>
      <c r="I292" s="493" t="s">
        <v>119</v>
      </c>
      <c r="J292" s="493" t="s">
        <v>1666</v>
      </c>
      <c r="K292" s="493" t="s">
        <v>377</v>
      </c>
      <c r="L292" s="493" t="s">
        <v>1667</v>
      </c>
      <c r="M292" s="493" t="s">
        <v>1668</v>
      </c>
      <c r="N292" s="493" t="s">
        <v>1669</v>
      </c>
      <c r="O292" s="493">
        <v>1339030</v>
      </c>
      <c r="P292" s="439">
        <v>1217300</v>
      </c>
      <c r="Q292" s="493">
        <v>121730</v>
      </c>
      <c r="R292" s="493" t="s">
        <v>124</v>
      </c>
      <c r="S292" s="493" t="s">
        <v>382</v>
      </c>
      <c r="T292" s="493" t="s">
        <v>125</v>
      </c>
      <c r="U292" s="493" t="s">
        <v>126</v>
      </c>
      <c r="V292" s="493" t="s">
        <v>127</v>
      </c>
      <c r="W292" s="493" t="s">
        <v>128</v>
      </c>
      <c r="X292" s="493" t="s">
        <v>1670</v>
      </c>
      <c r="Y292" s="493" t="s">
        <v>377</v>
      </c>
      <c r="Z292" s="493" t="s">
        <v>1662</v>
      </c>
      <c r="AA292" s="493" t="s">
        <v>130</v>
      </c>
      <c r="AB292" s="493" t="s">
        <v>377</v>
      </c>
      <c r="AC292" s="493" t="s">
        <v>131</v>
      </c>
      <c r="AD292" s="493" t="s">
        <v>1671</v>
      </c>
      <c r="AE292" s="493">
        <v>1217300</v>
      </c>
      <c r="AF292" s="493">
        <v>121730</v>
      </c>
      <c r="AG292" s="493" t="s">
        <v>1741</v>
      </c>
      <c r="AH292" s="130">
        <f t="shared" si="65"/>
        <v>46166</v>
      </c>
      <c r="AI292" s="495">
        <v>46142</v>
      </c>
      <c r="AJ292" s="439">
        <f>P292*1.1</f>
        <v>1339030</v>
      </c>
      <c r="AK292" s="121">
        <f t="shared" si="68"/>
        <v>0</v>
      </c>
      <c r="AL292" s="440" t="str">
        <f t="shared" ca="1" si="59"/>
        <v/>
      </c>
      <c r="AM292" s="440"/>
      <c r="AN292" s="440"/>
      <c r="AO292" s="440"/>
    </row>
    <row r="293" spans="1:41" ht="16.5" hidden="1" customHeight="1">
      <c r="A293" s="492" t="s">
        <v>1662</v>
      </c>
      <c r="B293" s="493" t="s">
        <v>1672</v>
      </c>
      <c r="C293" s="492" t="s">
        <v>1662</v>
      </c>
      <c r="D293" s="492" t="s">
        <v>1662</v>
      </c>
      <c r="E293" s="493" t="s">
        <v>116</v>
      </c>
      <c r="F293" s="493" t="s">
        <v>377</v>
      </c>
      <c r="G293" s="493" t="s">
        <v>117</v>
      </c>
      <c r="H293" s="493" t="s">
        <v>118</v>
      </c>
      <c r="I293" s="493" t="s">
        <v>119</v>
      </c>
      <c r="J293" s="493" t="s">
        <v>1433</v>
      </c>
      <c r="K293" s="493" t="s">
        <v>377</v>
      </c>
      <c r="L293" s="493" t="s">
        <v>1434</v>
      </c>
      <c r="M293" s="493" t="s">
        <v>1435</v>
      </c>
      <c r="N293" s="493" t="s">
        <v>1436</v>
      </c>
      <c r="O293" s="493">
        <v>25997400</v>
      </c>
      <c r="P293" s="439">
        <v>23634000</v>
      </c>
      <c r="Q293" s="493">
        <v>2363400</v>
      </c>
      <c r="R293" s="493" t="s">
        <v>124</v>
      </c>
      <c r="S293" s="493" t="s">
        <v>382</v>
      </c>
      <c r="T293" s="493" t="s">
        <v>125</v>
      </c>
      <c r="U293" s="493" t="s">
        <v>126</v>
      </c>
      <c r="V293" s="493" t="s">
        <v>127</v>
      </c>
      <c r="W293" s="493" t="s">
        <v>128</v>
      </c>
      <c r="X293" s="493" t="s">
        <v>1437</v>
      </c>
      <c r="Y293" s="493" t="s">
        <v>377</v>
      </c>
      <c r="Z293" s="493" t="s">
        <v>1662</v>
      </c>
      <c r="AA293" s="493" t="s">
        <v>130</v>
      </c>
      <c r="AB293" s="493" t="s">
        <v>377</v>
      </c>
      <c r="AC293" s="493" t="s">
        <v>131</v>
      </c>
      <c r="AD293" s="493" t="s">
        <v>1673</v>
      </c>
      <c r="AE293" s="493">
        <v>23634000</v>
      </c>
      <c r="AF293" s="493">
        <v>2363400</v>
      </c>
      <c r="AG293" s="493" t="s">
        <v>1243</v>
      </c>
      <c r="AH293" s="130">
        <f t="shared" si="65"/>
        <v>46166</v>
      </c>
      <c r="AI293" s="495">
        <v>46127</v>
      </c>
      <c r="AJ293" s="439">
        <f>P293*1.1</f>
        <v>25997400.000000004</v>
      </c>
      <c r="AK293" s="121">
        <f t="shared" si="68"/>
        <v>0</v>
      </c>
      <c r="AL293" s="440" t="str">
        <f t="shared" ca="1" si="59"/>
        <v/>
      </c>
      <c r="AM293" s="440"/>
      <c r="AN293" s="440"/>
      <c r="AO293" s="440"/>
    </row>
    <row r="294" spans="1:41" ht="16.5" hidden="1" customHeight="1">
      <c r="A294" s="492" t="s">
        <v>1662</v>
      </c>
      <c r="B294" s="493" t="s">
        <v>1674</v>
      </c>
      <c r="C294" s="492" t="s">
        <v>1662</v>
      </c>
      <c r="D294" s="492" t="s">
        <v>1662</v>
      </c>
      <c r="E294" s="493" t="s">
        <v>116</v>
      </c>
      <c r="F294" s="493" t="s">
        <v>377</v>
      </c>
      <c r="G294" s="493" t="s">
        <v>117</v>
      </c>
      <c r="H294" s="493" t="s">
        <v>118</v>
      </c>
      <c r="I294" s="493" t="s">
        <v>119</v>
      </c>
      <c r="J294" s="493" t="s">
        <v>1675</v>
      </c>
      <c r="K294" s="493" t="s">
        <v>377</v>
      </c>
      <c r="L294" s="493" t="s">
        <v>1676</v>
      </c>
      <c r="M294" s="493" t="s">
        <v>1677</v>
      </c>
      <c r="N294" s="493" t="s">
        <v>1678</v>
      </c>
      <c r="O294" s="493">
        <v>8608600</v>
      </c>
      <c r="P294" s="439">
        <v>7826000</v>
      </c>
      <c r="Q294" s="493">
        <v>782600</v>
      </c>
      <c r="R294" s="493" t="s">
        <v>124</v>
      </c>
      <c r="S294" s="493" t="s">
        <v>382</v>
      </c>
      <c r="T294" s="493" t="s">
        <v>125</v>
      </c>
      <c r="U294" s="493" t="s">
        <v>126</v>
      </c>
      <c r="V294" s="493" t="s">
        <v>127</v>
      </c>
      <c r="W294" s="493" t="s">
        <v>128</v>
      </c>
      <c r="X294" s="493" t="s">
        <v>1679</v>
      </c>
      <c r="Y294" s="493" t="s">
        <v>377</v>
      </c>
      <c r="Z294" s="493" t="s">
        <v>1662</v>
      </c>
      <c r="AA294" s="493" t="s">
        <v>130</v>
      </c>
      <c r="AB294" s="493" t="s">
        <v>377</v>
      </c>
      <c r="AC294" s="493" t="s">
        <v>131</v>
      </c>
      <c r="AD294" s="493" t="s">
        <v>1680</v>
      </c>
      <c r="AE294" s="493">
        <v>7826000</v>
      </c>
      <c r="AF294" s="493">
        <v>782600</v>
      </c>
      <c r="AG294" s="493" t="s">
        <v>1742</v>
      </c>
      <c r="AH294" s="130">
        <f t="shared" si="65"/>
        <v>46166</v>
      </c>
      <c r="AI294" s="495">
        <v>46127</v>
      </c>
      <c r="AJ294" s="439">
        <f>P294*1.1</f>
        <v>8608600</v>
      </c>
      <c r="AK294" s="121">
        <f t="shared" si="68"/>
        <v>0</v>
      </c>
      <c r="AL294" s="440" t="str">
        <f t="shared" ca="1" si="59"/>
        <v/>
      </c>
      <c r="AM294" s="440"/>
      <c r="AN294" s="440"/>
      <c r="AO294" s="440"/>
    </row>
    <row r="295" spans="1:41" ht="16.5" hidden="1" customHeight="1">
      <c r="A295" s="492" t="s">
        <v>1772</v>
      </c>
      <c r="B295" s="493" t="s">
        <v>1773</v>
      </c>
      <c r="C295" s="492" t="s">
        <v>1772</v>
      </c>
      <c r="D295" s="492" t="s">
        <v>1772</v>
      </c>
      <c r="E295" s="493" t="s">
        <v>116</v>
      </c>
      <c r="F295" s="493" t="s">
        <v>377</v>
      </c>
      <c r="G295" s="493" t="s">
        <v>117</v>
      </c>
      <c r="H295" s="493" t="s">
        <v>118</v>
      </c>
      <c r="I295" s="493" t="s">
        <v>119</v>
      </c>
      <c r="J295" s="493" t="s">
        <v>1173</v>
      </c>
      <c r="K295" s="493" t="s">
        <v>377</v>
      </c>
      <c r="L295" s="493" t="s">
        <v>1174</v>
      </c>
      <c r="M295" s="493" t="s">
        <v>1175</v>
      </c>
      <c r="N295" s="493" t="s">
        <v>1176</v>
      </c>
      <c r="O295" s="493">
        <v>5308600</v>
      </c>
      <c r="P295" s="439">
        <v>4826000</v>
      </c>
      <c r="Q295" s="493">
        <v>482600</v>
      </c>
      <c r="R295" s="493" t="s">
        <v>124</v>
      </c>
      <c r="S295" s="493" t="s">
        <v>382</v>
      </c>
      <c r="T295" s="493" t="s">
        <v>125</v>
      </c>
      <c r="U295" s="493" t="s">
        <v>126</v>
      </c>
      <c r="V295" s="493" t="s">
        <v>127</v>
      </c>
      <c r="W295" s="493" t="s">
        <v>128</v>
      </c>
      <c r="X295" s="493" t="s">
        <v>1177</v>
      </c>
      <c r="Y295" s="493" t="s">
        <v>377</v>
      </c>
      <c r="Z295" s="493" t="s">
        <v>1772</v>
      </c>
      <c r="AA295" s="493" t="s">
        <v>130</v>
      </c>
      <c r="AB295" s="493" t="s">
        <v>377</v>
      </c>
      <c r="AC295" s="493" t="s">
        <v>131</v>
      </c>
      <c r="AD295" s="493" t="s">
        <v>1774</v>
      </c>
      <c r="AE295" s="493">
        <v>4826000</v>
      </c>
      <c r="AF295" s="493">
        <v>482600</v>
      </c>
      <c r="AG295" s="493" t="s">
        <v>1748</v>
      </c>
      <c r="AH295" s="130">
        <f t="shared" si="65"/>
        <v>46167</v>
      </c>
      <c r="AI295" s="495"/>
      <c r="AJ295" s="439"/>
      <c r="AK295" s="121">
        <f t="shared" ref="AK295:AK301" si="69">(P295*1.1)-AJ295</f>
        <v>5308600</v>
      </c>
      <c r="AL295" s="440" t="str">
        <f t="shared" ca="1" si="59"/>
        <v>관리</v>
      </c>
      <c r="AM295" s="440"/>
      <c r="AN295" s="440"/>
      <c r="AO295" s="440"/>
    </row>
    <row r="296" spans="1:41" ht="16.5" hidden="1" customHeight="1">
      <c r="A296" s="492" t="s">
        <v>1772</v>
      </c>
      <c r="B296" s="493" t="s">
        <v>1775</v>
      </c>
      <c r="C296" s="492" t="s">
        <v>1772</v>
      </c>
      <c r="D296" s="492" t="s">
        <v>1772</v>
      </c>
      <c r="E296" s="493" t="s">
        <v>116</v>
      </c>
      <c r="F296" s="493" t="s">
        <v>377</v>
      </c>
      <c r="G296" s="493" t="s">
        <v>117</v>
      </c>
      <c r="H296" s="493" t="s">
        <v>118</v>
      </c>
      <c r="I296" s="493" t="s">
        <v>119</v>
      </c>
      <c r="J296" s="493" t="s">
        <v>797</v>
      </c>
      <c r="K296" s="493" t="s">
        <v>377</v>
      </c>
      <c r="L296" s="493" t="s">
        <v>798</v>
      </c>
      <c r="M296" s="493" t="s">
        <v>799</v>
      </c>
      <c r="N296" s="493" t="s">
        <v>800</v>
      </c>
      <c r="O296" s="493">
        <v>293040</v>
      </c>
      <c r="P296" s="439">
        <v>266400</v>
      </c>
      <c r="Q296" s="493">
        <v>26640</v>
      </c>
      <c r="R296" s="493" t="s">
        <v>124</v>
      </c>
      <c r="S296" s="493" t="s">
        <v>382</v>
      </c>
      <c r="T296" s="493" t="s">
        <v>125</v>
      </c>
      <c r="U296" s="493" t="s">
        <v>126</v>
      </c>
      <c r="V296" s="493" t="s">
        <v>127</v>
      </c>
      <c r="W296" s="493" t="s">
        <v>128</v>
      </c>
      <c r="X296" s="493" t="s">
        <v>801</v>
      </c>
      <c r="Y296" s="493" t="s">
        <v>377</v>
      </c>
      <c r="Z296" s="493" t="s">
        <v>1772</v>
      </c>
      <c r="AA296" s="493" t="s">
        <v>130</v>
      </c>
      <c r="AB296" s="493" t="s">
        <v>377</v>
      </c>
      <c r="AC296" s="493" t="s">
        <v>131</v>
      </c>
      <c r="AD296" s="493" t="s">
        <v>1776</v>
      </c>
      <c r="AE296" s="493">
        <v>266400</v>
      </c>
      <c r="AF296" s="493">
        <v>26640</v>
      </c>
      <c r="AG296" s="493" t="s">
        <v>1280</v>
      </c>
      <c r="AH296" s="130">
        <f t="shared" si="65"/>
        <v>46167</v>
      </c>
      <c r="AI296" s="495">
        <v>46171</v>
      </c>
      <c r="AJ296" s="439">
        <f>P296*1.1</f>
        <v>293040</v>
      </c>
      <c r="AK296" s="121">
        <f t="shared" si="69"/>
        <v>0</v>
      </c>
      <c r="AL296" s="440" t="str">
        <f t="shared" ca="1" si="59"/>
        <v/>
      </c>
      <c r="AM296" s="440"/>
      <c r="AN296" s="440"/>
      <c r="AO296" s="440"/>
    </row>
    <row r="297" spans="1:41" ht="16.5" hidden="1" customHeight="1">
      <c r="A297" s="492" t="s">
        <v>1772</v>
      </c>
      <c r="B297" s="493" t="s">
        <v>1777</v>
      </c>
      <c r="C297" s="492" t="s">
        <v>1772</v>
      </c>
      <c r="D297" s="492" t="s">
        <v>1772</v>
      </c>
      <c r="E297" s="493" t="s">
        <v>116</v>
      </c>
      <c r="F297" s="493" t="s">
        <v>377</v>
      </c>
      <c r="G297" s="493" t="s">
        <v>117</v>
      </c>
      <c r="H297" s="493" t="s">
        <v>118</v>
      </c>
      <c r="I297" s="493" t="s">
        <v>119</v>
      </c>
      <c r="J297" s="493" t="s">
        <v>1361</v>
      </c>
      <c r="K297" s="493" t="s">
        <v>377</v>
      </c>
      <c r="L297" s="493" t="s">
        <v>1362</v>
      </c>
      <c r="M297" s="493" t="s">
        <v>1363</v>
      </c>
      <c r="N297" s="493" t="s">
        <v>1364</v>
      </c>
      <c r="O297" s="493">
        <v>1114630</v>
      </c>
      <c r="P297" s="439">
        <v>1013300</v>
      </c>
      <c r="Q297" s="493">
        <v>101330</v>
      </c>
      <c r="R297" s="493" t="s">
        <v>124</v>
      </c>
      <c r="S297" s="493" t="s">
        <v>382</v>
      </c>
      <c r="T297" s="493" t="s">
        <v>125</v>
      </c>
      <c r="U297" s="493" t="s">
        <v>126</v>
      </c>
      <c r="V297" s="493" t="s">
        <v>127</v>
      </c>
      <c r="W297" s="493" t="s">
        <v>128</v>
      </c>
      <c r="X297" s="493" t="s">
        <v>1365</v>
      </c>
      <c r="Y297" s="493" t="s">
        <v>377</v>
      </c>
      <c r="Z297" s="493" t="s">
        <v>1772</v>
      </c>
      <c r="AA297" s="493" t="s">
        <v>130</v>
      </c>
      <c r="AB297" s="493" t="s">
        <v>377</v>
      </c>
      <c r="AC297" s="493" t="s">
        <v>131</v>
      </c>
      <c r="AD297" s="493" t="s">
        <v>1778</v>
      </c>
      <c r="AE297" s="493">
        <v>1013300</v>
      </c>
      <c r="AF297" s="493">
        <v>101330</v>
      </c>
      <c r="AG297" s="493" t="s">
        <v>1796</v>
      </c>
      <c r="AH297" s="130">
        <f t="shared" si="65"/>
        <v>46167</v>
      </c>
      <c r="AI297" s="495"/>
      <c r="AJ297" s="439"/>
      <c r="AK297" s="121">
        <f t="shared" si="69"/>
        <v>1114630</v>
      </c>
      <c r="AL297" s="440" t="str">
        <f t="shared" ca="1" si="59"/>
        <v>관리</v>
      </c>
      <c r="AM297" s="440"/>
      <c r="AN297" s="440"/>
      <c r="AO297" s="440"/>
    </row>
    <row r="298" spans="1:41" ht="16.5" hidden="1" customHeight="1">
      <c r="A298" s="492" t="s">
        <v>1772</v>
      </c>
      <c r="B298" s="493" t="s">
        <v>1779</v>
      </c>
      <c r="C298" s="492" t="s">
        <v>1772</v>
      </c>
      <c r="D298" s="492" t="s">
        <v>1772</v>
      </c>
      <c r="E298" s="493" t="s">
        <v>116</v>
      </c>
      <c r="F298" s="493" t="s">
        <v>377</v>
      </c>
      <c r="G298" s="493" t="s">
        <v>117</v>
      </c>
      <c r="H298" s="493" t="s">
        <v>118</v>
      </c>
      <c r="I298" s="493" t="s">
        <v>119</v>
      </c>
      <c r="J298" s="493" t="s">
        <v>808</v>
      </c>
      <c r="K298" s="493" t="s">
        <v>377</v>
      </c>
      <c r="L298" s="493" t="s">
        <v>809</v>
      </c>
      <c r="M298" s="493" t="s">
        <v>810</v>
      </c>
      <c r="N298" s="493" t="s">
        <v>811</v>
      </c>
      <c r="O298" s="493">
        <v>494340</v>
      </c>
      <c r="P298" s="439">
        <v>449400</v>
      </c>
      <c r="Q298" s="493">
        <v>44940</v>
      </c>
      <c r="R298" s="493" t="s">
        <v>124</v>
      </c>
      <c r="S298" s="493" t="s">
        <v>382</v>
      </c>
      <c r="T298" s="493" t="s">
        <v>125</v>
      </c>
      <c r="U298" s="493" t="s">
        <v>126</v>
      </c>
      <c r="V298" s="493" t="s">
        <v>127</v>
      </c>
      <c r="W298" s="493" t="s">
        <v>128</v>
      </c>
      <c r="X298" s="493" t="s">
        <v>812</v>
      </c>
      <c r="Y298" s="493" t="s">
        <v>377</v>
      </c>
      <c r="Z298" s="493" t="s">
        <v>1772</v>
      </c>
      <c r="AA298" s="493" t="s">
        <v>130</v>
      </c>
      <c r="AB298" s="493" t="s">
        <v>377</v>
      </c>
      <c r="AC298" s="493" t="s">
        <v>131</v>
      </c>
      <c r="AD298" s="493" t="s">
        <v>1780</v>
      </c>
      <c r="AE298" s="493">
        <v>449400</v>
      </c>
      <c r="AF298" s="493">
        <v>44940</v>
      </c>
      <c r="AG298" s="493" t="s">
        <v>571</v>
      </c>
      <c r="AH298" s="130">
        <f t="shared" si="65"/>
        <v>46167</v>
      </c>
      <c r="AI298" s="495">
        <v>46150</v>
      </c>
      <c r="AJ298" s="439">
        <f>P298*1.1</f>
        <v>494340.00000000006</v>
      </c>
      <c r="AK298" s="121">
        <f t="shared" si="69"/>
        <v>0</v>
      </c>
      <c r="AL298" s="440" t="str">
        <f t="shared" ca="1" si="59"/>
        <v/>
      </c>
      <c r="AM298" s="440"/>
      <c r="AN298" s="440"/>
      <c r="AO298" s="440"/>
    </row>
    <row r="299" spans="1:41" ht="16.5" hidden="1" customHeight="1">
      <c r="A299" s="492" t="s">
        <v>1772</v>
      </c>
      <c r="B299" s="493" t="s">
        <v>1781</v>
      </c>
      <c r="C299" s="492" t="s">
        <v>1772</v>
      </c>
      <c r="D299" s="492" t="s">
        <v>1772</v>
      </c>
      <c r="E299" s="493" t="s">
        <v>116</v>
      </c>
      <c r="F299" s="493" t="s">
        <v>377</v>
      </c>
      <c r="G299" s="493" t="s">
        <v>117</v>
      </c>
      <c r="H299" s="493" t="s">
        <v>118</v>
      </c>
      <c r="I299" s="493" t="s">
        <v>119</v>
      </c>
      <c r="J299" s="493" t="s">
        <v>681</v>
      </c>
      <c r="K299" s="493" t="s">
        <v>377</v>
      </c>
      <c r="L299" s="493" t="s">
        <v>682</v>
      </c>
      <c r="M299" s="493" t="s">
        <v>683</v>
      </c>
      <c r="N299" s="493" t="s">
        <v>684</v>
      </c>
      <c r="O299" s="493">
        <v>-7986000</v>
      </c>
      <c r="P299" s="439">
        <v>-7260000</v>
      </c>
      <c r="Q299" s="493">
        <v>-726000</v>
      </c>
      <c r="R299" s="493" t="s">
        <v>124</v>
      </c>
      <c r="S299" s="493" t="s">
        <v>382</v>
      </c>
      <c r="T299" s="493" t="s">
        <v>125</v>
      </c>
      <c r="U299" s="493" t="s">
        <v>126</v>
      </c>
      <c r="V299" s="493" t="s">
        <v>127</v>
      </c>
      <c r="W299" s="493" t="s">
        <v>128</v>
      </c>
      <c r="X299" s="493" t="s">
        <v>685</v>
      </c>
      <c r="Y299" s="493" t="s">
        <v>377</v>
      </c>
      <c r="Z299" s="493" t="s">
        <v>1772</v>
      </c>
      <c r="AA299" s="493" t="s">
        <v>1782</v>
      </c>
      <c r="AB299" s="493" t="s">
        <v>377</v>
      </c>
      <c r="AC299" s="493" t="s">
        <v>1634</v>
      </c>
      <c r="AD299" s="493" t="s">
        <v>1783</v>
      </c>
      <c r="AE299" s="493">
        <v>-7260000</v>
      </c>
      <c r="AF299" s="493">
        <v>-726000</v>
      </c>
      <c r="AG299" s="493" t="s">
        <v>1794</v>
      </c>
      <c r="AH299" s="130">
        <f t="shared" si="65"/>
        <v>46167</v>
      </c>
      <c r="AI299" s="495"/>
      <c r="AJ299" s="439"/>
      <c r="AK299" s="121">
        <f t="shared" si="69"/>
        <v>-7986000.0000000009</v>
      </c>
      <c r="AL299" s="440" t="str">
        <f t="shared" ca="1" si="59"/>
        <v>관리</v>
      </c>
      <c r="AM299" s="440"/>
      <c r="AN299" s="440"/>
      <c r="AO299" s="440"/>
    </row>
    <row r="300" spans="1:41" ht="16.5" hidden="1" customHeight="1">
      <c r="A300" s="492" t="s">
        <v>1772</v>
      </c>
      <c r="B300" s="493" t="s">
        <v>1784</v>
      </c>
      <c r="C300" s="492" t="s">
        <v>1772</v>
      </c>
      <c r="D300" s="492" t="s">
        <v>1772</v>
      </c>
      <c r="E300" s="493" t="s">
        <v>116</v>
      </c>
      <c r="F300" s="493" t="s">
        <v>377</v>
      </c>
      <c r="G300" s="493" t="s">
        <v>117</v>
      </c>
      <c r="H300" s="493" t="s">
        <v>118</v>
      </c>
      <c r="I300" s="493" t="s">
        <v>119</v>
      </c>
      <c r="J300" s="493" t="s">
        <v>690</v>
      </c>
      <c r="K300" s="493" t="s">
        <v>377</v>
      </c>
      <c r="L300" s="493" t="s">
        <v>691</v>
      </c>
      <c r="M300" s="493" t="s">
        <v>692</v>
      </c>
      <c r="N300" s="493" t="s">
        <v>693</v>
      </c>
      <c r="O300" s="493">
        <v>11847000</v>
      </c>
      <c r="P300" s="439">
        <v>10770000</v>
      </c>
      <c r="Q300" s="493">
        <v>1077000</v>
      </c>
      <c r="R300" s="493" t="s">
        <v>124</v>
      </c>
      <c r="S300" s="493" t="s">
        <v>382</v>
      </c>
      <c r="T300" s="493" t="s">
        <v>125</v>
      </c>
      <c r="U300" s="493" t="s">
        <v>126</v>
      </c>
      <c r="V300" s="493" t="s">
        <v>127</v>
      </c>
      <c r="W300" s="493" t="s">
        <v>128</v>
      </c>
      <c r="X300" s="493" t="s">
        <v>694</v>
      </c>
      <c r="Y300" s="493" t="s">
        <v>377</v>
      </c>
      <c r="Z300" s="493" t="s">
        <v>1772</v>
      </c>
      <c r="AA300" s="493" t="s">
        <v>130</v>
      </c>
      <c r="AB300" s="493" t="s">
        <v>377</v>
      </c>
      <c r="AC300" s="493" t="s">
        <v>131</v>
      </c>
      <c r="AD300" s="493" t="s">
        <v>1785</v>
      </c>
      <c r="AE300" s="493">
        <v>10770000</v>
      </c>
      <c r="AF300" s="493">
        <v>1077000</v>
      </c>
      <c r="AG300" s="493" t="s">
        <v>1323</v>
      </c>
      <c r="AH300" s="130">
        <f t="shared" si="65"/>
        <v>46167</v>
      </c>
      <c r="AI300" s="495"/>
      <c r="AJ300" s="439"/>
      <c r="AK300" s="121">
        <f t="shared" si="69"/>
        <v>11847000.000000002</v>
      </c>
      <c r="AL300" s="440" t="str">
        <f t="shared" ca="1" si="59"/>
        <v>관리</v>
      </c>
      <c r="AM300" s="440"/>
      <c r="AN300" s="440"/>
      <c r="AO300" s="440"/>
    </row>
    <row r="301" spans="1:41" ht="16.5" hidden="1" customHeight="1">
      <c r="A301" s="492" t="s">
        <v>1772</v>
      </c>
      <c r="B301" s="493" t="s">
        <v>1786</v>
      </c>
      <c r="C301" s="492" t="s">
        <v>1772</v>
      </c>
      <c r="D301" s="492" t="s">
        <v>1772</v>
      </c>
      <c r="E301" s="493" t="s">
        <v>116</v>
      </c>
      <c r="F301" s="493" t="s">
        <v>377</v>
      </c>
      <c r="G301" s="493" t="s">
        <v>117</v>
      </c>
      <c r="H301" s="493" t="s">
        <v>118</v>
      </c>
      <c r="I301" s="493" t="s">
        <v>119</v>
      </c>
      <c r="J301" s="493" t="s">
        <v>1787</v>
      </c>
      <c r="K301" s="493" t="s">
        <v>377</v>
      </c>
      <c r="L301" s="493" t="s">
        <v>1788</v>
      </c>
      <c r="M301" s="493" t="s">
        <v>1789</v>
      </c>
      <c r="N301" s="493" t="s">
        <v>1790</v>
      </c>
      <c r="O301" s="493">
        <v>50930</v>
      </c>
      <c r="P301" s="439">
        <v>46300</v>
      </c>
      <c r="Q301" s="493">
        <v>4630</v>
      </c>
      <c r="R301" s="493" t="s">
        <v>124</v>
      </c>
      <c r="S301" s="493" t="s">
        <v>382</v>
      </c>
      <c r="T301" s="493" t="s">
        <v>125</v>
      </c>
      <c r="U301" s="493" t="s">
        <v>126</v>
      </c>
      <c r="V301" s="493" t="s">
        <v>127</v>
      </c>
      <c r="W301" s="493" t="s">
        <v>128</v>
      </c>
      <c r="X301" s="493" t="s">
        <v>1791</v>
      </c>
      <c r="Y301" s="493" t="s">
        <v>377</v>
      </c>
      <c r="Z301" s="493" t="s">
        <v>1772</v>
      </c>
      <c r="AA301" s="493" t="s">
        <v>130</v>
      </c>
      <c r="AB301" s="493" t="s">
        <v>377</v>
      </c>
      <c r="AC301" s="493" t="s">
        <v>131</v>
      </c>
      <c r="AD301" s="493" t="s">
        <v>1792</v>
      </c>
      <c r="AE301" s="493">
        <v>46300</v>
      </c>
      <c r="AF301" s="493">
        <v>4630</v>
      </c>
      <c r="AG301" s="493" t="s">
        <v>1795</v>
      </c>
      <c r="AH301" s="130">
        <f t="shared" si="65"/>
        <v>46167</v>
      </c>
      <c r="AI301" s="495">
        <v>46142</v>
      </c>
      <c r="AJ301" s="439">
        <f>P301*1.1</f>
        <v>50930.000000000007</v>
      </c>
      <c r="AK301" s="121">
        <f t="shared" si="69"/>
        <v>0</v>
      </c>
      <c r="AL301" s="440" t="str">
        <f t="shared" ca="1" si="59"/>
        <v/>
      </c>
      <c r="AM301" s="440"/>
      <c r="AN301" s="440"/>
      <c r="AO301" s="440"/>
    </row>
    <row r="302" spans="1:41" ht="16.5" hidden="1" customHeight="1">
      <c r="A302" s="492" t="s">
        <v>1802</v>
      </c>
      <c r="B302" s="493" t="s">
        <v>1803</v>
      </c>
      <c r="C302" s="492" t="s">
        <v>1802</v>
      </c>
      <c r="D302" s="492" t="s">
        <v>1802</v>
      </c>
      <c r="E302" s="493" t="s">
        <v>116</v>
      </c>
      <c r="F302" s="493" t="s">
        <v>377</v>
      </c>
      <c r="G302" s="493" t="s">
        <v>117</v>
      </c>
      <c r="H302" s="493" t="s">
        <v>118</v>
      </c>
      <c r="I302" s="493" t="s">
        <v>119</v>
      </c>
      <c r="J302" s="493" t="s">
        <v>1804</v>
      </c>
      <c r="K302" s="493" t="s">
        <v>377</v>
      </c>
      <c r="L302" s="493" t="s">
        <v>1805</v>
      </c>
      <c r="M302" s="493" t="s">
        <v>1806</v>
      </c>
      <c r="N302" s="493" t="s">
        <v>1807</v>
      </c>
      <c r="O302" s="493">
        <v>2200220</v>
      </c>
      <c r="P302" s="439">
        <v>2000200</v>
      </c>
      <c r="Q302" s="493">
        <v>200020</v>
      </c>
      <c r="R302" s="493" t="s">
        <v>124</v>
      </c>
      <c r="S302" s="493" t="s">
        <v>382</v>
      </c>
      <c r="T302" s="493" t="s">
        <v>125</v>
      </c>
      <c r="U302" s="493" t="s">
        <v>445</v>
      </c>
      <c r="V302" s="493" t="s">
        <v>127</v>
      </c>
      <c r="W302" s="493" t="s">
        <v>128</v>
      </c>
      <c r="X302" s="493" t="s">
        <v>1808</v>
      </c>
      <c r="Y302" s="493" t="s">
        <v>377</v>
      </c>
      <c r="Z302" s="493" t="s">
        <v>1802</v>
      </c>
      <c r="AA302" s="493" t="s">
        <v>130</v>
      </c>
      <c r="AB302" s="493" t="s">
        <v>377</v>
      </c>
      <c r="AC302" s="493" t="s">
        <v>131</v>
      </c>
      <c r="AD302" s="493" t="s">
        <v>1809</v>
      </c>
      <c r="AE302" s="493">
        <v>2000200</v>
      </c>
      <c r="AF302" s="493">
        <v>200020</v>
      </c>
      <c r="AG302" s="493" t="s">
        <v>1816</v>
      </c>
      <c r="AH302" s="130">
        <f t="shared" si="65"/>
        <v>46168</v>
      </c>
      <c r="AI302" s="495">
        <v>46128</v>
      </c>
      <c r="AJ302" s="439">
        <f>P302*1.1</f>
        <v>2200220</v>
      </c>
      <c r="AK302" s="121">
        <f t="shared" ref="AK302:AK305" si="70">(P302*1.1)-AJ302</f>
        <v>0</v>
      </c>
      <c r="AL302" s="440" t="str">
        <f t="shared" ca="1" si="59"/>
        <v/>
      </c>
      <c r="AM302" s="440" t="s">
        <v>783</v>
      </c>
      <c r="AN302" s="440"/>
      <c r="AO302" s="440"/>
    </row>
    <row r="303" spans="1:41" ht="16.5" hidden="1" customHeight="1">
      <c r="A303" s="492" t="s">
        <v>1802</v>
      </c>
      <c r="B303" s="493" t="s">
        <v>1810</v>
      </c>
      <c r="C303" s="492" t="s">
        <v>1802</v>
      </c>
      <c r="D303" s="492" t="s">
        <v>1802</v>
      </c>
      <c r="E303" s="493" t="s">
        <v>116</v>
      </c>
      <c r="F303" s="493" t="s">
        <v>377</v>
      </c>
      <c r="G303" s="493" t="s">
        <v>117</v>
      </c>
      <c r="H303" s="493" t="s">
        <v>118</v>
      </c>
      <c r="I303" s="493" t="s">
        <v>119</v>
      </c>
      <c r="J303" s="493" t="s">
        <v>1270</v>
      </c>
      <c r="K303" s="493" t="s">
        <v>377</v>
      </c>
      <c r="L303" s="493" t="s">
        <v>1271</v>
      </c>
      <c r="M303" s="493" t="s">
        <v>1272</v>
      </c>
      <c r="N303" s="493" t="s">
        <v>1273</v>
      </c>
      <c r="O303" s="493">
        <v>9516100</v>
      </c>
      <c r="P303" s="439">
        <v>8651000</v>
      </c>
      <c r="Q303" s="493">
        <v>865100</v>
      </c>
      <c r="R303" s="493" t="s">
        <v>124</v>
      </c>
      <c r="S303" s="493" t="s">
        <v>382</v>
      </c>
      <c r="T303" s="493" t="s">
        <v>125</v>
      </c>
      <c r="U303" s="493" t="s">
        <v>126</v>
      </c>
      <c r="V303" s="493" t="s">
        <v>127</v>
      </c>
      <c r="W303" s="493" t="s">
        <v>128</v>
      </c>
      <c r="X303" s="493" t="s">
        <v>1274</v>
      </c>
      <c r="Y303" s="493" t="s">
        <v>377</v>
      </c>
      <c r="Z303" s="493" t="s">
        <v>1802</v>
      </c>
      <c r="AA303" s="493" t="s">
        <v>130</v>
      </c>
      <c r="AB303" s="493" t="s">
        <v>377</v>
      </c>
      <c r="AC303" s="493" t="s">
        <v>131</v>
      </c>
      <c r="AD303" s="493" t="s">
        <v>1811</v>
      </c>
      <c r="AE303" s="493">
        <v>8651000</v>
      </c>
      <c r="AF303" s="493">
        <v>865100</v>
      </c>
      <c r="AG303" s="493" t="s">
        <v>1817</v>
      </c>
      <c r="AH303" s="130">
        <f t="shared" si="65"/>
        <v>46168</v>
      </c>
      <c r="AI303" s="495">
        <v>46170</v>
      </c>
      <c r="AJ303" s="439">
        <f>P303*1.1</f>
        <v>9516100</v>
      </c>
      <c r="AK303" s="121">
        <f t="shared" si="70"/>
        <v>0</v>
      </c>
      <c r="AL303" s="440" t="str">
        <f t="shared" ca="1" si="59"/>
        <v/>
      </c>
      <c r="AM303" s="440"/>
      <c r="AN303" s="440"/>
      <c r="AO303" s="440"/>
    </row>
    <row r="304" spans="1:41" ht="16.5" hidden="1" customHeight="1">
      <c r="A304" s="492" t="s">
        <v>1802</v>
      </c>
      <c r="B304" s="493" t="s">
        <v>1812</v>
      </c>
      <c r="C304" s="492" t="s">
        <v>1802</v>
      </c>
      <c r="D304" s="492" t="s">
        <v>1802</v>
      </c>
      <c r="E304" s="493" t="s">
        <v>116</v>
      </c>
      <c r="F304" s="493" t="s">
        <v>377</v>
      </c>
      <c r="G304" s="493" t="s">
        <v>117</v>
      </c>
      <c r="H304" s="493" t="s">
        <v>118</v>
      </c>
      <c r="I304" s="493" t="s">
        <v>119</v>
      </c>
      <c r="J304" s="493" t="s">
        <v>797</v>
      </c>
      <c r="K304" s="493" t="s">
        <v>377</v>
      </c>
      <c r="L304" s="493" t="s">
        <v>798</v>
      </c>
      <c r="M304" s="493" t="s">
        <v>799</v>
      </c>
      <c r="N304" s="493" t="s">
        <v>800</v>
      </c>
      <c r="O304" s="493">
        <v>2321000</v>
      </c>
      <c r="P304" s="439">
        <v>2110000</v>
      </c>
      <c r="Q304" s="493">
        <v>211000</v>
      </c>
      <c r="R304" s="493" t="s">
        <v>124</v>
      </c>
      <c r="S304" s="493" t="s">
        <v>382</v>
      </c>
      <c r="T304" s="493" t="s">
        <v>125</v>
      </c>
      <c r="U304" s="493" t="s">
        <v>126</v>
      </c>
      <c r="V304" s="493" t="s">
        <v>127</v>
      </c>
      <c r="W304" s="493" t="s">
        <v>128</v>
      </c>
      <c r="X304" s="493" t="s">
        <v>801</v>
      </c>
      <c r="Y304" s="493" t="s">
        <v>377</v>
      </c>
      <c r="Z304" s="493" t="s">
        <v>1802</v>
      </c>
      <c r="AA304" s="493" t="s">
        <v>130</v>
      </c>
      <c r="AB304" s="493" t="s">
        <v>377</v>
      </c>
      <c r="AC304" s="493" t="s">
        <v>131</v>
      </c>
      <c r="AD304" s="493" t="s">
        <v>1813</v>
      </c>
      <c r="AE304" s="493">
        <v>2110000</v>
      </c>
      <c r="AF304" s="493">
        <v>211000</v>
      </c>
      <c r="AG304" s="493" t="s">
        <v>1280</v>
      </c>
      <c r="AH304" s="130">
        <f t="shared" si="65"/>
        <v>46168</v>
      </c>
      <c r="AI304" s="495">
        <v>46171</v>
      </c>
      <c r="AJ304" s="439">
        <f>P304*1.1</f>
        <v>2321000</v>
      </c>
      <c r="AK304" s="121">
        <f t="shared" si="70"/>
        <v>0</v>
      </c>
      <c r="AL304" s="440" t="str">
        <f t="shared" ca="1" si="59"/>
        <v/>
      </c>
      <c r="AM304" s="440"/>
      <c r="AN304" s="440"/>
      <c r="AO304" s="440"/>
    </row>
    <row r="305" spans="1:41" ht="16.5" hidden="1" customHeight="1">
      <c r="A305" s="492" t="s">
        <v>1802</v>
      </c>
      <c r="B305" s="493" t="s">
        <v>1814</v>
      </c>
      <c r="C305" s="492" t="s">
        <v>1802</v>
      </c>
      <c r="D305" s="492" t="s">
        <v>1802</v>
      </c>
      <c r="E305" s="493" t="s">
        <v>116</v>
      </c>
      <c r="F305" s="493" t="s">
        <v>377</v>
      </c>
      <c r="G305" s="493" t="s">
        <v>117</v>
      </c>
      <c r="H305" s="493" t="s">
        <v>118</v>
      </c>
      <c r="I305" s="493" t="s">
        <v>119</v>
      </c>
      <c r="J305" s="493" t="s">
        <v>120</v>
      </c>
      <c r="K305" s="493" t="s">
        <v>377</v>
      </c>
      <c r="L305" s="493" t="s">
        <v>390</v>
      </c>
      <c r="M305" s="493" t="s">
        <v>122</v>
      </c>
      <c r="N305" s="493" t="s">
        <v>123</v>
      </c>
      <c r="O305" s="493">
        <v>1107040</v>
      </c>
      <c r="P305" s="439">
        <v>1006400</v>
      </c>
      <c r="Q305" s="493">
        <v>100640</v>
      </c>
      <c r="R305" s="493" t="s">
        <v>124</v>
      </c>
      <c r="S305" s="493" t="s">
        <v>382</v>
      </c>
      <c r="T305" s="493" t="s">
        <v>125</v>
      </c>
      <c r="U305" s="493" t="s">
        <v>126</v>
      </c>
      <c r="V305" s="493" t="s">
        <v>127</v>
      </c>
      <c r="W305" s="493" t="s">
        <v>128</v>
      </c>
      <c r="X305" s="493" t="s">
        <v>129</v>
      </c>
      <c r="Y305" s="493" t="s">
        <v>377</v>
      </c>
      <c r="Z305" s="493" t="s">
        <v>1802</v>
      </c>
      <c r="AA305" s="493" t="s">
        <v>130</v>
      </c>
      <c r="AB305" s="493" t="s">
        <v>377</v>
      </c>
      <c r="AC305" s="493" t="s">
        <v>131</v>
      </c>
      <c r="AD305" s="493" t="s">
        <v>1815</v>
      </c>
      <c r="AE305" s="493">
        <v>1006400</v>
      </c>
      <c r="AF305" s="493">
        <v>100640</v>
      </c>
      <c r="AG305" s="493" t="s">
        <v>1285</v>
      </c>
      <c r="AH305" s="130">
        <f t="shared" si="65"/>
        <v>46168</v>
      </c>
      <c r="AI305" s="495"/>
      <c r="AJ305" s="439"/>
      <c r="AK305" s="121">
        <f t="shared" si="70"/>
        <v>1107040</v>
      </c>
      <c r="AL305" s="440" t="str">
        <f t="shared" ca="1" si="59"/>
        <v>관리</v>
      </c>
      <c r="AM305" s="440"/>
      <c r="AN305" s="440"/>
      <c r="AO305" s="440"/>
    </row>
    <row r="306" spans="1:41" ht="16.5" hidden="1" customHeight="1">
      <c r="A306" s="492" t="s">
        <v>1839</v>
      </c>
      <c r="B306" s="493" t="s">
        <v>1840</v>
      </c>
      <c r="C306" s="492" t="s">
        <v>1823</v>
      </c>
      <c r="D306" s="492" t="s">
        <v>1823</v>
      </c>
      <c r="E306" s="493" t="s">
        <v>116</v>
      </c>
      <c r="F306" s="493" t="s">
        <v>377</v>
      </c>
      <c r="G306" s="493" t="s">
        <v>117</v>
      </c>
      <c r="H306" s="493" t="s">
        <v>118</v>
      </c>
      <c r="I306" s="493" t="s">
        <v>119</v>
      </c>
      <c r="J306" s="493" t="s">
        <v>661</v>
      </c>
      <c r="K306" s="493" t="s">
        <v>377</v>
      </c>
      <c r="L306" s="493" t="s">
        <v>662</v>
      </c>
      <c r="M306" s="493" t="s">
        <v>663</v>
      </c>
      <c r="N306" s="493" t="s">
        <v>664</v>
      </c>
      <c r="O306" s="493">
        <v>770000</v>
      </c>
      <c r="P306" s="439">
        <v>700000</v>
      </c>
      <c r="Q306" s="493">
        <v>70000</v>
      </c>
      <c r="R306" s="493" t="s">
        <v>124</v>
      </c>
      <c r="S306" s="493" t="s">
        <v>382</v>
      </c>
      <c r="T306" s="493" t="s">
        <v>125</v>
      </c>
      <c r="U306" s="493" t="s">
        <v>377</v>
      </c>
      <c r="V306" s="493" t="s">
        <v>127</v>
      </c>
      <c r="W306" s="493" t="s">
        <v>128</v>
      </c>
      <c r="X306" s="493" t="s">
        <v>665</v>
      </c>
      <c r="Y306" s="493" t="s">
        <v>377</v>
      </c>
      <c r="Z306" s="493" t="s">
        <v>1839</v>
      </c>
      <c r="AA306" s="493" t="s">
        <v>130</v>
      </c>
      <c r="AB306" s="493" t="s">
        <v>377</v>
      </c>
      <c r="AC306" s="493" t="s">
        <v>131</v>
      </c>
      <c r="AD306" s="493" t="s">
        <v>1841</v>
      </c>
      <c r="AE306" s="493">
        <v>700000</v>
      </c>
      <c r="AF306" s="493">
        <v>70000</v>
      </c>
      <c r="AG306" s="493" t="s">
        <v>377</v>
      </c>
      <c r="AH306" s="130">
        <f t="shared" si="65"/>
        <v>46169</v>
      </c>
      <c r="AI306" s="495">
        <v>46129</v>
      </c>
      <c r="AJ306" s="439">
        <f>P306*1.1</f>
        <v>770000.00000000012</v>
      </c>
      <c r="AK306" s="121">
        <f t="shared" ref="AK306:AK310" si="71">(P306*1.1)-AJ306</f>
        <v>0</v>
      </c>
      <c r="AL306" s="440" t="str">
        <f t="shared" ca="1" si="59"/>
        <v/>
      </c>
      <c r="AM306" s="440"/>
      <c r="AN306" s="440"/>
      <c r="AO306" s="440"/>
    </row>
    <row r="307" spans="1:41" ht="16.5" hidden="1" customHeight="1">
      <c r="A307" s="492" t="s">
        <v>1839</v>
      </c>
      <c r="B307" s="493" t="s">
        <v>1842</v>
      </c>
      <c r="C307" s="492" t="s">
        <v>1839</v>
      </c>
      <c r="D307" s="492" t="s">
        <v>1839</v>
      </c>
      <c r="E307" s="493" t="s">
        <v>116</v>
      </c>
      <c r="F307" s="493" t="s">
        <v>377</v>
      </c>
      <c r="G307" s="493" t="s">
        <v>117</v>
      </c>
      <c r="H307" s="493" t="s">
        <v>118</v>
      </c>
      <c r="I307" s="493" t="s">
        <v>119</v>
      </c>
      <c r="J307" s="493" t="s">
        <v>1681</v>
      </c>
      <c r="K307" s="493" t="s">
        <v>377</v>
      </c>
      <c r="L307" s="493" t="s">
        <v>1682</v>
      </c>
      <c r="M307" s="493" t="s">
        <v>1683</v>
      </c>
      <c r="N307" s="493" t="s">
        <v>1684</v>
      </c>
      <c r="O307" s="493">
        <v>13287780</v>
      </c>
      <c r="P307" s="439">
        <v>12079800</v>
      </c>
      <c r="Q307" s="493">
        <v>1207980</v>
      </c>
      <c r="R307" s="493" t="s">
        <v>124</v>
      </c>
      <c r="S307" s="493" t="s">
        <v>382</v>
      </c>
      <c r="T307" s="493" t="s">
        <v>125</v>
      </c>
      <c r="U307" s="493" t="s">
        <v>126</v>
      </c>
      <c r="V307" s="493" t="s">
        <v>127</v>
      </c>
      <c r="W307" s="493" t="s">
        <v>128</v>
      </c>
      <c r="X307" s="493" t="s">
        <v>1685</v>
      </c>
      <c r="Y307" s="493" t="s">
        <v>377</v>
      </c>
      <c r="Z307" s="493" t="s">
        <v>1839</v>
      </c>
      <c r="AA307" s="493" t="s">
        <v>130</v>
      </c>
      <c r="AB307" s="493" t="s">
        <v>377</v>
      </c>
      <c r="AC307" s="493" t="s">
        <v>131</v>
      </c>
      <c r="AD307" s="493" t="s">
        <v>1843</v>
      </c>
      <c r="AE307" s="493">
        <v>12079800</v>
      </c>
      <c r="AF307" s="493">
        <v>1207980</v>
      </c>
      <c r="AG307" s="493" t="s">
        <v>1743</v>
      </c>
      <c r="AH307" s="130">
        <f t="shared" si="65"/>
        <v>46169</v>
      </c>
      <c r="AI307" s="495">
        <v>46129</v>
      </c>
      <c r="AJ307" s="439">
        <f>P307*1.1</f>
        <v>13287780.000000002</v>
      </c>
      <c r="AK307" s="121">
        <f t="shared" si="71"/>
        <v>0</v>
      </c>
      <c r="AL307" s="440" t="str">
        <f t="shared" ca="1" si="59"/>
        <v/>
      </c>
      <c r="AM307" s="440"/>
      <c r="AN307" s="440"/>
      <c r="AO307" s="440"/>
    </row>
    <row r="308" spans="1:41" ht="16.5" hidden="1" customHeight="1">
      <c r="A308" s="492" t="s">
        <v>1839</v>
      </c>
      <c r="B308" s="493" t="s">
        <v>1844</v>
      </c>
      <c r="C308" s="492" t="s">
        <v>1839</v>
      </c>
      <c r="D308" s="492" t="s">
        <v>1839</v>
      </c>
      <c r="E308" s="493" t="s">
        <v>116</v>
      </c>
      <c r="F308" s="493" t="s">
        <v>377</v>
      </c>
      <c r="G308" s="493" t="s">
        <v>117</v>
      </c>
      <c r="H308" s="493" t="s">
        <v>118</v>
      </c>
      <c r="I308" s="493" t="s">
        <v>119</v>
      </c>
      <c r="J308" s="493" t="s">
        <v>703</v>
      </c>
      <c r="K308" s="493" t="s">
        <v>377</v>
      </c>
      <c r="L308" s="493" t="s">
        <v>704</v>
      </c>
      <c r="M308" s="493" t="s">
        <v>705</v>
      </c>
      <c r="N308" s="493" t="s">
        <v>706</v>
      </c>
      <c r="O308" s="493">
        <v>184360</v>
      </c>
      <c r="P308" s="439">
        <v>167600</v>
      </c>
      <c r="Q308" s="493">
        <v>16760</v>
      </c>
      <c r="R308" s="493" t="s">
        <v>124</v>
      </c>
      <c r="S308" s="493" t="s">
        <v>382</v>
      </c>
      <c r="T308" s="493" t="s">
        <v>125</v>
      </c>
      <c r="U308" s="493" t="s">
        <v>126</v>
      </c>
      <c r="V308" s="493" t="s">
        <v>127</v>
      </c>
      <c r="W308" s="493" t="s">
        <v>128</v>
      </c>
      <c r="X308" s="493" t="s">
        <v>707</v>
      </c>
      <c r="Y308" s="493" t="s">
        <v>377</v>
      </c>
      <c r="Z308" s="493" t="s">
        <v>1839</v>
      </c>
      <c r="AA308" s="493" t="s">
        <v>130</v>
      </c>
      <c r="AB308" s="493" t="s">
        <v>377</v>
      </c>
      <c r="AC308" s="493" t="s">
        <v>131</v>
      </c>
      <c r="AD308" s="493" t="s">
        <v>1845</v>
      </c>
      <c r="AE308" s="493">
        <v>167600</v>
      </c>
      <c r="AF308" s="493">
        <v>16760</v>
      </c>
      <c r="AG308" s="493" t="s">
        <v>1855</v>
      </c>
      <c r="AH308" s="130">
        <f t="shared" si="65"/>
        <v>46169</v>
      </c>
      <c r="AI308" s="495"/>
      <c r="AJ308" s="439"/>
      <c r="AK308" s="121">
        <f t="shared" si="71"/>
        <v>184360.00000000003</v>
      </c>
      <c r="AL308" s="440" t="str">
        <f t="shared" ca="1" si="59"/>
        <v>관리</v>
      </c>
      <c r="AM308" s="440"/>
      <c r="AN308" s="440"/>
      <c r="AO308" s="440"/>
    </row>
    <row r="309" spans="1:41" ht="16.5" hidden="1" customHeight="1">
      <c r="A309" s="492" t="s">
        <v>1839</v>
      </c>
      <c r="B309" s="493" t="s">
        <v>1846</v>
      </c>
      <c r="C309" s="492" t="s">
        <v>1839</v>
      </c>
      <c r="D309" s="492" t="s">
        <v>1839</v>
      </c>
      <c r="E309" s="493" t="s">
        <v>116</v>
      </c>
      <c r="F309" s="493" t="s">
        <v>377</v>
      </c>
      <c r="G309" s="493" t="s">
        <v>117</v>
      </c>
      <c r="H309" s="493" t="s">
        <v>118</v>
      </c>
      <c r="I309" s="493" t="s">
        <v>119</v>
      </c>
      <c r="J309" s="493" t="s">
        <v>1847</v>
      </c>
      <c r="K309" s="493" t="s">
        <v>377</v>
      </c>
      <c r="L309" s="493" t="s">
        <v>1848</v>
      </c>
      <c r="M309" s="493" t="s">
        <v>1849</v>
      </c>
      <c r="N309" s="493" t="s">
        <v>1850</v>
      </c>
      <c r="O309" s="493">
        <v>256520</v>
      </c>
      <c r="P309" s="439">
        <v>233200</v>
      </c>
      <c r="Q309" s="493">
        <v>23320</v>
      </c>
      <c r="R309" s="493" t="s">
        <v>124</v>
      </c>
      <c r="S309" s="493" t="s">
        <v>382</v>
      </c>
      <c r="T309" s="493" t="s">
        <v>125</v>
      </c>
      <c r="U309" s="493" t="s">
        <v>126</v>
      </c>
      <c r="V309" s="493" t="s">
        <v>127</v>
      </c>
      <c r="W309" s="493" t="s">
        <v>128</v>
      </c>
      <c r="X309" s="493" t="s">
        <v>1851</v>
      </c>
      <c r="Y309" s="493" t="s">
        <v>377</v>
      </c>
      <c r="Z309" s="493" t="s">
        <v>1839</v>
      </c>
      <c r="AA309" s="493" t="s">
        <v>130</v>
      </c>
      <c r="AB309" s="493" t="s">
        <v>377</v>
      </c>
      <c r="AC309" s="493" t="s">
        <v>131</v>
      </c>
      <c r="AD309" s="493" t="s">
        <v>1852</v>
      </c>
      <c r="AE309" s="493">
        <v>233200</v>
      </c>
      <c r="AF309" s="493">
        <v>23320</v>
      </c>
      <c r="AG309" s="493" t="s">
        <v>1286</v>
      </c>
      <c r="AH309" s="130">
        <f t="shared" si="65"/>
        <v>46169</v>
      </c>
      <c r="AI309" s="495"/>
      <c r="AJ309" s="439"/>
      <c r="AK309" s="121">
        <f t="shared" si="71"/>
        <v>256520.00000000003</v>
      </c>
      <c r="AL309" s="440" t="str">
        <f t="shared" ca="1" si="59"/>
        <v>관리</v>
      </c>
      <c r="AM309" s="440"/>
      <c r="AN309" s="440"/>
      <c r="AO309" s="440"/>
    </row>
    <row r="310" spans="1:41" ht="16.5" hidden="1" customHeight="1">
      <c r="A310" s="492" t="s">
        <v>1839</v>
      </c>
      <c r="B310" s="493" t="s">
        <v>1853</v>
      </c>
      <c r="C310" s="492" t="s">
        <v>1839</v>
      </c>
      <c r="D310" s="492" t="s">
        <v>1839</v>
      </c>
      <c r="E310" s="493" t="s">
        <v>116</v>
      </c>
      <c r="F310" s="493" t="s">
        <v>377</v>
      </c>
      <c r="G310" s="493" t="s">
        <v>117</v>
      </c>
      <c r="H310" s="493" t="s">
        <v>118</v>
      </c>
      <c r="I310" s="493" t="s">
        <v>119</v>
      </c>
      <c r="J310" s="493" t="s">
        <v>510</v>
      </c>
      <c r="K310" s="493" t="s">
        <v>377</v>
      </c>
      <c r="L310" s="493" t="s">
        <v>511</v>
      </c>
      <c r="M310" s="493" t="s">
        <v>512</v>
      </c>
      <c r="N310" s="493" t="s">
        <v>513</v>
      </c>
      <c r="O310" s="493">
        <v>2165900</v>
      </c>
      <c r="P310" s="439">
        <v>1969000</v>
      </c>
      <c r="Q310" s="493">
        <v>196900</v>
      </c>
      <c r="R310" s="493" t="s">
        <v>124</v>
      </c>
      <c r="S310" s="493" t="s">
        <v>382</v>
      </c>
      <c r="T310" s="493" t="s">
        <v>125</v>
      </c>
      <c r="U310" s="493" t="s">
        <v>126</v>
      </c>
      <c r="V310" s="493" t="s">
        <v>127</v>
      </c>
      <c r="W310" s="493" t="s">
        <v>128</v>
      </c>
      <c r="X310" s="493" t="s">
        <v>514</v>
      </c>
      <c r="Y310" s="493" t="s">
        <v>377</v>
      </c>
      <c r="Z310" s="493" t="s">
        <v>1839</v>
      </c>
      <c r="AA310" s="493" t="s">
        <v>130</v>
      </c>
      <c r="AB310" s="493" t="s">
        <v>377</v>
      </c>
      <c r="AC310" s="493" t="s">
        <v>131</v>
      </c>
      <c r="AD310" s="493" t="s">
        <v>1854</v>
      </c>
      <c r="AE310" s="493">
        <v>1969000</v>
      </c>
      <c r="AF310" s="493">
        <v>196900</v>
      </c>
      <c r="AG310" s="493" t="s">
        <v>1026</v>
      </c>
      <c r="AH310" s="130">
        <f t="shared" si="65"/>
        <v>46169</v>
      </c>
      <c r="AI310" s="495"/>
      <c r="AJ310" s="439"/>
      <c r="AK310" s="121">
        <f t="shared" si="71"/>
        <v>2165900</v>
      </c>
      <c r="AL310" s="440" t="str">
        <f t="shared" ca="1" si="59"/>
        <v>관리</v>
      </c>
      <c r="AM310" s="440"/>
      <c r="AN310" s="440"/>
      <c r="AO310" s="440"/>
    </row>
    <row r="311" spans="1:41" ht="16.5" hidden="1" customHeight="1">
      <c r="A311" s="492" t="s">
        <v>1823</v>
      </c>
      <c r="B311" s="493" t="s">
        <v>1856</v>
      </c>
      <c r="C311" s="492" t="s">
        <v>1823</v>
      </c>
      <c r="D311" s="492" t="s">
        <v>1823</v>
      </c>
      <c r="E311" s="493" t="s">
        <v>116</v>
      </c>
      <c r="F311" s="493" t="s">
        <v>377</v>
      </c>
      <c r="G311" s="493" t="s">
        <v>117</v>
      </c>
      <c r="H311" s="493" t="s">
        <v>118</v>
      </c>
      <c r="I311" s="493" t="s">
        <v>119</v>
      </c>
      <c r="J311" s="493" t="s">
        <v>1061</v>
      </c>
      <c r="K311" s="493" t="s">
        <v>377</v>
      </c>
      <c r="L311" s="493" t="s">
        <v>1062</v>
      </c>
      <c r="M311" s="493" t="s">
        <v>1063</v>
      </c>
      <c r="N311" s="493" t="s">
        <v>1484</v>
      </c>
      <c r="O311" s="493">
        <v>5552580</v>
      </c>
      <c r="P311" s="439">
        <v>5047800</v>
      </c>
      <c r="Q311" s="493">
        <v>504780</v>
      </c>
      <c r="R311" s="493" t="s">
        <v>124</v>
      </c>
      <c r="S311" s="493" t="s">
        <v>382</v>
      </c>
      <c r="T311" s="493" t="s">
        <v>125</v>
      </c>
      <c r="U311" s="493" t="s">
        <v>126</v>
      </c>
      <c r="V311" s="493" t="s">
        <v>127</v>
      </c>
      <c r="W311" s="493" t="s">
        <v>128</v>
      </c>
      <c r="X311" s="493" t="s">
        <v>1064</v>
      </c>
      <c r="Y311" s="493" t="s">
        <v>377</v>
      </c>
      <c r="Z311" s="493" t="s">
        <v>1823</v>
      </c>
      <c r="AA311" s="493" t="s">
        <v>130</v>
      </c>
      <c r="AB311" s="493" t="s">
        <v>377</v>
      </c>
      <c r="AC311" s="493" t="s">
        <v>131</v>
      </c>
      <c r="AD311" s="493" t="s">
        <v>1857</v>
      </c>
      <c r="AE311" s="493">
        <v>5047800</v>
      </c>
      <c r="AF311" s="493">
        <v>504780</v>
      </c>
      <c r="AG311" s="493" t="s">
        <v>1530</v>
      </c>
      <c r="AH311" s="130">
        <f t="shared" si="65"/>
        <v>46172</v>
      </c>
      <c r="AI311" s="495">
        <v>46164</v>
      </c>
      <c r="AJ311" s="439">
        <f>P311*1.1</f>
        <v>5552580</v>
      </c>
      <c r="AK311" s="121">
        <f t="shared" ref="AK311:AK320" si="72">(P311*1.1)-AJ311</f>
        <v>0</v>
      </c>
      <c r="AL311" s="440" t="str">
        <f t="shared" ca="1" si="59"/>
        <v/>
      </c>
      <c r="AM311" s="440"/>
      <c r="AN311" s="440"/>
      <c r="AO311" s="440"/>
    </row>
    <row r="312" spans="1:41" ht="16.5" hidden="1" customHeight="1">
      <c r="A312" s="492" t="s">
        <v>1823</v>
      </c>
      <c r="B312" s="493" t="s">
        <v>1858</v>
      </c>
      <c r="C312" s="492" t="s">
        <v>1823</v>
      </c>
      <c r="D312" s="492" t="s">
        <v>1823</v>
      </c>
      <c r="E312" s="493" t="s">
        <v>116</v>
      </c>
      <c r="F312" s="493" t="s">
        <v>377</v>
      </c>
      <c r="G312" s="493" t="s">
        <v>117</v>
      </c>
      <c r="H312" s="493" t="s">
        <v>118</v>
      </c>
      <c r="I312" s="493" t="s">
        <v>119</v>
      </c>
      <c r="J312" s="493" t="s">
        <v>690</v>
      </c>
      <c r="K312" s="493" t="s">
        <v>377</v>
      </c>
      <c r="L312" s="493" t="s">
        <v>691</v>
      </c>
      <c r="M312" s="493" t="s">
        <v>692</v>
      </c>
      <c r="N312" s="493" t="s">
        <v>693</v>
      </c>
      <c r="O312" s="493">
        <v>62254060</v>
      </c>
      <c r="P312" s="439">
        <v>56594600</v>
      </c>
      <c r="Q312" s="493">
        <v>5659460</v>
      </c>
      <c r="R312" s="493" t="s">
        <v>124</v>
      </c>
      <c r="S312" s="493" t="s">
        <v>382</v>
      </c>
      <c r="T312" s="493" t="s">
        <v>125</v>
      </c>
      <c r="U312" s="493" t="s">
        <v>126</v>
      </c>
      <c r="V312" s="493" t="s">
        <v>127</v>
      </c>
      <c r="W312" s="493" t="s">
        <v>128</v>
      </c>
      <c r="X312" s="493" t="s">
        <v>694</v>
      </c>
      <c r="Y312" s="493" t="s">
        <v>377</v>
      </c>
      <c r="Z312" s="493" t="s">
        <v>1823</v>
      </c>
      <c r="AA312" s="493" t="s">
        <v>130</v>
      </c>
      <c r="AB312" s="493" t="s">
        <v>377</v>
      </c>
      <c r="AC312" s="493" t="s">
        <v>131</v>
      </c>
      <c r="AD312" s="493" t="s">
        <v>1859</v>
      </c>
      <c r="AE312" s="493">
        <v>56594600</v>
      </c>
      <c r="AF312" s="493">
        <v>5659460</v>
      </c>
      <c r="AG312" s="493" t="s">
        <v>1860</v>
      </c>
      <c r="AH312" s="130">
        <f t="shared" si="65"/>
        <v>46172</v>
      </c>
      <c r="AI312" s="495"/>
      <c r="AJ312" s="439"/>
      <c r="AK312" s="121">
        <f t="shared" si="72"/>
        <v>62254060.000000007</v>
      </c>
      <c r="AL312" s="440" t="str">
        <f t="shared" ca="1" si="59"/>
        <v>관리</v>
      </c>
      <c r="AM312" s="440"/>
      <c r="AN312" s="440"/>
      <c r="AO312" s="440"/>
    </row>
    <row r="313" spans="1:41" ht="16.5" hidden="1" customHeight="1">
      <c r="A313" s="492" t="s">
        <v>1823</v>
      </c>
      <c r="B313" s="493" t="s">
        <v>1861</v>
      </c>
      <c r="C313" s="492" t="s">
        <v>1823</v>
      </c>
      <c r="D313" s="492" t="s">
        <v>1823</v>
      </c>
      <c r="E313" s="493" t="s">
        <v>116</v>
      </c>
      <c r="F313" s="493" t="s">
        <v>377</v>
      </c>
      <c r="G313" s="493" t="s">
        <v>117</v>
      </c>
      <c r="H313" s="493" t="s">
        <v>118</v>
      </c>
      <c r="I313" s="493" t="s">
        <v>119</v>
      </c>
      <c r="J313" s="493" t="s">
        <v>690</v>
      </c>
      <c r="K313" s="493" t="s">
        <v>377</v>
      </c>
      <c r="L313" s="493" t="s">
        <v>691</v>
      </c>
      <c r="M313" s="493" t="s">
        <v>692</v>
      </c>
      <c r="N313" s="493" t="s">
        <v>693</v>
      </c>
      <c r="O313" s="493">
        <v>-1404700</v>
      </c>
      <c r="P313" s="439">
        <v>-1277000</v>
      </c>
      <c r="Q313" s="493">
        <v>-127700</v>
      </c>
      <c r="R313" s="493" t="s">
        <v>124</v>
      </c>
      <c r="S313" s="493" t="s">
        <v>382</v>
      </c>
      <c r="T313" s="493" t="s">
        <v>125</v>
      </c>
      <c r="U313" s="493" t="s">
        <v>126</v>
      </c>
      <c r="V313" s="493" t="s">
        <v>127</v>
      </c>
      <c r="W313" s="493" t="s">
        <v>128</v>
      </c>
      <c r="X313" s="493" t="s">
        <v>694</v>
      </c>
      <c r="Y313" s="493" t="s">
        <v>377</v>
      </c>
      <c r="Z313" s="493" t="s">
        <v>1823</v>
      </c>
      <c r="AA313" s="493" t="s">
        <v>1653</v>
      </c>
      <c r="AB313" s="493" t="s">
        <v>377</v>
      </c>
      <c r="AC313" s="493" t="s">
        <v>1634</v>
      </c>
      <c r="AD313" s="493" t="s">
        <v>1862</v>
      </c>
      <c r="AE313" s="493">
        <v>-1277000</v>
      </c>
      <c r="AF313" s="493">
        <v>-127700</v>
      </c>
      <c r="AG313" s="493" t="s">
        <v>1863</v>
      </c>
      <c r="AH313" s="130">
        <f t="shared" si="65"/>
        <v>46172</v>
      </c>
      <c r="AI313" s="495"/>
      <c r="AJ313" s="439"/>
      <c r="AK313" s="121">
        <f t="shared" si="72"/>
        <v>-1404700</v>
      </c>
      <c r="AL313" s="440" t="str">
        <f t="shared" ca="1" si="59"/>
        <v>관리</v>
      </c>
      <c r="AM313" s="440"/>
      <c r="AN313" s="440"/>
      <c r="AO313" s="440"/>
    </row>
    <row r="314" spans="1:41" ht="16.5" hidden="1" customHeight="1">
      <c r="A314" s="492" t="s">
        <v>1823</v>
      </c>
      <c r="B314" s="493" t="s">
        <v>1864</v>
      </c>
      <c r="C314" s="492" t="s">
        <v>1823</v>
      </c>
      <c r="D314" s="492" t="s">
        <v>1823</v>
      </c>
      <c r="E314" s="493" t="s">
        <v>116</v>
      </c>
      <c r="F314" s="493" t="s">
        <v>377</v>
      </c>
      <c r="G314" s="493" t="s">
        <v>117</v>
      </c>
      <c r="H314" s="493" t="s">
        <v>118</v>
      </c>
      <c r="I314" s="493" t="s">
        <v>119</v>
      </c>
      <c r="J314" s="493" t="s">
        <v>519</v>
      </c>
      <c r="K314" s="493" t="s">
        <v>377</v>
      </c>
      <c r="L314" s="493" t="s">
        <v>520</v>
      </c>
      <c r="M314" s="493" t="s">
        <v>521</v>
      </c>
      <c r="N314" s="493" t="s">
        <v>522</v>
      </c>
      <c r="O314" s="493">
        <v>2466750</v>
      </c>
      <c r="P314" s="439">
        <v>2242500</v>
      </c>
      <c r="Q314" s="493">
        <v>224250</v>
      </c>
      <c r="R314" s="493" t="s">
        <v>124</v>
      </c>
      <c r="S314" s="493" t="s">
        <v>382</v>
      </c>
      <c r="T314" s="493" t="s">
        <v>125</v>
      </c>
      <c r="U314" s="493" t="s">
        <v>126</v>
      </c>
      <c r="V314" s="493" t="s">
        <v>127</v>
      </c>
      <c r="W314" s="493" t="s">
        <v>128</v>
      </c>
      <c r="X314" s="493" t="s">
        <v>523</v>
      </c>
      <c r="Y314" s="493" t="s">
        <v>377</v>
      </c>
      <c r="Z314" s="493" t="s">
        <v>1823</v>
      </c>
      <c r="AA314" s="493" t="s">
        <v>130</v>
      </c>
      <c r="AB314" s="493" t="s">
        <v>377</v>
      </c>
      <c r="AC314" s="493" t="s">
        <v>131</v>
      </c>
      <c r="AD314" s="493" t="s">
        <v>1865</v>
      </c>
      <c r="AE314" s="493">
        <v>2242500</v>
      </c>
      <c r="AF314" s="493">
        <v>224250</v>
      </c>
      <c r="AG314" s="493" t="s">
        <v>2103</v>
      </c>
      <c r="AH314" s="130">
        <f t="shared" si="65"/>
        <v>46172</v>
      </c>
      <c r="AI314" s="495"/>
      <c r="AJ314" s="439"/>
      <c r="AK314" s="121">
        <f t="shared" si="72"/>
        <v>2466750</v>
      </c>
      <c r="AL314" s="440" t="str">
        <f t="shared" ca="1" si="59"/>
        <v>관리</v>
      </c>
      <c r="AM314" s="440"/>
      <c r="AN314" s="440"/>
      <c r="AO314" s="440"/>
    </row>
    <row r="315" spans="1:41" ht="16.5" hidden="1" customHeight="1">
      <c r="A315" s="492" t="s">
        <v>1823</v>
      </c>
      <c r="B315" s="493" t="s">
        <v>1866</v>
      </c>
      <c r="C315" s="492" t="s">
        <v>1823</v>
      </c>
      <c r="D315" s="492" t="s">
        <v>1823</v>
      </c>
      <c r="E315" s="493" t="s">
        <v>116</v>
      </c>
      <c r="F315" s="493" t="s">
        <v>377</v>
      </c>
      <c r="G315" s="493" t="s">
        <v>117</v>
      </c>
      <c r="H315" s="493" t="s">
        <v>118</v>
      </c>
      <c r="I315" s="493" t="s">
        <v>119</v>
      </c>
      <c r="J315" s="493" t="s">
        <v>1343</v>
      </c>
      <c r="K315" s="493" t="s">
        <v>377</v>
      </c>
      <c r="L315" s="493" t="s">
        <v>1344</v>
      </c>
      <c r="M315" s="493" t="s">
        <v>1345</v>
      </c>
      <c r="N315" s="493" t="s">
        <v>1346</v>
      </c>
      <c r="O315" s="493">
        <v>2317920</v>
      </c>
      <c r="P315" s="439">
        <v>2107200</v>
      </c>
      <c r="Q315" s="493">
        <v>210720</v>
      </c>
      <c r="R315" s="493" t="s">
        <v>124</v>
      </c>
      <c r="S315" s="493" t="s">
        <v>382</v>
      </c>
      <c r="T315" s="493" t="s">
        <v>125</v>
      </c>
      <c r="U315" s="493" t="s">
        <v>126</v>
      </c>
      <c r="V315" s="493" t="s">
        <v>127</v>
      </c>
      <c r="W315" s="493" t="s">
        <v>128</v>
      </c>
      <c r="X315" s="493" t="s">
        <v>1347</v>
      </c>
      <c r="Y315" s="493" t="s">
        <v>377</v>
      </c>
      <c r="Z315" s="493" t="s">
        <v>1823</v>
      </c>
      <c r="AA315" s="493" t="s">
        <v>130</v>
      </c>
      <c r="AB315" s="493" t="s">
        <v>377</v>
      </c>
      <c r="AC315" s="493" t="s">
        <v>131</v>
      </c>
      <c r="AD315" s="493" t="s">
        <v>1867</v>
      </c>
      <c r="AE315" s="493">
        <v>2107200</v>
      </c>
      <c r="AF315" s="493">
        <v>210720</v>
      </c>
      <c r="AG315" s="493" t="s">
        <v>1868</v>
      </c>
      <c r="AH315" s="130">
        <f t="shared" si="65"/>
        <v>46172</v>
      </c>
      <c r="AI315" s="495">
        <v>46164</v>
      </c>
      <c r="AJ315" s="439">
        <f>P315*1.1</f>
        <v>2317920</v>
      </c>
      <c r="AK315" s="121">
        <f t="shared" si="72"/>
        <v>0</v>
      </c>
      <c r="AL315" s="440" t="str">
        <f t="shared" ca="1" si="59"/>
        <v/>
      </c>
      <c r="AM315" s="440"/>
      <c r="AN315" s="440"/>
      <c r="AO315" s="440"/>
    </row>
    <row r="316" spans="1:41" ht="16.5" hidden="1" customHeight="1">
      <c r="A316" s="492" t="s">
        <v>1823</v>
      </c>
      <c r="B316" s="493" t="s">
        <v>1824</v>
      </c>
      <c r="C316" s="492" t="s">
        <v>1823</v>
      </c>
      <c r="D316" s="492" t="s">
        <v>1823</v>
      </c>
      <c r="E316" s="493" t="s">
        <v>116</v>
      </c>
      <c r="F316" s="493" t="s">
        <v>377</v>
      </c>
      <c r="G316" s="493" t="s">
        <v>117</v>
      </c>
      <c r="H316" s="493" t="s">
        <v>118</v>
      </c>
      <c r="I316" s="493" t="s">
        <v>119</v>
      </c>
      <c r="J316" s="493" t="s">
        <v>519</v>
      </c>
      <c r="K316" s="493" t="s">
        <v>377</v>
      </c>
      <c r="L316" s="493" t="s">
        <v>520</v>
      </c>
      <c r="M316" s="493" t="s">
        <v>521</v>
      </c>
      <c r="N316" s="493" t="s">
        <v>522</v>
      </c>
      <c r="O316" s="493">
        <v>11780890</v>
      </c>
      <c r="P316" s="439">
        <v>10709900</v>
      </c>
      <c r="Q316" s="493">
        <v>1070990</v>
      </c>
      <c r="R316" s="493" t="s">
        <v>124</v>
      </c>
      <c r="S316" s="493" t="s">
        <v>382</v>
      </c>
      <c r="T316" s="493" t="s">
        <v>125</v>
      </c>
      <c r="U316" s="493" t="s">
        <v>126</v>
      </c>
      <c r="V316" s="493" t="s">
        <v>127</v>
      </c>
      <c r="W316" s="493" t="s">
        <v>128</v>
      </c>
      <c r="X316" s="493" t="s">
        <v>523</v>
      </c>
      <c r="Y316" s="493" t="s">
        <v>377</v>
      </c>
      <c r="Z316" s="493" t="s">
        <v>1823</v>
      </c>
      <c r="AA316" s="493" t="s">
        <v>130</v>
      </c>
      <c r="AB316" s="493" t="s">
        <v>377</v>
      </c>
      <c r="AC316" s="493" t="s">
        <v>131</v>
      </c>
      <c r="AD316" s="493" t="s">
        <v>1825</v>
      </c>
      <c r="AE316" s="493">
        <v>10709900</v>
      </c>
      <c r="AF316" s="493">
        <v>1070990</v>
      </c>
      <c r="AG316" s="493" t="s">
        <v>1869</v>
      </c>
      <c r="AH316" s="130">
        <f t="shared" si="65"/>
        <v>46172</v>
      </c>
      <c r="AI316" s="495"/>
      <c r="AJ316" s="439"/>
      <c r="AK316" s="121">
        <f t="shared" si="72"/>
        <v>11780890.000000002</v>
      </c>
      <c r="AL316" s="440" t="str">
        <f t="shared" ca="1" si="59"/>
        <v>관리</v>
      </c>
      <c r="AM316" s="440"/>
      <c r="AN316" s="440"/>
      <c r="AO316" s="440"/>
    </row>
    <row r="317" spans="1:41" ht="16.5" hidden="1" customHeight="1">
      <c r="A317" s="492" t="s">
        <v>1823</v>
      </c>
      <c r="B317" s="493" t="s">
        <v>1826</v>
      </c>
      <c r="C317" s="492" t="s">
        <v>1823</v>
      </c>
      <c r="D317" s="492" t="s">
        <v>1823</v>
      </c>
      <c r="E317" s="493" t="s">
        <v>116</v>
      </c>
      <c r="F317" s="493" t="s">
        <v>377</v>
      </c>
      <c r="G317" s="493" t="s">
        <v>117</v>
      </c>
      <c r="H317" s="493" t="s">
        <v>118</v>
      </c>
      <c r="I317" s="493" t="s">
        <v>119</v>
      </c>
      <c r="J317" s="493" t="s">
        <v>1827</v>
      </c>
      <c r="K317" s="493" t="s">
        <v>377</v>
      </c>
      <c r="L317" s="493" t="s">
        <v>1828</v>
      </c>
      <c r="M317" s="493" t="s">
        <v>1829</v>
      </c>
      <c r="N317" s="493" t="s">
        <v>1830</v>
      </c>
      <c r="O317" s="493">
        <v>9075000</v>
      </c>
      <c r="P317" s="439">
        <v>8250000</v>
      </c>
      <c r="Q317" s="493">
        <v>825000</v>
      </c>
      <c r="R317" s="493" t="s">
        <v>124</v>
      </c>
      <c r="S317" s="493" t="s">
        <v>382</v>
      </c>
      <c r="T317" s="493" t="s">
        <v>125</v>
      </c>
      <c r="U317" s="493" t="s">
        <v>126</v>
      </c>
      <c r="V317" s="493" t="s">
        <v>127</v>
      </c>
      <c r="W317" s="493" t="s">
        <v>128</v>
      </c>
      <c r="X317" s="493" t="s">
        <v>1831</v>
      </c>
      <c r="Y317" s="493" t="s">
        <v>377</v>
      </c>
      <c r="Z317" s="493" t="s">
        <v>1823</v>
      </c>
      <c r="AA317" s="493" t="s">
        <v>130</v>
      </c>
      <c r="AB317" s="493" t="s">
        <v>377</v>
      </c>
      <c r="AC317" s="493" t="s">
        <v>131</v>
      </c>
      <c r="AD317" s="493" t="s">
        <v>1832</v>
      </c>
      <c r="AE317" s="493">
        <v>8250000</v>
      </c>
      <c r="AF317" s="493">
        <v>825000</v>
      </c>
      <c r="AG317" s="493" t="s">
        <v>1870</v>
      </c>
      <c r="AH317" s="130">
        <f t="shared" si="65"/>
        <v>46172</v>
      </c>
      <c r="AI317" s="495">
        <v>46132</v>
      </c>
      <c r="AJ317" s="439">
        <f>P317*1.1</f>
        <v>9075000</v>
      </c>
      <c r="AK317" s="121">
        <f t="shared" si="72"/>
        <v>0</v>
      </c>
      <c r="AL317" s="440" t="str">
        <f t="shared" ca="1" si="59"/>
        <v/>
      </c>
      <c r="AM317" s="440"/>
      <c r="AN317" s="440"/>
      <c r="AO317" s="440"/>
    </row>
    <row r="318" spans="1:41" ht="16.5" hidden="1" customHeight="1">
      <c r="A318" s="492" t="s">
        <v>1823</v>
      </c>
      <c r="B318" s="493" t="s">
        <v>1833</v>
      </c>
      <c r="C318" s="492" t="s">
        <v>1823</v>
      </c>
      <c r="D318" s="492" t="s">
        <v>1823</v>
      </c>
      <c r="E318" s="493" t="s">
        <v>116</v>
      </c>
      <c r="F318" s="493" t="s">
        <v>377</v>
      </c>
      <c r="G318" s="493" t="s">
        <v>117</v>
      </c>
      <c r="H318" s="493" t="s">
        <v>118</v>
      </c>
      <c r="I318" s="493" t="s">
        <v>119</v>
      </c>
      <c r="J318" s="493" t="s">
        <v>1403</v>
      </c>
      <c r="K318" s="493" t="s">
        <v>377</v>
      </c>
      <c r="L318" s="493" t="s">
        <v>1404</v>
      </c>
      <c r="M318" s="493" t="s">
        <v>1405</v>
      </c>
      <c r="N318" s="493" t="s">
        <v>1406</v>
      </c>
      <c r="O318" s="493">
        <v>7735200</v>
      </c>
      <c r="P318" s="439">
        <v>7032000</v>
      </c>
      <c r="Q318" s="493">
        <v>703200</v>
      </c>
      <c r="R318" s="493" t="s">
        <v>124</v>
      </c>
      <c r="S318" s="493" t="s">
        <v>382</v>
      </c>
      <c r="T318" s="493" t="s">
        <v>125</v>
      </c>
      <c r="U318" s="493" t="s">
        <v>126</v>
      </c>
      <c r="V318" s="493" t="s">
        <v>127</v>
      </c>
      <c r="W318" s="493" t="s">
        <v>128</v>
      </c>
      <c r="X318" s="493" t="s">
        <v>1407</v>
      </c>
      <c r="Y318" s="493" t="s">
        <v>377</v>
      </c>
      <c r="Z318" s="493" t="s">
        <v>1823</v>
      </c>
      <c r="AA318" s="493" t="s">
        <v>130</v>
      </c>
      <c r="AB318" s="493" t="s">
        <v>377</v>
      </c>
      <c r="AC318" s="493" t="s">
        <v>131</v>
      </c>
      <c r="AD318" s="493" t="s">
        <v>1834</v>
      </c>
      <c r="AE318" s="493">
        <v>7032000</v>
      </c>
      <c r="AF318" s="493">
        <v>703200</v>
      </c>
      <c r="AG318" s="493" t="s">
        <v>1521</v>
      </c>
      <c r="AH318" s="130">
        <f t="shared" si="65"/>
        <v>46172</v>
      </c>
      <c r="AI318" s="495"/>
      <c r="AJ318" s="439"/>
      <c r="AK318" s="121">
        <f t="shared" si="72"/>
        <v>7735200.0000000009</v>
      </c>
      <c r="AL318" s="440" t="str">
        <f t="shared" ca="1" si="59"/>
        <v>관리</v>
      </c>
      <c r="AM318" s="440"/>
      <c r="AN318" s="440"/>
      <c r="AO318" s="440"/>
    </row>
    <row r="319" spans="1:41" ht="16.5" hidden="1" customHeight="1">
      <c r="A319" s="492" t="s">
        <v>1823</v>
      </c>
      <c r="B319" s="493" t="s">
        <v>1835</v>
      </c>
      <c r="C319" s="492" t="s">
        <v>1823</v>
      </c>
      <c r="D319" s="492" t="s">
        <v>1823</v>
      </c>
      <c r="E319" s="493" t="s">
        <v>116</v>
      </c>
      <c r="F319" s="493" t="s">
        <v>377</v>
      </c>
      <c r="G319" s="493" t="s">
        <v>117</v>
      </c>
      <c r="H319" s="493" t="s">
        <v>118</v>
      </c>
      <c r="I319" s="493" t="s">
        <v>119</v>
      </c>
      <c r="J319" s="493" t="s">
        <v>378</v>
      </c>
      <c r="K319" s="493" t="s">
        <v>377</v>
      </c>
      <c r="L319" s="493" t="s">
        <v>379</v>
      </c>
      <c r="M319" s="493" t="s">
        <v>380</v>
      </c>
      <c r="N319" s="493" t="s">
        <v>381</v>
      </c>
      <c r="O319" s="493">
        <v>22077110</v>
      </c>
      <c r="P319" s="439">
        <v>20070100</v>
      </c>
      <c r="Q319" s="493">
        <v>2007010</v>
      </c>
      <c r="R319" s="493" t="s">
        <v>124</v>
      </c>
      <c r="S319" s="493" t="s">
        <v>382</v>
      </c>
      <c r="T319" s="493" t="s">
        <v>125</v>
      </c>
      <c r="U319" s="493" t="s">
        <v>126</v>
      </c>
      <c r="V319" s="493" t="s">
        <v>127</v>
      </c>
      <c r="W319" s="493" t="s">
        <v>128</v>
      </c>
      <c r="X319" s="493" t="s">
        <v>383</v>
      </c>
      <c r="Y319" s="493" t="s">
        <v>377</v>
      </c>
      <c r="Z319" s="493" t="s">
        <v>1823</v>
      </c>
      <c r="AA319" s="493" t="s">
        <v>130</v>
      </c>
      <c r="AB319" s="493" t="s">
        <v>377</v>
      </c>
      <c r="AC319" s="493" t="s">
        <v>131</v>
      </c>
      <c r="AD319" s="493" t="s">
        <v>1836</v>
      </c>
      <c r="AE319" s="493">
        <v>20070100</v>
      </c>
      <c r="AF319" s="493">
        <v>2007010</v>
      </c>
      <c r="AG319" s="493" t="s">
        <v>1871</v>
      </c>
      <c r="AH319" s="130">
        <f t="shared" si="65"/>
        <v>46172</v>
      </c>
      <c r="AI319" s="495"/>
      <c r="AJ319" s="439"/>
      <c r="AK319" s="121">
        <f t="shared" si="72"/>
        <v>22077110</v>
      </c>
      <c r="AL319" s="440" t="str">
        <f t="shared" ref="AL319:AL382" ca="1" si="73">IF(OR(A319="",AK319=0),"",IF(TODAY()-A319&gt;=91,"장기미수",IF(TODAY()-A319&gt;=41,"관리","")))</f>
        <v>관리</v>
      </c>
      <c r="AM319" s="440"/>
      <c r="AN319" s="440"/>
      <c r="AO319" s="440"/>
    </row>
    <row r="320" spans="1:41" ht="16.5" hidden="1" customHeight="1">
      <c r="A320" s="492" t="s">
        <v>1823</v>
      </c>
      <c r="B320" s="493" t="s">
        <v>1837</v>
      </c>
      <c r="C320" s="492" t="s">
        <v>1823</v>
      </c>
      <c r="D320" s="492" t="s">
        <v>1823</v>
      </c>
      <c r="E320" s="493" t="s">
        <v>116</v>
      </c>
      <c r="F320" s="493" t="s">
        <v>377</v>
      </c>
      <c r="G320" s="493" t="s">
        <v>117</v>
      </c>
      <c r="H320" s="493" t="s">
        <v>118</v>
      </c>
      <c r="I320" s="493" t="s">
        <v>119</v>
      </c>
      <c r="J320" s="493" t="s">
        <v>519</v>
      </c>
      <c r="K320" s="493" t="s">
        <v>377</v>
      </c>
      <c r="L320" s="493" t="s">
        <v>520</v>
      </c>
      <c r="M320" s="493" t="s">
        <v>521</v>
      </c>
      <c r="N320" s="493" t="s">
        <v>522</v>
      </c>
      <c r="O320" s="493">
        <v>28308280</v>
      </c>
      <c r="P320" s="439">
        <v>25734800</v>
      </c>
      <c r="Q320" s="493">
        <v>2573480</v>
      </c>
      <c r="R320" s="493" t="s">
        <v>124</v>
      </c>
      <c r="S320" s="493" t="s">
        <v>382</v>
      </c>
      <c r="T320" s="493" t="s">
        <v>125</v>
      </c>
      <c r="U320" s="493" t="s">
        <v>126</v>
      </c>
      <c r="V320" s="493" t="s">
        <v>127</v>
      </c>
      <c r="W320" s="493" t="s">
        <v>128</v>
      </c>
      <c r="X320" s="493" t="s">
        <v>523</v>
      </c>
      <c r="Y320" s="493" t="s">
        <v>377</v>
      </c>
      <c r="Z320" s="493" t="s">
        <v>1823</v>
      </c>
      <c r="AA320" s="493" t="s">
        <v>130</v>
      </c>
      <c r="AB320" s="493" t="s">
        <v>377</v>
      </c>
      <c r="AC320" s="493" t="s">
        <v>131</v>
      </c>
      <c r="AD320" s="493" t="s">
        <v>1838</v>
      </c>
      <c r="AE320" s="493">
        <v>25734800</v>
      </c>
      <c r="AF320" s="493">
        <v>2573480</v>
      </c>
      <c r="AG320" s="493" t="s">
        <v>1598</v>
      </c>
      <c r="AH320" s="130">
        <f t="shared" si="65"/>
        <v>46172</v>
      </c>
      <c r="AI320" s="495"/>
      <c r="AJ320" s="439"/>
      <c r="AK320" s="121">
        <f t="shared" si="72"/>
        <v>28308280.000000004</v>
      </c>
      <c r="AL320" s="440" t="str">
        <f t="shared" ca="1" si="73"/>
        <v>관리</v>
      </c>
      <c r="AM320" s="440"/>
      <c r="AN320" s="440"/>
      <c r="AO320" s="440"/>
    </row>
    <row r="321" spans="1:41" ht="16.5" hidden="1" customHeight="1">
      <c r="A321" s="492" t="s">
        <v>1872</v>
      </c>
      <c r="B321" s="493" t="s">
        <v>1893</v>
      </c>
      <c r="C321" s="492" t="s">
        <v>1872</v>
      </c>
      <c r="D321" s="492" t="s">
        <v>1872</v>
      </c>
      <c r="E321" s="493" t="s">
        <v>116</v>
      </c>
      <c r="F321" s="493" t="s">
        <v>377</v>
      </c>
      <c r="G321" s="493" t="s">
        <v>117</v>
      </c>
      <c r="H321" s="493" t="s">
        <v>118</v>
      </c>
      <c r="I321" s="493" t="s">
        <v>119</v>
      </c>
      <c r="J321" s="493" t="s">
        <v>1894</v>
      </c>
      <c r="K321" s="493" t="s">
        <v>377</v>
      </c>
      <c r="L321" s="493" t="s">
        <v>1895</v>
      </c>
      <c r="M321" s="493" t="s">
        <v>1896</v>
      </c>
      <c r="N321" s="493" t="s">
        <v>1897</v>
      </c>
      <c r="O321" s="493">
        <v>990000</v>
      </c>
      <c r="P321" s="439">
        <v>900000</v>
      </c>
      <c r="Q321" s="493">
        <v>90000</v>
      </c>
      <c r="R321" s="493" t="s">
        <v>124</v>
      </c>
      <c r="S321" s="493" t="s">
        <v>382</v>
      </c>
      <c r="T321" s="493" t="s">
        <v>125</v>
      </c>
      <c r="U321" s="493" t="s">
        <v>126</v>
      </c>
      <c r="V321" s="493" t="s">
        <v>127</v>
      </c>
      <c r="W321" s="493" t="s">
        <v>128</v>
      </c>
      <c r="X321" s="493" t="s">
        <v>1898</v>
      </c>
      <c r="Y321" s="493" t="s">
        <v>377</v>
      </c>
      <c r="Z321" s="493" t="s">
        <v>1872</v>
      </c>
      <c r="AA321" s="493" t="s">
        <v>130</v>
      </c>
      <c r="AB321" s="493" t="s">
        <v>377</v>
      </c>
      <c r="AC321" s="493" t="s">
        <v>131</v>
      </c>
      <c r="AD321" s="493" t="s">
        <v>1899</v>
      </c>
      <c r="AE321" s="493">
        <v>900000</v>
      </c>
      <c r="AF321" s="493">
        <v>90000</v>
      </c>
      <c r="AG321" s="493" t="s">
        <v>1900</v>
      </c>
      <c r="AH321" s="130">
        <f t="shared" si="65"/>
        <v>46173</v>
      </c>
      <c r="AI321" s="495">
        <v>46133</v>
      </c>
      <c r="AJ321" s="439">
        <f>P321*1.1</f>
        <v>990000.00000000012</v>
      </c>
      <c r="AK321" s="121">
        <f t="shared" ref="AK321:AK334" si="74">(P321*1.1)-AJ321</f>
        <v>0</v>
      </c>
      <c r="AL321" s="440" t="str">
        <f t="shared" ca="1" si="73"/>
        <v/>
      </c>
      <c r="AM321" s="440"/>
      <c r="AN321" s="440"/>
      <c r="AO321" s="440"/>
    </row>
    <row r="322" spans="1:41" ht="16.5" hidden="1" customHeight="1">
      <c r="A322" s="492" t="s">
        <v>1872</v>
      </c>
      <c r="B322" s="493" t="s">
        <v>1901</v>
      </c>
      <c r="C322" s="492" t="s">
        <v>1872</v>
      </c>
      <c r="D322" s="492" t="s">
        <v>1872</v>
      </c>
      <c r="E322" s="493" t="s">
        <v>116</v>
      </c>
      <c r="F322" s="493" t="s">
        <v>377</v>
      </c>
      <c r="G322" s="493" t="s">
        <v>117</v>
      </c>
      <c r="H322" s="493" t="s">
        <v>118</v>
      </c>
      <c r="I322" s="493" t="s">
        <v>119</v>
      </c>
      <c r="J322" s="493" t="s">
        <v>1361</v>
      </c>
      <c r="K322" s="493" t="s">
        <v>377</v>
      </c>
      <c r="L322" s="493" t="s">
        <v>1362</v>
      </c>
      <c r="M322" s="493" t="s">
        <v>1363</v>
      </c>
      <c r="N322" s="493" t="s">
        <v>1364</v>
      </c>
      <c r="O322" s="493">
        <v>330880</v>
      </c>
      <c r="P322" s="439">
        <v>300800</v>
      </c>
      <c r="Q322" s="493">
        <v>30080</v>
      </c>
      <c r="R322" s="493" t="s">
        <v>124</v>
      </c>
      <c r="S322" s="493" t="s">
        <v>382</v>
      </c>
      <c r="T322" s="493" t="s">
        <v>125</v>
      </c>
      <c r="U322" s="493" t="s">
        <v>126</v>
      </c>
      <c r="V322" s="493" t="s">
        <v>127</v>
      </c>
      <c r="W322" s="493" t="s">
        <v>128</v>
      </c>
      <c r="X322" s="493" t="s">
        <v>1365</v>
      </c>
      <c r="Y322" s="493" t="s">
        <v>377</v>
      </c>
      <c r="Z322" s="493" t="s">
        <v>1872</v>
      </c>
      <c r="AA322" s="493" t="s">
        <v>130</v>
      </c>
      <c r="AB322" s="493" t="s">
        <v>377</v>
      </c>
      <c r="AC322" s="493" t="s">
        <v>131</v>
      </c>
      <c r="AD322" s="493" t="s">
        <v>1902</v>
      </c>
      <c r="AE322" s="493">
        <v>300800</v>
      </c>
      <c r="AF322" s="493">
        <v>30080</v>
      </c>
      <c r="AG322" s="493" t="s">
        <v>2104</v>
      </c>
      <c r="AH322" s="130">
        <f t="shared" si="65"/>
        <v>46173</v>
      </c>
      <c r="AI322" s="495"/>
      <c r="AJ322" s="439"/>
      <c r="AK322" s="121">
        <f t="shared" si="74"/>
        <v>330880</v>
      </c>
      <c r="AL322" s="440" t="str">
        <f t="shared" ca="1" si="73"/>
        <v>관리</v>
      </c>
      <c r="AM322" s="440"/>
      <c r="AN322" s="440"/>
      <c r="AO322" s="440"/>
    </row>
    <row r="323" spans="1:41" ht="16.5" hidden="1" customHeight="1">
      <c r="A323" s="492" t="s">
        <v>1872</v>
      </c>
      <c r="B323" s="493" t="s">
        <v>1903</v>
      </c>
      <c r="C323" s="492" t="s">
        <v>1872</v>
      </c>
      <c r="D323" s="492" t="s">
        <v>1872</v>
      </c>
      <c r="E323" s="493" t="s">
        <v>116</v>
      </c>
      <c r="F323" s="493" t="s">
        <v>377</v>
      </c>
      <c r="G323" s="493" t="s">
        <v>117</v>
      </c>
      <c r="H323" s="493" t="s">
        <v>118</v>
      </c>
      <c r="I323" s="493" t="s">
        <v>119</v>
      </c>
      <c r="J323" s="493" t="s">
        <v>1675</v>
      </c>
      <c r="K323" s="493" t="s">
        <v>377</v>
      </c>
      <c r="L323" s="493" t="s">
        <v>1676</v>
      </c>
      <c r="M323" s="493" t="s">
        <v>1677</v>
      </c>
      <c r="N323" s="493" t="s">
        <v>1678</v>
      </c>
      <c r="O323" s="493">
        <v>5370750</v>
      </c>
      <c r="P323" s="439">
        <v>4882500</v>
      </c>
      <c r="Q323" s="493">
        <v>488250</v>
      </c>
      <c r="R323" s="493" t="s">
        <v>124</v>
      </c>
      <c r="S323" s="493" t="s">
        <v>382</v>
      </c>
      <c r="T323" s="493" t="s">
        <v>125</v>
      </c>
      <c r="U323" s="493" t="s">
        <v>126</v>
      </c>
      <c r="V323" s="493" t="s">
        <v>127</v>
      </c>
      <c r="W323" s="493" t="s">
        <v>128</v>
      </c>
      <c r="X323" s="493" t="s">
        <v>1679</v>
      </c>
      <c r="Y323" s="493" t="s">
        <v>377</v>
      </c>
      <c r="Z323" s="493" t="s">
        <v>1872</v>
      </c>
      <c r="AA323" s="493" t="s">
        <v>130</v>
      </c>
      <c r="AB323" s="493" t="s">
        <v>377</v>
      </c>
      <c r="AC323" s="493" t="s">
        <v>131</v>
      </c>
      <c r="AD323" s="493" t="s">
        <v>1904</v>
      </c>
      <c r="AE323" s="493">
        <v>4882500</v>
      </c>
      <c r="AF323" s="493">
        <v>488250</v>
      </c>
      <c r="AG323" s="493" t="s">
        <v>1905</v>
      </c>
      <c r="AH323" s="130">
        <f t="shared" si="65"/>
        <v>46173</v>
      </c>
      <c r="AI323" s="495">
        <v>46153</v>
      </c>
      <c r="AJ323" s="439">
        <f>P323*1.1</f>
        <v>5370750</v>
      </c>
      <c r="AK323" s="121">
        <f t="shared" si="74"/>
        <v>0</v>
      </c>
      <c r="AL323" s="440" t="str">
        <f t="shared" ca="1" si="73"/>
        <v/>
      </c>
      <c r="AM323" s="440"/>
      <c r="AN323" s="440"/>
      <c r="AO323" s="440"/>
    </row>
    <row r="324" spans="1:41" ht="16.5" hidden="1" customHeight="1">
      <c r="A324" s="492" t="s">
        <v>1872</v>
      </c>
      <c r="B324" s="493" t="s">
        <v>1906</v>
      </c>
      <c r="C324" s="492" t="s">
        <v>1872</v>
      </c>
      <c r="D324" s="492" t="s">
        <v>1872</v>
      </c>
      <c r="E324" s="493" t="s">
        <v>116</v>
      </c>
      <c r="F324" s="493" t="s">
        <v>377</v>
      </c>
      <c r="G324" s="493" t="s">
        <v>117</v>
      </c>
      <c r="H324" s="493" t="s">
        <v>118</v>
      </c>
      <c r="I324" s="493" t="s">
        <v>119</v>
      </c>
      <c r="J324" s="493" t="s">
        <v>1361</v>
      </c>
      <c r="K324" s="493" t="s">
        <v>377</v>
      </c>
      <c r="L324" s="493" t="s">
        <v>1362</v>
      </c>
      <c r="M324" s="493" t="s">
        <v>1363</v>
      </c>
      <c r="N324" s="493" t="s">
        <v>1364</v>
      </c>
      <c r="O324" s="493">
        <v>789250</v>
      </c>
      <c r="P324" s="439">
        <v>717500</v>
      </c>
      <c r="Q324" s="493">
        <v>71750</v>
      </c>
      <c r="R324" s="493" t="s">
        <v>124</v>
      </c>
      <c r="S324" s="493" t="s">
        <v>382</v>
      </c>
      <c r="T324" s="493" t="s">
        <v>125</v>
      </c>
      <c r="U324" s="493" t="s">
        <v>126</v>
      </c>
      <c r="V324" s="493" t="s">
        <v>127</v>
      </c>
      <c r="W324" s="493" t="s">
        <v>128</v>
      </c>
      <c r="X324" s="493" t="s">
        <v>1365</v>
      </c>
      <c r="Y324" s="493" t="s">
        <v>377</v>
      </c>
      <c r="Z324" s="493" t="s">
        <v>1872</v>
      </c>
      <c r="AA324" s="493" t="s">
        <v>130</v>
      </c>
      <c r="AB324" s="493" t="s">
        <v>377</v>
      </c>
      <c r="AC324" s="493" t="s">
        <v>131</v>
      </c>
      <c r="AD324" s="493" t="s">
        <v>1907</v>
      </c>
      <c r="AE324" s="493">
        <v>717500</v>
      </c>
      <c r="AF324" s="493">
        <v>71750</v>
      </c>
      <c r="AG324" s="493" t="s">
        <v>1796</v>
      </c>
      <c r="AH324" s="130">
        <f t="shared" si="65"/>
        <v>46173</v>
      </c>
      <c r="AI324" s="495"/>
      <c r="AJ324" s="439"/>
      <c r="AK324" s="121">
        <f t="shared" si="74"/>
        <v>789250.00000000012</v>
      </c>
      <c r="AL324" s="440" t="str">
        <f t="shared" ca="1" si="73"/>
        <v>관리</v>
      </c>
      <c r="AM324" s="440"/>
      <c r="AN324" s="440"/>
      <c r="AO324" s="440"/>
    </row>
    <row r="325" spans="1:41" ht="16.5" hidden="1" customHeight="1">
      <c r="A325" s="492" t="s">
        <v>1872</v>
      </c>
      <c r="B325" s="493" t="s">
        <v>1908</v>
      </c>
      <c r="C325" s="492" t="s">
        <v>1872</v>
      </c>
      <c r="D325" s="492" t="s">
        <v>1872</v>
      </c>
      <c r="E325" s="493" t="s">
        <v>116</v>
      </c>
      <c r="F325" s="493" t="s">
        <v>377</v>
      </c>
      <c r="G325" s="493" t="s">
        <v>117</v>
      </c>
      <c r="H325" s="493" t="s">
        <v>118</v>
      </c>
      <c r="I325" s="493" t="s">
        <v>119</v>
      </c>
      <c r="J325" s="493" t="s">
        <v>510</v>
      </c>
      <c r="K325" s="493" t="s">
        <v>377</v>
      </c>
      <c r="L325" s="493" t="s">
        <v>511</v>
      </c>
      <c r="M325" s="493" t="s">
        <v>512</v>
      </c>
      <c r="N325" s="493" t="s">
        <v>513</v>
      </c>
      <c r="O325" s="493">
        <v>2019600</v>
      </c>
      <c r="P325" s="439">
        <v>1836000</v>
      </c>
      <c r="Q325" s="493">
        <v>183600</v>
      </c>
      <c r="R325" s="493" t="s">
        <v>124</v>
      </c>
      <c r="S325" s="493" t="s">
        <v>382</v>
      </c>
      <c r="T325" s="493" t="s">
        <v>125</v>
      </c>
      <c r="U325" s="493" t="s">
        <v>126</v>
      </c>
      <c r="V325" s="493" t="s">
        <v>127</v>
      </c>
      <c r="W325" s="493" t="s">
        <v>128</v>
      </c>
      <c r="X325" s="493" t="s">
        <v>514</v>
      </c>
      <c r="Y325" s="493" t="s">
        <v>377</v>
      </c>
      <c r="Z325" s="493" t="s">
        <v>1872</v>
      </c>
      <c r="AA325" s="493" t="s">
        <v>130</v>
      </c>
      <c r="AB325" s="493" t="s">
        <v>377</v>
      </c>
      <c r="AC325" s="493" t="s">
        <v>131</v>
      </c>
      <c r="AD325" s="493" t="s">
        <v>1909</v>
      </c>
      <c r="AE325" s="493">
        <v>1836000</v>
      </c>
      <c r="AF325" s="493">
        <v>183600</v>
      </c>
      <c r="AG325" s="493" t="s">
        <v>1527</v>
      </c>
      <c r="AH325" s="130">
        <f t="shared" si="65"/>
        <v>46173</v>
      </c>
      <c r="AI325" s="495"/>
      <c r="AJ325" s="439"/>
      <c r="AK325" s="121">
        <f t="shared" si="74"/>
        <v>2019600.0000000002</v>
      </c>
      <c r="AL325" s="440" t="str">
        <f t="shared" ca="1" si="73"/>
        <v>관리</v>
      </c>
      <c r="AM325" s="440"/>
      <c r="AN325" s="440"/>
      <c r="AO325" s="440"/>
    </row>
    <row r="326" spans="1:41" ht="16.5" hidden="1" customHeight="1">
      <c r="A326" s="492" t="s">
        <v>1872</v>
      </c>
      <c r="B326" s="493" t="s">
        <v>1910</v>
      </c>
      <c r="C326" s="492" t="s">
        <v>1872</v>
      </c>
      <c r="D326" s="492" t="s">
        <v>1872</v>
      </c>
      <c r="E326" s="493" t="s">
        <v>116</v>
      </c>
      <c r="F326" s="493" t="s">
        <v>377</v>
      </c>
      <c r="G326" s="493" t="s">
        <v>117</v>
      </c>
      <c r="H326" s="493" t="s">
        <v>118</v>
      </c>
      <c r="I326" s="493" t="s">
        <v>119</v>
      </c>
      <c r="J326" s="493" t="s">
        <v>628</v>
      </c>
      <c r="K326" s="493" t="s">
        <v>377</v>
      </c>
      <c r="L326" s="493" t="s">
        <v>629</v>
      </c>
      <c r="M326" s="493" t="s">
        <v>630</v>
      </c>
      <c r="N326" s="493" t="s">
        <v>631</v>
      </c>
      <c r="O326" s="493">
        <v>120120</v>
      </c>
      <c r="P326" s="439">
        <v>109200</v>
      </c>
      <c r="Q326" s="493">
        <v>10920</v>
      </c>
      <c r="R326" s="493" t="s">
        <v>124</v>
      </c>
      <c r="S326" s="493" t="s">
        <v>382</v>
      </c>
      <c r="T326" s="493" t="s">
        <v>125</v>
      </c>
      <c r="U326" s="493" t="s">
        <v>126</v>
      </c>
      <c r="V326" s="493" t="s">
        <v>127</v>
      </c>
      <c r="W326" s="493" t="s">
        <v>128</v>
      </c>
      <c r="X326" s="493" t="s">
        <v>632</v>
      </c>
      <c r="Y326" s="493" t="s">
        <v>377</v>
      </c>
      <c r="Z326" s="493" t="s">
        <v>1872</v>
      </c>
      <c r="AA326" s="493" t="s">
        <v>130</v>
      </c>
      <c r="AB326" s="493" t="s">
        <v>377</v>
      </c>
      <c r="AC326" s="493" t="s">
        <v>131</v>
      </c>
      <c r="AD326" s="493" t="s">
        <v>1911</v>
      </c>
      <c r="AE326" s="493">
        <v>109200</v>
      </c>
      <c r="AF326" s="493">
        <v>10920</v>
      </c>
      <c r="AG326" s="493" t="s">
        <v>1912</v>
      </c>
      <c r="AH326" s="130">
        <f t="shared" si="65"/>
        <v>46173</v>
      </c>
      <c r="AI326" s="495"/>
      <c r="AJ326" s="439"/>
      <c r="AK326" s="121">
        <f t="shared" si="74"/>
        <v>120120.00000000001</v>
      </c>
      <c r="AL326" s="440" t="str">
        <f t="shared" ca="1" si="73"/>
        <v>관리</v>
      </c>
      <c r="AM326" s="440"/>
      <c r="AN326" s="440"/>
      <c r="AO326" s="440"/>
    </row>
    <row r="327" spans="1:41" ht="16.5" hidden="1" customHeight="1">
      <c r="A327" s="492" t="s">
        <v>1872</v>
      </c>
      <c r="B327" s="493" t="s">
        <v>1873</v>
      </c>
      <c r="C327" s="492" t="s">
        <v>1872</v>
      </c>
      <c r="D327" s="492" t="s">
        <v>1872</v>
      </c>
      <c r="E327" s="493" t="s">
        <v>116</v>
      </c>
      <c r="F327" s="493" t="s">
        <v>377</v>
      </c>
      <c r="G327" s="493" t="s">
        <v>117</v>
      </c>
      <c r="H327" s="493" t="s">
        <v>118</v>
      </c>
      <c r="I327" s="493" t="s">
        <v>119</v>
      </c>
      <c r="J327" s="493" t="s">
        <v>1173</v>
      </c>
      <c r="K327" s="493" t="s">
        <v>377</v>
      </c>
      <c r="L327" s="493" t="s">
        <v>1174</v>
      </c>
      <c r="M327" s="493" t="s">
        <v>1175</v>
      </c>
      <c r="N327" s="493" t="s">
        <v>1176</v>
      </c>
      <c r="O327" s="493">
        <v>17154720</v>
      </c>
      <c r="P327" s="439">
        <v>15595200</v>
      </c>
      <c r="Q327" s="493">
        <v>1559520</v>
      </c>
      <c r="R327" s="493" t="s">
        <v>124</v>
      </c>
      <c r="S327" s="493" t="s">
        <v>382</v>
      </c>
      <c r="T327" s="493" t="s">
        <v>125</v>
      </c>
      <c r="U327" s="493" t="s">
        <v>126</v>
      </c>
      <c r="V327" s="493" t="s">
        <v>127</v>
      </c>
      <c r="W327" s="493" t="s">
        <v>128</v>
      </c>
      <c r="X327" s="493" t="s">
        <v>1177</v>
      </c>
      <c r="Y327" s="493" t="s">
        <v>377</v>
      </c>
      <c r="Z327" s="493" t="s">
        <v>1872</v>
      </c>
      <c r="AA327" s="493" t="s">
        <v>130</v>
      </c>
      <c r="AB327" s="493" t="s">
        <v>377</v>
      </c>
      <c r="AC327" s="493" t="s">
        <v>131</v>
      </c>
      <c r="AD327" s="493" t="s">
        <v>1874</v>
      </c>
      <c r="AE327" s="493">
        <v>15595200</v>
      </c>
      <c r="AF327" s="493">
        <v>1559520</v>
      </c>
      <c r="AG327" s="493" t="s">
        <v>1875</v>
      </c>
      <c r="AH327" s="130">
        <f t="shared" si="65"/>
        <v>46173</v>
      </c>
      <c r="AI327" s="495"/>
      <c r="AJ327" s="439"/>
      <c r="AK327" s="121">
        <f t="shared" si="74"/>
        <v>17154720</v>
      </c>
      <c r="AL327" s="440" t="str">
        <f t="shared" ca="1" si="73"/>
        <v>관리</v>
      </c>
      <c r="AM327" s="440"/>
      <c r="AN327" s="440"/>
      <c r="AO327" s="440"/>
    </row>
    <row r="328" spans="1:41" ht="16.5" hidden="1" customHeight="1">
      <c r="A328" s="492" t="s">
        <v>1872</v>
      </c>
      <c r="B328" s="493" t="s">
        <v>1876</v>
      </c>
      <c r="C328" s="492" t="s">
        <v>1872</v>
      </c>
      <c r="D328" s="492" t="s">
        <v>1872</v>
      </c>
      <c r="E328" s="493" t="s">
        <v>116</v>
      </c>
      <c r="F328" s="493" t="s">
        <v>377</v>
      </c>
      <c r="G328" s="493" t="s">
        <v>117</v>
      </c>
      <c r="H328" s="493" t="s">
        <v>118</v>
      </c>
      <c r="I328" s="493" t="s">
        <v>119</v>
      </c>
      <c r="J328" s="493" t="s">
        <v>510</v>
      </c>
      <c r="K328" s="493" t="s">
        <v>377</v>
      </c>
      <c r="L328" s="493" t="s">
        <v>511</v>
      </c>
      <c r="M328" s="493" t="s">
        <v>512</v>
      </c>
      <c r="N328" s="493" t="s">
        <v>513</v>
      </c>
      <c r="O328" s="493">
        <v>532400</v>
      </c>
      <c r="P328" s="439">
        <v>484000</v>
      </c>
      <c r="Q328" s="493">
        <v>48400</v>
      </c>
      <c r="R328" s="493" t="s">
        <v>124</v>
      </c>
      <c r="S328" s="493" t="s">
        <v>382</v>
      </c>
      <c r="T328" s="493" t="s">
        <v>125</v>
      </c>
      <c r="U328" s="493" t="s">
        <v>126</v>
      </c>
      <c r="V328" s="493" t="s">
        <v>127</v>
      </c>
      <c r="W328" s="493" t="s">
        <v>128</v>
      </c>
      <c r="X328" s="493" t="s">
        <v>514</v>
      </c>
      <c r="Y328" s="493" t="s">
        <v>377</v>
      </c>
      <c r="Z328" s="493" t="s">
        <v>1872</v>
      </c>
      <c r="AA328" s="493" t="s">
        <v>130</v>
      </c>
      <c r="AB328" s="493" t="s">
        <v>377</v>
      </c>
      <c r="AC328" s="493" t="s">
        <v>131</v>
      </c>
      <c r="AD328" s="493" t="s">
        <v>1877</v>
      </c>
      <c r="AE328" s="493">
        <v>484000</v>
      </c>
      <c r="AF328" s="493">
        <v>48400</v>
      </c>
      <c r="AG328" s="493" t="s">
        <v>1535</v>
      </c>
      <c r="AH328" s="130">
        <f t="shared" si="65"/>
        <v>46173</v>
      </c>
      <c r="AI328" s="495"/>
      <c r="AJ328" s="439"/>
      <c r="AK328" s="121">
        <f t="shared" si="74"/>
        <v>532400</v>
      </c>
      <c r="AL328" s="440" t="str">
        <f t="shared" ca="1" si="73"/>
        <v>관리</v>
      </c>
      <c r="AM328" s="440"/>
      <c r="AN328" s="440"/>
      <c r="AO328" s="440"/>
    </row>
    <row r="329" spans="1:41" ht="16.5" hidden="1" customHeight="1">
      <c r="A329" s="492" t="s">
        <v>1872</v>
      </c>
      <c r="B329" s="493" t="s">
        <v>1878</v>
      </c>
      <c r="C329" s="492" t="s">
        <v>1872</v>
      </c>
      <c r="D329" s="492" t="s">
        <v>1872</v>
      </c>
      <c r="E329" s="493" t="s">
        <v>116</v>
      </c>
      <c r="F329" s="493" t="s">
        <v>377</v>
      </c>
      <c r="G329" s="493" t="s">
        <v>117</v>
      </c>
      <c r="H329" s="493" t="s">
        <v>118</v>
      </c>
      <c r="I329" s="493" t="s">
        <v>119</v>
      </c>
      <c r="J329" s="493" t="s">
        <v>1254</v>
      </c>
      <c r="K329" s="493" t="s">
        <v>377</v>
      </c>
      <c r="L329" s="493" t="s">
        <v>391</v>
      </c>
      <c r="M329" s="493" t="s">
        <v>1255</v>
      </c>
      <c r="N329" s="493" t="s">
        <v>1256</v>
      </c>
      <c r="O329" s="493">
        <v>1069420</v>
      </c>
      <c r="P329" s="439">
        <v>972200</v>
      </c>
      <c r="Q329" s="493">
        <v>97220</v>
      </c>
      <c r="R329" s="493" t="s">
        <v>124</v>
      </c>
      <c r="S329" s="493" t="s">
        <v>382</v>
      </c>
      <c r="T329" s="493" t="s">
        <v>125</v>
      </c>
      <c r="U329" s="493" t="s">
        <v>126</v>
      </c>
      <c r="V329" s="493" t="s">
        <v>127</v>
      </c>
      <c r="W329" s="493" t="s">
        <v>128</v>
      </c>
      <c r="X329" s="493" t="s">
        <v>1257</v>
      </c>
      <c r="Y329" s="493" t="s">
        <v>377</v>
      </c>
      <c r="Z329" s="493" t="s">
        <v>1872</v>
      </c>
      <c r="AA329" s="493" t="s">
        <v>130</v>
      </c>
      <c r="AB329" s="493" t="s">
        <v>377</v>
      </c>
      <c r="AC329" s="493" t="s">
        <v>131</v>
      </c>
      <c r="AD329" s="493" t="s">
        <v>1879</v>
      </c>
      <c r="AE329" s="493">
        <v>972200</v>
      </c>
      <c r="AF329" s="493">
        <v>97220</v>
      </c>
      <c r="AG329" s="493" t="s">
        <v>1880</v>
      </c>
      <c r="AH329" s="130">
        <f t="shared" si="65"/>
        <v>46173</v>
      </c>
      <c r="AI329" s="495">
        <v>46142</v>
      </c>
      <c r="AJ329" s="439">
        <f>P329*1.1</f>
        <v>1069420</v>
      </c>
      <c r="AK329" s="121">
        <f t="shared" si="74"/>
        <v>0</v>
      </c>
      <c r="AL329" s="440" t="str">
        <f t="shared" ca="1" si="73"/>
        <v/>
      </c>
      <c r="AM329" s="440"/>
      <c r="AN329" s="440"/>
      <c r="AO329" s="440"/>
    </row>
    <row r="330" spans="1:41" ht="16.5" hidden="1" customHeight="1">
      <c r="A330" s="492" t="s">
        <v>1872</v>
      </c>
      <c r="B330" s="493" t="s">
        <v>1881</v>
      </c>
      <c r="C330" s="492" t="s">
        <v>1872</v>
      </c>
      <c r="D330" s="492" t="s">
        <v>1872</v>
      </c>
      <c r="E330" s="493" t="s">
        <v>116</v>
      </c>
      <c r="F330" s="493" t="s">
        <v>377</v>
      </c>
      <c r="G330" s="493" t="s">
        <v>117</v>
      </c>
      <c r="H330" s="493" t="s">
        <v>118</v>
      </c>
      <c r="I330" s="493" t="s">
        <v>119</v>
      </c>
      <c r="J330" s="493" t="s">
        <v>1681</v>
      </c>
      <c r="K330" s="493" t="s">
        <v>377</v>
      </c>
      <c r="L330" s="493" t="s">
        <v>1682</v>
      </c>
      <c r="M330" s="493" t="s">
        <v>1683</v>
      </c>
      <c r="N330" s="493" t="s">
        <v>1684</v>
      </c>
      <c r="O330" s="493">
        <v>548460</v>
      </c>
      <c r="P330" s="439">
        <v>498600</v>
      </c>
      <c r="Q330" s="493">
        <v>49860</v>
      </c>
      <c r="R330" s="493" t="s">
        <v>124</v>
      </c>
      <c r="S330" s="493" t="s">
        <v>382</v>
      </c>
      <c r="T330" s="493" t="s">
        <v>125</v>
      </c>
      <c r="U330" s="493" t="s">
        <v>126</v>
      </c>
      <c r="V330" s="493" t="s">
        <v>127</v>
      </c>
      <c r="W330" s="493" t="s">
        <v>128</v>
      </c>
      <c r="X330" s="493" t="s">
        <v>1685</v>
      </c>
      <c r="Y330" s="493" t="s">
        <v>377</v>
      </c>
      <c r="Z330" s="493" t="s">
        <v>1872</v>
      </c>
      <c r="AA330" s="493" t="s">
        <v>130</v>
      </c>
      <c r="AB330" s="493" t="s">
        <v>377</v>
      </c>
      <c r="AC330" s="493" t="s">
        <v>131</v>
      </c>
      <c r="AD330" s="493" t="s">
        <v>1882</v>
      </c>
      <c r="AE330" s="493">
        <v>498600</v>
      </c>
      <c r="AF330" s="493">
        <v>49860</v>
      </c>
      <c r="AG330" s="493" t="s">
        <v>2105</v>
      </c>
      <c r="AH330" s="130">
        <f t="shared" si="65"/>
        <v>46173</v>
      </c>
      <c r="AI330" s="495">
        <v>46133</v>
      </c>
      <c r="AJ330" s="439">
        <f>P330*1.1</f>
        <v>548460</v>
      </c>
      <c r="AK330" s="121">
        <f t="shared" si="74"/>
        <v>0</v>
      </c>
      <c r="AL330" s="440" t="str">
        <f t="shared" ca="1" si="73"/>
        <v/>
      </c>
      <c r="AM330" s="440"/>
      <c r="AN330" s="440"/>
      <c r="AO330" s="440"/>
    </row>
    <row r="331" spans="1:41" ht="16.5" hidden="1" customHeight="1">
      <c r="A331" s="492" t="s">
        <v>1872</v>
      </c>
      <c r="B331" s="493" t="s">
        <v>1883</v>
      </c>
      <c r="C331" s="492" t="s">
        <v>1872</v>
      </c>
      <c r="D331" s="492" t="s">
        <v>1872</v>
      </c>
      <c r="E331" s="493" t="s">
        <v>116</v>
      </c>
      <c r="F331" s="493" t="s">
        <v>377</v>
      </c>
      <c r="G331" s="493" t="s">
        <v>117</v>
      </c>
      <c r="H331" s="493" t="s">
        <v>118</v>
      </c>
      <c r="I331" s="493" t="s">
        <v>119</v>
      </c>
      <c r="J331" s="493" t="s">
        <v>690</v>
      </c>
      <c r="K331" s="493" t="s">
        <v>377</v>
      </c>
      <c r="L331" s="493" t="s">
        <v>691</v>
      </c>
      <c r="M331" s="493" t="s">
        <v>692</v>
      </c>
      <c r="N331" s="493" t="s">
        <v>693</v>
      </c>
      <c r="O331" s="493">
        <v>20377390</v>
      </c>
      <c r="P331" s="439">
        <v>18524900</v>
      </c>
      <c r="Q331" s="493">
        <v>1852490</v>
      </c>
      <c r="R331" s="493" t="s">
        <v>124</v>
      </c>
      <c r="S331" s="493" t="s">
        <v>382</v>
      </c>
      <c r="T331" s="493" t="s">
        <v>125</v>
      </c>
      <c r="U331" s="493" t="s">
        <v>126</v>
      </c>
      <c r="V331" s="493" t="s">
        <v>127</v>
      </c>
      <c r="W331" s="493" t="s">
        <v>128</v>
      </c>
      <c r="X331" s="493" t="s">
        <v>694</v>
      </c>
      <c r="Y331" s="493" t="s">
        <v>377</v>
      </c>
      <c r="Z331" s="493" t="s">
        <v>1872</v>
      </c>
      <c r="AA331" s="493" t="s">
        <v>130</v>
      </c>
      <c r="AB331" s="493" t="s">
        <v>377</v>
      </c>
      <c r="AC331" s="493" t="s">
        <v>131</v>
      </c>
      <c r="AD331" s="493" t="s">
        <v>1884</v>
      </c>
      <c r="AE331" s="493">
        <v>18524900</v>
      </c>
      <c r="AF331" s="493">
        <v>1852490</v>
      </c>
      <c r="AG331" s="493" t="s">
        <v>1860</v>
      </c>
      <c r="AH331" s="130">
        <f t="shared" si="65"/>
        <v>46173</v>
      </c>
      <c r="AI331" s="495"/>
      <c r="AJ331" s="439"/>
      <c r="AK331" s="121">
        <f t="shared" si="74"/>
        <v>20377390</v>
      </c>
      <c r="AL331" s="440" t="str">
        <f t="shared" ca="1" si="73"/>
        <v>관리</v>
      </c>
      <c r="AM331" s="440"/>
      <c r="AN331" s="440"/>
      <c r="AO331" s="440"/>
    </row>
    <row r="332" spans="1:41" ht="16.5" hidden="1" customHeight="1">
      <c r="A332" s="492" t="s">
        <v>1872</v>
      </c>
      <c r="B332" s="493" t="s">
        <v>1885</v>
      </c>
      <c r="C332" s="492" t="s">
        <v>1872</v>
      </c>
      <c r="D332" s="492" t="s">
        <v>1872</v>
      </c>
      <c r="E332" s="493" t="s">
        <v>116</v>
      </c>
      <c r="F332" s="493" t="s">
        <v>377</v>
      </c>
      <c r="G332" s="493" t="s">
        <v>117</v>
      </c>
      <c r="H332" s="493" t="s">
        <v>118</v>
      </c>
      <c r="I332" s="493" t="s">
        <v>119</v>
      </c>
      <c r="J332" s="493" t="s">
        <v>674</v>
      </c>
      <c r="K332" s="493" t="s">
        <v>377</v>
      </c>
      <c r="L332" s="493" t="s">
        <v>675</v>
      </c>
      <c r="M332" s="493" t="s">
        <v>676</v>
      </c>
      <c r="N332" s="493" t="s">
        <v>677</v>
      </c>
      <c r="O332" s="493">
        <v>3902250</v>
      </c>
      <c r="P332" s="439">
        <v>3547500</v>
      </c>
      <c r="Q332" s="493">
        <v>354750</v>
      </c>
      <c r="R332" s="493" t="s">
        <v>124</v>
      </c>
      <c r="S332" s="493" t="s">
        <v>382</v>
      </c>
      <c r="T332" s="493" t="s">
        <v>125</v>
      </c>
      <c r="U332" s="493" t="s">
        <v>126</v>
      </c>
      <c r="V332" s="493" t="s">
        <v>127</v>
      </c>
      <c r="W332" s="493" t="s">
        <v>128</v>
      </c>
      <c r="X332" s="493" t="s">
        <v>678</v>
      </c>
      <c r="Y332" s="493" t="s">
        <v>377</v>
      </c>
      <c r="Z332" s="493" t="s">
        <v>1872</v>
      </c>
      <c r="AA332" s="493" t="s">
        <v>130</v>
      </c>
      <c r="AB332" s="493" t="s">
        <v>377</v>
      </c>
      <c r="AC332" s="493" t="s">
        <v>131</v>
      </c>
      <c r="AD332" s="493" t="s">
        <v>1886</v>
      </c>
      <c r="AE332" s="493">
        <v>3547500</v>
      </c>
      <c r="AF332" s="493">
        <v>354750</v>
      </c>
      <c r="AG332" s="493" t="s">
        <v>1887</v>
      </c>
      <c r="AH332" s="130">
        <f t="shared" si="65"/>
        <v>46173</v>
      </c>
      <c r="AI332" s="495">
        <v>46142</v>
      </c>
      <c r="AJ332" s="439">
        <f t="shared" ref="AJ332" si="75">P332*1.1</f>
        <v>3902250.0000000005</v>
      </c>
      <c r="AK332" s="121">
        <f t="shared" si="74"/>
        <v>0</v>
      </c>
      <c r="AL332" s="440" t="str">
        <f t="shared" ca="1" si="73"/>
        <v/>
      </c>
      <c r="AM332" s="440"/>
      <c r="AN332" s="440"/>
      <c r="AO332" s="440"/>
    </row>
    <row r="333" spans="1:41" ht="16.5" hidden="1" customHeight="1">
      <c r="A333" s="492" t="s">
        <v>1872</v>
      </c>
      <c r="B333" s="493" t="s">
        <v>1888</v>
      </c>
      <c r="C333" s="492" t="s">
        <v>1872</v>
      </c>
      <c r="D333" s="492" t="s">
        <v>1872</v>
      </c>
      <c r="E333" s="493" t="s">
        <v>116</v>
      </c>
      <c r="F333" s="493" t="s">
        <v>377</v>
      </c>
      <c r="G333" s="493" t="s">
        <v>117</v>
      </c>
      <c r="H333" s="493" t="s">
        <v>118</v>
      </c>
      <c r="I333" s="493" t="s">
        <v>119</v>
      </c>
      <c r="J333" s="493" t="s">
        <v>1827</v>
      </c>
      <c r="K333" s="493" t="s">
        <v>377</v>
      </c>
      <c r="L333" s="493" t="s">
        <v>1828</v>
      </c>
      <c r="M333" s="493" t="s">
        <v>1829</v>
      </c>
      <c r="N333" s="493" t="s">
        <v>1830</v>
      </c>
      <c r="O333" s="493">
        <v>5898750</v>
      </c>
      <c r="P333" s="439">
        <v>5362500</v>
      </c>
      <c r="Q333" s="493">
        <v>536250</v>
      </c>
      <c r="R333" s="493" t="s">
        <v>124</v>
      </c>
      <c r="S333" s="493" t="s">
        <v>382</v>
      </c>
      <c r="T333" s="493" t="s">
        <v>125</v>
      </c>
      <c r="U333" s="493" t="s">
        <v>445</v>
      </c>
      <c r="V333" s="493" t="s">
        <v>127</v>
      </c>
      <c r="W333" s="493" t="s">
        <v>128</v>
      </c>
      <c r="X333" s="493" t="s">
        <v>1831</v>
      </c>
      <c r="Y333" s="493" t="s">
        <v>377</v>
      </c>
      <c r="Z333" s="493" t="s">
        <v>1872</v>
      </c>
      <c r="AA333" s="493" t="s">
        <v>130</v>
      </c>
      <c r="AB333" s="493" t="s">
        <v>377</v>
      </c>
      <c r="AC333" s="493" t="s">
        <v>131</v>
      </c>
      <c r="AD333" s="493" t="s">
        <v>1889</v>
      </c>
      <c r="AE333" s="493">
        <v>5362500</v>
      </c>
      <c r="AF333" s="493">
        <v>536250</v>
      </c>
      <c r="AG333" s="493" t="s">
        <v>1890</v>
      </c>
      <c r="AH333" s="130">
        <f t="shared" ref="AH333:AH394" si="76">IF(A333&lt;&gt;"", A333+40, "")</f>
        <v>46173</v>
      </c>
      <c r="AI333" s="495">
        <v>46133</v>
      </c>
      <c r="AJ333" s="439">
        <f>P333*1.1</f>
        <v>5898750.0000000009</v>
      </c>
      <c r="AK333" s="121">
        <f t="shared" si="74"/>
        <v>0</v>
      </c>
      <c r="AL333" s="440" t="str">
        <f t="shared" ca="1" si="73"/>
        <v/>
      </c>
      <c r="AM333" s="440" t="s">
        <v>783</v>
      </c>
      <c r="AN333" s="440"/>
      <c r="AO333" s="440"/>
    </row>
    <row r="334" spans="1:41" ht="16.5" hidden="1" customHeight="1">
      <c r="A334" s="492" t="s">
        <v>1872</v>
      </c>
      <c r="B334" s="493" t="s">
        <v>1891</v>
      </c>
      <c r="C334" s="492" t="s">
        <v>1872</v>
      </c>
      <c r="D334" s="492" t="s">
        <v>1872</v>
      </c>
      <c r="E334" s="493" t="s">
        <v>116</v>
      </c>
      <c r="F334" s="493" t="s">
        <v>377</v>
      </c>
      <c r="G334" s="493" t="s">
        <v>117</v>
      </c>
      <c r="H334" s="493" t="s">
        <v>118</v>
      </c>
      <c r="I334" s="493" t="s">
        <v>119</v>
      </c>
      <c r="J334" s="493" t="s">
        <v>734</v>
      </c>
      <c r="K334" s="493" t="s">
        <v>377</v>
      </c>
      <c r="L334" s="493" t="s">
        <v>735</v>
      </c>
      <c r="M334" s="493" t="s">
        <v>736</v>
      </c>
      <c r="N334" s="493" t="s">
        <v>737</v>
      </c>
      <c r="O334" s="493">
        <v>4919200</v>
      </c>
      <c r="P334" s="439">
        <v>4472000</v>
      </c>
      <c r="Q334" s="493">
        <v>447200</v>
      </c>
      <c r="R334" s="493" t="s">
        <v>124</v>
      </c>
      <c r="S334" s="493" t="s">
        <v>382</v>
      </c>
      <c r="T334" s="493" t="s">
        <v>125</v>
      </c>
      <c r="U334" s="493" t="s">
        <v>126</v>
      </c>
      <c r="V334" s="493" t="s">
        <v>127</v>
      </c>
      <c r="W334" s="493" t="s">
        <v>128</v>
      </c>
      <c r="X334" s="493" t="s">
        <v>738</v>
      </c>
      <c r="Y334" s="493" t="s">
        <v>377</v>
      </c>
      <c r="Z334" s="493" t="s">
        <v>1872</v>
      </c>
      <c r="AA334" s="493" t="s">
        <v>130</v>
      </c>
      <c r="AB334" s="493" t="s">
        <v>377</v>
      </c>
      <c r="AC334" s="493" t="s">
        <v>131</v>
      </c>
      <c r="AD334" s="493" t="s">
        <v>1892</v>
      </c>
      <c r="AE334" s="493">
        <v>4472000</v>
      </c>
      <c r="AF334" s="493">
        <v>447200</v>
      </c>
      <c r="AG334" s="493" t="s">
        <v>1554</v>
      </c>
      <c r="AH334" s="130">
        <f t="shared" si="76"/>
        <v>46173</v>
      </c>
      <c r="AI334" s="495"/>
      <c r="AJ334" s="439"/>
      <c r="AK334" s="121">
        <f t="shared" si="74"/>
        <v>4919200</v>
      </c>
      <c r="AL334" s="440" t="str">
        <f t="shared" ca="1" si="73"/>
        <v>관리</v>
      </c>
      <c r="AM334" s="440"/>
      <c r="AN334" s="440"/>
      <c r="AO334" s="440"/>
    </row>
    <row r="335" spans="1:41" ht="16.5" hidden="1" customHeight="1">
      <c r="A335" s="492" t="s">
        <v>1949</v>
      </c>
      <c r="B335" s="493" t="s">
        <v>1950</v>
      </c>
      <c r="C335" s="492" t="s">
        <v>1949</v>
      </c>
      <c r="D335" s="492" t="s">
        <v>1949</v>
      </c>
      <c r="E335" s="493" t="s">
        <v>116</v>
      </c>
      <c r="F335" s="493" t="s">
        <v>377</v>
      </c>
      <c r="G335" s="493" t="s">
        <v>117</v>
      </c>
      <c r="H335" s="493" t="s">
        <v>118</v>
      </c>
      <c r="I335" s="493" t="s">
        <v>119</v>
      </c>
      <c r="J335" s="493" t="s">
        <v>1951</v>
      </c>
      <c r="K335" s="493" t="s">
        <v>377</v>
      </c>
      <c r="L335" s="493" t="s">
        <v>1952</v>
      </c>
      <c r="M335" s="493" t="s">
        <v>1953</v>
      </c>
      <c r="N335" s="493" t="s">
        <v>1954</v>
      </c>
      <c r="O335" s="493">
        <v>83930</v>
      </c>
      <c r="P335" s="439">
        <v>76300</v>
      </c>
      <c r="Q335" s="493">
        <v>7630</v>
      </c>
      <c r="R335" s="493" t="s">
        <v>124</v>
      </c>
      <c r="S335" s="493" t="s">
        <v>382</v>
      </c>
      <c r="T335" s="493" t="s">
        <v>125</v>
      </c>
      <c r="U335" s="493" t="s">
        <v>126</v>
      </c>
      <c r="V335" s="493" t="s">
        <v>127</v>
      </c>
      <c r="W335" s="493" t="s">
        <v>128</v>
      </c>
      <c r="X335" s="493" t="s">
        <v>1955</v>
      </c>
      <c r="Y335" s="493" t="s">
        <v>377</v>
      </c>
      <c r="Z335" s="493" t="s">
        <v>1949</v>
      </c>
      <c r="AA335" s="493" t="s">
        <v>130</v>
      </c>
      <c r="AB335" s="493" t="s">
        <v>377</v>
      </c>
      <c r="AC335" s="493" t="s">
        <v>131</v>
      </c>
      <c r="AD335" s="493" t="s">
        <v>1956</v>
      </c>
      <c r="AE335" s="493">
        <v>76300</v>
      </c>
      <c r="AF335" s="493">
        <v>7630</v>
      </c>
      <c r="AG335" s="493" t="s">
        <v>1957</v>
      </c>
      <c r="AH335" s="130">
        <f t="shared" si="76"/>
        <v>46174</v>
      </c>
      <c r="AI335" s="495"/>
      <c r="AJ335" s="439"/>
      <c r="AK335" s="121">
        <f t="shared" ref="AK335:AK366" si="77">(P335*1.1)-AJ335</f>
        <v>83930</v>
      </c>
      <c r="AL335" s="440" t="str">
        <f t="shared" ca="1" si="73"/>
        <v/>
      </c>
      <c r="AM335" s="440"/>
      <c r="AN335" s="440"/>
      <c r="AO335" s="440"/>
    </row>
    <row r="336" spans="1:41" ht="16.5" hidden="1" customHeight="1">
      <c r="A336" s="492" t="s">
        <v>1949</v>
      </c>
      <c r="B336" s="493" t="s">
        <v>1958</v>
      </c>
      <c r="C336" s="492" t="s">
        <v>1949</v>
      </c>
      <c r="D336" s="492" t="s">
        <v>1949</v>
      </c>
      <c r="E336" s="493" t="s">
        <v>116</v>
      </c>
      <c r="F336" s="493" t="s">
        <v>377</v>
      </c>
      <c r="G336" s="493" t="s">
        <v>117</v>
      </c>
      <c r="H336" s="493" t="s">
        <v>118</v>
      </c>
      <c r="I336" s="493" t="s">
        <v>119</v>
      </c>
      <c r="J336" s="493" t="s">
        <v>734</v>
      </c>
      <c r="K336" s="493" t="s">
        <v>377</v>
      </c>
      <c r="L336" s="493" t="s">
        <v>735</v>
      </c>
      <c r="M336" s="493" t="s">
        <v>736</v>
      </c>
      <c r="N336" s="493" t="s">
        <v>737</v>
      </c>
      <c r="O336" s="493">
        <v>1881000</v>
      </c>
      <c r="P336" s="439">
        <v>1710000</v>
      </c>
      <c r="Q336" s="493">
        <v>171000</v>
      </c>
      <c r="R336" s="493" t="s">
        <v>124</v>
      </c>
      <c r="S336" s="493" t="s">
        <v>382</v>
      </c>
      <c r="T336" s="493" t="s">
        <v>125</v>
      </c>
      <c r="U336" s="493" t="s">
        <v>445</v>
      </c>
      <c r="V336" s="493" t="s">
        <v>127</v>
      </c>
      <c r="W336" s="493" t="s">
        <v>128</v>
      </c>
      <c r="X336" s="493" t="s">
        <v>738</v>
      </c>
      <c r="Y336" s="493" t="s">
        <v>377</v>
      </c>
      <c r="Z336" s="493" t="s">
        <v>1949</v>
      </c>
      <c r="AA336" s="493" t="s">
        <v>130</v>
      </c>
      <c r="AB336" s="493" t="s">
        <v>377</v>
      </c>
      <c r="AC336" s="493" t="s">
        <v>131</v>
      </c>
      <c r="AD336" s="493" t="s">
        <v>1959</v>
      </c>
      <c r="AE336" s="493">
        <v>1710000</v>
      </c>
      <c r="AF336" s="493">
        <v>171000</v>
      </c>
      <c r="AG336" s="493" t="s">
        <v>1554</v>
      </c>
      <c r="AH336" s="130">
        <f t="shared" si="76"/>
        <v>46174</v>
      </c>
      <c r="AI336" s="495"/>
      <c r="AJ336" s="439"/>
      <c r="AK336" s="121">
        <f t="shared" si="77"/>
        <v>1881000.0000000002</v>
      </c>
      <c r="AL336" s="440" t="str">
        <f t="shared" ca="1" si="73"/>
        <v/>
      </c>
      <c r="AM336" s="440" t="s">
        <v>783</v>
      </c>
      <c r="AN336" s="440"/>
      <c r="AO336" s="440"/>
    </row>
    <row r="337" spans="1:41" ht="16.5" hidden="1" customHeight="1">
      <c r="A337" s="492" t="s">
        <v>1949</v>
      </c>
      <c r="B337" s="493" t="s">
        <v>1960</v>
      </c>
      <c r="C337" s="492" t="s">
        <v>1949</v>
      </c>
      <c r="D337" s="492" t="s">
        <v>1949</v>
      </c>
      <c r="E337" s="493" t="s">
        <v>116</v>
      </c>
      <c r="F337" s="493" t="s">
        <v>377</v>
      </c>
      <c r="G337" s="493" t="s">
        <v>117</v>
      </c>
      <c r="H337" s="493" t="s">
        <v>118</v>
      </c>
      <c r="I337" s="493" t="s">
        <v>119</v>
      </c>
      <c r="J337" s="493" t="s">
        <v>797</v>
      </c>
      <c r="K337" s="493" t="s">
        <v>377</v>
      </c>
      <c r="L337" s="493" t="s">
        <v>798</v>
      </c>
      <c r="M337" s="493" t="s">
        <v>799</v>
      </c>
      <c r="N337" s="493" t="s">
        <v>800</v>
      </c>
      <c r="O337" s="493">
        <v>1881000</v>
      </c>
      <c r="P337" s="439">
        <v>1710000</v>
      </c>
      <c r="Q337" s="493">
        <v>171000</v>
      </c>
      <c r="R337" s="493" t="s">
        <v>124</v>
      </c>
      <c r="S337" s="493" t="s">
        <v>382</v>
      </c>
      <c r="T337" s="493" t="s">
        <v>125</v>
      </c>
      <c r="U337" s="493" t="s">
        <v>126</v>
      </c>
      <c r="V337" s="493" t="s">
        <v>127</v>
      </c>
      <c r="W337" s="493" t="s">
        <v>128</v>
      </c>
      <c r="X337" s="493" t="s">
        <v>801</v>
      </c>
      <c r="Y337" s="493" t="s">
        <v>377</v>
      </c>
      <c r="Z337" s="493" t="s">
        <v>1949</v>
      </c>
      <c r="AA337" s="493" t="s">
        <v>130</v>
      </c>
      <c r="AB337" s="493" t="s">
        <v>377</v>
      </c>
      <c r="AC337" s="493" t="s">
        <v>131</v>
      </c>
      <c r="AD337" s="493" t="s">
        <v>1959</v>
      </c>
      <c r="AE337" s="493">
        <v>1710000</v>
      </c>
      <c r="AF337" s="493">
        <v>171000</v>
      </c>
      <c r="AG337" s="493" t="s">
        <v>1556</v>
      </c>
      <c r="AH337" s="130">
        <f t="shared" si="76"/>
        <v>46174</v>
      </c>
      <c r="AI337" s="495">
        <v>46171</v>
      </c>
      <c r="AJ337" s="439">
        <f>P337*1.1</f>
        <v>1881000.0000000002</v>
      </c>
      <c r="AK337" s="121">
        <f t="shared" si="77"/>
        <v>0</v>
      </c>
      <c r="AL337" s="440" t="str">
        <f t="shared" ca="1" si="73"/>
        <v/>
      </c>
      <c r="AM337" s="440"/>
      <c r="AN337" s="440"/>
      <c r="AO337" s="440"/>
    </row>
    <row r="338" spans="1:41" ht="16.5" hidden="1" customHeight="1">
      <c r="A338" s="492" t="s">
        <v>1949</v>
      </c>
      <c r="B338" s="493" t="s">
        <v>1961</v>
      </c>
      <c r="C338" s="492" t="s">
        <v>1949</v>
      </c>
      <c r="D338" s="492" t="s">
        <v>1949</v>
      </c>
      <c r="E338" s="493" t="s">
        <v>116</v>
      </c>
      <c r="F338" s="493" t="s">
        <v>377</v>
      </c>
      <c r="G338" s="493" t="s">
        <v>117</v>
      </c>
      <c r="H338" s="493" t="s">
        <v>118</v>
      </c>
      <c r="I338" s="493" t="s">
        <v>119</v>
      </c>
      <c r="J338" s="493" t="s">
        <v>519</v>
      </c>
      <c r="K338" s="493" t="s">
        <v>377</v>
      </c>
      <c r="L338" s="493" t="s">
        <v>520</v>
      </c>
      <c r="M338" s="493" t="s">
        <v>521</v>
      </c>
      <c r="N338" s="493" t="s">
        <v>522</v>
      </c>
      <c r="O338" s="493">
        <v>1710500</v>
      </c>
      <c r="P338" s="439">
        <v>1555000</v>
      </c>
      <c r="Q338" s="493">
        <v>155500</v>
      </c>
      <c r="R338" s="493" t="s">
        <v>124</v>
      </c>
      <c r="S338" s="493" t="s">
        <v>382</v>
      </c>
      <c r="T338" s="493" t="s">
        <v>125</v>
      </c>
      <c r="U338" s="493" t="s">
        <v>126</v>
      </c>
      <c r="V338" s="493" t="s">
        <v>127</v>
      </c>
      <c r="W338" s="493" t="s">
        <v>128</v>
      </c>
      <c r="X338" s="493" t="s">
        <v>523</v>
      </c>
      <c r="Y338" s="493" t="s">
        <v>377</v>
      </c>
      <c r="Z338" s="493" t="s">
        <v>1949</v>
      </c>
      <c r="AA338" s="493" t="s">
        <v>130</v>
      </c>
      <c r="AB338" s="493" t="s">
        <v>377</v>
      </c>
      <c r="AC338" s="493" t="s">
        <v>131</v>
      </c>
      <c r="AD338" s="493" t="s">
        <v>1962</v>
      </c>
      <c r="AE338" s="493">
        <v>1555000</v>
      </c>
      <c r="AF338" s="493">
        <v>155500</v>
      </c>
      <c r="AG338" s="493" t="s">
        <v>1598</v>
      </c>
      <c r="AH338" s="130">
        <f t="shared" si="76"/>
        <v>46174</v>
      </c>
      <c r="AI338" s="495"/>
      <c r="AJ338" s="439"/>
      <c r="AK338" s="121">
        <f t="shared" si="77"/>
        <v>1710500.0000000002</v>
      </c>
      <c r="AL338" s="440" t="str">
        <f t="shared" ca="1" si="73"/>
        <v/>
      </c>
      <c r="AM338" s="440"/>
      <c r="AN338" s="440"/>
      <c r="AO338" s="440"/>
    </row>
    <row r="339" spans="1:41" ht="16.5" hidden="1" customHeight="1">
      <c r="A339" s="492" t="s">
        <v>1949</v>
      </c>
      <c r="B339" s="493" t="s">
        <v>1963</v>
      </c>
      <c r="C339" s="492" t="s">
        <v>1949</v>
      </c>
      <c r="D339" s="492" t="s">
        <v>1949</v>
      </c>
      <c r="E339" s="493" t="s">
        <v>116</v>
      </c>
      <c r="F339" s="493" t="s">
        <v>377</v>
      </c>
      <c r="G339" s="493" t="s">
        <v>117</v>
      </c>
      <c r="H339" s="493" t="s">
        <v>118</v>
      </c>
      <c r="I339" s="493" t="s">
        <v>119</v>
      </c>
      <c r="J339" s="493" t="s">
        <v>1270</v>
      </c>
      <c r="K339" s="493" t="s">
        <v>377</v>
      </c>
      <c r="L339" s="493" t="s">
        <v>1271</v>
      </c>
      <c r="M339" s="493" t="s">
        <v>1272</v>
      </c>
      <c r="N339" s="493" t="s">
        <v>1273</v>
      </c>
      <c r="O339" s="493">
        <v>6353600</v>
      </c>
      <c r="P339" s="439">
        <v>5776000</v>
      </c>
      <c r="Q339" s="493">
        <v>577600</v>
      </c>
      <c r="R339" s="493" t="s">
        <v>124</v>
      </c>
      <c r="S339" s="493" t="s">
        <v>382</v>
      </c>
      <c r="T339" s="493" t="s">
        <v>125</v>
      </c>
      <c r="U339" s="493" t="s">
        <v>126</v>
      </c>
      <c r="V339" s="493" t="s">
        <v>127</v>
      </c>
      <c r="W339" s="493" t="s">
        <v>128</v>
      </c>
      <c r="X339" s="493" t="s">
        <v>1274</v>
      </c>
      <c r="Y339" s="493" t="s">
        <v>377</v>
      </c>
      <c r="Z339" s="493" t="s">
        <v>1949</v>
      </c>
      <c r="AA339" s="493" t="s">
        <v>130</v>
      </c>
      <c r="AB339" s="493" t="s">
        <v>377</v>
      </c>
      <c r="AC339" s="493" t="s">
        <v>131</v>
      </c>
      <c r="AD339" s="493" t="s">
        <v>1964</v>
      </c>
      <c r="AE339" s="493">
        <v>5776000</v>
      </c>
      <c r="AF339" s="493">
        <v>577600</v>
      </c>
      <c r="AG339" s="493" t="s">
        <v>2954</v>
      </c>
      <c r="AH339" s="130">
        <f t="shared" si="76"/>
        <v>46174</v>
      </c>
      <c r="AI339" s="495">
        <v>46170</v>
      </c>
      <c r="AJ339" s="439">
        <f>P339*1.1</f>
        <v>6353600.0000000009</v>
      </c>
      <c r="AK339" s="121">
        <f t="shared" si="77"/>
        <v>0</v>
      </c>
      <c r="AL339" s="440" t="str">
        <f t="shared" ca="1" si="73"/>
        <v/>
      </c>
      <c r="AM339" s="440"/>
      <c r="AN339" s="440"/>
      <c r="AO339" s="440"/>
    </row>
    <row r="340" spans="1:41" ht="16.5" hidden="1" customHeight="1">
      <c r="A340" s="492" t="s">
        <v>1949</v>
      </c>
      <c r="B340" s="493" t="s">
        <v>1965</v>
      </c>
      <c r="C340" s="492" t="s">
        <v>1949</v>
      </c>
      <c r="D340" s="492" t="s">
        <v>1949</v>
      </c>
      <c r="E340" s="493" t="s">
        <v>116</v>
      </c>
      <c r="F340" s="493" t="s">
        <v>377</v>
      </c>
      <c r="G340" s="493" t="s">
        <v>117</v>
      </c>
      <c r="H340" s="493" t="s">
        <v>118</v>
      </c>
      <c r="I340" s="493" t="s">
        <v>119</v>
      </c>
      <c r="J340" s="493" t="s">
        <v>1966</v>
      </c>
      <c r="K340" s="493" t="s">
        <v>377</v>
      </c>
      <c r="L340" s="493" t="s">
        <v>1967</v>
      </c>
      <c r="M340" s="493" t="s">
        <v>1968</v>
      </c>
      <c r="N340" s="493" t="s">
        <v>1969</v>
      </c>
      <c r="O340" s="493">
        <v>674080</v>
      </c>
      <c r="P340" s="439">
        <v>612800</v>
      </c>
      <c r="Q340" s="493">
        <v>61280</v>
      </c>
      <c r="R340" s="493" t="s">
        <v>124</v>
      </c>
      <c r="S340" s="493" t="s">
        <v>382</v>
      </c>
      <c r="T340" s="493" t="s">
        <v>125</v>
      </c>
      <c r="U340" s="493" t="s">
        <v>445</v>
      </c>
      <c r="V340" s="493" t="s">
        <v>127</v>
      </c>
      <c r="W340" s="493" t="s">
        <v>128</v>
      </c>
      <c r="X340" s="493" t="s">
        <v>1970</v>
      </c>
      <c r="Y340" s="493" t="s">
        <v>377</v>
      </c>
      <c r="Z340" s="493" t="s">
        <v>1949</v>
      </c>
      <c r="AA340" s="493" t="s">
        <v>130</v>
      </c>
      <c r="AB340" s="493" t="s">
        <v>377</v>
      </c>
      <c r="AC340" s="493" t="s">
        <v>131</v>
      </c>
      <c r="AD340" s="493" t="s">
        <v>1971</v>
      </c>
      <c r="AE340" s="493">
        <v>612800</v>
      </c>
      <c r="AF340" s="493">
        <v>61280</v>
      </c>
      <c r="AG340" s="493" t="s">
        <v>1972</v>
      </c>
      <c r="AH340" s="130">
        <f t="shared" si="76"/>
        <v>46174</v>
      </c>
      <c r="AI340" s="495">
        <v>46134</v>
      </c>
      <c r="AJ340" s="439">
        <f>P340*1.1</f>
        <v>674080</v>
      </c>
      <c r="AK340" s="121">
        <f t="shared" si="77"/>
        <v>0</v>
      </c>
      <c r="AL340" s="440" t="str">
        <f t="shared" ca="1" si="73"/>
        <v/>
      </c>
      <c r="AM340" s="440" t="s">
        <v>783</v>
      </c>
      <c r="AN340" s="440"/>
      <c r="AO340" s="440"/>
    </row>
    <row r="341" spans="1:41" ht="16.5" hidden="1" customHeight="1">
      <c r="A341" s="492" t="s">
        <v>1949</v>
      </c>
      <c r="B341" s="493" t="s">
        <v>1973</v>
      </c>
      <c r="C341" s="492" t="s">
        <v>1949</v>
      </c>
      <c r="D341" s="492" t="s">
        <v>1949</v>
      </c>
      <c r="E341" s="493" t="s">
        <v>116</v>
      </c>
      <c r="F341" s="493" t="s">
        <v>377</v>
      </c>
      <c r="G341" s="493" t="s">
        <v>117</v>
      </c>
      <c r="H341" s="493" t="s">
        <v>118</v>
      </c>
      <c r="I341" s="493" t="s">
        <v>119</v>
      </c>
      <c r="J341" s="493" t="s">
        <v>1061</v>
      </c>
      <c r="K341" s="493" t="s">
        <v>377</v>
      </c>
      <c r="L341" s="493" t="s">
        <v>1062</v>
      </c>
      <c r="M341" s="493" t="s">
        <v>1063</v>
      </c>
      <c r="N341" s="493" t="s">
        <v>1484</v>
      </c>
      <c r="O341" s="493">
        <v>1552540</v>
      </c>
      <c r="P341" s="439">
        <v>1411400</v>
      </c>
      <c r="Q341" s="493">
        <v>141140</v>
      </c>
      <c r="R341" s="493" t="s">
        <v>124</v>
      </c>
      <c r="S341" s="493" t="s">
        <v>382</v>
      </c>
      <c r="T341" s="493" t="s">
        <v>125</v>
      </c>
      <c r="U341" s="493" t="s">
        <v>126</v>
      </c>
      <c r="V341" s="493" t="s">
        <v>127</v>
      </c>
      <c r="W341" s="493" t="s">
        <v>128</v>
      </c>
      <c r="X341" s="493" t="s">
        <v>1064</v>
      </c>
      <c r="Y341" s="493" t="s">
        <v>377</v>
      </c>
      <c r="Z341" s="493" t="s">
        <v>1949</v>
      </c>
      <c r="AA341" s="493" t="s">
        <v>130</v>
      </c>
      <c r="AB341" s="493" t="s">
        <v>377</v>
      </c>
      <c r="AC341" s="493" t="s">
        <v>131</v>
      </c>
      <c r="AD341" s="493" t="s">
        <v>1974</v>
      </c>
      <c r="AE341" s="493">
        <v>1411400</v>
      </c>
      <c r="AF341" s="493">
        <v>141140</v>
      </c>
      <c r="AG341" s="493" t="s">
        <v>2828</v>
      </c>
      <c r="AH341" s="130">
        <f t="shared" si="76"/>
        <v>46174</v>
      </c>
      <c r="AI341" s="495">
        <v>46164</v>
      </c>
      <c r="AJ341" s="439">
        <f>P341*1.1</f>
        <v>1552540.0000000002</v>
      </c>
      <c r="AK341" s="121">
        <f t="shared" si="77"/>
        <v>0</v>
      </c>
      <c r="AL341" s="440" t="str">
        <f t="shared" ca="1" si="73"/>
        <v/>
      </c>
      <c r="AM341" s="440"/>
      <c r="AN341" s="440"/>
      <c r="AO341" s="440"/>
    </row>
    <row r="342" spans="1:41" ht="16.5" hidden="1" customHeight="1">
      <c r="A342" s="492" t="s">
        <v>1949</v>
      </c>
      <c r="B342" s="493" t="s">
        <v>1975</v>
      </c>
      <c r="C342" s="492" t="s">
        <v>1949</v>
      </c>
      <c r="D342" s="492" t="s">
        <v>1949</v>
      </c>
      <c r="E342" s="493" t="s">
        <v>116</v>
      </c>
      <c r="F342" s="493" t="s">
        <v>377</v>
      </c>
      <c r="G342" s="493" t="s">
        <v>117</v>
      </c>
      <c r="H342" s="493" t="s">
        <v>118</v>
      </c>
      <c r="I342" s="493" t="s">
        <v>119</v>
      </c>
      <c r="J342" s="493" t="s">
        <v>703</v>
      </c>
      <c r="K342" s="493" t="s">
        <v>377</v>
      </c>
      <c r="L342" s="493" t="s">
        <v>704</v>
      </c>
      <c r="M342" s="493" t="s">
        <v>705</v>
      </c>
      <c r="N342" s="493" t="s">
        <v>706</v>
      </c>
      <c r="O342" s="493">
        <v>1105500</v>
      </c>
      <c r="P342" s="439">
        <v>1005000</v>
      </c>
      <c r="Q342" s="493">
        <v>100500</v>
      </c>
      <c r="R342" s="493" t="s">
        <v>124</v>
      </c>
      <c r="S342" s="493" t="s">
        <v>382</v>
      </c>
      <c r="T342" s="493" t="s">
        <v>125</v>
      </c>
      <c r="U342" s="493" t="s">
        <v>445</v>
      </c>
      <c r="V342" s="493" t="s">
        <v>127</v>
      </c>
      <c r="W342" s="493" t="s">
        <v>128</v>
      </c>
      <c r="X342" s="493" t="s">
        <v>707</v>
      </c>
      <c r="Y342" s="493" t="s">
        <v>377</v>
      </c>
      <c r="Z342" s="493" t="s">
        <v>1949</v>
      </c>
      <c r="AA342" s="493" t="s">
        <v>130</v>
      </c>
      <c r="AB342" s="493" t="s">
        <v>377</v>
      </c>
      <c r="AC342" s="493" t="s">
        <v>131</v>
      </c>
      <c r="AD342" s="493" t="s">
        <v>1976</v>
      </c>
      <c r="AE342" s="493">
        <v>1005000</v>
      </c>
      <c r="AF342" s="493">
        <v>100500</v>
      </c>
      <c r="AG342" s="493" t="s">
        <v>1977</v>
      </c>
      <c r="AH342" s="130">
        <f t="shared" si="76"/>
        <v>46174</v>
      </c>
      <c r="AI342" s="495">
        <v>46174</v>
      </c>
      <c r="AJ342" s="439">
        <f>P342*1.1</f>
        <v>1105500</v>
      </c>
      <c r="AK342" s="121">
        <f t="shared" si="77"/>
        <v>0</v>
      </c>
      <c r="AL342" s="440" t="str">
        <f t="shared" ca="1" si="73"/>
        <v/>
      </c>
      <c r="AM342" s="440" t="s">
        <v>783</v>
      </c>
      <c r="AN342" s="440"/>
      <c r="AO342" s="440"/>
    </row>
    <row r="343" spans="1:41" ht="16.5" hidden="1" customHeight="1">
      <c r="A343" s="492" t="s">
        <v>1949</v>
      </c>
      <c r="B343" s="493" t="s">
        <v>1978</v>
      </c>
      <c r="C343" s="492" t="s">
        <v>1949</v>
      </c>
      <c r="D343" s="492" t="s">
        <v>1949</v>
      </c>
      <c r="E343" s="493" t="s">
        <v>116</v>
      </c>
      <c r="F343" s="493" t="s">
        <v>377</v>
      </c>
      <c r="G343" s="493" t="s">
        <v>117</v>
      </c>
      <c r="H343" s="493" t="s">
        <v>118</v>
      </c>
      <c r="I343" s="493" t="s">
        <v>119</v>
      </c>
      <c r="J343" s="493" t="s">
        <v>510</v>
      </c>
      <c r="K343" s="493" t="s">
        <v>377</v>
      </c>
      <c r="L343" s="493" t="s">
        <v>511</v>
      </c>
      <c r="M343" s="493" t="s">
        <v>512</v>
      </c>
      <c r="N343" s="493" t="s">
        <v>513</v>
      </c>
      <c r="O343" s="493">
        <v>12100000</v>
      </c>
      <c r="P343" s="439">
        <v>11000000</v>
      </c>
      <c r="Q343" s="493">
        <v>1100000</v>
      </c>
      <c r="R343" s="493" t="s">
        <v>124</v>
      </c>
      <c r="S343" s="493" t="s">
        <v>382</v>
      </c>
      <c r="T343" s="493" t="s">
        <v>125</v>
      </c>
      <c r="U343" s="493" t="s">
        <v>126</v>
      </c>
      <c r="V343" s="493" t="s">
        <v>127</v>
      </c>
      <c r="W343" s="493" t="s">
        <v>128</v>
      </c>
      <c r="X343" s="493" t="s">
        <v>514</v>
      </c>
      <c r="Y343" s="493" t="s">
        <v>377</v>
      </c>
      <c r="Z343" s="493" t="s">
        <v>1949</v>
      </c>
      <c r="AA343" s="493" t="s">
        <v>130</v>
      </c>
      <c r="AB343" s="493" t="s">
        <v>377</v>
      </c>
      <c r="AC343" s="493" t="s">
        <v>131</v>
      </c>
      <c r="AD343" s="493" t="s">
        <v>926</v>
      </c>
      <c r="AE343" s="493">
        <v>11000000</v>
      </c>
      <c r="AF343" s="493">
        <v>1100000</v>
      </c>
      <c r="AG343" s="493" t="s">
        <v>1979</v>
      </c>
      <c r="AH343" s="130">
        <f t="shared" si="76"/>
        <v>46174</v>
      </c>
      <c r="AI343" s="495"/>
      <c r="AJ343" s="439"/>
      <c r="AK343" s="121">
        <f t="shared" si="77"/>
        <v>12100000.000000002</v>
      </c>
      <c r="AL343" s="440" t="str">
        <f t="shared" ca="1" si="73"/>
        <v/>
      </c>
      <c r="AM343" s="440"/>
      <c r="AN343" s="440"/>
      <c r="AO343" s="440"/>
    </row>
    <row r="344" spans="1:41" ht="16.5" hidden="1" customHeight="1">
      <c r="A344" s="492" t="s">
        <v>1949</v>
      </c>
      <c r="B344" s="493" t="s">
        <v>1980</v>
      </c>
      <c r="C344" s="492" t="s">
        <v>1949</v>
      </c>
      <c r="D344" s="492" t="s">
        <v>1949</v>
      </c>
      <c r="E344" s="493" t="s">
        <v>116</v>
      </c>
      <c r="F344" s="493" t="s">
        <v>377</v>
      </c>
      <c r="G344" s="493" t="s">
        <v>117</v>
      </c>
      <c r="H344" s="493" t="s">
        <v>118</v>
      </c>
      <c r="I344" s="493" t="s">
        <v>119</v>
      </c>
      <c r="J344" s="493" t="s">
        <v>1270</v>
      </c>
      <c r="K344" s="493" t="s">
        <v>377</v>
      </c>
      <c r="L344" s="493" t="s">
        <v>1271</v>
      </c>
      <c r="M344" s="493" t="s">
        <v>1272</v>
      </c>
      <c r="N344" s="493" t="s">
        <v>1273</v>
      </c>
      <c r="O344" s="493">
        <v>12014530</v>
      </c>
      <c r="P344" s="439">
        <v>10922300</v>
      </c>
      <c r="Q344" s="493">
        <v>1092230</v>
      </c>
      <c r="R344" s="493" t="s">
        <v>124</v>
      </c>
      <c r="S344" s="493" t="s">
        <v>382</v>
      </c>
      <c r="T344" s="493" t="s">
        <v>125</v>
      </c>
      <c r="U344" s="493" t="s">
        <v>126</v>
      </c>
      <c r="V344" s="493" t="s">
        <v>127</v>
      </c>
      <c r="W344" s="493" t="s">
        <v>128</v>
      </c>
      <c r="X344" s="493" t="s">
        <v>1274</v>
      </c>
      <c r="Y344" s="493" t="s">
        <v>377</v>
      </c>
      <c r="Z344" s="493" t="s">
        <v>1949</v>
      </c>
      <c r="AA344" s="493" t="s">
        <v>130</v>
      </c>
      <c r="AB344" s="493" t="s">
        <v>377</v>
      </c>
      <c r="AC344" s="493" t="s">
        <v>131</v>
      </c>
      <c r="AD344" s="493" t="s">
        <v>1981</v>
      </c>
      <c r="AE344" s="493">
        <v>10922300</v>
      </c>
      <c r="AF344" s="493">
        <v>1092230</v>
      </c>
      <c r="AG344" s="493" t="s">
        <v>1516</v>
      </c>
      <c r="AH344" s="130">
        <f t="shared" si="76"/>
        <v>46174</v>
      </c>
      <c r="AI344" s="495">
        <v>46170</v>
      </c>
      <c r="AJ344" s="439">
        <f>P344*1.1</f>
        <v>12014530.000000002</v>
      </c>
      <c r="AK344" s="121">
        <f t="shared" si="77"/>
        <v>0</v>
      </c>
      <c r="AL344" s="440" t="str">
        <f t="shared" ca="1" si="73"/>
        <v/>
      </c>
      <c r="AM344" s="440"/>
      <c r="AN344" s="440"/>
      <c r="AO344" s="440"/>
    </row>
    <row r="345" spans="1:41" ht="16.5" hidden="1" customHeight="1">
      <c r="A345" s="492" t="s">
        <v>1949</v>
      </c>
      <c r="B345" s="493" t="s">
        <v>1982</v>
      </c>
      <c r="C345" s="492" t="s">
        <v>1949</v>
      </c>
      <c r="D345" s="492" t="s">
        <v>1949</v>
      </c>
      <c r="E345" s="493" t="s">
        <v>116</v>
      </c>
      <c r="F345" s="493" t="s">
        <v>377</v>
      </c>
      <c r="G345" s="493" t="s">
        <v>117</v>
      </c>
      <c r="H345" s="493" t="s">
        <v>118</v>
      </c>
      <c r="I345" s="493" t="s">
        <v>119</v>
      </c>
      <c r="J345" s="493" t="s">
        <v>674</v>
      </c>
      <c r="K345" s="493" t="s">
        <v>377</v>
      </c>
      <c r="L345" s="493" t="s">
        <v>675</v>
      </c>
      <c r="M345" s="493" t="s">
        <v>676</v>
      </c>
      <c r="N345" s="493" t="s">
        <v>677</v>
      </c>
      <c r="O345" s="493">
        <v>6921750</v>
      </c>
      <c r="P345" s="439">
        <v>6292500</v>
      </c>
      <c r="Q345" s="493">
        <v>629250</v>
      </c>
      <c r="R345" s="493" t="s">
        <v>124</v>
      </c>
      <c r="S345" s="493" t="s">
        <v>382</v>
      </c>
      <c r="T345" s="493" t="s">
        <v>125</v>
      </c>
      <c r="U345" s="493" t="s">
        <v>126</v>
      </c>
      <c r="V345" s="493" t="s">
        <v>127</v>
      </c>
      <c r="W345" s="493" t="s">
        <v>128</v>
      </c>
      <c r="X345" s="493" t="s">
        <v>678</v>
      </c>
      <c r="Y345" s="493" t="s">
        <v>377</v>
      </c>
      <c r="Z345" s="493" t="s">
        <v>1949</v>
      </c>
      <c r="AA345" s="493" t="s">
        <v>130</v>
      </c>
      <c r="AB345" s="493" t="s">
        <v>377</v>
      </c>
      <c r="AC345" s="493" t="s">
        <v>131</v>
      </c>
      <c r="AD345" s="493" t="s">
        <v>1983</v>
      </c>
      <c r="AE345" s="493">
        <v>6292500</v>
      </c>
      <c r="AF345" s="493">
        <v>629250</v>
      </c>
      <c r="AG345" s="493" t="s">
        <v>1984</v>
      </c>
      <c r="AH345" s="130">
        <f t="shared" si="76"/>
        <v>46174</v>
      </c>
      <c r="AI345" s="495">
        <v>46142</v>
      </c>
      <c r="AJ345" s="439">
        <f t="shared" ref="AJ345" si="78">P345*1.1</f>
        <v>6921750.0000000009</v>
      </c>
      <c r="AK345" s="121">
        <f t="shared" si="77"/>
        <v>0</v>
      </c>
      <c r="AL345" s="440" t="str">
        <f t="shared" ca="1" si="73"/>
        <v/>
      </c>
      <c r="AM345" s="440"/>
      <c r="AN345" s="440"/>
      <c r="AO345" s="440"/>
    </row>
    <row r="346" spans="1:41" ht="16.5" hidden="1" customHeight="1">
      <c r="A346" s="492" t="s">
        <v>1949</v>
      </c>
      <c r="B346" s="493" t="s">
        <v>1985</v>
      </c>
      <c r="C346" s="492" t="s">
        <v>1949</v>
      </c>
      <c r="D346" s="492" t="s">
        <v>1949</v>
      </c>
      <c r="E346" s="493" t="s">
        <v>116</v>
      </c>
      <c r="F346" s="493" t="s">
        <v>377</v>
      </c>
      <c r="G346" s="493" t="s">
        <v>117</v>
      </c>
      <c r="H346" s="493" t="s">
        <v>118</v>
      </c>
      <c r="I346" s="493" t="s">
        <v>119</v>
      </c>
      <c r="J346" s="493" t="s">
        <v>734</v>
      </c>
      <c r="K346" s="493" t="s">
        <v>377</v>
      </c>
      <c r="L346" s="493" t="s">
        <v>735</v>
      </c>
      <c r="M346" s="493" t="s">
        <v>736</v>
      </c>
      <c r="N346" s="493" t="s">
        <v>737</v>
      </c>
      <c r="O346" s="493">
        <v>650320</v>
      </c>
      <c r="P346" s="439">
        <v>591200</v>
      </c>
      <c r="Q346" s="493">
        <v>59120</v>
      </c>
      <c r="R346" s="493" t="s">
        <v>124</v>
      </c>
      <c r="S346" s="493" t="s">
        <v>382</v>
      </c>
      <c r="T346" s="493" t="s">
        <v>125</v>
      </c>
      <c r="U346" s="493" t="s">
        <v>445</v>
      </c>
      <c r="V346" s="493" t="s">
        <v>127</v>
      </c>
      <c r="W346" s="493" t="s">
        <v>128</v>
      </c>
      <c r="X346" s="493" t="s">
        <v>738</v>
      </c>
      <c r="Y346" s="493" t="s">
        <v>377</v>
      </c>
      <c r="Z346" s="493" t="s">
        <v>1949</v>
      </c>
      <c r="AA346" s="493" t="s">
        <v>130</v>
      </c>
      <c r="AB346" s="493" t="s">
        <v>377</v>
      </c>
      <c r="AC346" s="493" t="s">
        <v>131</v>
      </c>
      <c r="AD346" s="493" t="s">
        <v>1986</v>
      </c>
      <c r="AE346" s="493">
        <v>591200</v>
      </c>
      <c r="AF346" s="493">
        <v>59120</v>
      </c>
      <c r="AG346" s="493" t="s">
        <v>1554</v>
      </c>
      <c r="AH346" s="130">
        <f t="shared" si="76"/>
        <v>46174</v>
      </c>
      <c r="AI346" s="495"/>
      <c r="AJ346" s="439"/>
      <c r="AK346" s="121">
        <f t="shared" si="77"/>
        <v>650320</v>
      </c>
      <c r="AL346" s="440" t="str">
        <f t="shared" ca="1" si="73"/>
        <v/>
      </c>
      <c r="AM346" s="440" t="s">
        <v>783</v>
      </c>
      <c r="AN346" s="440"/>
      <c r="AO346" s="440"/>
    </row>
    <row r="347" spans="1:41" ht="16.5" hidden="1" customHeight="1">
      <c r="A347" s="492" t="s">
        <v>1949</v>
      </c>
      <c r="B347" s="493" t="s">
        <v>1987</v>
      </c>
      <c r="C347" s="492" t="s">
        <v>1949</v>
      </c>
      <c r="D347" s="492" t="s">
        <v>1949</v>
      </c>
      <c r="E347" s="493" t="s">
        <v>116</v>
      </c>
      <c r="F347" s="493" t="s">
        <v>377</v>
      </c>
      <c r="G347" s="493" t="s">
        <v>117</v>
      </c>
      <c r="H347" s="493" t="s">
        <v>118</v>
      </c>
      <c r="I347" s="493" t="s">
        <v>119</v>
      </c>
      <c r="J347" s="493" t="s">
        <v>1988</v>
      </c>
      <c r="K347" s="493" t="s">
        <v>377</v>
      </c>
      <c r="L347" s="493" t="s">
        <v>1989</v>
      </c>
      <c r="M347" s="493" t="s">
        <v>1990</v>
      </c>
      <c r="N347" s="493" t="s">
        <v>1991</v>
      </c>
      <c r="O347" s="493">
        <v>2356750</v>
      </c>
      <c r="P347" s="439">
        <v>2142500</v>
      </c>
      <c r="Q347" s="493">
        <v>214250</v>
      </c>
      <c r="R347" s="493" t="s">
        <v>124</v>
      </c>
      <c r="S347" s="493" t="s">
        <v>382</v>
      </c>
      <c r="T347" s="493" t="s">
        <v>125</v>
      </c>
      <c r="U347" s="493" t="s">
        <v>126</v>
      </c>
      <c r="V347" s="493" t="s">
        <v>127</v>
      </c>
      <c r="W347" s="493" t="s">
        <v>128</v>
      </c>
      <c r="X347" s="493" t="s">
        <v>1992</v>
      </c>
      <c r="Y347" s="493" t="s">
        <v>377</v>
      </c>
      <c r="Z347" s="493" t="s">
        <v>1949</v>
      </c>
      <c r="AA347" s="493" t="s">
        <v>130</v>
      </c>
      <c r="AB347" s="493" t="s">
        <v>377</v>
      </c>
      <c r="AC347" s="493" t="s">
        <v>131</v>
      </c>
      <c r="AD347" s="493" t="s">
        <v>1993</v>
      </c>
      <c r="AE347" s="493">
        <v>2142500</v>
      </c>
      <c r="AF347" s="493">
        <v>214250</v>
      </c>
      <c r="AG347" s="493" t="s">
        <v>1994</v>
      </c>
      <c r="AH347" s="130">
        <f t="shared" si="76"/>
        <v>46174</v>
      </c>
      <c r="AI347" s="495">
        <v>46142</v>
      </c>
      <c r="AJ347" s="439">
        <f>P347*1.1</f>
        <v>2356750</v>
      </c>
      <c r="AK347" s="121">
        <f t="shared" si="77"/>
        <v>0</v>
      </c>
      <c r="AL347" s="440" t="str">
        <f t="shared" ca="1" si="73"/>
        <v/>
      </c>
      <c r="AM347" s="440"/>
      <c r="AN347" s="440"/>
      <c r="AO347" s="440"/>
    </row>
    <row r="348" spans="1:41" ht="16.5" hidden="1" customHeight="1">
      <c r="A348" s="492" t="s">
        <v>1995</v>
      </c>
      <c r="B348" s="493" t="s">
        <v>1996</v>
      </c>
      <c r="C348" s="492" t="s">
        <v>1995</v>
      </c>
      <c r="D348" s="492" t="s">
        <v>1995</v>
      </c>
      <c r="E348" s="493" t="s">
        <v>116</v>
      </c>
      <c r="F348" s="493" t="s">
        <v>377</v>
      </c>
      <c r="G348" s="493" t="s">
        <v>117</v>
      </c>
      <c r="H348" s="493" t="s">
        <v>118</v>
      </c>
      <c r="I348" s="493" t="s">
        <v>119</v>
      </c>
      <c r="J348" s="493" t="s">
        <v>1403</v>
      </c>
      <c r="K348" s="493" t="s">
        <v>377</v>
      </c>
      <c r="L348" s="493" t="s">
        <v>1404</v>
      </c>
      <c r="M348" s="493" t="s">
        <v>1405</v>
      </c>
      <c r="N348" s="493" t="s">
        <v>1406</v>
      </c>
      <c r="O348" s="493">
        <v>2817100</v>
      </c>
      <c r="P348" s="439">
        <v>2561000</v>
      </c>
      <c r="Q348" s="493">
        <v>256100</v>
      </c>
      <c r="R348" s="493" t="s">
        <v>124</v>
      </c>
      <c r="S348" s="493" t="s">
        <v>382</v>
      </c>
      <c r="T348" s="493" t="s">
        <v>125</v>
      </c>
      <c r="U348" s="493" t="s">
        <v>126</v>
      </c>
      <c r="V348" s="493" t="s">
        <v>127</v>
      </c>
      <c r="W348" s="493" t="s">
        <v>128</v>
      </c>
      <c r="X348" s="493" t="s">
        <v>1407</v>
      </c>
      <c r="Y348" s="493" t="s">
        <v>377</v>
      </c>
      <c r="Z348" s="493" t="s">
        <v>1995</v>
      </c>
      <c r="AA348" s="493" t="s">
        <v>130</v>
      </c>
      <c r="AB348" s="493" t="s">
        <v>377</v>
      </c>
      <c r="AC348" s="493" t="s">
        <v>131</v>
      </c>
      <c r="AD348" s="493" t="s">
        <v>1997</v>
      </c>
      <c r="AE348" s="493">
        <v>2561000</v>
      </c>
      <c r="AF348" s="493">
        <v>256100</v>
      </c>
      <c r="AG348" s="493" t="s">
        <v>2044</v>
      </c>
      <c r="AH348" s="130">
        <f t="shared" si="76"/>
        <v>46175</v>
      </c>
      <c r="AI348" s="495"/>
      <c r="AJ348" s="439"/>
      <c r="AK348" s="121">
        <f t="shared" si="77"/>
        <v>2817100</v>
      </c>
      <c r="AL348" s="440" t="str">
        <f t="shared" ca="1" si="73"/>
        <v/>
      </c>
      <c r="AM348" s="440"/>
      <c r="AN348" s="440"/>
      <c r="AO348" s="440"/>
    </row>
    <row r="349" spans="1:41" ht="16.5" hidden="1" customHeight="1">
      <c r="A349" s="492" t="s">
        <v>1995</v>
      </c>
      <c r="B349" s="493" t="s">
        <v>1998</v>
      </c>
      <c r="C349" s="492" t="s">
        <v>1995</v>
      </c>
      <c r="D349" s="492" t="s">
        <v>1995</v>
      </c>
      <c r="E349" s="493" t="s">
        <v>116</v>
      </c>
      <c r="F349" s="493" t="s">
        <v>377</v>
      </c>
      <c r="G349" s="493" t="s">
        <v>117</v>
      </c>
      <c r="H349" s="493" t="s">
        <v>118</v>
      </c>
      <c r="I349" s="493" t="s">
        <v>119</v>
      </c>
      <c r="J349" s="493" t="s">
        <v>474</v>
      </c>
      <c r="K349" s="493" t="s">
        <v>377</v>
      </c>
      <c r="L349" s="493" t="s">
        <v>475</v>
      </c>
      <c r="M349" s="493" t="s">
        <v>476</v>
      </c>
      <c r="N349" s="493" t="s">
        <v>477</v>
      </c>
      <c r="O349" s="493">
        <v>17012050</v>
      </c>
      <c r="P349" s="439">
        <v>15465500</v>
      </c>
      <c r="Q349" s="493">
        <v>1546550</v>
      </c>
      <c r="R349" s="493" t="s">
        <v>124</v>
      </c>
      <c r="S349" s="493" t="s">
        <v>382</v>
      </c>
      <c r="T349" s="493" t="s">
        <v>125</v>
      </c>
      <c r="U349" s="493" t="s">
        <v>126</v>
      </c>
      <c r="V349" s="493" t="s">
        <v>127</v>
      </c>
      <c r="W349" s="493" t="s">
        <v>128</v>
      </c>
      <c r="X349" s="493" t="s">
        <v>478</v>
      </c>
      <c r="Y349" s="493" t="s">
        <v>377</v>
      </c>
      <c r="Z349" s="493" t="s">
        <v>1995</v>
      </c>
      <c r="AA349" s="493" t="s">
        <v>130</v>
      </c>
      <c r="AB349" s="493" t="s">
        <v>377</v>
      </c>
      <c r="AC349" s="493" t="s">
        <v>131</v>
      </c>
      <c r="AD349" s="493" t="s">
        <v>1999</v>
      </c>
      <c r="AE349" s="493">
        <v>15465500</v>
      </c>
      <c r="AF349" s="493">
        <v>1546550</v>
      </c>
      <c r="AG349" s="493" t="s">
        <v>2045</v>
      </c>
      <c r="AH349" s="130">
        <f t="shared" si="76"/>
        <v>46175</v>
      </c>
      <c r="AI349" s="495">
        <v>46153</v>
      </c>
      <c r="AJ349" s="439">
        <f>P349*1.1</f>
        <v>17012050</v>
      </c>
      <c r="AK349" s="121">
        <f t="shared" si="77"/>
        <v>0</v>
      </c>
      <c r="AL349" s="440" t="str">
        <f t="shared" ca="1" si="73"/>
        <v/>
      </c>
      <c r="AM349" s="440"/>
      <c r="AN349" s="440"/>
      <c r="AO349" s="440"/>
    </row>
    <row r="350" spans="1:41" ht="16.5" hidden="1" customHeight="1">
      <c r="A350" s="492" t="s">
        <v>1995</v>
      </c>
      <c r="B350" s="493" t="s">
        <v>2000</v>
      </c>
      <c r="C350" s="492" t="s">
        <v>1995</v>
      </c>
      <c r="D350" s="492" t="s">
        <v>1995</v>
      </c>
      <c r="E350" s="493" t="s">
        <v>116</v>
      </c>
      <c r="F350" s="493" t="s">
        <v>377</v>
      </c>
      <c r="G350" s="493" t="s">
        <v>117</v>
      </c>
      <c r="H350" s="493" t="s">
        <v>118</v>
      </c>
      <c r="I350" s="493" t="s">
        <v>119</v>
      </c>
      <c r="J350" s="493" t="s">
        <v>636</v>
      </c>
      <c r="K350" s="493" t="s">
        <v>377</v>
      </c>
      <c r="L350" s="493" t="s">
        <v>637</v>
      </c>
      <c r="M350" s="493" t="s">
        <v>638</v>
      </c>
      <c r="N350" s="493" t="s">
        <v>639</v>
      </c>
      <c r="O350" s="493">
        <v>8085000</v>
      </c>
      <c r="P350" s="439">
        <v>7350000</v>
      </c>
      <c r="Q350" s="493">
        <v>735000</v>
      </c>
      <c r="R350" s="493" t="s">
        <v>124</v>
      </c>
      <c r="S350" s="493" t="s">
        <v>382</v>
      </c>
      <c r="T350" s="493" t="s">
        <v>125</v>
      </c>
      <c r="U350" s="493" t="s">
        <v>126</v>
      </c>
      <c r="V350" s="493" t="s">
        <v>127</v>
      </c>
      <c r="W350" s="493" t="s">
        <v>128</v>
      </c>
      <c r="X350" s="493" t="s">
        <v>640</v>
      </c>
      <c r="Y350" s="493" t="s">
        <v>377</v>
      </c>
      <c r="Z350" s="493" t="s">
        <v>1995</v>
      </c>
      <c r="AA350" s="493" t="s">
        <v>130</v>
      </c>
      <c r="AB350" s="493" t="s">
        <v>377</v>
      </c>
      <c r="AC350" s="493" t="s">
        <v>131</v>
      </c>
      <c r="AD350" s="493" t="s">
        <v>2001</v>
      </c>
      <c r="AE350" s="493">
        <v>7350000</v>
      </c>
      <c r="AF350" s="493">
        <v>735000</v>
      </c>
      <c r="AG350" s="493" t="s">
        <v>2046</v>
      </c>
      <c r="AH350" s="130">
        <f t="shared" si="76"/>
        <v>46175</v>
      </c>
      <c r="AI350" s="495">
        <v>46140</v>
      </c>
      <c r="AJ350" s="439">
        <f>P350*1.1</f>
        <v>8085000.0000000009</v>
      </c>
      <c r="AK350" s="121">
        <f t="shared" si="77"/>
        <v>0</v>
      </c>
      <c r="AL350" s="440" t="str">
        <f t="shared" ca="1" si="73"/>
        <v/>
      </c>
      <c r="AM350" s="440"/>
      <c r="AN350" s="440"/>
      <c r="AO350" s="440"/>
    </row>
    <row r="351" spans="1:41" ht="16.5" hidden="1" customHeight="1">
      <c r="A351" s="492" t="s">
        <v>1995</v>
      </c>
      <c r="B351" s="493" t="s">
        <v>2002</v>
      </c>
      <c r="C351" s="492" t="s">
        <v>1995</v>
      </c>
      <c r="D351" s="492" t="s">
        <v>1995</v>
      </c>
      <c r="E351" s="493" t="s">
        <v>116</v>
      </c>
      <c r="F351" s="493" t="s">
        <v>377</v>
      </c>
      <c r="G351" s="493" t="s">
        <v>117</v>
      </c>
      <c r="H351" s="493" t="s">
        <v>118</v>
      </c>
      <c r="I351" s="493" t="s">
        <v>119</v>
      </c>
      <c r="J351" s="493" t="s">
        <v>911</v>
      </c>
      <c r="K351" s="493" t="s">
        <v>377</v>
      </c>
      <c r="L351" s="493" t="s">
        <v>912</v>
      </c>
      <c r="M351" s="493" t="s">
        <v>913</v>
      </c>
      <c r="N351" s="493" t="s">
        <v>914</v>
      </c>
      <c r="O351" s="493">
        <v>5243920</v>
      </c>
      <c r="P351" s="439">
        <v>4767200</v>
      </c>
      <c r="Q351" s="493">
        <v>476720</v>
      </c>
      <c r="R351" s="493" t="s">
        <v>124</v>
      </c>
      <c r="S351" s="493" t="s">
        <v>382</v>
      </c>
      <c r="T351" s="493" t="s">
        <v>125</v>
      </c>
      <c r="U351" s="493" t="s">
        <v>126</v>
      </c>
      <c r="V351" s="493" t="s">
        <v>127</v>
      </c>
      <c r="W351" s="493" t="s">
        <v>128</v>
      </c>
      <c r="X351" s="493" t="s">
        <v>915</v>
      </c>
      <c r="Y351" s="493" t="s">
        <v>377</v>
      </c>
      <c r="Z351" s="493" t="s">
        <v>1995</v>
      </c>
      <c r="AA351" s="493" t="s">
        <v>130</v>
      </c>
      <c r="AB351" s="493" t="s">
        <v>377</v>
      </c>
      <c r="AC351" s="493" t="s">
        <v>131</v>
      </c>
      <c r="AD351" s="493" t="s">
        <v>2003</v>
      </c>
      <c r="AE351" s="493">
        <v>4767200</v>
      </c>
      <c r="AF351" s="493">
        <v>476720</v>
      </c>
      <c r="AG351" s="493" t="s">
        <v>2047</v>
      </c>
      <c r="AH351" s="130">
        <f t="shared" si="76"/>
        <v>46175</v>
      </c>
      <c r="AI351" s="495">
        <v>46149</v>
      </c>
      <c r="AJ351" s="439">
        <f>P351*1.1</f>
        <v>5243920</v>
      </c>
      <c r="AK351" s="121">
        <f t="shared" si="77"/>
        <v>0</v>
      </c>
      <c r="AL351" s="440" t="str">
        <f t="shared" ca="1" si="73"/>
        <v/>
      </c>
      <c r="AM351" s="440"/>
      <c r="AN351" s="440"/>
      <c r="AO351" s="440"/>
    </row>
    <row r="352" spans="1:41" ht="16.5" hidden="1" customHeight="1">
      <c r="A352" s="492" t="s">
        <v>1995</v>
      </c>
      <c r="B352" s="493" t="s">
        <v>2004</v>
      </c>
      <c r="C352" s="492" t="s">
        <v>1995</v>
      </c>
      <c r="D352" s="492" t="s">
        <v>1995</v>
      </c>
      <c r="E352" s="493" t="s">
        <v>116</v>
      </c>
      <c r="F352" s="493" t="s">
        <v>377</v>
      </c>
      <c r="G352" s="493" t="s">
        <v>117</v>
      </c>
      <c r="H352" s="493" t="s">
        <v>118</v>
      </c>
      <c r="I352" s="493" t="s">
        <v>119</v>
      </c>
      <c r="J352" s="493" t="s">
        <v>949</v>
      </c>
      <c r="K352" s="493" t="s">
        <v>377</v>
      </c>
      <c r="L352" s="493" t="s">
        <v>86</v>
      </c>
      <c r="M352" s="493" t="s">
        <v>950</v>
      </c>
      <c r="N352" s="493" t="s">
        <v>951</v>
      </c>
      <c r="O352" s="493">
        <v>431750</v>
      </c>
      <c r="P352" s="439">
        <v>392500</v>
      </c>
      <c r="Q352" s="493">
        <v>39250</v>
      </c>
      <c r="R352" s="493" t="s">
        <v>124</v>
      </c>
      <c r="S352" s="493" t="s">
        <v>382</v>
      </c>
      <c r="T352" s="493" t="s">
        <v>125</v>
      </c>
      <c r="U352" s="493" t="s">
        <v>126</v>
      </c>
      <c r="V352" s="493" t="s">
        <v>127</v>
      </c>
      <c r="W352" s="493" t="s">
        <v>128</v>
      </c>
      <c r="X352" s="493" t="s">
        <v>952</v>
      </c>
      <c r="Y352" s="493" t="s">
        <v>377</v>
      </c>
      <c r="Z352" s="493" t="s">
        <v>1995</v>
      </c>
      <c r="AA352" s="493" t="s">
        <v>130</v>
      </c>
      <c r="AB352" s="493" t="s">
        <v>377</v>
      </c>
      <c r="AC352" s="493" t="s">
        <v>131</v>
      </c>
      <c r="AD352" s="493" t="s">
        <v>2005</v>
      </c>
      <c r="AE352" s="493">
        <v>392500</v>
      </c>
      <c r="AF352" s="493">
        <v>39250</v>
      </c>
      <c r="AG352" s="493" t="s">
        <v>2048</v>
      </c>
      <c r="AH352" s="130">
        <f t="shared" si="76"/>
        <v>46175</v>
      </c>
      <c r="AI352" s="495"/>
      <c r="AJ352" s="439"/>
      <c r="AK352" s="121">
        <f t="shared" si="77"/>
        <v>431750.00000000006</v>
      </c>
      <c r="AL352" s="440" t="str">
        <f t="shared" ca="1" si="73"/>
        <v/>
      </c>
      <c r="AM352" s="440"/>
      <c r="AN352" s="440"/>
      <c r="AO352" s="440"/>
    </row>
    <row r="353" spans="1:41" ht="16.5" hidden="1" customHeight="1">
      <c r="A353" s="492" t="s">
        <v>1995</v>
      </c>
      <c r="B353" s="493" t="s">
        <v>2006</v>
      </c>
      <c r="C353" s="492" t="s">
        <v>1995</v>
      </c>
      <c r="D353" s="492" t="s">
        <v>1995</v>
      </c>
      <c r="E353" s="493" t="s">
        <v>116</v>
      </c>
      <c r="F353" s="493" t="s">
        <v>377</v>
      </c>
      <c r="G353" s="493" t="s">
        <v>117</v>
      </c>
      <c r="H353" s="493" t="s">
        <v>118</v>
      </c>
      <c r="I353" s="493" t="s">
        <v>119</v>
      </c>
      <c r="J353" s="493" t="s">
        <v>2007</v>
      </c>
      <c r="K353" s="493" t="s">
        <v>377</v>
      </c>
      <c r="L353" s="493" t="s">
        <v>2008</v>
      </c>
      <c r="M353" s="493" t="s">
        <v>2009</v>
      </c>
      <c r="N353" s="493" t="s">
        <v>2010</v>
      </c>
      <c r="O353" s="493">
        <v>985600</v>
      </c>
      <c r="P353" s="439">
        <v>896000</v>
      </c>
      <c r="Q353" s="493">
        <v>89600</v>
      </c>
      <c r="R353" s="493" t="s">
        <v>124</v>
      </c>
      <c r="S353" s="493" t="s">
        <v>382</v>
      </c>
      <c r="T353" s="493" t="s">
        <v>125</v>
      </c>
      <c r="U353" s="493" t="s">
        <v>126</v>
      </c>
      <c r="V353" s="493" t="s">
        <v>127</v>
      </c>
      <c r="W353" s="493" t="s">
        <v>128</v>
      </c>
      <c r="X353" s="493" t="s">
        <v>2011</v>
      </c>
      <c r="Y353" s="493" t="s">
        <v>377</v>
      </c>
      <c r="Z353" s="493" t="s">
        <v>1995</v>
      </c>
      <c r="AA353" s="493" t="s">
        <v>130</v>
      </c>
      <c r="AB353" s="493" t="s">
        <v>377</v>
      </c>
      <c r="AC353" s="493" t="s">
        <v>131</v>
      </c>
      <c r="AD353" s="493" t="s">
        <v>2012</v>
      </c>
      <c r="AE353" s="493">
        <v>896000</v>
      </c>
      <c r="AF353" s="493">
        <v>89600</v>
      </c>
      <c r="AG353" s="493" t="s">
        <v>2049</v>
      </c>
      <c r="AH353" s="130">
        <f t="shared" si="76"/>
        <v>46175</v>
      </c>
      <c r="AI353" s="495">
        <v>46141</v>
      </c>
      <c r="AJ353" s="439">
        <f>P353*1.1</f>
        <v>985600.00000000012</v>
      </c>
      <c r="AK353" s="121">
        <f t="shared" si="77"/>
        <v>0</v>
      </c>
      <c r="AL353" s="440" t="str">
        <f t="shared" ca="1" si="73"/>
        <v/>
      </c>
      <c r="AM353" s="440"/>
      <c r="AN353" s="440"/>
      <c r="AO353" s="440"/>
    </row>
    <row r="354" spans="1:41" ht="16.5" hidden="1" customHeight="1">
      <c r="A354" s="492" t="s">
        <v>1995</v>
      </c>
      <c r="B354" s="493" t="s">
        <v>2013</v>
      </c>
      <c r="C354" s="492" t="s">
        <v>1995</v>
      </c>
      <c r="D354" s="492" t="s">
        <v>1995</v>
      </c>
      <c r="E354" s="493" t="s">
        <v>116</v>
      </c>
      <c r="F354" s="493" t="s">
        <v>377</v>
      </c>
      <c r="G354" s="493" t="s">
        <v>117</v>
      </c>
      <c r="H354" s="493" t="s">
        <v>118</v>
      </c>
      <c r="I354" s="493" t="s">
        <v>119</v>
      </c>
      <c r="J354" s="493" t="s">
        <v>1433</v>
      </c>
      <c r="K354" s="493" t="s">
        <v>377</v>
      </c>
      <c r="L354" s="493" t="s">
        <v>1434</v>
      </c>
      <c r="M354" s="493" t="s">
        <v>1435</v>
      </c>
      <c r="N354" s="493" t="s">
        <v>1436</v>
      </c>
      <c r="O354" s="493">
        <v>7221500</v>
      </c>
      <c r="P354" s="439">
        <v>6565000</v>
      </c>
      <c r="Q354" s="493">
        <v>656500</v>
      </c>
      <c r="R354" s="493" t="s">
        <v>124</v>
      </c>
      <c r="S354" s="493" t="s">
        <v>382</v>
      </c>
      <c r="T354" s="493" t="s">
        <v>125</v>
      </c>
      <c r="U354" s="493" t="s">
        <v>126</v>
      </c>
      <c r="V354" s="493" t="s">
        <v>127</v>
      </c>
      <c r="W354" s="493" t="s">
        <v>128</v>
      </c>
      <c r="X354" s="493" t="s">
        <v>1437</v>
      </c>
      <c r="Y354" s="493" t="s">
        <v>377</v>
      </c>
      <c r="Z354" s="493" t="s">
        <v>1995</v>
      </c>
      <c r="AA354" s="493" t="s">
        <v>130</v>
      </c>
      <c r="AB354" s="493" t="s">
        <v>377</v>
      </c>
      <c r="AC354" s="493" t="s">
        <v>131</v>
      </c>
      <c r="AD354" s="493" t="s">
        <v>2014</v>
      </c>
      <c r="AE354" s="493">
        <v>6565000</v>
      </c>
      <c r="AF354" s="493">
        <v>656500</v>
      </c>
      <c r="AG354" s="493" t="s">
        <v>1513</v>
      </c>
      <c r="AH354" s="130">
        <f t="shared" si="76"/>
        <v>46175</v>
      </c>
      <c r="AI354" s="495">
        <v>46157</v>
      </c>
      <c r="AJ354" s="439">
        <f>P354*1.1</f>
        <v>7221500.0000000009</v>
      </c>
      <c r="AK354" s="121">
        <f t="shared" si="77"/>
        <v>0</v>
      </c>
      <c r="AL354" s="440" t="str">
        <f t="shared" ca="1" si="73"/>
        <v/>
      </c>
      <c r="AM354" s="440"/>
      <c r="AN354" s="440"/>
      <c r="AO354" s="440"/>
    </row>
    <row r="355" spans="1:41" ht="16.5" hidden="1" customHeight="1">
      <c r="A355" s="492" t="s">
        <v>1995</v>
      </c>
      <c r="B355" s="493" t="s">
        <v>2015</v>
      </c>
      <c r="C355" s="492" t="s">
        <v>1995</v>
      </c>
      <c r="D355" s="492" t="s">
        <v>1995</v>
      </c>
      <c r="E355" s="493" t="s">
        <v>116</v>
      </c>
      <c r="F355" s="493" t="s">
        <v>377</v>
      </c>
      <c r="G355" s="493" t="s">
        <v>117</v>
      </c>
      <c r="H355" s="493" t="s">
        <v>118</v>
      </c>
      <c r="I355" s="493" t="s">
        <v>119</v>
      </c>
      <c r="J355" s="493" t="s">
        <v>510</v>
      </c>
      <c r="K355" s="493" t="s">
        <v>377</v>
      </c>
      <c r="L355" s="493" t="s">
        <v>511</v>
      </c>
      <c r="M355" s="493" t="s">
        <v>512</v>
      </c>
      <c r="N355" s="493" t="s">
        <v>513</v>
      </c>
      <c r="O355" s="493">
        <v>643500</v>
      </c>
      <c r="P355" s="439">
        <v>585000</v>
      </c>
      <c r="Q355" s="493">
        <v>58500</v>
      </c>
      <c r="R355" s="493" t="s">
        <v>124</v>
      </c>
      <c r="S355" s="493" t="s">
        <v>382</v>
      </c>
      <c r="T355" s="493" t="s">
        <v>125</v>
      </c>
      <c r="U355" s="493" t="s">
        <v>126</v>
      </c>
      <c r="V355" s="493" t="s">
        <v>127</v>
      </c>
      <c r="W355" s="493" t="s">
        <v>128</v>
      </c>
      <c r="X355" s="493" t="s">
        <v>514</v>
      </c>
      <c r="Y355" s="493" t="s">
        <v>377</v>
      </c>
      <c r="Z355" s="493" t="s">
        <v>1995</v>
      </c>
      <c r="AA355" s="493" t="s">
        <v>130</v>
      </c>
      <c r="AB355" s="493" t="s">
        <v>377</v>
      </c>
      <c r="AC355" s="493" t="s">
        <v>131</v>
      </c>
      <c r="AD355" s="493" t="s">
        <v>1100</v>
      </c>
      <c r="AE355" s="493">
        <v>585000</v>
      </c>
      <c r="AF355" s="493">
        <v>58500</v>
      </c>
      <c r="AG355" s="493" t="s">
        <v>1527</v>
      </c>
      <c r="AH355" s="130">
        <f t="shared" si="76"/>
        <v>46175</v>
      </c>
      <c r="AI355" s="495"/>
      <c r="AJ355" s="439"/>
      <c r="AK355" s="121">
        <f t="shared" si="77"/>
        <v>643500</v>
      </c>
      <c r="AL355" s="440" t="str">
        <f t="shared" ca="1" si="73"/>
        <v/>
      </c>
      <c r="AM355" s="440"/>
      <c r="AN355" s="440"/>
      <c r="AO355" s="440"/>
    </row>
    <row r="356" spans="1:41" ht="16.5" hidden="1" customHeight="1">
      <c r="A356" s="492" t="s">
        <v>1995</v>
      </c>
      <c r="B356" s="493" t="s">
        <v>2016</v>
      </c>
      <c r="C356" s="492" t="s">
        <v>1995</v>
      </c>
      <c r="D356" s="492" t="s">
        <v>1995</v>
      </c>
      <c r="E356" s="493" t="s">
        <v>116</v>
      </c>
      <c r="F356" s="493" t="s">
        <v>377</v>
      </c>
      <c r="G356" s="493" t="s">
        <v>117</v>
      </c>
      <c r="H356" s="493" t="s">
        <v>118</v>
      </c>
      <c r="I356" s="493" t="s">
        <v>119</v>
      </c>
      <c r="J356" s="493" t="s">
        <v>797</v>
      </c>
      <c r="K356" s="493" t="s">
        <v>377</v>
      </c>
      <c r="L356" s="493" t="s">
        <v>798</v>
      </c>
      <c r="M356" s="493" t="s">
        <v>799</v>
      </c>
      <c r="N356" s="493" t="s">
        <v>800</v>
      </c>
      <c r="O356" s="493">
        <v>11811250</v>
      </c>
      <c r="P356" s="439">
        <v>10737500</v>
      </c>
      <c r="Q356" s="493">
        <v>1073750</v>
      </c>
      <c r="R356" s="493" t="s">
        <v>124</v>
      </c>
      <c r="S356" s="493" t="s">
        <v>382</v>
      </c>
      <c r="T356" s="493" t="s">
        <v>125</v>
      </c>
      <c r="U356" s="493" t="s">
        <v>126</v>
      </c>
      <c r="V356" s="493" t="s">
        <v>127</v>
      </c>
      <c r="W356" s="493" t="s">
        <v>128</v>
      </c>
      <c r="X356" s="493" t="s">
        <v>801</v>
      </c>
      <c r="Y356" s="493" t="s">
        <v>377</v>
      </c>
      <c r="Z356" s="493" t="s">
        <v>1995</v>
      </c>
      <c r="AA356" s="493" t="s">
        <v>130</v>
      </c>
      <c r="AB356" s="493" t="s">
        <v>377</v>
      </c>
      <c r="AC356" s="493" t="s">
        <v>131</v>
      </c>
      <c r="AD356" s="493" t="s">
        <v>2017</v>
      </c>
      <c r="AE356" s="493">
        <v>10737500</v>
      </c>
      <c r="AF356" s="493">
        <v>1073750</v>
      </c>
      <c r="AG356" s="493" t="s">
        <v>1637</v>
      </c>
      <c r="AH356" s="130">
        <f t="shared" si="76"/>
        <v>46175</v>
      </c>
      <c r="AI356" s="495">
        <v>46171</v>
      </c>
      <c r="AJ356" s="439">
        <f>P356*1.1</f>
        <v>11811250.000000002</v>
      </c>
      <c r="AK356" s="121">
        <f t="shared" si="77"/>
        <v>0</v>
      </c>
      <c r="AL356" s="440" t="str">
        <f t="shared" ca="1" si="73"/>
        <v/>
      </c>
      <c r="AM356" s="440"/>
      <c r="AN356" s="440"/>
      <c r="AO356" s="440"/>
    </row>
    <row r="357" spans="1:41" ht="16.5" hidden="1" customHeight="1">
      <c r="A357" s="492" t="s">
        <v>1995</v>
      </c>
      <c r="B357" s="493" t="s">
        <v>2018</v>
      </c>
      <c r="C357" s="492" t="s">
        <v>1995</v>
      </c>
      <c r="D357" s="492" t="s">
        <v>1995</v>
      </c>
      <c r="E357" s="493" t="s">
        <v>116</v>
      </c>
      <c r="F357" s="493" t="s">
        <v>377</v>
      </c>
      <c r="G357" s="493" t="s">
        <v>117</v>
      </c>
      <c r="H357" s="493" t="s">
        <v>118</v>
      </c>
      <c r="I357" s="493" t="s">
        <v>119</v>
      </c>
      <c r="J357" s="493" t="s">
        <v>734</v>
      </c>
      <c r="K357" s="493" t="s">
        <v>377</v>
      </c>
      <c r="L357" s="493" t="s">
        <v>735</v>
      </c>
      <c r="M357" s="493" t="s">
        <v>736</v>
      </c>
      <c r="N357" s="493" t="s">
        <v>737</v>
      </c>
      <c r="O357" s="493">
        <v>18304000</v>
      </c>
      <c r="P357" s="439">
        <v>16640000</v>
      </c>
      <c r="Q357" s="493">
        <v>1664000</v>
      </c>
      <c r="R357" s="493" t="s">
        <v>124</v>
      </c>
      <c r="S357" s="493" t="s">
        <v>382</v>
      </c>
      <c r="T357" s="493" t="s">
        <v>125</v>
      </c>
      <c r="U357" s="493" t="s">
        <v>126</v>
      </c>
      <c r="V357" s="493" t="s">
        <v>127</v>
      </c>
      <c r="W357" s="493" t="s">
        <v>128</v>
      </c>
      <c r="X357" s="493" t="s">
        <v>738</v>
      </c>
      <c r="Y357" s="493" t="s">
        <v>377</v>
      </c>
      <c r="Z357" s="493" t="s">
        <v>1995</v>
      </c>
      <c r="AA357" s="493" t="s">
        <v>130</v>
      </c>
      <c r="AB357" s="493" t="s">
        <v>377</v>
      </c>
      <c r="AC357" s="493" t="s">
        <v>131</v>
      </c>
      <c r="AD357" s="493" t="s">
        <v>2019</v>
      </c>
      <c r="AE357" s="493">
        <v>16640000</v>
      </c>
      <c r="AF357" s="493">
        <v>1664000</v>
      </c>
      <c r="AG357" s="493" t="s">
        <v>1554</v>
      </c>
      <c r="AH357" s="130">
        <f t="shared" si="76"/>
        <v>46175</v>
      </c>
      <c r="AI357" s="495"/>
      <c r="AJ357" s="439"/>
      <c r="AK357" s="121">
        <f t="shared" si="77"/>
        <v>18304000</v>
      </c>
      <c r="AL357" s="440" t="str">
        <f t="shared" ca="1" si="73"/>
        <v/>
      </c>
      <c r="AM357" s="440"/>
      <c r="AN357" s="440"/>
      <c r="AO357" s="440"/>
    </row>
    <row r="358" spans="1:41" ht="16.5" hidden="1" customHeight="1">
      <c r="A358" s="492" t="s">
        <v>1995</v>
      </c>
      <c r="B358" s="493" t="s">
        <v>2020</v>
      </c>
      <c r="C358" s="492" t="s">
        <v>1995</v>
      </c>
      <c r="D358" s="492" t="s">
        <v>1995</v>
      </c>
      <c r="E358" s="493" t="s">
        <v>116</v>
      </c>
      <c r="F358" s="493" t="s">
        <v>377</v>
      </c>
      <c r="G358" s="493" t="s">
        <v>117</v>
      </c>
      <c r="H358" s="493" t="s">
        <v>118</v>
      </c>
      <c r="I358" s="493" t="s">
        <v>119</v>
      </c>
      <c r="J358" s="493" t="s">
        <v>1229</v>
      </c>
      <c r="K358" s="493" t="s">
        <v>377</v>
      </c>
      <c r="L358" s="493" t="s">
        <v>85</v>
      </c>
      <c r="M358" s="493" t="s">
        <v>1230</v>
      </c>
      <c r="N358" s="493" t="s">
        <v>1231</v>
      </c>
      <c r="O358" s="493">
        <v>151030</v>
      </c>
      <c r="P358" s="439">
        <v>137300</v>
      </c>
      <c r="Q358" s="493">
        <v>13730</v>
      </c>
      <c r="R358" s="493" t="s">
        <v>124</v>
      </c>
      <c r="S358" s="493" t="s">
        <v>382</v>
      </c>
      <c r="T358" s="493" t="s">
        <v>125</v>
      </c>
      <c r="U358" s="493" t="s">
        <v>126</v>
      </c>
      <c r="V358" s="493" t="s">
        <v>127</v>
      </c>
      <c r="W358" s="493" t="s">
        <v>128</v>
      </c>
      <c r="X358" s="493" t="s">
        <v>1232</v>
      </c>
      <c r="Y358" s="493" t="s">
        <v>377</v>
      </c>
      <c r="Z358" s="493" t="s">
        <v>1995</v>
      </c>
      <c r="AA358" s="493" t="s">
        <v>130</v>
      </c>
      <c r="AB358" s="493" t="s">
        <v>377</v>
      </c>
      <c r="AC358" s="493" t="s">
        <v>131</v>
      </c>
      <c r="AD358" s="493" t="s">
        <v>2021</v>
      </c>
      <c r="AE358" s="493">
        <v>137300</v>
      </c>
      <c r="AF358" s="493">
        <v>13730</v>
      </c>
      <c r="AG358" s="493" t="s">
        <v>2022</v>
      </c>
      <c r="AH358" s="130">
        <f t="shared" si="76"/>
        <v>46175</v>
      </c>
      <c r="AI358" s="495">
        <v>46157</v>
      </c>
      <c r="AJ358" s="439">
        <f>P358*1.1</f>
        <v>151030</v>
      </c>
      <c r="AK358" s="121">
        <f t="shared" si="77"/>
        <v>0</v>
      </c>
      <c r="AL358" s="440" t="str">
        <f t="shared" ca="1" si="73"/>
        <v/>
      </c>
      <c r="AM358" s="440"/>
      <c r="AN358" s="440"/>
      <c r="AO358" s="440"/>
    </row>
    <row r="359" spans="1:41" ht="16.5" hidden="1" customHeight="1">
      <c r="A359" s="492" t="s">
        <v>1995</v>
      </c>
      <c r="B359" s="493" t="s">
        <v>2023</v>
      </c>
      <c r="C359" s="492" t="s">
        <v>1995</v>
      </c>
      <c r="D359" s="492" t="s">
        <v>1995</v>
      </c>
      <c r="E359" s="493" t="s">
        <v>116</v>
      </c>
      <c r="F359" s="493" t="s">
        <v>377</v>
      </c>
      <c r="G359" s="493" t="s">
        <v>117</v>
      </c>
      <c r="H359" s="493" t="s">
        <v>118</v>
      </c>
      <c r="I359" s="493" t="s">
        <v>119</v>
      </c>
      <c r="J359" s="493" t="s">
        <v>1681</v>
      </c>
      <c r="K359" s="493" t="s">
        <v>377</v>
      </c>
      <c r="L359" s="493" t="s">
        <v>1682</v>
      </c>
      <c r="M359" s="493" t="s">
        <v>1683</v>
      </c>
      <c r="N359" s="493" t="s">
        <v>1684</v>
      </c>
      <c r="O359" s="493">
        <v>1276110</v>
      </c>
      <c r="P359" s="439">
        <v>1160100</v>
      </c>
      <c r="Q359" s="493">
        <v>116010</v>
      </c>
      <c r="R359" s="493" t="s">
        <v>124</v>
      </c>
      <c r="S359" s="493" t="s">
        <v>382</v>
      </c>
      <c r="T359" s="493" t="s">
        <v>125</v>
      </c>
      <c r="U359" s="493" t="s">
        <v>126</v>
      </c>
      <c r="V359" s="493" t="s">
        <v>127</v>
      </c>
      <c r="W359" s="493" t="s">
        <v>128</v>
      </c>
      <c r="X359" s="493" t="s">
        <v>1685</v>
      </c>
      <c r="Y359" s="493" t="s">
        <v>377</v>
      </c>
      <c r="Z359" s="493" t="s">
        <v>1995</v>
      </c>
      <c r="AA359" s="493" t="s">
        <v>130</v>
      </c>
      <c r="AB359" s="493" t="s">
        <v>377</v>
      </c>
      <c r="AC359" s="493" t="s">
        <v>131</v>
      </c>
      <c r="AD359" s="493" t="s">
        <v>2024</v>
      </c>
      <c r="AE359" s="493">
        <v>1160100</v>
      </c>
      <c r="AF359" s="493">
        <v>116010</v>
      </c>
      <c r="AG359" s="493" t="s">
        <v>1286</v>
      </c>
      <c r="AH359" s="130">
        <f t="shared" si="76"/>
        <v>46175</v>
      </c>
      <c r="AI359" s="495">
        <v>46136</v>
      </c>
      <c r="AJ359" s="439">
        <f>P359*1.1</f>
        <v>1276110</v>
      </c>
      <c r="AK359" s="121">
        <f t="shared" si="77"/>
        <v>0</v>
      </c>
      <c r="AL359" s="440" t="str">
        <f t="shared" ca="1" si="73"/>
        <v/>
      </c>
      <c r="AM359" s="440"/>
      <c r="AN359" s="440"/>
      <c r="AO359" s="440"/>
    </row>
    <row r="360" spans="1:41" ht="16.5" hidden="1" customHeight="1">
      <c r="A360" s="492" t="s">
        <v>1995</v>
      </c>
      <c r="B360" s="493" t="s">
        <v>2025</v>
      </c>
      <c r="C360" s="492" t="s">
        <v>1995</v>
      </c>
      <c r="D360" s="492" t="s">
        <v>1995</v>
      </c>
      <c r="E360" s="493" t="s">
        <v>116</v>
      </c>
      <c r="F360" s="493" t="s">
        <v>377</v>
      </c>
      <c r="G360" s="493" t="s">
        <v>117</v>
      </c>
      <c r="H360" s="493" t="s">
        <v>118</v>
      </c>
      <c r="I360" s="493" t="s">
        <v>119</v>
      </c>
      <c r="J360" s="493" t="s">
        <v>703</v>
      </c>
      <c r="K360" s="493" t="s">
        <v>377</v>
      </c>
      <c r="L360" s="493" t="s">
        <v>704</v>
      </c>
      <c r="M360" s="493" t="s">
        <v>705</v>
      </c>
      <c r="N360" s="493" t="s">
        <v>706</v>
      </c>
      <c r="O360" s="493">
        <v>550000</v>
      </c>
      <c r="P360" s="439">
        <v>500000</v>
      </c>
      <c r="Q360" s="493">
        <v>50000</v>
      </c>
      <c r="R360" s="493" t="s">
        <v>124</v>
      </c>
      <c r="S360" s="493" t="s">
        <v>382</v>
      </c>
      <c r="T360" s="493" t="s">
        <v>125</v>
      </c>
      <c r="U360" s="493" t="s">
        <v>126</v>
      </c>
      <c r="V360" s="493" t="s">
        <v>127</v>
      </c>
      <c r="W360" s="493" t="s">
        <v>128</v>
      </c>
      <c r="X360" s="493" t="s">
        <v>707</v>
      </c>
      <c r="Y360" s="493" t="s">
        <v>377</v>
      </c>
      <c r="Z360" s="493" t="s">
        <v>1995</v>
      </c>
      <c r="AA360" s="493" t="s">
        <v>130</v>
      </c>
      <c r="AB360" s="493" t="s">
        <v>377</v>
      </c>
      <c r="AC360" s="493" t="s">
        <v>131</v>
      </c>
      <c r="AD360" s="493" t="s">
        <v>2026</v>
      </c>
      <c r="AE360" s="493">
        <v>500000</v>
      </c>
      <c r="AF360" s="493">
        <v>50000</v>
      </c>
      <c r="AG360" s="493" t="s">
        <v>2027</v>
      </c>
      <c r="AH360" s="130">
        <f t="shared" si="76"/>
        <v>46175</v>
      </c>
      <c r="AI360" s="495"/>
      <c r="AJ360" s="439"/>
      <c r="AK360" s="121">
        <f t="shared" si="77"/>
        <v>550000</v>
      </c>
      <c r="AL360" s="440" t="str">
        <f t="shared" ca="1" si="73"/>
        <v/>
      </c>
      <c r="AM360" s="440"/>
      <c r="AN360" s="440"/>
      <c r="AO360" s="440"/>
    </row>
    <row r="361" spans="1:41" ht="16.5" hidden="1" customHeight="1">
      <c r="A361" s="492" t="s">
        <v>1995</v>
      </c>
      <c r="B361" s="493" t="s">
        <v>2028</v>
      </c>
      <c r="C361" s="492" t="s">
        <v>1995</v>
      </c>
      <c r="D361" s="492" t="s">
        <v>1995</v>
      </c>
      <c r="E361" s="493" t="s">
        <v>116</v>
      </c>
      <c r="F361" s="493" t="s">
        <v>377</v>
      </c>
      <c r="G361" s="493" t="s">
        <v>117</v>
      </c>
      <c r="H361" s="493" t="s">
        <v>118</v>
      </c>
      <c r="I361" s="493" t="s">
        <v>119</v>
      </c>
      <c r="J361" s="493" t="s">
        <v>1270</v>
      </c>
      <c r="K361" s="493" t="s">
        <v>377</v>
      </c>
      <c r="L361" s="493" t="s">
        <v>1271</v>
      </c>
      <c r="M361" s="493" t="s">
        <v>1272</v>
      </c>
      <c r="N361" s="493" t="s">
        <v>1273</v>
      </c>
      <c r="O361" s="493">
        <v>1751200</v>
      </c>
      <c r="P361" s="439">
        <v>1592000</v>
      </c>
      <c r="Q361" s="493">
        <v>159200</v>
      </c>
      <c r="R361" s="493" t="s">
        <v>124</v>
      </c>
      <c r="S361" s="493" t="s">
        <v>382</v>
      </c>
      <c r="T361" s="493" t="s">
        <v>125</v>
      </c>
      <c r="U361" s="493" t="s">
        <v>126</v>
      </c>
      <c r="V361" s="493" t="s">
        <v>127</v>
      </c>
      <c r="W361" s="493" t="s">
        <v>128</v>
      </c>
      <c r="X361" s="493" t="s">
        <v>1274</v>
      </c>
      <c r="Y361" s="493" t="s">
        <v>377</v>
      </c>
      <c r="Z361" s="493" t="s">
        <v>1995</v>
      </c>
      <c r="AA361" s="493" t="s">
        <v>130</v>
      </c>
      <c r="AB361" s="493" t="s">
        <v>377</v>
      </c>
      <c r="AC361" s="493" t="s">
        <v>131</v>
      </c>
      <c r="AD361" s="493" t="s">
        <v>2029</v>
      </c>
      <c r="AE361" s="493">
        <v>1592000</v>
      </c>
      <c r="AF361" s="493">
        <v>159200</v>
      </c>
      <c r="AG361" s="493" t="s">
        <v>2030</v>
      </c>
      <c r="AH361" s="130">
        <f t="shared" si="76"/>
        <v>46175</v>
      </c>
      <c r="AI361" s="495">
        <v>46170</v>
      </c>
      <c r="AJ361" s="439">
        <f>P361*1.1</f>
        <v>1751200.0000000002</v>
      </c>
      <c r="AK361" s="121">
        <f t="shared" si="77"/>
        <v>0</v>
      </c>
      <c r="AL361" s="440" t="str">
        <f t="shared" ca="1" si="73"/>
        <v/>
      </c>
      <c r="AM361" s="440"/>
      <c r="AN361" s="440"/>
      <c r="AO361" s="440"/>
    </row>
    <row r="362" spans="1:41" ht="16.5" hidden="1" customHeight="1">
      <c r="A362" s="492" t="s">
        <v>1995</v>
      </c>
      <c r="B362" s="493" t="s">
        <v>2031</v>
      </c>
      <c r="C362" s="492" t="s">
        <v>1995</v>
      </c>
      <c r="D362" s="492" t="s">
        <v>1995</v>
      </c>
      <c r="E362" s="493" t="s">
        <v>116</v>
      </c>
      <c r="F362" s="493" t="s">
        <v>377</v>
      </c>
      <c r="G362" s="493" t="s">
        <v>117</v>
      </c>
      <c r="H362" s="493" t="s">
        <v>118</v>
      </c>
      <c r="I362" s="493" t="s">
        <v>119</v>
      </c>
      <c r="J362" s="493" t="s">
        <v>454</v>
      </c>
      <c r="K362" s="493" t="s">
        <v>377</v>
      </c>
      <c r="L362" s="493" t="s">
        <v>455</v>
      </c>
      <c r="M362" s="493" t="s">
        <v>456</v>
      </c>
      <c r="N362" s="493" t="s">
        <v>457</v>
      </c>
      <c r="O362" s="493">
        <v>8449650</v>
      </c>
      <c r="P362" s="439">
        <v>7681500</v>
      </c>
      <c r="Q362" s="493">
        <v>768150</v>
      </c>
      <c r="R362" s="493" t="s">
        <v>124</v>
      </c>
      <c r="S362" s="493" t="s">
        <v>382</v>
      </c>
      <c r="T362" s="493" t="s">
        <v>125</v>
      </c>
      <c r="U362" s="493" t="s">
        <v>126</v>
      </c>
      <c r="V362" s="493" t="s">
        <v>127</v>
      </c>
      <c r="W362" s="493" t="s">
        <v>128</v>
      </c>
      <c r="X362" s="493" t="s">
        <v>458</v>
      </c>
      <c r="Y362" s="493" t="s">
        <v>377</v>
      </c>
      <c r="Z362" s="493" t="s">
        <v>1995</v>
      </c>
      <c r="AA362" s="493" t="s">
        <v>130</v>
      </c>
      <c r="AB362" s="493" t="s">
        <v>377</v>
      </c>
      <c r="AC362" s="493" t="s">
        <v>131</v>
      </c>
      <c r="AD362" s="493" t="s">
        <v>2032</v>
      </c>
      <c r="AE362" s="493">
        <v>7681500</v>
      </c>
      <c r="AF362" s="493">
        <v>768150</v>
      </c>
      <c r="AG362" s="493" t="s">
        <v>2033</v>
      </c>
      <c r="AH362" s="130">
        <f t="shared" si="76"/>
        <v>46175</v>
      </c>
      <c r="AI362" s="495">
        <v>46157</v>
      </c>
      <c r="AJ362" s="439">
        <f t="shared" ref="AJ362" si="79">P362*1.1</f>
        <v>8449650</v>
      </c>
      <c r="AK362" s="121">
        <f t="shared" si="77"/>
        <v>0</v>
      </c>
      <c r="AL362" s="440" t="str">
        <f t="shared" ca="1" si="73"/>
        <v/>
      </c>
      <c r="AM362" s="440"/>
      <c r="AN362" s="440"/>
      <c r="AO362" s="440"/>
    </row>
    <row r="363" spans="1:41" ht="16.5" hidden="1" customHeight="1">
      <c r="A363" s="492" t="s">
        <v>1995</v>
      </c>
      <c r="B363" s="493" t="s">
        <v>2034</v>
      </c>
      <c r="C363" s="492" t="s">
        <v>1995</v>
      </c>
      <c r="D363" s="492" t="s">
        <v>1995</v>
      </c>
      <c r="E363" s="493" t="s">
        <v>116</v>
      </c>
      <c r="F363" s="493" t="s">
        <v>377</v>
      </c>
      <c r="G363" s="493" t="s">
        <v>117</v>
      </c>
      <c r="H363" s="493" t="s">
        <v>118</v>
      </c>
      <c r="I363" s="493" t="s">
        <v>119</v>
      </c>
      <c r="J363" s="493" t="s">
        <v>628</v>
      </c>
      <c r="K363" s="493" t="s">
        <v>377</v>
      </c>
      <c r="L363" s="493" t="s">
        <v>629</v>
      </c>
      <c r="M363" s="493" t="s">
        <v>630</v>
      </c>
      <c r="N363" s="493" t="s">
        <v>631</v>
      </c>
      <c r="O363" s="493">
        <v>3956700</v>
      </c>
      <c r="P363" s="439">
        <v>3597000</v>
      </c>
      <c r="Q363" s="493">
        <v>359700</v>
      </c>
      <c r="R363" s="493" t="s">
        <v>124</v>
      </c>
      <c r="S363" s="493" t="s">
        <v>382</v>
      </c>
      <c r="T363" s="493" t="s">
        <v>125</v>
      </c>
      <c r="U363" s="493" t="s">
        <v>126</v>
      </c>
      <c r="V363" s="493" t="s">
        <v>127</v>
      </c>
      <c r="W363" s="493" t="s">
        <v>128</v>
      </c>
      <c r="X363" s="493" t="s">
        <v>632</v>
      </c>
      <c r="Y363" s="493" t="s">
        <v>377</v>
      </c>
      <c r="Z363" s="493" t="s">
        <v>1995</v>
      </c>
      <c r="AA363" s="493" t="s">
        <v>130</v>
      </c>
      <c r="AB363" s="493" t="s">
        <v>377</v>
      </c>
      <c r="AC363" s="493" t="s">
        <v>131</v>
      </c>
      <c r="AD363" s="493" t="s">
        <v>2035</v>
      </c>
      <c r="AE363" s="493">
        <v>3597000</v>
      </c>
      <c r="AF363" s="493">
        <v>359700</v>
      </c>
      <c r="AG363" s="493" t="s">
        <v>2036</v>
      </c>
      <c r="AH363" s="130">
        <f t="shared" si="76"/>
        <v>46175</v>
      </c>
      <c r="AI363" s="495"/>
      <c r="AJ363" s="439"/>
      <c r="AK363" s="121">
        <f t="shared" si="77"/>
        <v>3956700.0000000005</v>
      </c>
      <c r="AL363" s="440" t="str">
        <f t="shared" ca="1" si="73"/>
        <v/>
      </c>
      <c r="AM363" s="440"/>
      <c r="AN363" s="440"/>
      <c r="AO363" s="440"/>
    </row>
    <row r="364" spans="1:41" ht="16.5" hidden="1" customHeight="1">
      <c r="A364" s="492" t="s">
        <v>1995</v>
      </c>
      <c r="B364" s="493" t="s">
        <v>2037</v>
      </c>
      <c r="C364" s="492" t="s">
        <v>1995</v>
      </c>
      <c r="D364" s="492" t="s">
        <v>1995</v>
      </c>
      <c r="E364" s="493" t="s">
        <v>116</v>
      </c>
      <c r="F364" s="493" t="s">
        <v>377</v>
      </c>
      <c r="G364" s="493" t="s">
        <v>117</v>
      </c>
      <c r="H364" s="493" t="s">
        <v>118</v>
      </c>
      <c r="I364" s="493" t="s">
        <v>119</v>
      </c>
      <c r="J364" s="493" t="s">
        <v>510</v>
      </c>
      <c r="K364" s="493" t="s">
        <v>377</v>
      </c>
      <c r="L364" s="493" t="s">
        <v>511</v>
      </c>
      <c r="M364" s="493" t="s">
        <v>512</v>
      </c>
      <c r="N364" s="493" t="s">
        <v>513</v>
      </c>
      <c r="O364" s="493">
        <v>1666500</v>
      </c>
      <c r="P364" s="439">
        <v>1515000</v>
      </c>
      <c r="Q364" s="493">
        <v>151500</v>
      </c>
      <c r="R364" s="493" t="s">
        <v>124</v>
      </c>
      <c r="S364" s="493" t="s">
        <v>382</v>
      </c>
      <c r="T364" s="493" t="s">
        <v>125</v>
      </c>
      <c r="U364" s="493" t="s">
        <v>126</v>
      </c>
      <c r="V364" s="493" t="s">
        <v>127</v>
      </c>
      <c r="W364" s="493" t="s">
        <v>128</v>
      </c>
      <c r="X364" s="493" t="s">
        <v>514</v>
      </c>
      <c r="Y364" s="493" t="s">
        <v>377</v>
      </c>
      <c r="Z364" s="493" t="s">
        <v>1995</v>
      </c>
      <c r="AA364" s="493" t="s">
        <v>130</v>
      </c>
      <c r="AB364" s="493" t="s">
        <v>377</v>
      </c>
      <c r="AC364" s="493" t="s">
        <v>131</v>
      </c>
      <c r="AD364" s="493" t="s">
        <v>2038</v>
      </c>
      <c r="AE364" s="493">
        <v>1515000</v>
      </c>
      <c r="AF364" s="493">
        <v>151500</v>
      </c>
      <c r="AG364" s="493" t="s">
        <v>2039</v>
      </c>
      <c r="AH364" s="130">
        <f t="shared" si="76"/>
        <v>46175</v>
      </c>
      <c r="AI364" s="495"/>
      <c r="AJ364" s="439"/>
      <c r="AK364" s="121">
        <f t="shared" si="77"/>
        <v>1666500.0000000002</v>
      </c>
      <c r="AL364" s="440" t="str">
        <f t="shared" ca="1" si="73"/>
        <v/>
      </c>
      <c r="AM364" s="440"/>
      <c r="AN364" s="440"/>
      <c r="AO364" s="440"/>
    </row>
    <row r="365" spans="1:41" ht="16.5" hidden="1" customHeight="1">
      <c r="A365" s="492" t="s">
        <v>1995</v>
      </c>
      <c r="B365" s="493" t="s">
        <v>2040</v>
      </c>
      <c r="C365" s="492" t="s">
        <v>1995</v>
      </c>
      <c r="D365" s="492" t="s">
        <v>1995</v>
      </c>
      <c r="E365" s="493" t="s">
        <v>116</v>
      </c>
      <c r="F365" s="493" t="s">
        <v>377</v>
      </c>
      <c r="G365" s="493" t="s">
        <v>117</v>
      </c>
      <c r="H365" s="493" t="s">
        <v>118</v>
      </c>
      <c r="I365" s="493" t="s">
        <v>119</v>
      </c>
      <c r="J365" s="493" t="s">
        <v>1988</v>
      </c>
      <c r="K365" s="493" t="s">
        <v>377</v>
      </c>
      <c r="L365" s="493" t="s">
        <v>1989</v>
      </c>
      <c r="M365" s="493" t="s">
        <v>1990</v>
      </c>
      <c r="N365" s="493" t="s">
        <v>1991</v>
      </c>
      <c r="O365" s="493">
        <v>2334750</v>
      </c>
      <c r="P365" s="439">
        <v>2122500</v>
      </c>
      <c r="Q365" s="493">
        <v>212250</v>
      </c>
      <c r="R365" s="493" t="s">
        <v>124</v>
      </c>
      <c r="S365" s="493" t="s">
        <v>382</v>
      </c>
      <c r="T365" s="493" t="s">
        <v>125</v>
      </c>
      <c r="U365" s="493" t="s">
        <v>126</v>
      </c>
      <c r="V365" s="493" t="s">
        <v>127</v>
      </c>
      <c r="W365" s="493" t="s">
        <v>128</v>
      </c>
      <c r="X365" s="493" t="s">
        <v>1992</v>
      </c>
      <c r="Y365" s="493" t="s">
        <v>377</v>
      </c>
      <c r="Z365" s="493" t="s">
        <v>1995</v>
      </c>
      <c r="AA365" s="493" t="s">
        <v>130</v>
      </c>
      <c r="AB365" s="493" t="s">
        <v>377</v>
      </c>
      <c r="AC365" s="493" t="s">
        <v>131</v>
      </c>
      <c r="AD365" s="493" t="s">
        <v>2041</v>
      </c>
      <c r="AE365" s="493">
        <v>2122500</v>
      </c>
      <c r="AF365" s="493">
        <v>212250</v>
      </c>
      <c r="AG365" s="493" t="s">
        <v>1994</v>
      </c>
      <c r="AH365" s="130">
        <f t="shared" si="76"/>
        <v>46175</v>
      </c>
      <c r="AI365" s="495">
        <v>46142</v>
      </c>
      <c r="AJ365" s="439">
        <f>P365*1.1</f>
        <v>2334750</v>
      </c>
      <c r="AK365" s="121">
        <f t="shared" si="77"/>
        <v>0</v>
      </c>
      <c r="AL365" s="440" t="str">
        <f t="shared" ca="1" si="73"/>
        <v/>
      </c>
      <c r="AM365" s="440"/>
      <c r="AN365" s="440"/>
      <c r="AO365" s="440"/>
    </row>
    <row r="366" spans="1:41" ht="16.5" hidden="1" customHeight="1">
      <c r="A366" s="492" t="s">
        <v>1995</v>
      </c>
      <c r="B366" s="493" t="s">
        <v>2042</v>
      </c>
      <c r="C366" s="492" t="s">
        <v>1995</v>
      </c>
      <c r="D366" s="492" t="s">
        <v>1995</v>
      </c>
      <c r="E366" s="493" t="s">
        <v>116</v>
      </c>
      <c r="F366" s="493" t="s">
        <v>377</v>
      </c>
      <c r="G366" s="493" t="s">
        <v>117</v>
      </c>
      <c r="H366" s="493" t="s">
        <v>118</v>
      </c>
      <c r="I366" s="493" t="s">
        <v>119</v>
      </c>
      <c r="J366" s="493" t="s">
        <v>1847</v>
      </c>
      <c r="K366" s="493" t="s">
        <v>377</v>
      </c>
      <c r="L366" s="493" t="s">
        <v>1848</v>
      </c>
      <c r="M366" s="493" t="s">
        <v>1849</v>
      </c>
      <c r="N366" s="493" t="s">
        <v>1850</v>
      </c>
      <c r="O366" s="493">
        <v>4609000</v>
      </c>
      <c r="P366" s="439">
        <v>4190000</v>
      </c>
      <c r="Q366" s="493">
        <v>419000</v>
      </c>
      <c r="R366" s="493" t="s">
        <v>124</v>
      </c>
      <c r="S366" s="493" t="s">
        <v>382</v>
      </c>
      <c r="T366" s="493" t="s">
        <v>125</v>
      </c>
      <c r="U366" s="493" t="s">
        <v>126</v>
      </c>
      <c r="V366" s="493" t="s">
        <v>127</v>
      </c>
      <c r="W366" s="493" t="s">
        <v>128</v>
      </c>
      <c r="X366" s="493" t="s">
        <v>1851</v>
      </c>
      <c r="Y366" s="493" t="s">
        <v>377</v>
      </c>
      <c r="Z366" s="493" t="s">
        <v>1995</v>
      </c>
      <c r="AA366" s="493" t="s">
        <v>130</v>
      </c>
      <c r="AB366" s="493" t="s">
        <v>377</v>
      </c>
      <c r="AC366" s="493" t="s">
        <v>131</v>
      </c>
      <c r="AD366" s="493" t="s">
        <v>2043</v>
      </c>
      <c r="AE366" s="493">
        <v>4190000</v>
      </c>
      <c r="AF366" s="493">
        <v>419000</v>
      </c>
      <c r="AG366" s="493" t="s">
        <v>2050</v>
      </c>
      <c r="AH366" s="130">
        <f t="shared" si="76"/>
        <v>46175</v>
      </c>
      <c r="AI366" s="495"/>
      <c r="AJ366" s="439"/>
      <c r="AK366" s="121">
        <f t="shared" si="77"/>
        <v>4609000</v>
      </c>
      <c r="AL366" s="440" t="str">
        <f t="shared" ca="1" si="73"/>
        <v/>
      </c>
      <c r="AM366" s="440"/>
      <c r="AN366" s="440"/>
      <c r="AO366" s="440"/>
    </row>
    <row r="367" spans="1:41" ht="16.5" hidden="1" customHeight="1">
      <c r="A367" s="492" t="s">
        <v>2051</v>
      </c>
      <c r="B367" s="493" t="s">
        <v>2052</v>
      </c>
      <c r="C367" s="492" t="s">
        <v>2051</v>
      </c>
      <c r="D367" s="492" t="s">
        <v>2051</v>
      </c>
      <c r="E367" s="493" t="s">
        <v>116</v>
      </c>
      <c r="F367" s="493" t="s">
        <v>377</v>
      </c>
      <c r="G367" s="493" t="s">
        <v>117</v>
      </c>
      <c r="H367" s="493" t="s">
        <v>118</v>
      </c>
      <c r="I367" s="493" t="s">
        <v>119</v>
      </c>
      <c r="J367" s="493" t="s">
        <v>949</v>
      </c>
      <c r="K367" s="493" t="s">
        <v>377</v>
      </c>
      <c r="L367" s="493" t="s">
        <v>86</v>
      </c>
      <c r="M367" s="493" t="s">
        <v>950</v>
      </c>
      <c r="N367" s="493" t="s">
        <v>951</v>
      </c>
      <c r="O367" s="493">
        <v>55605550</v>
      </c>
      <c r="P367" s="439">
        <v>50550500</v>
      </c>
      <c r="Q367" s="493">
        <v>5055050</v>
      </c>
      <c r="R367" s="493" t="s">
        <v>124</v>
      </c>
      <c r="S367" s="493" t="s">
        <v>382</v>
      </c>
      <c r="T367" s="493" t="s">
        <v>125</v>
      </c>
      <c r="U367" s="493" t="s">
        <v>126</v>
      </c>
      <c r="V367" s="493" t="s">
        <v>127</v>
      </c>
      <c r="W367" s="493" t="s">
        <v>128</v>
      </c>
      <c r="X367" s="493" t="s">
        <v>952</v>
      </c>
      <c r="Y367" s="493" t="s">
        <v>377</v>
      </c>
      <c r="Z367" s="493" t="s">
        <v>2051</v>
      </c>
      <c r="AA367" s="493" t="s">
        <v>130</v>
      </c>
      <c r="AB367" s="493" t="s">
        <v>377</v>
      </c>
      <c r="AC367" s="493" t="s">
        <v>131</v>
      </c>
      <c r="AD367" s="493" t="s">
        <v>2053</v>
      </c>
      <c r="AE367" s="493">
        <v>50550500</v>
      </c>
      <c r="AF367" s="493">
        <v>5055050</v>
      </c>
      <c r="AG367" s="493" t="s">
        <v>1771</v>
      </c>
      <c r="AH367" s="130">
        <f t="shared" si="76"/>
        <v>46176</v>
      </c>
      <c r="AI367" s="495"/>
      <c r="AJ367" s="439"/>
      <c r="AK367" s="121">
        <f t="shared" ref="AK367:AK376" si="80">(P367*1.1)-AJ367</f>
        <v>55605550.000000007</v>
      </c>
      <c r="AL367" s="440" t="str">
        <f t="shared" ca="1" si="73"/>
        <v/>
      </c>
      <c r="AM367" s="440"/>
      <c r="AN367" s="440"/>
      <c r="AO367" s="440"/>
    </row>
    <row r="368" spans="1:41" ht="16.5" hidden="1" customHeight="1">
      <c r="A368" s="492" t="s">
        <v>2051</v>
      </c>
      <c r="B368" s="493" t="s">
        <v>2054</v>
      </c>
      <c r="C368" s="492" t="s">
        <v>2051</v>
      </c>
      <c r="D368" s="492" t="s">
        <v>2051</v>
      </c>
      <c r="E368" s="493" t="s">
        <v>116</v>
      </c>
      <c r="F368" s="493" t="s">
        <v>377</v>
      </c>
      <c r="G368" s="493" t="s">
        <v>117</v>
      </c>
      <c r="H368" s="493" t="s">
        <v>118</v>
      </c>
      <c r="I368" s="493" t="s">
        <v>119</v>
      </c>
      <c r="J368" s="493" t="s">
        <v>2055</v>
      </c>
      <c r="K368" s="493" t="s">
        <v>377</v>
      </c>
      <c r="L368" s="493" t="s">
        <v>2056</v>
      </c>
      <c r="M368" s="493" t="s">
        <v>2057</v>
      </c>
      <c r="N368" s="493" t="s">
        <v>2058</v>
      </c>
      <c r="O368" s="493">
        <v>79200</v>
      </c>
      <c r="P368" s="439">
        <v>72000</v>
      </c>
      <c r="Q368" s="493">
        <v>7200</v>
      </c>
      <c r="R368" s="493" t="s">
        <v>124</v>
      </c>
      <c r="S368" s="493" t="s">
        <v>382</v>
      </c>
      <c r="T368" s="493" t="s">
        <v>125</v>
      </c>
      <c r="U368" s="493" t="s">
        <v>126</v>
      </c>
      <c r="V368" s="493" t="s">
        <v>127</v>
      </c>
      <c r="W368" s="493" t="s">
        <v>128</v>
      </c>
      <c r="X368" s="493" t="s">
        <v>2059</v>
      </c>
      <c r="Y368" s="493" t="s">
        <v>377</v>
      </c>
      <c r="Z368" s="493" t="s">
        <v>2051</v>
      </c>
      <c r="AA368" s="493" t="s">
        <v>130</v>
      </c>
      <c r="AB368" s="493" t="s">
        <v>377</v>
      </c>
      <c r="AC368" s="493" t="s">
        <v>131</v>
      </c>
      <c r="AD368" s="493" t="s">
        <v>2060</v>
      </c>
      <c r="AE368" s="493">
        <v>72000</v>
      </c>
      <c r="AF368" s="493">
        <v>7200</v>
      </c>
      <c r="AG368" s="493" t="s">
        <v>2087</v>
      </c>
      <c r="AH368" s="130">
        <f t="shared" si="76"/>
        <v>46176</v>
      </c>
      <c r="AI368" s="495">
        <v>46157</v>
      </c>
      <c r="AJ368" s="439">
        <f>P368*1.1</f>
        <v>79200</v>
      </c>
      <c r="AK368" s="121">
        <f t="shared" si="80"/>
        <v>0</v>
      </c>
      <c r="AL368" s="440" t="str">
        <f t="shared" ca="1" si="73"/>
        <v/>
      </c>
      <c r="AM368" s="440"/>
      <c r="AN368" s="440"/>
      <c r="AO368" s="440"/>
    </row>
    <row r="369" spans="1:41" ht="16.5" hidden="1" customHeight="1">
      <c r="A369" s="492" t="s">
        <v>2051</v>
      </c>
      <c r="B369" s="493" t="s">
        <v>2061</v>
      </c>
      <c r="C369" s="492" t="s">
        <v>2051</v>
      </c>
      <c r="D369" s="492" t="s">
        <v>2051</v>
      </c>
      <c r="E369" s="493" t="s">
        <v>116</v>
      </c>
      <c r="F369" s="493" t="s">
        <v>377</v>
      </c>
      <c r="G369" s="493" t="s">
        <v>117</v>
      </c>
      <c r="H369" s="493" t="s">
        <v>118</v>
      </c>
      <c r="I369" s="493" t="s">
        <v>119</v>
      </c>
      <c r="J369" s="493" t="s">
        <v>836</v>
      </c>
      <c r="K369" s="493" t="s">
        <v>377</v>
      </c>
      <c r="L369" s="493" t="s">
        <v>837</v>
      </c>
      <c r="M369" s="493" t="s">
        <v>838</v>
      </c>
      <c r="N369" s="493" t="s">
        <v>839</v>
      </c>
      <c r="O369" s="493">
        <v>227700</v>
      </c>
      <c r="P369" s="439">
        <v>207000</v>
      </c>
      <c r="Q369" s="493">
        <v>20700</v>
      </c>
      <c r="R369" s="493" t="s">
        <v>124</v>
      </c>
      <c r="S369" s="493" t="s">
        <v>382</v>
      </c>
      <c r="T369" s="493" t="s">
        <v>125</v>
      </c>
      <c r="U369" s="493" t="s">
        <v>126</v>
      </c>
      <c r="V369" s="493" t="s">
        <v>127</v>
      </c>
      <c r="W369" s="493" t="s">
        <v>128</v>
      </c>
      <c r="X369" s="493" t="s">
        <v>840</v>
      </c>
      <c r="Y369" s="493" t="s">
        <v>377</v>
      </c>
      <c r="Z369" s="493" t="s">
        <v>2051</v>
      </c>
      <c r="AA369" s="493" t="s">
        <v>130</v>
      </c>
      <c r="AB369" s="493" t="s">
        <v>377</v>
      </c>
      <c r="AC369" s="493" t="s">
        <v>131</v>
      </c>
      <c r="AD369" s="493" t="s">
        <v>2062</v>
      </c>
      <c r="AE369" s="493">
        <v>207000</v>
      </c>
      <c r="AF369" s="493">
        <v>20700</v>
      </c>
      <c r="AG369" s="493" t="s">
        <v>2091</v>
      </c>
      <c r="AH369" s="130">
        <f t="shared" si="76"/>
        <v>46176</v>
      </c>
      <c r="AI369" s="495">
        <v>46140</v>
      </c>
      <c r="AJ369" s="439">
        <f>P369*1.1</f>
        <v>227700.00000000003</v>
      </c>
      <c r="AK369" s="121">
        <f t="shared" si="80"/>
        <v>0</v>
      </c>
      <c r="AL369" s="440" t="str">
        <f t="shared" ca="1" si="73"/>
        <v/>
      </c>
      <c r="AM369" s="440"/>
      <c r="AN369" s="440"/>
      <c r="AO369" s="440"/>
    </row>
    <row r="370" spans="1:41" ht="16.5" hidden="1" customHeight="1">
      <c r="A370" s="492" t="s">
        <v>2051</v>
      </c>
      <c r="B370" s="493" t="s">
        <v>2063</v>
      </c>
      <c r="C370" s="492" t="s">
        <v>2051</v>
      </c>
      <c r="D370" s="492" t="s">
        <v>2051</v>
      </c>
      <c r="E370" s="493" t="s">
        <v>116</v>
      </c>
      <c r="F370" s="493" t="s">
        <v>377</v>
      </c>
      <c r="G370" s="493" t="s">
        <v>117</v>
      </c>
      <c r="H370" s="493" t="s">
        <v>118</v>
      </c>
      <c r="I370" s="493" t="s">
        <v>119</v>
      </c>
      <c r="J370" s="493" t="s">
        <v>602</v>
      </c>
      <c r="K370" s="493" t="s">
        <v>377</v>
      </c>
      <c r="L370" s="493" t="s">
        <v>603</v>
      </c>
      <c r="M370" s="493" t="s">
        <v>604</v>
      </c>
      <c r="N370" s="493" t="s">
        <v>605</v>
      </c>
      <c r="O370" s="493">
        <v>1445510</v>
      </c>
      <c r="P370" s="439">
        <v>1314100</v>
      </c>
      <c r="Q370" s="493">
        <v>131410</v>
      </c>
      <c r="R370" s="493" t="s">
        <v>124</v>
      </c>
      <c r="S370" s="493" t="s">
        <v>382</v>
      </c>
      <c r="T370" s="493" t="s">
        <v>125</v>
      </c>
      <c r="U370" s="493" t="s">
        <v>126</v>
      </c>
      <c r="V370" s="493" t="s">
        <v>127</v>
      </c>
      <c r="W370" s="493" t="s">
        <v>128</v>
      </c>
      <c r="X370" s="493" t="s">
        <v>606</v>
      </c>
      <c r="Y370" s="493" t="s">
        <v>377</v>
      </c>
      <c r="Z370" s="493" t="s">
        <v>2051</v>
      </c>
      <c r="AA370" s="493" t="s">
        <v>130</v>
      </c>
      <c r="AB370" s="493" t="s">
        <v>377</v>
      </c>
      <c r="AC370" s="493" t="s">
        <v>131</v>
      </c>
      <c r="AD370" s="493" t="s">
        <v>2064</v>
      </c>
      <c r="AE370" s="493">
        <v>1314100</v>
      </c>
      <c r="AF370" s="493">
        <v>131410</v>
      </c>
      <c r="AG370" s="493" t="s">
        <v>2088</v>
      </c>
      <c r="AH370" s="130">
        <f t="shared" si="76"/>
        <v>46176</v>
      </c>
      <c r="AI370" s="495">
        <v>46136</v>
      </c>
      <c r="AJ370" s="439">
        <f>P370*1.1</f>
        <v>1445510.0000000002</v>
      </c>
      <c r="AK370" s="121">
        <f t="shared" si="80"/>
        <v>0</v>
      </c>
      <c r="AL370" s="440" t="str">
        <f t="shared" ca="1" si="73"/>
        <v/>
      </c>
      <c r="AM370" s="440"/>
      <c r="AN370" s="440"/>
      <c r="AO370" s="440"/>
    </row>
    <row r="371" spans="1:41" ht="16.5" customHeight="1">
      <c r="A371" s="492" t="s">
        <v>2051</v>
      </c>
      <c r="B371" s="493" t="s">
        <v>2065</v>
      </c>
      <c r="C371" s="492" t="s">
        <v>2051</v>
      </c>
      <c r="D371" s="492" t="s">
        <v>2051</v>
      </c>
      <c r="E371" s="493" t="s">
        <v>116</v>
      </c>
      <c r="F371" s="493" t="s">
        <v>377</v>
      </c>
      <c r="G371" s="493" t="s">
        <v>117</v>
      </c>
      <c r="H371" s="493" t="s">
        <v>118</v>
      </c>
      <c r="I371" s="493" t="s">
        <v>119</v>
      </c>
      <c r="J371" s="493" t="s">
        <v>1722</v>
      </c>
      <c r="K371" s="493" t="s">
        <v>377</v>
      </c>
      <c r="L371" s="493" t="s">
        <v>1723</v>
      </c>
      <c r="M371" s="493" t="s">
        <v>1724</v>
      </c>
      <c r="N371" s="493" t="s">
        <v>1725</v>
      </c>
      <c r="O371" s="493">
        <v>1158850</v>
      </c>
      <c r="P371" s="439">
        <v>1053500</v>
      </c>
      <c r="Q371" s="493">
        <v>105350</v>
      </c>
      <c r="R371" s="493" t="s">
        <v>124</v>
      </c>
      <c r="S371" s="493" t="s">
        <v>382</v>
      </c>
      <c r="T371" s="493" t="s">
        <v>125</v>
      </c>
      <c r="U371" s="493" t="s">
        <v>126</v>
      </c>
      <c r="V371" s="493" t="s">
        <v>127</v>
      </c>
      <c r="W371" s="493" t="s">
        <v>128</v>
      </c>
      <c r="X371" s="493" t="s">
        <v>1726</v>
      </c>
      <c r="Y371" s="493" t="s">
        <v>377</v>
      </c>
      <c r="Z371" s="493" t="s">
        <v>2051</v>
      </c>
      <c r="AA371" s="493" t="s">
        <v>130</v>
      </c>
      <c r="AB371" s="493" t="s">
        <v>377</v>
      </c>
      <c r="AC371" s="493" t="s">
        <v>131</v>
      </c>
      <c r="AD371" s="493" t="s">
        <v>2066</v>
      </c>
      <c r="AE371" s="493">
        <v>1053500</v>
      </c>
      <c r="AF371" s="493">
        <v>105350</v>
      </c>
      <c r="AG371" s="493" t="s">
        <v>1935</v>
      </c>
      <c r="AH371" s="130">
        <f t="shared" si="76"/>
        <v>46176</v>
      </c>
      <c r="AI371" s="495">
        <v>46148</v>
      </c>
      <c r="AJ371" s="439"/>
      <c r="AK371" s="121">
        <f t="shared" si="80"/>
        <v>1158850</v>
      </c>
      <c r="AL371" s="440" t="str">
        <f t="shared" ca="1" si="73"/>
        <v/>
      </c>
      <c r="AM371" s="440"/>
      <c r="AN371" s="440"/>
      <c r="AO371" s="440"/>
    </row>
    <row r="372" spans="1:41" ht="16.5" hidden="1" customHeight="1">
      <c r="A372" s="492" t="s">
        <v>2051</v>
      </c>
      <c r="B372" s="493" t="s">
        <v>2067</v>
      </c>
      <c r="C372" s="492" t="s">
        <v>2051</v>
      </c>
      <c r="D372" s="492" t="s">
        <v>2051</v>
      </c>
      <c r="E372" s="493" t="s">
        <v>116</v>
      </c>
      <c r="F372" s="493" t="s">
        <v>377</v>
      </c>
      <c r="G372" s="493" t="s">
        <v>117</v>
      </c>
      <c r="H372" s="493" t="s">
        <v>118</v>
      </c>
      <c r="I372" s="493" t="s">
        <v>119</v>
      </c>
      <c r="J372" s="493" t="s">
        <v>510</v>
      </c>
      <c r="K372" s="493" t="s">
        <v>377</v>
      </c>
      <c r="L372" s="493" t="s">
        <v>511</v>
      </c>
      <c r="M372" s="493" t="s">
        <v>512</v>
      </c>
      <c r="N372" s="493" t="s">
        <v>513</v>
      </c>
      <c r="O372" s="493">
        <v>1788380</v>
      </c>
      <c r="P372" s="439">
        <v>1625800</v>
      </c>
      <c r="Q372" s="493">
        <v>162580</v>
      </c>
      <c r="R372" s="493" t="s">
        <v>124</v>
      </c>
      <c r="S372" s="493" t="s">
        <v>382</v>
      </c>
      <c r="T372" s="493" t="s">
        <v>125</v>
      </c>
      <c r="U372" s="493" t="s">
        <v>126</v>
      </c>
      <c r="V372" s="493" t="s">
        <v>127</v>
      </c>
      <c r="W372" s="493" t="s">
        <v>128</v>
      </c>
      <c r="X372" s="493" t="s">
        <v>514</v>
      </c>
      <c r="Y372" s="493" t="s">
        <v>377</v>
      </c>
      <c r="Z372" s="493" t="s">
        <v>2051</v>
      </c>
      <c r="AA372" s="493" t="s">
        <v>130</v>
      </c>
      <c r="AB372" s="493" t="s">
        <v>377</v>
      </c>
      <c r="AC372" s="493" t="s">
        <v>131</v>
      </c>
      <c r="AD372" s="493" t="s">
        <v>2068</v>
      </c>
      <c r="AE372" s="493">
        <v>1625800</v>
      </c>
      <c r="AF372" s="493">
        <v>162580</v>
      </c>
      <c r="AG372" s="493" t="s">
        <v>1657</v>
      </c>
      <c r="AH372" s="130">
        <f t="shared" si="76"/>
        <v>46176</v>
      </c>
      <c r="AI372" s="495"/>
      <c r="AJ372" s="439"/>
      <c r="AK372" s="121">
        <f t="shared" si="80"/>
        <v>1788380.0000000002</v>
      </c>
      <c r="AL372" s="440" t="str">
        <f t="shared" ca="1" si="73"/>
        <v/>
      </c>
      <c r="AM372" s="440"/>
      <c r="AN372" s="440"/>
      <c r="AO372" s="440"/>
    </row>
    <row r="373" spans="1:41" ht="16.5" hidden="1" customHeight="1">
      <c r="A373" s="492" t="s">
        <v>2051</v>
      </c>
      <c r="B373" s="493" t="s">
        <v>2069</v>
      </c>
      <c r="C373" s="492" t="s">
        <v>2051</v>
      </c>
      <c r="D373" s="492" t="s">
        <v>2051</v>
      </c>
      <c r="E373" s="493" t="s">
        <v>116</v>
      </c>
      <c r="F373" s="493" t="s">
        <v>377</v>
      </c>
      <c r="G373" s="493" t="s">
        <v>117</v>
      </c>
      <c r="H373" s="493" t="s">
        <v>118</v>
      </c>
      <c r="I373" s="493" t="s">
        <v>119</v>
      </c>
      <c r="J373" s="493" t="s">
        <v>2070</v>
      </c>
      <c r="K373" s="493" t="s">
        <v>377</v>
      </c>
      <c r="L373" s="493" t="s">
        <v>2071</v>
      </c>
      <c r="M373" s="493" t="s">
        <v>2072</v>
      </c>
      <c r="N373" s="493" t="s">
        <v>2073</v>
      </c>
      <c r="O373" s="493">
        <v>5718240</v>
      </c>
      <c r="P373" s="439">
        <v>5198400</v>
      </c>
      <c r="Q373" s="493">
        <v>519840</v>
      </c>
      <c r="R373" s="493" t="s">
        <v>124</v>
      </c>
      <c r="S373" s="493" t="s">
        <v>382</v>
      </c>
      <c r="T373" s="493" t="s">
        <v>125</v>
      </c>
      <c r="U373" s="493" t="s">
        <v>126</v>
      </c>
      <c r="V373" s="493" t="s">
        <v>127</v>
      </c>
      <c r="W373" s="493" t="s">
        <v>128</v>
      </c>
      <c r="X373" s="493" t="s">
        <v>2074</v>
      </c>
      <c r="Y373" s="493" t="s">
        <v>377</v>
      </c>
      <c r="Z373" s="493" t="s">
        <v>2051</v>
      </c>
      <c r="AA373" s="493" t="s">
        <v>130</v>
      </c>
      <c r="AB373" s="493" t="s">
        <v>377</v>
      </c>
      <c r="AC373" s="493" t="s">
        <v>131</v>
      </c>
      <c r="AD373" s="493" t="s">
        <v>2075</v>
      </c>
      <c r="AE373" s="493">
        <v>5198400</v>
      </c>
      <c r="AF373" s="493">
        <v>519840</v>
      </c>
      <c r="AG373" s="493" t="s">
        <v>2106</v>
      </c>
      <c r="AH373" s="130">
        <f t="shared" si="76"/>
        <v>46176</v>
      </c>
      <c r="AI373" s="495">
        <v>46139</v>
      </c>
      <c r="AJ373" s="439">
        <f>P373*1.1</f>
        <v>5718240</v>
      </c>
      <c r="AK373" s="121">
        <f t="shared" si="80"/>
        <v>0</v>
      </c>
      <c r="AL373" s="440" t="str">
        <f t="shared" ca="1" si="73"/>
        <v/>
      </c>
      <c r="AM373" s="440"/>
      <c r="AN373" s="440"/>
      <c r="AO373" s="440"/>
    </row>
    <row r="374" spans="1:41" ht="16.5" hidden="1" customHeight="1">
      <c r="A374" s="492" t="s">
        <v>2051</v>
      </c>
      <c r="B374" s="493" t="s">
        <v>2076</v>
      </c>
      <c r="C374" s="492" t="s">
        <v>2051</v>
      </c>
      <c r="D374" s="492" t="s">
        <v>2051</v>
      </c>
      <c r="E374" s="493" t="s">
        <v>116</v>
      </c>
      <c r="F374" s="493" t="s">
        <v>377</v>
      </c>
      <c r="G374" s="493" t="s">
        <v>117</v>
      </c>
      <c r="H374" s="493" t="s">
        <v>118</v>
      </c>
      <c r="I374" s="493" t="s">
        <v>119</v>
      </c>
      <c r="J374" s="493" t="s">
        <v>2077</v>
      </c>
      <c r="K374" s="493" t="s">
        <v>377</v>
      </c>
      <c r="L374" s="493" t="s">
        <v>2078</v>
      </c>
      <c r="M374" s="493" t="s">
        <v>2079</v>
      </c>
      <c r="N374" s="493" t="s">
        <v>2080</v>
      </c>
      <c r="O374" s="493">
        <v>11065340</v>
      </c>
      <c r="P374" s="439">
        <v>10059400</v>
      </c>
      <c r="Q374" s="493">
        <v>1005940</v>
      </c>
      <c r="R374" s="493" t="s">
        <v>124</v>
      </c>
      <c r="S374" s="493" t="s">
        <v>382</v>
      </c>
      <c r="T374" s="493" t="s">
        <v>125</v>
      </c>
      <c r="U374" s="493" t="s">
        <v>126</v>
      </c>
      <c r="V374" s="493" t="s">
        <v>127</v>
      </c>
      <c r="W374" s="493" t="s">
        <v>128</v>
      </c>
      <c r="X374" s="493" t="s">
        <v>2081</v>
      </c>
      <c r="Y374" s="493" t="s">
        <v>377</v>
      </c>
      <c r="Z374" s="493" t="s">
        <v>2051</v>
      </c>
      <c r="AA374" s="493" t="s">
        <v>130</v>
      </c>
      <c r="AB374" s="493" t="s">
        <v>377</v>
      </c>
      <c r="AC374" s="493" t="s">
        <v>131</v>
      </c>
      <c r="AD374" s="493" t="s">
        <v>2082</v>
      </c>
      <c r="AE374" s="493">
        <v>10059400</v>
      </c>
      <c r="AF374" s="493">
        <v>1005940</v>
      </c>
      <c r="AG374" s="493" t="s">
        <v>2089</v>
      </c>
      <c r="AH374" s="130">
        <f t="shared" si="76"/>
        <v>46176</v>
      </c>
      <c r="AI374" s="495"/>
      <c r="AJ374" s="439"/>
      <c r="AK374" s="121">
        <f t="shared" si="80"/>
        <v>11065340</v>
      </c>
      <c r="AL374" s="440" t="str">
        <f t="shared" ca="1" si="73"/>
        <v/>
      </c>
      <c r="AM374" s="440"/>
      <c r="AN374" s="440"/>
      <c r="AO374" s="440"/>
    </row>
    <row r="375" spans="1:41" ht="16.5" hidden="1" customHeight="1">
      <c r="A375" s="492" t="s">
        <v>2051</v>
      </c>
      <c r="B375" s="493" t="s">
        <v>2083</v>
      </c>
      <c r="C375" s="492" t="s">
        <v>2051</v>
      </c>
      <c r="D375" s="492" t="s">
        <v>2051</v>
      </c>
      <c r="E375" s="493" t="s">
        <v>116</v>
      </c>
      <c r="F375" s="493" t="s">
        <v>377</v>
      </c>
      <c r="G375" s="493" t="s">
        <v>117</v>
      </c>
      <c r="H375" s="493" t="s">
        <v>118</v>
      </c>
      <c r="I375" s="493" t="s">
        <v>119</v>
      </c>
      <c r="J375" s="493" t="s">
        <v>1254</v>
      </c>
      <c r="K375" s="493" t="s">
        <v>377</v>
      </c>
      <c r="L375" s="493" t="s">
        <v>391</v>
      </c>
      <c r="M375" s="493" t="s">
        <v>1255</v>
      </c>
      <c r="N375" s="493" t="s">
        <v>1256</v>
      </c>
      <c r="O375" s="493">
        <v>1601050</v>
      </c>
      <c r="P375" s="439">
        <v>1455500</v>
      </c>
      <c r="Q375" s="493">
        <v>145550</v>
      </c>
      <c r="R375" s="493" t="s">
        <v>124</v>
      </c>
      <c r="S375" s="493" t="s">
        <v>382</v>
      </c>
      <c r="T375" s="493" t="s">
        <v>125</v>
      </c>
      <c r="U375" s="493" t="s">
        <v>126</v>
      </c>
      <c r="V375" s="493" t="s">
        <v>127</v>
      </c>
      <c r="W375" s="493" t="s">
        <v>128</v>
      </c>
      <c r="X375" s="493" t="s">
        <v>1257</v>
      </c>
      <c r="Y375" s="493" t="s">
        <v>377</v>
      </c>
      <c r="Z375" s="493" t="s">
        <v>2051</v>
      </c>
      <c r="AA375" s="493" t="s">
        <v>130</v>
      </c>
      <c r="AB375" s="493" t="s">
        <v>377</v>
      </c>
      <c r="AC375" s="493" t="s">
        <v>131</v>
      </c>
      <c r="AD375" s="493" t="s">
        <v>2084</v>
      </c>
      <c r="AE375" s="493">
        <v>1455500</v>
      </c>
      <c r="AF375" s="493">
        <v>145550</v>
      </c>
      <c r="AG375" s="493" t="s">
        <v>2090</v>
      </c>
      <c r="AH375" s="130">
        <f t="shared" si="76"/>
        <v>46176</v>
      </c>
      <c r="AI375" s="495">
        <v>46142</v>
      </c>
      <c r="AJ375" s="439">
        <f>P375*1.1</f>
        <v>1601050.0000000002</v>
      </c>
      <c r="AK375" s="121">
        <f t="shared" si="80"/>
        <v>0</v>
      </c>
      <c r="AL375" s="440" t="str">
        <f t="shared" ca="1" si="73"/>
        <v/>
      </c>
      <c r="AM375" s="440"/>
      <c r="AN375" s="440"/>
      <c r="AO375" s="440"/>
    </row>
    <row r="376" spans="1:41" ht="16.5" hidden="1" customHeight="1">
      <c r="A376" s="492" t="s">
        <v>2051</v>
      </c>
      <c r="B376" s="493" t="s">
        <v>2085</v>
      </c>
      <c r="C376" s="492" t="s">
        <v>2051</v>
      </c>
      <c r="D376" s="492" t="s">
        <v>2051</v>
      </c>
      <c r="E376" s="493" t="s">
        <v>116</v>
      </c>
      <c r="F376" s="493" t="s">
        <v>377</v>
      </c>
      <c r="G376" s="493" t="s">
        <v>117</v>
      </c>
      <c r="H376" s="493" t="s">
        <v>118</v>
      </c>
      <c r="I376" s="493" t="s">
        <v>119</v>
      </c>
      <c r="J376" s="493" t="s">
        <v>1254</v>
      </c>
      <c r="K376" s="493" t="s">
        <v>377</v>
      </c>
      <c r="L376" s="493" t="s">
        <v>391</v>
      </c>
      <c r="M376" s="493" t="s">
        <v>1255</v>
      </c>
      <c r="N376" s="493" t="s">
        <v>1256</v>
      </c>
      <c r="O376" s="493">
        <v>553520</v>
      </c>
      <c r="P376" s="439">
        <v>503200</v>
      </c>
      <c r="Q376" s="493">
        <v>50320</v>
      </c>
      <c r="R376" s="493" t="s">
        <v>124</v>
      </c>
      <c r="S376" s="493" t="s">
        <v>382</v>
      </c>
      <c r="T376" s="493" t="s">
        <v>125</v>
      </c>
      <c r="U376" s="493" t="s">
        <v>126</v>
      </c>
      <c r="V376" s="493" t="s">
        <v>127</v>
      </c>
      <c r="W376" s="493" t="s">
        <v>128</v>
      </c>
      <c r="X376" s="493" t="s">
        <v>1257</v>
      </c>
      <c r="Y376" s="493" t="s">
        <v>377</v>
      </c>
      <c r="Z376" s="493" t="s">
        <v>2051</v>
      </c>
      <c r="AA376" s="493" t="s">
        <v>130</v>
      </c>
      <c r="AB376" s="493" t="s">
        <v>377</v>
      </c>
      <c r="AC376" s="493" t="s">
        <v>131</v>
      </c>
      <c r="AD376" s="493" t="s">
        <v>2086</v>
      </c>
      <c r="AE376" s="493">
        <v>503200</v>
      </c>
      <c r="AF376" s="493">
        <v>50320</v>
      </c>
      <c r="AG376" s="493" t="s">
        <v>2090</v>
      </c>
      <c r="AH376" s="130">
        <f t="shared" si="76"/>
        <v>46176</v>
      </c>
      <c r="AI376" s="495">
        <v>46142</v>
      </c>
      <c r="AJ376" s="439">
        <f>P376*1.1</f>
        <v>553520</v>
      </c>
      <c r="AK376" s="121">
        <f t="shared" si="80"/>
        <v>0</v>
      </c>
      <c r="AL376" s="440" t="str">
        <f t="shared" ca="1" si="73"/>
        <v/>
      </c>
      <c r="AM376" s="440"/>
      <c r="AN376" s="440"/>
      <c r="AO376" s="440"/>
    </row>
    <row r="377" spans="1:41" ht="16.5" hidden="1" customHeight="1">
      <c r="A377" s="492" t="s">
        <v>2092</v>
      </c>
      <c r="B377" s="493" t="s">
        <v>2131</v>
      </c>
      <c r="C377" s="492" t="s">
        <v>2092</v>
      </c>
      <c r="D377" s="492" t="s">
        <v>2092</v>
      </c>
      <c r="E377" s="493" t="s">
        <v>116</v>
      </c>
      <c r="F377" s="493" t="s">
        <v>377</v>
      </c>
      <c r="G377" s="493" t="s">
        <v>117</v>
      </c>
      <c r="H377" s="493" t="s">
        <v>118</v>
      </c>
      <c r="I377" s="493" t="s">
        <v>119</v>
      </c>
      <c r="J377" s="493" t="s">
        <v>510</v>
      </c>
      <c r="K377" s="493" t="s">
        <v>377</v>
      </c>
      <c r="L377" s="493" t="s">
        <v>511</v>
      </c>
      <c r="M377" s="493" t="s">
        <v>512</v>
      </c>
      <c r="N377" s="493" t="s">
        <v>513</v>
      </c>
      <c r="O377" s="493">
        <v>1790250</v>
      </c>
      <c r="P377" s="439">
        <v>1627500</v>
      </c>
      <c r="Q377" s="493">
        <v>162750</v>
      </c>
      <c r="R377" s="493" t="s">
        <v>124</v>
      </c>
      <c r="S377" s="493" t="s">
        <v>382</v>
      </c>
      <c r="T377" s="493" t="s">
        <v>125</v>
      </c>
      <c r="U377" s="493" t="s">
        <v>126</v>
      </c>
      <c r="V377" s="493" t="s">
        <v>127</v>
      </c>
      <c r="W377" s="493" t="s">
        <v>128</v>
      </c>
      <c r="X377" s="493" t="s">
        <v>514</v>
      </c>
      <c r="Y377" s="493" t="s">
        <v>377</v>
      </c>
      <c r="Z377" s="493" t="s">
        <v>2092</v>
      </c>
      <c r="AA377" s="493" t="s">
        <v>130</v>
      </c>
      <c r="AB377" s="493" t="s">
        <v>377</v>
      </c>
      <c r="AC377" s="493" t="s">
        <v>131</v>
      </c>
      <c r="AD377" s="493" t="s">
        <v>2132</v>
      </c>
      <c r="AE377" s="493">
        <v>1627500</v>
      </c>
      <c r="AF377" s="493">
        <v>162750</v>
      </c>
      <c r="AG377" s="493" t="s">
        <v>2150</v>
      </c>
      <c r="AH377" s="130">
        <f t="shared" si="76"/>
        <v>46179</v>
      </c>
      <c r="AI377" s="495"/>
      <c r="AJ377" s="439"/>
      <c r="AK377" s="121">
        <f t="shared" ref="AK377:AK388" si="81">(P377*1.1)-AJ377</f>
        <v>1790250.0000000002</v>
      </c>
      <c r="AL377" s="440" t="str">
        <f t="shared" ca="1" si="73"/>
        <v/>
      </c>
      <c r="AM377" s="440"/>
      <c r="AN377" s="440"/>
      <c r="AO377" s="440"/>
    </row>
    <row r="378" spans="1:41" ht="16.5" hidden="1" customHeight="1">
      <c r="A378" s="492" t="s">
        <v>2092</v>
      </c>
      <c r="B378" s="493" t="s">
        <v>2133</v>
      </c>
      <c r="C378" s="492" t="s">
        <v>2092</v>
      </c>
      <c r="D378" s="492" t="s">
        <v>2092</v>
      </c>
      <c r="E378" s="493" t="s">
        <v>116</v>
      </c>
      <c r="F378" s="493" t="s">
        <v>377</v>
      </c>
      <c r="G378" s="493" t="s">
        <v>117</v>
      </c>
      <c r="H378" s="493" t="s">
        <v>118</v>
      </c>
      <c r="I378" s="493" t="s">
        <v>119</v>
      </c>
      <c r="J378" s="493" t="s">
        <v>510</v>
      </c>
      <c r="K378" s="493" t="s">
        <v>377</v>
      </c>
      <c r="L378" s="493" t="s">
        <v>511</v>
      </c>
      <c r="M378" s="493" t="s">
        <v>512</v>
      </c>
      <c r="N378" s="493" t="s">
        <v>513</v>
      </c>
      <c r="O378" s="493">
        <v>726770</v>
      </c>
      <c r="P378" s="439">
        <v>660700</v>
      </c>
      <c r="Q378" s="493">
        <v>66070</v>
      </c>
      <c r="R378" s="493" t="s">
        <v>124</v>
      </c>
      <c r="S378" s="493" t="s">
        <v>382</v>
      </c>
      <c r="T378" s="493" t="s">
        <v>125</v>
      </c>
      <c r="U378" s="493" t="s">
        <v>126</v>
      </c>
      <c r="V378" s="493" t="s">
        <v>127</v>
      </c>
      <c r="W378" s="493" t="s">
        <v>128</v>
      </c>
      <c r="X378" s="493" t="s">
        <v>514</v>
      </c>
      <c r="Y378" s="493" t="s">
        <v>377</v>
      </c>
      <c r="Z378" s="493" t="s">
        <v>2092</v>
      </c>
      <c r="AA378" s="493" t="s">
        <v>130</v>
      </c>
      <c r="AB378" s="493" t="s">
        <v>377</v>
      </c>
      <c r="AC378" s="493" t="s">
        <v>131</v>
      </c>
      <c r="AD378" s="493" t="s">
        <v>2134</v>
      </c>
      <c r="AE378" s="493">
        <v>660700</v>
      </c>
      <c r="AF378" s="493">
        <v>66070</v>
      </c>
      <c r="AG378" s="493" t="s">
        <v>1026</v>
      </c>
      <c r="AH378" s="130">
        <f t="shared" si="76"/>
        <v>46179</v>
      </c>
      <c r="AI378" s="495"/>
      <c r="AJ378" s="439"/>
      <c r="AK378" s="121">
        <f t="shared" si="81"/>
        <v>726770.00000000012</v>
      </c>
      <c r="AL378" s="440" t="str">
        <f t="shared" ca="1" si="73"/>
        <v/>
      </c>
      <c r="AM378" s="440"/>
      <c r="AN378" s="440"/>
      <c r="AO378" s="440"/>
    </row>
    <row r="379" spans="1:41" ht="16.5" hidden="1" customHeight="1">
      <c r="A379" s="492" t="s">
        <v>2092</v>
      </c>
      <c r="B379" s="493" t="s">
        <v>2136</v>
      </c>
      <c r="C379" s="492" t="s">
        <v>2092</v>
      </c>
      <c r="D379" s="492" t="s">
        <v>2092</v>
      </c>
      <c r="E379" s="493" t="s">
        <v>116</v>
      </c>
      <c r="F379" s="493" t="s">
        <v>377</v>
      </c>
      <c r="G379" s="493" t="s">
        <v>117</v>
      </c>
      <c r="H379" s="493" t="s">
        <v>118</v>
      </c>
      <c r="I379" s="493" t="s">
        <v>119</v>
      </c>
      <c r="J379" s="493" t="s">
        <v>1254</v>
      </c>
      <c r="K379" s="493" t="s">
        <v>377</v>
      </c>
      <c r="L379" s="493" t="s">
        <v>391</v>
      </c>
      <c r="M379" s="493" t="s">
        <v>1255</v>
      </c>
      <c r="N379" s="493" t="s">
        <v>1256</v>
      </c>
      <c r="O379" s="493">
        <v>564520</v>
      </c>
      <c r="P379" s="439">
        <v>513200</v>
      </c>
      <c r="Q379" s="493">
        <v>51320</v>
      </c>
      <c r="R379" s="493" t="s">
        <v>124</v>
      </c>
      <c r="S379" s="493" t="s">
        <v>382</v>
      </c>
      <c r="T379" s="493" t="s">
        <v>125</v>
      </c>
      <c r="U379" s="493" t="s">
        <v>126</v>
      </c>
      <c r="V379" s="493" t="s">
        <v>127</v>
      </c>
      <c r="W379" s="493" t="s">
        <v>128</v>
      </c>
      <c r="X379" s="493" t="s">
        <v>1257</v>
      </c>
      <c r="Y379" s="493" t="s">
        <v>377</v>
      </c>
      <c r="Z379" s="493" t="s">
        <v>2092</v>
      </c>
      <c r="AA379" s="493" t="s">
        <v>130</v>
      </c>
      <c r="AB379" s="493" t="s">
        <v>377</v>
      </c>
      <c r="AC379" s="493" t="s">
        <v>131</v>
      </c>
      <c r="AD379" s="493" t="s">
        <v>2135</v>
      </c>
      <c r="AE379" s="493">
        <v>513200</v>
      </c>
      <c r="AF379" s="493">
        <v>51320</v>
      </c>
      <c r="AG379" s="493" t="s">
        <v>2090</v>
      </c>
      <c r="AH379" s="130">
        <f t="shared" si="76"/>
        <v>46179</v>
      </c>
      <c r="AI379" s="495">
        <v>46142</v>
      </c>
      <c r="AJ379" s="439">
        <f>P379*1.1</f>
        <v>564520</v>
      </c>
      <c r="AK379" s="121">
        <f t="shared" si="81"/>
        <v>0</v>
      </c>
      <c r="AL379" s="440" t="str">
        <f t="shared" ca="1" si="73"/>
        <v/>
      </c>
      <c r="AM379" s="440"/>
      <c r="AN379" s="440"/>
      <c r="AO379" s="440"/>
    </row>
    <row r="380" spans="1:41" ht="16.5" hidden="1" customHeight="1">
      <c r="A380" s="492" t="s">
        <v>2092</v>
      </c>
      <c r="B380" s="493" t="s">
        <v>2137</v>
      </c>
      <c r="C380" s="492" t="s">
        <v>2092</v>
      </c>
      <c r="D380" s="492" t="s">
        <v>2092</v>
      </c>
      <c r="E380" s="493" t="s">
        <v>116</v>
      </c>
      <c r="F380" s="493" t="s">
        <v>377</v>
      </c>
      <c r="G380" s="493" t="s">
        <v>117</v>
      </c>
      <c r="H380" s="493" t="s">
        <v>118</v>
      </c>
      <c r="I380" s="493" t="s">
        <v>119</v>
      </c>
      <c r="J380" s="493" t="s">
        <v>1988</v>
      </c>
      <c r="K380" s="493" t="s">
        <v>377</v>
      </c>
      <c r="L380" s="493" t="s">
        <v>1989</v>
      </c>
      <c r="M380" s="493" t="s">
        <v>1990</v>
      </c>
      <c r="N380" s="493" t="s">
        <v>1991</v>
      </c>
      <c r="O380" s="493">
        <v>13287120</v>
      </c>
      <c r="P380" s="439">
        <v>12079200</v>
      </c>
      <c r="Q380" s="493">
        <v>1207920</v>
      </c>
      <c r="R380" s="493" t="s">
        <v>124</v>
      </c>
      <c r="S380" s="493" t="s">
        <v>382</v>
      </c>
      <c r="T380" s="493" t="s">
        <v>125</v>
      </c>
      <c r="U380" s="493" t="s">
        <v>126</v>
      </c>
      <c r="V380" s="493" t="s">
        <v>127</v>
      </c>
      <c r="W380" s="493" t="s">
        <v>128</v>
      </c>
      <c r="X380" s="493" t="s">
        <v>1992</v>
      </c>
      <c r="Y380" s="493" t="s">
        <v>377</v>
      </c>
      <c r="Z380" s="493" t="s">
        <v>2092</v>
      </c>
      <c r="AA380" s="493" t="s">
        <v>130</v>
      </c>
      <c r="AB380" s="493" t="s">
        <v>377</v>
      </c>
      <c r="AC380" s="493" t="s">
        <v>131</v>
      </c>
      <c r="AD380" s="493" t="s">
        <v>2138</v>
      </c>
      <c r="AE380" s="493">
        <v>12079200</v>
      </c>
      <c r="AF380" s="493">
        <v>1207920</v>
      </c>
      <c r="AG380" s="493" t="s">
        <v>2102</v>
      </c>
      <c r="AH380" s="130">
        <f t="shared" si="76"/>
        <v>46179</v>
      </c>
      <c r="AI380" s="495">
        <v>46142</v>
      </c>
      <c r="AJ380" s="439">
        <f>P380*1.1</f>
        <v>13287120.000000002</v>
      </c>
      <c r="AK380" s="121">
        <f t="shared" si="81"/>
        <v>0</v>
      </c>
      <c r="AL380" s="440" t="str">
        <f t="shared" ca="1" si="73"/>
        <v/>
      </c>
      <c r="AM380" s="440"/>
      <c r="AN380" s="440"/>
      <c r="AO380" s="440"/>
    </row>
    <row r="381" spans="1:41" ht="16.5" hidden="1" customHeight="1">
      <c r="A381" s="492" t="s">
        <v>2092</v>
      </c>
      <c r="B381" s="493" t="s">
        <v>2139</v>
      </c>
      <c r="C381" s="492" t="s">
        <v>2092</v>
      </c>
      <c r="D381" s="492" t="s">
        <v>2092</v>
      </c>
      <c r="E381" s="493" t="s">
        <v>116</v>
      </c>
      <c r="F381" s="493" t="s">
        <v>377</v>
      </c>
      <c r="G381" s="493" t="s">
        <v>117</v>
      </c>
      <c r="H381" s="493" t="s">
        <v>118</v>
      </c>
      <c r="I381" s="493" t="s">
        <v>119</v>
      </c>
      <c r="J381" s="493" t="s">
        <v>1690</v>
      </c>
      <c r="K381" s="493" t="s">
        <v>377</v>
      </c>
      <c r="L381" s="493" t="s">
        <v>1691</v>
      </c>
      <c r="M381" s="493" t="s">
        <v>1692</v>
      </c>
      <c r="N381" s="493" t="s">
        <v>1693</v>
      </c>
      <c r="O381" s="493">
        <v>10587500</v>
      </c>
      <c r="P381" s="439">
        <v>9625000</v>
      </c>
      <c r="Q381" s="493">
        <v>962500</v>
      </c>
      <c r="R381" s="493" t="s">
        <v>124</v>
      </c>
      <c r="S381" s="493" t="s">
        <v>382</v>
      </c>
      <c r="T381" s="493" t="s">
        <v>125</v>
      </c>
      <c r="U381" s="493" t="s">
        <v>126</v>
      </c>
      <c r="V381" s="493" t="s">
        <v>127</v>
      </c>
      <c r="W381" s="493" t="s">
        <v>128</v>
      </c>
      <c r="X381" s="493" t="s">
        <v>1694</v>
      </c>
      <c r="Y381" s="493" t="s">
        <v>377</v>
      </c>
      <c r="Z381" s="493" t="s">
        <v>2092</v>
      </c>
      <c r="AA381" s="493" t="s">
        <v>130</v>
      </c>
      <c r="AB381" s="493" t="s">
        <v>377</v>
      </c>
      <c r="AC381" s="493" t="s">
        <v>131</v>
      </c>
      <c r="AD381" s="493" t="s">
        <v>2140</v>
      </c>
      <c r="AE381" s="493">
        <v>9625000</v>
      </c>
      <c r="AF381" s="493">
        <v>962500</v>
      </c>
      <c r="AG381" s="493" t="s">
        <v>2151</v>
      </c>
      <c r="AH381" s="130">
        <f t="shared" si="76"/>
        <v>46179</v>
      </c>
      <c r="AI381" s="495"/>
      <c r="AJ381" s="439"/>
      <c r="AK381" s="121">
        <f t="shared" si="81"/>
        <v>10587500</v>
      </c>
      <c r="AL381" s="440" t="str">
        <f t="shared" ca="1" si="73"/>
        <v/>
      </c>
      <c r="AM381" s="440"/>
      <c r="AN381" s="440"/>
      <c r="AO381" s="440"/>
    </row>
    <row r="382" spans="1:41" ht="16.5" hidden="1" customHeight="1">
      <c r="A382" s="492" t="s">
        <v>2092</v>
      </c>
      <c r="B382" s="493" t="s">
        <v>2141</v>
      </c>
      <c r="C382" s="492" t="s">
        <v>2092</v>
      </c>
      <c r="D382" s="492" t="s">
        <v>2092</v>
      </c>
      <c r="E382" s="493" t="s">
        <v>116</v>
      </c>
      <c r="F382" s="493" t="s">
        <v>377</v>
      </c>
      <c r="G382" s="493" t="s">
        <v>117</v>
      </c>
      <c r="H382" s="493" t="s">
        <v>118</v>
      </c>
      <c r="I382" s="493" t="s">
        <v>119</v>
      </c>
      <c r="J382" s="493" t="s">
        <v>1760</v>
      </c>
      <c r="K382" s="493" t="s">
        <v>377</v>
      </c>
      <c r="L382" s="493" t="s">
        <v>1761</v>
      </c>
      <c r="M382" s="493" t="s">
        <v>1762</v>
      </c>
      <c r="N382" s="493" t="s">
        <v>1763</v>
      </c>
      <c r="O382" s="493">
        <v>3808200</v>
      </c>
      <c r="P382" s="439">
        <v>3462000</v>
      </c>
      <c r="Q382" s="493">
        <v>346200</v>
      </c>
      <c r="R382" s="493" t="s">
        <v>124</v>
      </c>
      <c r="S382" s="493" t="s">
        <v>382</v>
      </c>
      <c r="T382" s="493" t="s">
        <v>125</v>
      </c>
      <c r="U382" s="493" t="s">
        <v>126</v>
      </c>
      <c r="V382" s="493" t="s">
        <v>127</v>
      </c>
      <c r="W382" s="493" t="s">
        <v>128</v>
      </c>
      <c r="X382" s="493" t="s">
        <v>1764</v>
      </c>
      <c r="Y382" s="493" t="s">
        <v>377</v>
      </c>
      <c r="Z382" s="493" t="s">
        <v>2092</v>
      </c>
      <c r="AA382" s="493" t="s">
        <v>130</v>
      </c>
      <c r="AB382" s="493" t="s">
        <v>377</v>
      </c>
      <c r="AC382" s="493" t="s">
        <v>131</v>
      </c>
      <c r="AD382" s="493" t="s">
        <v>2142</v>
      </c>
      <c r="AE382" s="493">
        <v>3462000</v>
      </c>
      <c r="AF382" s="493">
        <v>346200</v>
      </c>
      <c r="AG382" s="493" t="s">
        <v>2147</v>
      </c>
      <c r="AH382" s="130">
        <f t="shared" si="76"/>
        <v>46179</v>
      </c>
      <c r="AI382" s="495">
        <v>46139</v>
      </c>
      <c r="AJ382" s="439">
        <f>P382*1.1</f>
        <v>3808200.0000000005</v>
      </c>
      <c r="AK382" s="121">
        <f t="shared" si="81"/>
        <v>0</v>
      </c>
      <c r="AL382" s="440" t="str">
        <f t="shared" ca="1" si="73"/>
        <v/>
      </c>
      <c r="AM382" s="440"/>
      <c r="AN382" s="440"/>
      <c r="AO382" s="440"/>
    </row>
    <row r="383" spans="1:41" ht="16.5" hidden="1" customHeight="1">
      <c r="A383" s="492" t="s">
        <v>2092</v>
      </c>
      <c r="B383" s="493" t="s">
        <v>2143</v>
      </c>
      <c r="C383" s="492" t="s">
        <v>2092</v>
      </c>
      <c r="D383" s="492" t="s">
        <v>2092</v>
      </c>
      <c r="E383" s="493" t="s">
        <v>116</v>
      </c>
      <c r="F383" s="493" t="s">
        <v>377</v>
      </c>
      <c r="G383" s="493" t="s">
        <v>117</v>
      </c>
      <c r="H383" s="493" t="s">
        <v>118</v>
      </c>
      <c r="I383" s="493" t="s">
        <v>119</v>
      </c>
      <c r="J383" s="493" t="s">
        <v>1392</v>
      </c>
      <c r="K383" s="493" t="s">
        <v>377</v>
      </c>
      <c r="L383" s="493" t="s">
        <v>1393</v>
      </c>
      <c r="M383" s="493" t="s">
        <v>1394</v>
      </c>
      <c r="N383" s="493" t="s">
        <v>1395</v>
      </c>
      <c r="O383" s="493">
        <v>827200</v>
      </c>
      <c r="P383" s="439">
        <v>752000</v>
      </c>
      <c r="Q383" s="493">
        <v>75200</v>
      </c>
      <c r="R383" s="493" t="s">
        <v>124</v>
      </c>
      <c r="S383" s="493" t="s">
        <v>382</v>
      </c>
      <c r="T383" s="493" t="s">
        <v>125</v>
      </c>
      <c r="U383" s="493" t="s">
        <v>126</v>
      </c>
      <c r="V383" s="493" t="s">
        <v>127</v>
      </c>
      <c r="W383" s="493" t="s">
        <v>128</v>
      </c>
      <c r="X383" s="493" t="s">
        <v>1396</v>
      </c>
      <c r="Y383" s="493" t="s">
        <v>377</v>
      </c>
      <c r="Z383" s="493" t="s">
        <v>2092</v>
      </c>
      <c r="AA383" s="493" t="s">
        <v>130</v>
      </c>
      <c r="AB383" s="493" t="s">
        <v>377</v>
      </c>
      <c r="AC383" s="493" t="s">
        <v>131</v>
      </c>
      <c r="AD383" s="493" t="s">
        <v>2144</v>
      </c>
      <c r="AE383" s="493">
        <v>752000</v>
      </c>
      <c r="AF383" s="493">
        <v>75200</v>
      </c>
      <c r="AG383" s="493" t="s">
        <v>2148</v>
      </c>
      <c r="AH383" s="130">
        <f t="shared" si="76"/>
        <v>46179</v>
      </c>
      <c r="AI383" s="495">
        <v>46142</v>
      </c>
      <c r="AJ383" s="439">
        <f>P383*1.1</f>
        <v>827200.00000000012</v>
      </c>
      <c r="AK383" s="121">
        <f t="shared" si="81"/>
        <v>0</v>
      </c>
      <c r="AL383" s="440" t="str">
        <f t="shared" ref="AL383:AL392" ca="1" si="82">IF(OR(A383="",AK383=0),"",IF(TODAY()-A383&gt;=91,"장기미수",IF(TODAY()-A383&gt;=41,"관리","")))</f>
        <v/>
      </c>
      <c r="AM383" s="440"/>
      <c r="AN383" s="440"/>
      <c r="AO383" s="440"/>
    </row>
    <row r="384" spans="1:41" ht="16.5" hidden="1" customHeight="1">
      <c r="A384" s="492" t="s">
        <v>2092</v>
      </c>
      <c r="B384" s="493" t="s">
        <v>2145</v>
      </c>
      <c r="C384" s="492" t="s">
        <v>2092</v>
      </c>
      <c r="D384" s="492" t="s">
        <v>2092</v>
      </c>
      <c r="E384" s="493" t="s">
        <v>116</v>
      </c>
      <c r="F384" s="493" t="s">
        <v>377</v>
      </c>
      <c r="G384" s="493" t="s">
        <v>117</v>
      </c>
      <c r="H384" s="493" t="s">
        <v>118</v>
      </c>
      <c r="I384" s="493" t="s">
        <v>119</v>
      </c>
      <c r="J384" s="493" t="s">
        <v>869</v>
      </c>
      <c r="K384" s="493" t="s">
        <v>377</v>
      </c>
      <c r="L384" s="493" t="s">
        <v>870</v>
      </c>
      <c r="M384" s="493" t="s">
        <v>871</v>
      </c>
      <c r="N384" s="493" t="s">
        <v>872</v>
      </c>
      <c r="O384" s="493">
        <v>3212880</v>
      </c>
      <c r="P384" s="439">
        <v>2920800</v>
      </c>
      <c r="Q384" s="493">
        <v>292080</v>
      </c>
      <c r="R384" s="493" t="s">
        <v>124</v>
      </c>
      <c r="S384" s="493" t="s">
        <v>382</v>
      </c>
      <c r="T384" s="493" t="s">
        <v>125</v>
      </c>
      <c r="U384" s="493" t="s">
        <v>126</v>
      </c>
      <c r="V384" s="493" t="s">
        <v>127</v>
      </c>
      <c r="W384" s="493" t="s">
        <v>128</v>
      </c>
      <c r="X384" s="493" t="s">
        <v>873</v>
      </c>
      <c r="Y384" s="493" t="s">
        <v>377</v>
      </c>
      <c r="Z384" s="493" t="s">
        <v>2092</v>
      </c>
      <c r="AA384" s="493" t="s">
        <v>130</v>
      </c>
      <c r="AB384" s="493" t="s">
        <v>377</v>
      </c>
      <c r="AC384" s="493" t="s">
        <v>131</v>
      </c>
      <c r="AD384" s="493" t="s">
        <v>2146</v>
      </c>
      <c r="AE384" s="493">
        <v>2920800</v>
      </c>
      <c r="AF384" s="493">
        <v>292080</v>
      </c>
      <c r="AG384" s="493" t="s">
        <v>2149</v>
      </c>
      <c r="AH384" s="130">
        <f t="shared" si="76"/>
        <v>46179</v>
      </c>
      <c r="AI384" s="495">
        <v>46171</v>
      </c>
      <c r="AJ384" s="439">
        <f>P384*1.1</f>
        <v>3212880.0000000005</v>
      </c>
      <c r="AK384" s="121">
        <f t="shared" si="81"/>
        <v>0</v>
      </c>
      <c r="AL384" s="440" t="str">
        <f t="shared" ca="1" si="82"/>
        <v/>
      </c>
      <c r="AM384" s="440"/>
      <c r="AN384" s="440"/>
      <c r="AO384" s="440"/>
    </row>
    <row r="385" spans="1:41" ht="16.5" hidden="1" customHeight="1">
      <c r="A385" s="492" t="s">
        <v>2092</v>
      </c>
      <c r="B385" s="493" t="s">
        <v>2093</v>
      </c>
      <c r="C385" s="492" t="s">
        <v>2092</v>
      </c>
      <c r="D385" s="492" t="s">
        <v>2092</v>
      </c>
      <c r="E385" s="493" t="s">
        <v>116</v>
      </c>
      <c r="F385" s="493" t="s">
        <v>377</v>
      </c>
      <c r="G385" s="493" t="s">
        <v>117</v>
      </c>
      <c r="H385" s="493" t="s">
        <v>118</v>
      </c>
      <c r="I385" s="493" t="s">
        <v>119</v>
      </c>
      <c r="J385" s="493" t="s">
        <v>797</v>
      </c>
      <c r="K385" s="493" t="s">
        <v>377</v>
      </c>
      <c r="L385" s="493" t="s">
        <v>798</v>
      </c>
      <c r="M385" s="493" t="s">
        <v>799</v>
      </c>
      <c r="N385" s="493" t="s">
        <v>800</v>
      </c>
      <c r="O385" s="493">
        <v>15125000</v>
      </c>
      <c r="P385" s="439">
        <v>13750000</v>
      </c>
      <c r="Q385" s="493">
        <v>1375000</v>
      </c>
      <c r="R385" s="493" t="s">
        <v>124</v>
      </c>
      <c r="S385" s="493" t="s">
        <v>382</v>
      </c>
      <c r="T385" s="493" t="s">
        <v>125</v>
      </c>
      <c r="U385" s="493" t="s">
        <v>126</v>
      </c>
      <c r="V385" s="493" t="s">
        <v>127</v>
      </c>
      <c r="W385" s="493" t="s">
        <v>128</v>
      </c>
      <c r="X385" s="493" t="s">
        <v>801</v>
      </c>
      <c r="Y385" s="493" t="s">
        <v>377</v>
      </c>
      <c r="Z385" s="493" t="s">
        <v>2092</v>
      </c>
      <c r="AA385" s="493" t="s">
        <v>130</v>
      </c>
      <c r="AB385" s="493" t="s">
        <v>377</v>
      </c>
      <c r="AC385" s="493" t="s">
        <v>131</v>
      </c>
      <c r="AD385" s="493" t="s">
        <v>2094</v>
      </c>
      <c r="AE385" s="493">
        <v>13750000</v>
      </c>
      <c r="AF385" s="493">
        <v>1375000</v>
      </c>
      <c r="AG385" s="493" t="s">
        <v>814</v>
      </c>
      <c r="AH385" s="130">
        <f t="shared" si="76"/>
        <v>46179</v>
      </c>
      <c r="AI385" s="495"/>
      <c r="AJ385" s="439"/>
      <c r="AK385" s="121">
        <f t="shared" si="81"/>
        <v>15125000.000000002</v>
      </c>
      <c r="AL385" s="440" t="str">
        <f t="shared" ca="1" si="82"/>
        <v/>
      </c>
      <c r="AM385" s="440"/>
      <c r="AN385" s="440"/>
      <c r="AO385" s="440"/>
    </row>
    <row r="386" spans="1:41" ht="16.5" hidden="1" customHeight="1">
      <c r="A386" s="492" t="s">
        <v>2092</v>
      </c>
      <c r="B386" s="493" t="s">
        <v>2095</v>
      </c>
      <c r="C386" s="492" t="s">
        <v>2092</v>
      </c>
      <c r="D386" s="492" t="s">
        <v>2092</v>
      </c>
      <c r="E386" s="493" t="s">
        <v>116</v>
      </c>
      <c r="F386" s="493" t="s">
        <v>377</v>
      </c>
      <c r="G386" s="493" t="s">
        <v>117</v>
      </c>
      <c r="H386" s="493" t="s">
        <v>118</v>
      </c>
      <c r="I386" s="493" t="s">
        <v>119</v>
      </c>
      <c r="J386" s="493" t="s">
        <v>869</v>
      </c>
      <c r="K386" s="493" t="s">
        <v>377</v>
      </c>
      <c r="L386" s="493" t="s">
        <v>870</v>
      </c>
      <c r="M386" s="493" t="s">
        <v>871</v>
      </c>
      <c r="N386" s="493" t="s">
        <v>872</v>
      </c>
      <c r="O386" s="493">
        <v>2412190</v>
      </c>
      <c r="P386" s="439">
        <v>2192900</v>
      </c>
      <c r="Q386" s="493">
        <v>219290</v>
      </c>
      <c r="R386" s="493" t="s">
        <v>124</v>
      </c>
      <c r="S386" s="493" t="s">
        <v>382</v>
      </c>
      <c r="T386" s="493" t="s">
        <v>125</v>
      </c>
      <c r="U386" s="493" t="s">
        <v>126</v>
      </c>
      <c r="V386" s="493" t="s">
        <v>127</v>
      </c>
      <c r="W386" s="493" t="s">
        <v>128</v>
      </c>
      <c r="X386" s="493" t="s">
        <v>873</v>
      </c>
      <c r="Y386" s="493" t="s">
        <v>377</v>
      </c>
      <c r="Z386" s="493" t="s">
        <v>2092</v>
      </c>
      <c r="AA386" s="493" t="s">
        <v>130</v>
      </c>
      <c r="AB386" s="493" t="s">
        <v>377</v>
      </c>
      <c r="AC386" s="493" t="s">
        <v>131</v>
      </c>
      <c r="AD386" s="493" t="s">
        <v>2096</v>
      </c>
      <c r="AE386" s="493">
        <v>2192900</v>
      </c>
      <c r="AF386" s="493">
        <v>219290</v>
      </c>
      <c r="AG386" s="493" t="s">
        <v>2101</v>
      </c>
      <c r="AH386" s="130">
        <f t="shared" si="76"/>
        <v>46179</v>
      </c>
      <c r="AI386" s="495">
        <v>46171</v>
      </c>
      <c r="AJ386" s="439">
        <f>P386*1.1</f>
        <v>2412190</v>
      </c>
      <c r="AK386" s="121">
        <f t="shared" si="81"/>
        <v>0</v>
      </c>
      <c r="AL386" s="440" t="str">
        <f t="shared" ca="1" si="82"/>
        <v/>
      </c>
      <c r="AM386" s="440"/>
      <c r="AN386" s="440"/>
      <c r="AO386" s="440"/>
    </row>
    <row r="387" spans="1:41" ht="16.5" hidden="1" customHeight="1">
      <c r="A387" s="492" t="s">
        <v>2092</v>
      </c>
      <c r="B387" s="493" t="s">
        <v>2097</v>
      </c>
      <c r="C387" s="492" t="s">
        <v>2092</v>
      </c>
      <c r="D387" s="492" t="s">
        <v>2092</v>
      </c>
      <c r="E387" s="493" t="s">
        <v>116</v>
      </c>
      <c r="F387" s="493" t="s">
        <v>377</v>
      </c>
      <c r="G387" s="493" t="s">
        <v>117</v>
      </c>
      <c r="H387" s="493" t="s">
        <v>118</v>
      </c>
      <c r="I387" s="493" t="s">
        <v>119</v>
      </c>
      <c r="J387" s="493" t="s">
        <v>1061</v>
      </c>
      <c r="K387" s="493" t="s">
        <v>377</v>
      </c>
      <c r="L387" s="493" t="s">
        <v>1062</v>
      </c>
      <c r="M387" s="493" t="s">
        <v>1063</v>
      </c>
      <c r="N387" s="493" t="s">
        <v>1484</v>
      </c>
      <c r="O387" s="493">
        <v>2758250</v>
      </c>
      <c r="P387" s="439">
        <v>2507500</v>
      </c>
      <c r="Q387" s="493">
        <v>250750</v>
      </c>
      <c r="R387" s="493" t="s">
        <v>124</v>
      </c>
      <c r="S387" s="493" t="s">
        <v>382</v>
      </c>
      <c r="T387" s="493" t="s">
        <v>125</v>
      </c>
      <c r="U387" s="493" t="s">
        <v>126</v>
      </c>
      <c r="V387" s="493" t="s">
        <v>127</v>
      </c>
      <c r="W387" s="493" t="s">
        <v>128</v>
      </c>
      <c r="X387" s="493" t="s">
        <v>1064</v>
      </c>
      <c r="Y387" s="493" t="s">
        <v>377</v>
      </c>
      <c r="Z387" s="493" t="s">
        <v>2092</v>
      </c>
      <c r="AA387" s="493" t="s">
        <v>130</v>
      </c>
      <c r="AB387" s="493" t="s">
        <v>377</v>
      </c>
      <c r="AC387" s="493" t="s">
        <v>131</v>
      </c>
      <c r="AD387" s="493" t="s">
        <v>2098</v>
      </c>
      <c r="AE387" s="493">
        <v>2507500</v>
      </c>
      <c r="AF387" s="493">
        <v>250750</v>
      </c>
      <c r="AG387" s="493" t="s">
        <v>2828</v>
      </c>
      <c r="AH387" s="130">
        <f t="shared" si="76"/>
        <v>46179</v>
      </c>
      <c r="AI387" s="495">
        <v>46164</v>
      </c>
      <c r="AJ387" s="439">
        <f>P387*1.1</f>
        <v>2758250</v>
      </c>
      <c r="AK387" s="121">
        <f t="shared" si="81"/>
        <v>0</v>
      </c>
      <c r="AL387" s="440" t="str">
        <f t="shared" ca="1" si="82"/>
        <v/>
      </c>
      <c r="AM387" s="440"/>
      <c r="AN387" s="440"/>
      <c r="AO387" s="440"/>
    </row>
    <row r="388" spans="1:41" ht="16.5" hidden="1" customHeight="1">
      <c r="A388" s="492" t="s">
        <v>2092</v>
      </c>
      <c r="B388" s="493" t="s">
        <v>2099</v>
      </c>
      <c r="C388" s="492" t="s">
        <v>2092</v>
      </c>
      <c r="D388" s="492" t="s">
        <v>2092</v>
      </c>
      <c r="E388" s="493" t="s">
        <v>116</v>
      </c>
      <c r="F388" s="493" t="s">
        <v>377</v>
      </c>
      <c r="G388" s="493" t="s">
        <v>117</v>
      </c>
      <c r="H388" s="493" t="s">
        <v>118</v>
      </c>
      <c r="I388" s="493" t="s">
        <v>119</v>
      </c>
      <c r="J388" s="493" t="s">
        <v>1988</v>
      </c>
      <c r="K388" s="493" t="s">
        <v>377</v>
      </c>
      <c r="L388" s="493" t="s">
        <v>1989</v>
      </c>
      <c r="M388" s="493" t="s">
        <v>1990</v>
      </c>
      <c r="N388" s="493" t="s">
        <v>1991</v>
      </c>
      <c r="O388" s="493">
        <v>3072300</v>
      </c>
      <c r="P388" s="439">
        <v>2793000</v>
      </c>
      <c r="Q388" s="493">
        <v>279300</v>
      </c>
      <c r="R388" s="493" t="s">
        <v>124</v>
      </c>
      <c r="S388" s="493" t="s">
        <v>382</v>
      </c>
      <c r="T388" s="493" t="s">
        <v>125</v>
      </c>
      <c r="U388" s="493" t="s">
        <v>126</v>
      </c>
      <c r="V388" s="493" t="s">
        <v>127</v>
      </c>
      <c r="W388" s="493" t="s">
        <v>128</v>
      </c>
      <c r="X388" s="493" t="s">
        <v>1992</v>
      </c>
      <c r="Y388" s="493" t="s">
        <v>377</v>
      </c>
      <c r="Z388" s="493" t="s">
        <v>2092</v>
      </c>
      <c r="AA388" s="493" t="s">
        <v>130</v>
      </c>
      <c r="AB388" s="493" t="s">
        <v>377</v>
      </c>
      <c r="AC388" s="493" t="s">
        <v>131</v>
      </c>
      <c r="AD388" s="493" t="s">
        <v>2100</v>
      </c>
      <c r="AE388" s="493">
        <v>2793000</v>
      </c>
      <c r="AF388" s="493">
        <v>279300</v>
      </c>
      <c r="AG388" s="493" t="s">
        <v>2102</v>
      </c>
      <c r="AH388" s="130">
        <f t="shared" si="76"/>
        <v>46179</v>
      </c>
      <c r="AI388" s="495">
        <v>46142</v>
      </c>
      <c r="AJ388" s="439">
        <f>P388*1.1</f>
        <v>3072300.0000000005</v>
      </c>
      <c r="AK388" s="121">
        <f t="shared" si="81"/>
        <v>0</v>
      </c>
      <c r="AL388" s="440" t="str">
        <f t="shared" ca="1" si="82"/>
        <v/>
      </c>
      <c r="AM388" s="440"/>
      <c r="AN388" s="440"/>
      <c r="AO388" s="440"/>
    </row>
    <row r="389" spans="1:41" ht="16.5" hidden="1" customHeight="1">
      <c r="A389" s="492" t="s">
        <v>2152</v>
      </c>
      <c r="B389" s="493" t="s">
        <v>2153</v>
      </c>
      <c r="C389" s="492" t="s">
        <v>2152</v>
      </c>
      <c r="D389" s="492" t="s">
        <v>2152</v>
      </c>
      <c r="E389" s="493" t="s">
        <v>116</v>
      </c>
      <c r="F389" s="493" t="s">
        <v>377</v>
      </c>
      <c r="G389" s="493" t="s">
        <v>117</v>
      </c>
      <c r="H389" s="493" t="s">
        <v>118</v>
      </c>
      <c r="I389" s="493" t="s">
        <v>119</v>
      </c>
      <c r="J389" s="493" t="s">
        <v>2154</v>
      </c>
      <c r="K389" s="493" t="s">
        <v>377</v>
      </c>
      <c r="L389" s="493" t="s">
        <v>2155</v>
      </c>
      <c r="M389" s="493" t="s">
        <v>2156</v>
      </c>
      <c r="N389" s="493" t="s">
        <v>2157</v>
      </c>
      <c r="O389" s="493">
        <v>255200</v>
      </c>
      <c r="P389" s="439">
        <v>232000</v>
      </c>
      <c r="Q389" s="493">
        <v>23200</v>
      </c>
      <c r="R389" s="493" t="s">
        <v>124</v>
      </c>
      <c r="S389" s="493" t="s">
        <v>382</v>
      </c>
      <c r="T389" s="493" t="s">
        <v>125</v>
      </c>
      <c r="U389" s="493" t="s">
        <v>126</v>
      </c>
      <c r="V389" s="493" t="s">
        <v>127</v>
      </c>
      <c r="W389" s="493" t="s">
        <v>128</v>
      </c>
      <c r="X389" s="493" t="s">
        <v>2158</v>
      </c>
      <c r="Y389" s="493" t="s">
        <v>377</v>
      </c>
      <c r="Z389" s="493" t="s">
        <v>2152</v>
      </c>
      <c r="AA389" s="493" t="s">
        <v>130</v>
      </c>
      <c r="AB389" s="493" t="s">
        <v>377</v>
      </c>
      <c r="AC389" s="493" t="s">
        <v>131</v>
      </c>
      <c r="AD389" s="493" t="s">
        <v>2159</v>
      </c>
      <c r="AE389" s="493">
        <v>232000</v>
      </c>
      <c r="AF389" s="493">
        <v>23200</v>
      </c>
      <c r="AG389" s="493" t="s">
        <v>2168</v>
      </c>
      <c r="AH389" s="130">
        <f t="shared" si="76"/>
        <v>46180</v>
      </c>
      <c r="AI389" s="495">
        <v>46141</v>
      </c>
      <c r="AJ389" s="439">
        <f>P389*1.1</f>
        <v>255200.00000000003</v>
      </c>
      <c r="AK389" s="121">
        <f t="shared" ref="AK389:AK392" si="83">(P389*1.1)-AJ389</f>
        <v>0</v>
      </c>
      <c r="AL389" s="440" t="str">
        <f t="shared" ca="1" si="82"/>
        <v/>
      </c>
      <c r="AM389" s="440"/>
      <c r="AN389" s="440"/>
      <c r="AO389" s="440"/>
    </row>
    <row r="390" spans="1:41" ht="16.5" hidden="1" customHeight="1">
      <c r="A390" s="492" t="s">
        <v>2152</v>
      </c>
      <c r="B390" s="493" t="s">
        <v>2160</v>
      </c>
      <c r="C390" s="492" t="s">
        <v>2152</v>
      </c>
      <c r="D390" s="492" t="s">
        <v>2152</v>
      </c>
      <c r="E390" s="493" t="s">
        <v>116</v>
      </c>
      <c r="F390" s="493" t="s">
        <v>377</v>
      </c>
      <c r="G390" s="493" t="s">
        <v>117</v>
      </c>
      <c r="H390" s="493" t="s">
        <v>118</v>
      </c>
      <c r="I390" s="493" t="s">
        <v>119</v>
      </c>
      <c r="J390" s="493" t="s">
        <v>1681</v>
      </c>
      <c r="K390" s="493" t="s">
        <v>377</v>
      </c>
      <c r="L390" s="493" t="s">
        <v>1682</v>
      </c>
      <c r="M390" s="493" t="s">
        <v>1683</v>
      </c>
      <c r="N390" s="493" t="s">
        <v>1684</v>
      </c>
      <c r="O390" s="493">
        <v>7099400</v>
      </c>
      <c r="P390" s="439">
        <v>6454000</v>
      </c>
      <c r="Q390" s="493">
        <v>645400</v>
      </c>
      <c r="R390" s="493" t="s">
        <v>124</v>
      </c>
      <c r="S390" s="493" t="s">
        <v>382</v>
      </c>
      <c r="T390" s="493" t="s">
        <v>125</v>
      </c>
      <c r="U390" s="493" t="s">
        <v>126</v>
      </c>
      <c r="V390" s="493" t="s">
        <v>127</v>
      </c>
      <c r="W390" s="493" t="s">
        <v>128</v>
      </c>
      <c r="X390" s="493" t="s">
        <v>1685</v>
      </c>
      <c r="Y390" s="493" t="s">
        <v>377</v>
      </c>
      <c r="Z390" s="493" t="s">
        <v>2152</v>
      </c>
      <c r="AA390" s="493" t="s">
        <v>130</v>
      </c>
      <c r="AB390" s="493" t="s">
        <v>377</v>
      </c>
      <c r="AC390" s="493" t="s">
        <v>131</v>
      </c>
      <c r="AD390" s="493" t="s">
        <v>2161</v>
      </c>
      <c r="AE390" s="493">
        <v>6454000</v>
      </c>
      <c r="AF390" s="493">
        <v>645400</v>
      </c>
      <c r="AG390" s="493" t="s">
        <v>2169</v>
      </c>
      <c r="AH390" s="130">
        <f t="shared" si="76"/>
        <v>46180</v>
      </c>
      <c r="AI390" s="495">
        <v>46140</v>
      </c>
      <c r="AJ390" s="439">
        <f>P390*1.1</f>
        <v>7099400.0000000009</v>
      </c>
      <c r="AK390" s="121">
        <f t="shared" si="83"/>
        <v>0</v>
      </c>
      <c r="AL390" s="440" t="str">
        <f t="shared" ca="1" si="82"/>
        <v/>
      </c>
      <c r="AM390" s="440"/>
      <c r="AN390" s="440"/>
      <c r="AO390" s="440"/>
    </row>
    <row r="391" spans="1:41" ht="16.5" hidden="1" customHeight="1">
      <c r="A391" s="492" t="s">
        <v>2152</v>
      </c>
      <c r="B391" s="493" t="s">
        <v>2162</v>
      </c>
      <c r="C391" s="492" t="s">
        <v>2152</v>
      </c>
      <c r="D391" s="492" t="s">
        <v>2152</v>
      </c>
      <c r="E391" s="493" t="s">
        <v>116</v>
      </c>
      <c r="F391" s="493" t="s">
        <v>377</v>
      </c>
      <c r="G391" s="493" t="s">
        <v>117</v>
      </c>
      <c r="H391" s="493" t="s">
        <v>118</v>
      </c>
      <c r="I391" s="493" t="s">
        <v>119</v>
      </c>
      <c r="J391" s="493" t="s">
        <v>710</v>
      </c>
      <c r="K391" s="493" t="s">
        <v>377</v>
      </c>
      <c r="L391" s="493" t="s">
        <v>586</v>
      </c>
      <c r="M391" s="493" t="s">
        <v>711</v>
      </c>
      <c r="N391" s="493" t="s">
        <v>712</v>
      </c>
      <c r="O391" s="493">
        <v>14316280</v>
      </c>
      <c r="P391" s="439">
        <v>13014800</v>
      </c>
      <c r="Q391" s="493">
        <v>1301480</v>
      </c>
      <c r="R391" s="493" t="s">
        <v>124</v>
      </c>
      <c r="S391" s="493" t="s">
        <v>382</v>
      </c>
      <c r="T391" s="493" t="s">
        <v>125</v>
      </c>
      <c r="U391" s="493" t="s">
        <v>126</v>
      </c>
      <c r="V391" s="493" t="s">
        <v>127</v>
      </c>
      <c r="W391" s="493" t="s">
        <v>128</v>
      </c>
      <c r="X391" s="493" t="s">
        <v>713</v>
      </c>
      <c r="Y391" s="493" t="s">
        <v>377</v>
      </c>
      <c r="Z391" s="493" t="s">
        <v>2152</v>
      </c>
      <c r="AA391" s="493" t="s">
        <v>130</v>
      </c>
      <c r="AB391" s="493" t="s">
        <v>377</v>
      </c>
      <c r="AC391" s="493" t="s">
        <v>131</v>
      </c>
      <c r="AD391" s="493" t="s">
        <v>2163</v>
      </c>
      <c r="AE391" s="493">
        <v>13014800</v>
      </c>
      <c r="AF391" s="493">
        <v>1301480</v>
      </c>
      <c r="AG391" s="493" t="s">
        <v>2170</v>
      </c>
      <c r="AH391" s="130">
        <f t="shared" si="76"/>
        <v>46180</v>
      </c>
      <c r="AI391" s="495">
        <v>46164</v>
      </c>
      <c r="AJ391" s="439">
        <f t="shared" ref="AJ391:AJ392" si="84">P391*1.1</f>
        <v>14316280.000000002</v>
      </c>
      <c r="AK391" s="121">
        <f t="shared" si="83"/>
        <v>0</v>
      </c>
      <c r="AL391" s="440" t="str">
        <f t="shared" ca="1" si="82"/>
        <v/>
      </c>
      <c r="AM391" s="440"/>
      <c r="AN391" s="440"/>
      <c r="AO391" s="440"/>
    </row>
    <row r="392" spans="1:41" ht="16.5" hidden="1" customHeight="1">
      <c r="A392" s="492" t="s">
        <v>2152</v>
      </c>
      <c r="B392" s="493" t="s">
        <v>2164</v>
      </c>
      <c r="C392" s="492" t="s">
        <v>2152</v>
      </c>
      <c r="D392" s="492" t="s">
        <v>2152</v>
      </c>
      <c r="E392" s="493" t="s">
        <v>116</v>
      </c>
      <c r="F392" s="493" t="s">
        <v>377</v>
      </c>
      <c r="G392" s="493" t="s">
        <v>117</v>
      </c>
      <c r="H392" s="493" t="s">
        <v>118</v>
      </c>
      <c r="I392" s="493" t="s">
        <v>119</v>
      </c>
      <c r="J392" s="493" t="s">
        <v>1189</v>
      </c>
      <c r="K392" s="493" t="s">
        <v>377</v>
      </c>
      <c r="L392" s="493" t="s">
        <v>1190</v>
      </c>
      <c r="M392" s="493" t="s">
        <v>1191</v>
      </c>
      <c r="N392" s="493" t="s">
        <v>1192</v>
      </c>
      <c r="O392" s="493">
        <v>556160</v>
      </c>
      <c r="P392" s="439">
        <v>505600</v>
      </c>
      <c r="Q392" s="493">
        <v>50560</v>
      </c>
      <c r="R392" s="493" t="s">
        <v>124</v>
      </c>
      <c r="S392" s="493" t="s">
        <v>382</v>
      </c>
      <c r="T392" s="493" t="s">
        <v>125</v>
      </c>
      <c r="U392" s="493" t="s">
        <v>126</v>
      </c>
      <c r="V392" s="493" t="s">
        <v>127</v>
      </c>
      <c r="W392" s="493" t="s">
        <v>128</v>
      </c>
      <c r="X392" s="493" t="s">
        <v>1193</v>
      </c>
      <c r="Y392" s="493" t="s">
        <v>377</v>
      </c>
      <c r="Z392" s="493" t="s">
        <v>2152</v>
      </c>
      <c r="AA392" s="493" t="s">
        <v>130</v>
      </c>
      <c r="AB392" s="493" t="s">
        <v>377</v>
      </c>
      <c r="AC392" s="493" t="s">
        <v>131</v>
      </c>
      <c r="AD392" s="493" t="s">
        <v>2165</v>
      </c>
      <c r="AE392" s="493">
        <v>505600</v>
      </c>
      <c r="AF392" s="493">
        <v>50560</v>
      </c>
      <c r="AG392" s="493" t="s">
        <v>2171</v>
      </c>
      <c r="AH392" s="130">
        <f t="shared" si="76"/>
        <v>46180</v>
      </c>
      <c r="AI392" s="495">
        <v>46171</v>
      </c>
      <c r="AJ392" s="439">
        <f t="shared" si="84"/>
        <v>556160</v>
      </c>
      <c r="AK392" s="121">
        <f t="shared" si="83"/>
        <v>0</v>
      </c>
      <c r="AL392" s="440" t="str">
        <f t="shared" ca="1" si="82"/>
        <v/>
      </c>
      <c r="AM392" s="440"/>
      <c r="AN392" s="440"/>
      <c r="AO392" s="440"/>
    </row>
    <row r="393" spans="1:41" ht="16.5" hidden="1" customHeight="1">
      <c r="A393" s="492" t="s">
        <v>2192</v>
      </c>
      <c r="B393" s="493" t="s">
        <v>2193</v>
      </c>
      <c r="C393" s="492" t="s">
        <v>2192</v>
      </c>
      <c r="D393" s="492" t="s">
        <v>2192</v>
      </c>
      <c r="E393" s="493" t="s">
        <v>116</v>
      </c>
      <c r="F393" s="493" t="s">
        <v>377</v>
      </c>
      <c r="G393" s="493" t="s">
        <v>117</v>
      </c>
      <c r="H393" s="493" t="s">
        <v>118</v>
      </c>
      <c r="I393" s="493" t="s">
        <v>119</v>
      </c>
      <c r="J393" s="493" t="s">
        <v>1403</v>
      </c>
      <c r="K393" s="493" t="s">
        <v>377</v>
      </c>
      <c r="L393" s="493" t="s">
        <v>1404</v>
      </c>
      <c r="M393" s="493" t="s">
        <v>1405</v>
      </c>
      <c r="N393" s="493" t="s">
        <v>1406</v>
      </c>
      <c r="O393" s="493">
        <v>1612600</v>
      </c>
      <c r="P393" s="439">
        <v>1466000</v>
      </c>
      <c r="Q393" s="493">
        <v>146600</v>
      </c>
      <c r="R393" s="493" t="s">
        <v>124</v>
      </c>
      <c r="S393" s="493" t="s">
        <v>382</v>
      </c>
      <c r="T393" s="493" t="s">
        <v>125</v>
      </c>
      <c r="U393" s="493" t="s">
        <v>126</v>
      </c>
      <c r="V393" s="493" t="s">
        <v>127</v>
      </c>
      <c r="W393" s="493" t="s">
        <v>128</v>
      </c>
      <c r="X393" s="493" t="s">
        <v>1407</v>
      </c>
      <c r="Y393" s="493" t="s">
        <v>377</v>
      </c>
      <c r="Z393" s="493" t="s">
        <v>2192</v>
      </c>
      <c r="AA393" s="493" t="s">
        <v>130</v>
      </c>
      <c r="AB393" s="493" t="s">
        <v>377</v>
      </c>
      <c r="AC393" s="493" t="s">
        <v>131</v>
      </c>
      <c r="AD393" s="493" t="s">
        <v>2194</v>
      </c>
      <c r="AE393" s="493">
        <v>1466000</v>
      </c>
      <c r="AF393" s="493">
        <v>146600</v>
      </c>
      <c r="AG393" s="493" t="s">
        <v>1749</v>
      </c>
      <c r="AH393" s="130">
        <f t="shared" si="76"/>
        <v>46181</v>
      </c>
      <c r="AI393" s="495"/>
      <c r="AJ393" s="439"/>
      <c r="AK393" s="121">
        <f t="shared" ref="AK393:AK399" si="85">(P393*1.1)-AJ393</f>
        <v>1612600.0000000002</v>
      </c>
      <c r="AL393" s="440" t="str">
        <f t="shared" ref="AL393:AL399" ca="1" si="86">IF(OR(A393="",AK393=0),"",IF(TODAY()-A393&gt;=91,"장기미수",IF(TODAY()-A393&gt;=41,"관리","")))</f>
        <v/>
      </c>
      <c r="AM393" s="440"/>
      <c r="AN393" s="440"/>
      <c r="AO393" s="440"/>
    </row>
    <row r="394" spans="1:41" ht="16.5" hidden="1" customHeight="1">
      <c r="A394" s="492" t="s">
        <v>2192</v>
      </c>
      <c r="B394" s="493" t="s">
        <v>2195</v>
      </c>
      <c r="C394" s="492" t="s">
        <v>2192</v>
      </c>
      <c r="D394" s="492" t="s">
        <v>2192</v>
      </c>
      <c r="E394" s="493" t="s">
        <v>116</v>
      </c>
      <c r="F394" s="493" t="s">
        <v>377</v>
      </c>
      <c r="G394" s="493" t="s">
        <v>117</v>
      </c>
      <c r="H394" s="493" t="s">
        <v>118</v>
      </c>
      <c r="I394" s="493" t="s">
        <v>119</v>
      </c>
      <c r="J394" s="493" t="s">
        <v>836</v>
      </c>
      <c r="K394" s="493" t="s">
        <v>377</v>
      </c>
      <c r="L394" s="493" t="s">
        <v>837</v>
      </c>
      <c r="M394" s="493" t="s">
        <v>838</v>
      </c>
      <c r="N394" s="493" t="s">
        <v>839</v>
      </c>
      <c r="O394" s="493">
        <v>30085000</v>
      </c>
      <c r="P394" s="439">
        <v>27350000</v>
      </c>
      <c r="Q394" s="493">
        <v>2735000</v>
      </c>
      <c r="R394" s="493" t="s">
        <v>124</v>
      </c>
      <c r="S394" s="493" t="s">
        <v>382</v>
      </c>
      <c r="T394" s="493" t="s">
        <v>125</v>
      </c>
      <c r="U394" s="493" t="s">
        <v>126</v>
      </c>
      <c r="V394" s="493" t="s">
        <v>127</v>
      </c>
      <c r="W394" s="493" t="s">
        <v>128</v>
      </c>
      <c r="X394" s="493" t="s">
        <v>840</v>
      </c>
      <c r="Y394" s="493" t="s">
        <v>377</v>
      </c>
      <c r="Z394" s="493" t="s">
        <v>2192</v>
      </c>
      <c r="AA394" s="493" t="s">
        <v>130</v>
      </c>
      <c r="AB394" s="493" t="s">
        <v>377</v>
      </c>
      <c r="AC394" s="493" t="s">
        <v>131</v>
      </c>
      <c r="AD394" s="493" t="s">
        <v>2196</v>
      </c>
      <c r="AE394" s="493">
        <v>27350000</v>
      </c>
      <c r="AF394" s="493">
        <v>2735000</v>
      </c>
      <c r="AG394" s="493" t="s">
        <v>2206</v>
      </c>
      <c r="AH394" s="130">
        <f t="shared" si="76"/>
        <v>46181</v>
      </c>
      <c r="AI394" s="495">
        <v>46148</v>
      </c>
      <c r="AJ394" s="439">
        <f>P394*1.1</f>
        <v>30085000.000000004</v>
      </c>
      <c r="AK394" s="121">
        <f t="shared" si="85"/>
        <v>0</v>
      </c>
      <c r="AL394" s="440" t="str">
        <f t="shared" ca="1" si="86"/>
        <v/>
      </c>
      <c r="AM394" s="440"/>
      <c r="AN394" s="440"/>
      <c r="AO394" s="440"/>
    </row>
    <row r="395" spans="1:41" ht="16.5" hidden="1" customHeight="1">
      <c r="A395" s="492" t="s">
        <v>2192</v>
      </c>
      <c r="B395" s="493" t="s">
        <v>2197</v>
      </c>
      <c r="C395" s="492" t="s">
        <v>2192</v>
      </c>
      <c r="D395" s="492" t="s">
        <v>2192</v>
      </c>
      <c r="E395" s="493" t="s">
        <v>116</v>
      </c>
      <c r="F395" s="493" t="s">
        <v>377</v>
      </c>
      <c r="G395" s="493" t="s">
        <v>117</v>
      </c>
      <c r="H395" s="493" t="s">
        <v>118</v>
      </c>
      <c r="I395" s="493" t="s">
        <v>119</v>
      </c>
      <c r="J395" s="493" t="s">
        <v>1254</v>
      </c>
      <c r="K395" s="493" t="s">
        <v>377</v>
      </c>
      <c r="L395" s="493" t="s">
        <v>391</v>
      </c>
      <c r="M395" s="493" t="s">
        <v>1255</v>
      </c>
      <c r="N395" s="493" t="s">
        <v>1256</v>
      </c>
      <c r="O395" s="493">
        <v>155210</v>
      </c>
      <c r="P395" s="439">
        <v>141100</v>
      </c>
      <c r="Q395" s="493">
        <v>14110</v>
      </c>
      <c r="R395" s="493" t="s">
        <v>124</v>
      </c>
      <c r="S395" s="493" t="s">
        <v>382</v>
      </c>
      <c r="T395" s="493" t="s">
        <v>125</v>
      </c>
      <c r="U395" s="493" t="s">
        <v>126</v>
      </c>
      <c r="V395" s="493" t="s">
        <v>127</v>
      </c>
      <c r="W395" s="493" t="s">
        <v>128</v>
      </c>
      <c r="X395" s="493" t="s">
        <v>1257</v>
      </c>
      <c r="Y395" s="493" t="s">
        <v>377</v>
      </c>
      <c r="Z395" s="493" t="s">
        <v>2192</v>
      </c>
      <c r="AA395" s="493" t="s">
        <v>130</v>
      </c>
      <c r="AB395" s="493" t="s">
        <v>377</v>
      </c>
      <c r="AC395" s="493" t="s">
        <v>131</v>
      </c>
      <c r="AD395" s="493" t="s">
        <v>2198</v>
      </c>
      <c r="AE395" s="493">
        <v>141100</v>
      </c>
      <c r="AF395" s="493">
        <v>14110</v>
      </c>
      <c r="AG395" s="493" t="s">
        <v>2207</v>
      </c>
      <c r="AH395" s="130">
        <f t="shared" ref="AH395:AH456" si="87">IF(A395&lt;&gt;"", A395+40, "")</f>
        <v>46181</v>
      </c>
      <c r="AI395" s="495">
        <v>46171</v>
      </c>
      <c r="AJ395" s="439">
        <f>P395*1.1</f>
        <v>155210</v>
      </c>
      <c r="AK395" s="121">
        <f t="shared" si="85"/>
        <v>0</v>
      </c>
      <c r="AL395" s="440" t="str">
        <f t="shared" ca="1" si="86"/>
        <v/>
      </c>
      <c r="AM395" s="440"/>
      <c r="AN395" s="440"/>
      <c r="AO395" s="440"/>
    </row>
    <row r="396" spans="1:41" ht="16.5" hidden="1" customHeight="1">
      <c r="A396" s="492" t="s">
        <v>2192</v>
      </c>
      <c r="B396" s="493" t="s">
        <v>2199</v>
      </c>
      <c r="C396" s="492" t="s">
        <v>2192</v>
      </c>
      <c r="D396" s="492" t="s">
        <v>2192</v>
      </c>
      <c r="E396" s="493" t="s">
        <v>116</v>
      </c>
      <c r="F396" s="493" t="s">
        <v>377</v>
      </c>
      <c r="G396" s="493" t="s">
        <v>117</v>
      </c>
      <c r="H396" s="493" t="s">
        <v>118</v>
      </c>
      <c r="I396" s="493" t="s">
        <v>119</v>
      </c>
      <c r="J396" s="493" t="s">
        <v>911</v>
      </c>
      <c r="K396" s="493" t="s">
        <v>377</v>
      </c>
      <c r="L396" s="493" t="s">
        <v>912</v>
      </c>
      <c r="M396" s="493" t="s">
        <v>913</v>
      </c>
      <c r="N396" s="493" t="s">
        <v>914</v>
      </c>
      <c r="O396" s="493">
        <v>451000</v>
      </c>
      <c r="P396" s="439">
        <v>410000</v>
      </c>
      <c r="Q396" s="493">
        <v>41000</v>
      </c>
      <c r="R396" s="493" t="s">
        <v>124</v>
      </c>
      <c r="S396" s="493" t="s">
        <v>382</v>
      </c>
      <c r="T396" s="493" t="s">
        <v>125</v>
      </c>
      <c r="U396" s="493" t="s">
        <v>126</v>
      </c>
      <c r="V396" s="493" t="s">
        <v>127</v>
      </c>
      <c r="W396" s="493" t="s">
        <v>128</v>
      </c>
      <c r="X396" s="493" t="s">
        <v>915</v>
      </c>
      <c r="Y396" s="493" t="s">
        <v>377</v>
      </c>
      <c r="Z396" s="493" t="s">
        <v>2192</v>
      </c>
      <c r="AA396" s="493" t="s">
        <v>130</v>
      </c>
      <c r="AB396" s="493" t="s">
        <v>377</v>
      </c>
      <c r="AC396" s="493" t="s">
        <v>131</v>
      </c>
      <c r="AD396" s="493" t="s">
        <v>1624</v>
      </c>
      <c r="AE396" s="493">
        <v>410000</v>
      </c>
      <c r="AF396" s="493">
        <v>41000</v>
      </c>
      <c r="AG396" s="493" t="s">
        <v>1741</v>
      </c>
      <c r="AH396" s="130">
        <f t="shared" si="87"/>
        <v>46181</v>
      </c>
      <c r="AI396" s="495">
        <v>46149</v>
      </c>
      <c r="AJ396" s="439">
        <f>P396*1.1</f>
        <v>451000.00000000006</v>
      </c>
      <c r="AK396" s="121">
        <f t="shared" si="85"/>
        <v>0</v>
      </c>
      <c r="AL396" s="440" t="str">
        <f t="shared" ca="1" si="86"/>
        <v/>
      </c>
      <c r="AM396" s="440"/>
      <c r="AN396" s="440"/>
      <c r="AO396" s="440"/>
    </row>
    <row r="397" spans="1:41" ht="16.5" hidden="1" customHeight="1">
      <c r="A397" s="492" t="s">
        <v>2192</v>
      </c>
      <c r="B397" s="493" t="s">
        <v>2200</v>
      </c>
      <c r="C397" s="492" t="s">
        <v>2192</v>
      </c>
      <c r="D397" s="492" t="s">
        <v>2192</v>
      </c>
      <c r="E397" s="493" t="s">
        <v>116</v>
      </c>
      <c r="F397" s="493" t="s">
        <v>377</v>
      </c>
      <c r="G397" s="493" t="s">
        <v>117</v>
      </c>
      <c r="H397" s="493" t="s">
        <v>118</v>
      </c>
      <c r="I397" s="493" t="s">
        <v>119</v>
      </c>
      <c r="J397" s="493" t="s">
        <v>703</v>
      </c>
      <c r="K397" s="493" t="s">
        <v>377</v>
      </c>
      <c r="L397" s="493" t="s">
        <v>704</v>
      </c>
      <c r="M397" s="493" t="s">
        <v>705</v>
      </c>
      <c r="N397" s="493" t="s">
        <v>706</v>
      </c>
      <c r="O397" s="493">
        <v>561000</v>
      </c>
      <c r="P397" s="439">
        <v>510000</v>
      </c>
      <c r="Q397" s="493">
        <v>51000</v>
      </c>
      <c r="R397" s="493" t="s">
        <v>124</v>
      </c>
      <c r="S397" s="493" t="s">
        <v>382</v>
      </c>
      <c r="T397" s="493" t="s">
        <v>125</v>
      </c>
      <c r="U397" s="493" t="s">
        <v>126</v>
      </c>
      <c r="V397" s="493" t="s">
        <v>127</v>
      </c>
      <c r="W397" s="493" t="s">
        <v>128</v>
      </c>
      <c r="X397" s="493" t="s">
        <v>707</v>
      </c>
      <c r="Y397" s="493" t="s">
        <v>377</v>
      </c>
      <c r="Z397" s="493" t="s">
        <v>2192</v>
      </c>
      <c r="AA397" s="493" t="s">
        <v>130</v>
      </c>
      <c r="AB397" s="493" t="s">
        <v>377</v>
      </c>
      <c r="AC397" s="493" t="s">
        <v>131</v>
      </c>
      <c r="AD397" s="493" t="s">
        <v>2201</v>
      </c>
      <c r="AE397" s="493">
        <v>510000</v>
      </c>
      <c r="AF397" s="493">
        <v>51000</v>
      </c>
      <c r="AG397" s="493" t="s">
        <v>2208</v>
      </c>
      <c r="AH397" s="130">
        <f t="shared" si="87"/>
        <v>46181</v>
      </c>
      <c r="AI397" s="495"/>
      <c r="AJ397" s="439"/>
      <c r="AK397" s="121">
        <f t="shared" si="85"/>
        <v>561000</v>
      </c>
      <c r="AL397" s="440" t="str">
        <f t="shared" ca="1" si="86"/>
        <v/>
      </c>
      <c r="AM397" s="440"/>
      <c r="AN397" s="440"/>
      <c r="AO397" s="440"/>
    </row>
    <row r="398" spans="1:41" ht="16.5" hidden="1" customHeight="1">
      <c r="A398" s="492" t="s">
        <v>2192</v>
      </c>
      <c r="B398" s="493" t="s">
        <v>2202</v>
      </c>
      <c r="C398" s="492" t="s">
        <v>2192</v>
      </c>
      <c r="D398" s="492" t="s">
        <v>2192</v>
      </c>
      <c r="E398" s="493" t="s">
        <v>116</v>
      </c>
      <c r="F398" s="493" t="s">
        <v>377</v>
      </c>
      <c r="G398" s="493" t="s">
        <v>117</v>
      </c>
      <c r="H398" s="493" t="s">
        <v>118</v>
      </c>
      <c r="I398" s="493" t="s">
        <v>119</v>
      </c>
      <c r="J398" s="493" t="s">
        <v>378</v>
      </c>
      <c r="K398" s="493" t="s">
        <v>377</v>
      </c>
      <c r="L398" s="493" t="s">
        <v>379</v>
      </c>
      <c r="M398" s="493" t="s">
        <v>380</v>
      </c>
      <c r="N398" s="493" t="s">
        <v>381</v>
      </c>
      <c r="O398" s="493">
        <v>1352230</v>
      </c>
      <c r="P398" s="439">
        <v>1229300</v>
      </c>
      <c r="Q398" s="493">
        <v>122930</v>
      </c>
      <c r="R398" s="493" t="s">
        <v>124</v>
      </c>
      <c r="S398" s="493" t="s">
        <v>382</v>
      </c>
      <c r="T398" s="493" t="s">
        <v>125</v>
      </c>
      <c r="U398" s="493" t="s">
        <v>126</v>
      </c>
      <c r="V398" s="493" t="s">
        <v>127</v>
      </c>
      <c r="W398" s="493" t="s">
        <v>128</v>
      </c>
      <c r="X398" s="493" t="s">
        <v>383</v>
      </c>
      <c r="Y398" s="493" t="s">
        <v>377</v>
      </c>
      <c r="Z398" s="493" t="s">
        <v>2192</v>
      </c>
      <c r="AA398" s="493" t="s">
        <v>130</v>
      </c>
      <c r="AB398" s="493" t="s">
        <v>377</v>
      </c>
      <c r="AC398" s="493" t="s">
        <v>131</v>
      </c>
      <c r="AD398" s="493" t="s">
        <v>2203</v>
      </c>
      <c r="AE398" s="493">
        <v>1229300</v>
      </c>
      <c r="AF398" s="493">
        <v>122930</v>
      </c>
      <c r="AG398" s="493" t="s">
        <v>2209</v>
      </c>
      <c r="AH398" s="130">
        <f t="shared" si="87"/>
        <v>46181</v>
      </c>
      <c r="AI398" s="495"/>
      <c r="AJ398" s="439"/>
      <c r="AK398" s="121">
        <f t="shared" si="85"/>
        <v>1352230</v>
      </c>
      <c r="AL398" s="440" t="str">
        <f t="shared" ca="1" si="86"/>
        <v/>
      </c>
      <c r="AM398" s="440"/>
      <c r="AN398" s="440"/>
      <c r="AO398" s="440"/>
    </row>
    <row r="399" spans="1:41" ht="16.5" hidden="1" customHeight="1">
      <c r="A399" s="492" t="s">
        <v>2192</v>
      </c>
      <c r="B399" s="493" t="s">
        <v>2204</v>
      </c>
      <c r="C399" s="492" t="s">
        <v>2192</v>
      </c>
      <c r="D399" s="492" t="s">
        <v>2192</v>
      </c>
      <c r="E399" s="493" t="s">
        <v>116</v>
      </c>
      <c r="F399" s="493" t="s">
        <v>377</v>
      </c>
      <c r="G399" s="493" t="s">
        <v>117</v>
      </c>
      <c r="H399" s="493" t="s">
        <v>118</v>
      </c>
      <c r="I399" s="493" t="s">
        <v>119</v>
      </c>
      <c r="J399" s="493" t="s">
        <v>1270</v>
      </c>
      <c r="K399" s="493" t="s">
        <v>377</v>
      </c>
      <c r="L399" s="493" t="s">
        <v>1271</v>
      </c>
      <c r="M399" s="493" t="s">
        <v>1272</v>
      </c>
      <c r="N399" s="493" t="s">
        <v>1273</v>
      </c>
      <c r="O399" s="493">
        <v>13274140</v>
      </c>
      <c r="P399" s="439">
        <v>12067400</v>
      </c>
      <c r="Q399" s="493">
        <v>1206740</v>
      </c>
      <c r="R399" s="493" t="s">
        <v>124</v>
      </c>
      <c r="S399" s="493" t="s">
        <v>382</v>
      </c>
      <c r="T399" s="493" t="s">
        <v>125</v>
      </c>
      <c r="U399" s="493" t="s">
        <v>126</v>
      </c>
      <c r="V399" s="493" t="s">
        <v>127</v>
      </c>
      <c r="W399" s="493" t="s">
        <v>128</v>
      </c>
      <c r="X399" s="493" t="s">
        <v>1274</v>
      </c>
      <c r="Y399" s="493" t="s">
        <v>377</v>
      </c>
      <c r="Z399" s="493" t="s">
        <v>2192</v>
      </c>
      <c r="AA399" s="493" t="s">
        <v>130</v>
      </c>
      <c r="AB399" s="493" t="s">
        <v>377</v>
      </c>
      <c r="AC399" s="493" t="s">
        <v>131</v>
      </c>
      <c r="AD399" s="493" t="s">
        <v>2205</v>
      </c>
      <c r="AE399" s="493">
        <v>12067400</v>
      </c>
      <c r="AF399" s="493">
        <v>1206740</v>
      </c>
      <c r="AG399" s="493" t="s">
        <v>2210</v>
      </c>
      <c r="AH399" s="130">
        <f t="shared" si="87"/>
        <v>46181</v>
      </c>
      <c r="AI399" s="495">
        <v>46170</v>
      </c>
      <c r="AJ399" s="439">
        <f>P399*1.1</f>
        <v>13274140.000000002</v>
      </c>
      <c r="AK399" s="121">
        <f t="shared" si="85"/>
        <v>0</v>
      </c>
      <c r="AL399" s="440" t="str">
        <f t="shared" ca="1" si="86"/>
        <v/>
      </c>
      <c r="AM399" s="440"/>
      <c r="AN399" s="440"/>
      <c r="AO399" s="440"/>
    </row>
    <row r="400" spans="1:41" ht="16.5" hidden="1" customHeight="1">
      <c r="A400" s="492" t="s">
        <v>2211</v>
      </c>
      <c r="B400" s="493" t="s">
        <v>2266</v>
      </c>
      <c r="C400" s="492" t="s">
        <v>2211</v>
      </c>
      <c r="D400" s="492" t="s">
        <v>2211</v>
      </c>
      <c r="E400" s="493" t="s">
        <v>116</v>
      </c>
      <c r="F400" s="493" t="s">
        <v>377</v>
      </c>
      <c r="G400" s="493" t="s">
        <v>117</v>
      </c>
      <c r="H400" s="493" t="s">
        <v>118</v>
      </c>
      <c r="I400" s="493" t="s">
        <v>119</v>
      </c>
      <c r="J400" s="493" t="s">
        <v>628</v>
      </c>
      <c r="K400" s="493" t="s">
        <v>377</v>
      </c>
      <c r="L400" s="493" t="s">
        <v>629</v>
      </c>
      <c r="M400" s="493" t="s">
        <v>630</v>
      </c>
      <c r="N400" s="493" t="s">
        <v>631</v>
      </c>
      <c r="O400" s="493">
        <v>1976700</v>
      </c>
      <c r="P400" s="439">
        <v>1797000</v>
      </c>
      <c r="Q400" s="493">
        <v>179700</v>
      </c>
      <c r="R400" s="493" t="s">
        <v>124</v>
      </c>
      <c r="S400" s="493" t="s">
        <v>382</v>
      </c>
      <c r="T400" s="493" t="s">
        <v>125</v>
      </c>
      <c r="U400" s="493" t="s">
        <v>126</v>
      </c>
      <c r="V400" s="493" t="s">
        <v>127</v>
      </c>
      <c r="W400" s="493" t="s">
        <v>128</v>
      </c>
      <c r="X400" s="493" t="s">
        <v>632</v>
      </c>
      <c r="Y400" s="493" t="s">
        <v>377</v>
      </c>
      <c r="Z400" s="493" t="s">
        <v>2211</v>
      </c>
      <c r="AA400" s="493" t="s">
        <v>130</v>
      </c>
      <c r="AB400" s="493" t="s">
        <v>377</v>
      </c>
      <c r="AC400" s="493" t="s">
        <v>131</v>
      </c>
      <c r="AD400" s="493" t="s">
        <v>2267</v>
      </c>
      <c r="AE400" s="493">
        <v>1797000</v>
      </c>
      <c r="AF400" s="493">
        <v>179700</v>
      </c>
      <c r="AG400" s="493" t="s">
        <v>2275</v>
      </c>
      <c r="AH400" s="130">
        <f t="shared" si="87"/>
        <v>46182</v>
      </c>
      <c r="AI400" s="495">
        <v>46171</v>
      </c>
      <c r="AJ400" s="439">
        <f t="shared" ref="AJ400" si="88">P400*1.1</f>
        <v>1976700.0000000002</v>
      </c>
      <c r="AK400" s="121">
        <f t="shared" ref="AK400:AK407" si="89">(P400*1.1)-AJ400</f>
        <v>0</v>
      </c>
      <c r="AL400" s="440" t="str">
        <f t="shared" ref="AL400:AL407" ca="1" si="90">IF(OR(A400="",AK400=0),"",IF(TODAY()-A400&gt;=91,"장기미수",IF(TODAY()-A400&gt;=41,"관리","")))</f>
        <v/>
      </c>
      <c r="AM400" s="440"/>
      <c r="AN400" s="440"/>
      <c r="AO400" s="440"/>
    </row>
    <row r="401" spans="1:41" ht="16.5" hidden="1" customHeight="1">
      <c r="A401" s="492" t="s">
        <v>2211</v>
      </c>
      <c r="B401" s="493" t="s">
        <v>2268</v>
      </c>
      <c r="C401" s="492" t="s">
        <v>2211</v>
      </c>
      <c r="D401" s="492" t="s">
        <v>2211</v>
      </c>
      <c r="E401" s="493" t="s">
        <v>116</v>
      </c>
      <c r="F401" s="493" t="s">
        <v>377</v>
      </c>
      <c r="G401" s="493" t="s">
        <v>117</v>
      </c>
      <c r="H401" s="493" t="s">
        <v>118</v>
      </c>
      <c r="I401" s="493" t="s">
        <v>119</v>
      </c>
      <c r="J401" s="493" t="s">
        <v>905</v>
      </c>
      <c r="K401" s="493" t="s">
        <v>377</v>
      </c>
      <c r="L401" s="493" t="s">
        <v>340</v>
      </c>
      <c r="M401" s="493" t="s">
        <v>906</v>
      </c>
      <c r="N401" s="493" t="s">
        <v>907</v>
      </c>
      <c r="O401" s="493">
        <v>4527710</v>
      </c>
      <c r="P401" s="439">
        <v>4116100</v>
      </c>
      <c r="Q401" s="493">
        <v>411610</v>
      </c>
      <c r="R401" s="493" t="s">
        <v>124</v>
      </c>
      <c r="S401" s="493" t="s">
        <v>382</v>
      </c>
      <c r="T401" s="493" t="s">
        <v>125</v>
      </c>
      <c r="U401" s="493" t="s">
        <v>126</v>
      </c>
      <c r="V401" s="493" t="s">
        <v>127</v>
      </c>
      <c r="W401" s="493" t="s">
        <v>128</v>
      </c>
      <c r="X401" s="493" t="s">
        <v>908</v>
      </c>
      <c r="Y401" s="493" t="s">
        <v>377</v>
      </c>
      <c r="Z401" s="493" t="s">
        <v>2211</v>
      </c>
      <c r="AA401" s="493" t="s">
        <v>130</v>
      </c>
      <c r="AB401" s="493" t="s">
        <v>377</v>
      </c>
      <c r="AC401" s="493" t="s">
        <v>131</v>
      </c>
      <c r="AD401" s="493" t="s">
        <v>2269</v>
      </c>
      <c r="AE401" s="493">
        <v>4116100</v>
      </c>
      <c r="AF401" s="493">
        <v>411610</v>
      </c>
      <c r="AG401" s="493" t="s">
        <v>1741</v>
      </c>
      <c r="AH401" s="130">
        <f t="shared" si="87"/>
        <v>46182</v>
      </c>
      <c r="AI401" s="495"/>
      <c r="AJ401" s="439"/>
      <c r="AK401" s="121">
        <f t="shared" si="89"/>
        <v>4527710</v>
      </c>
      <c r="AL401" s="440" t="str">
        <f t="shared" ca="1" si="90"/>
        <v/>
      </c>
      <c r="AM401" s="440"/>
      <c r="AN401" s="440"/>
      <c r="AO401" s="440"/>
    </row>
    <row r="402" spans="1:41" ht="16.5" hidden="1" customHeight="1">
      <c r="A402" s="492" t="s">
        <v>2211</v>
      </c>
      <c r="B402" s="493" t="s">
        <v>2270</v>
      </c>
      <c r="C402" s="492" t="s">
        <v>2211</v>
      </c>
      <c r="D402" s="492" t="s">
        <v>2211</v>
      </c>
      <c r="E402" s="493" t="s">
        <v>116</v>
      </c>
      <c r="F402" s="493" t="s">
        <v>377</v>
      </c>
      <c r="G402" s="493" t="s">
        <v>117</v>
      </c>
      <c r="H402" s="493" t="s">
        <v>118</v>
      </c>
      <c r="I402" s="493" t="s">
        <v>119</v>
      </c>
      <c r="J402" s="493" t="s">
        <v>1577</v>
      </c>
      <c r="K402" s="493" t="s">
        <v>377</v>
      </c>
      <c r="L402" s="493" t="s">
        <v>1578</v>
      </c>
      <c r="M402" s="493" t="s">
        <v>1579</v>
      </c>
      <c r="N402" s="493" t="s">
        <v>1580</v>
      </c>
      <c r="O402" s="493">
        <v>1581250</v>
      </c>
      <c r="P402" s="439">
        <v>1437500</v>
      </c>
      <c r="Q402" s="493">
        <v>143750</v>
      </c>
      <c r="R402" s="493" t="s">
        <v>124</v>
      </c>
      <c r="S402" s="493" t="s">
        <v>382</v>
      </c>
      <c r="T402" s="493" t="s">
        <v>125</v>
      </c>
      <c r="U402" s="493" t="s">
        <v>126</v>
      </c>
      <c r="V402" s="493" t="s">
        <v>127</v>
      </c>
      <c r="W402" s="493" t="s">
        <v>128</v>
      </c>
      <c r="X402" s="493" t="s">
        <v>1581</v>
      </c>
      <c r="Y402" s="493" t="s">
        <v>377</v>
      </c>
      <c r="Z402" s="493" t="s">
        <v>2211</v>
      </c>
      <c r="AA402" s="493" t="s">
        <v>130</v>
      </c>
      <c r="AB402" s="493" t="s">
        <v>377</v>
      </c>
      <c r="AC402" s="493" t="s">
        <v>131</v>
      </c>
      <c r="AD402" s="493" t="s">
        <v>2271</v>
      </c>
      <c r="AE402" s="493">
        <v>1437500</v>
      </c>
      <c r="AF402" s="493">
        <v>143750</v>
      </c>
      <c r="AG402" s="493" t="s">
        <v>2276</v>
      </c>
      <c r="AH402" s="130">
        <f t="shared" si="87"/>
        <v>46182</v>
      </c>
      <c r="AI402" s="495"/>
      <c r="AJ402" s="439"/>
      <c r="AK402" s="121">
        <f t="shared" si="89"/>
        <v>1581250.0000000002</v>
      </c>
      <c r="AL402" s="440" t="str">
        <f t="shared" ca="1" si="90"/>
        <v/>
      </c>
      <c r="AM402" s="440"/>
      <c r="AN402" s="440"/>
      <c r="AO402" s="440"/>
    </row>
    <row r="403" spans="1:41" ht="16.5" hidden="1" customHeight="1">
      <c r="A403" s="492" t="s">
        <v>2211</v>
      </c>
      <c r="B403" s="493" t="s">
        <v>2272</v>
      </c>
      <c r="C403" s="492" t="s">
        <v>2211</v>
      </c>
      <c r="D403" s="492" t="s">
        <v>2211</v>
      </c>
      <c r="E403" s="493" t="s">
        <v>116</v>
      </c>
      <c r="F403" s="493" t="s">
        <v>377</v>
      </c>
      <c r="G403" s="493" t="s">
        <v>117</v>
      </c>
      <c r="H403" s="493" t="s">
        <v>118</v>
      </c>
      <c r="I403" s="493" t="s">
        <v>119</v>
      </c>
      <c r="J403" s="493" t="s">
        <v>911</v>
      </c>
      <c r="K403" s="493" t="s">
        <v>377</v>
      </c>
      <c r="L403" s="493" t="s">
        <v>912</v>
      </c>
      <c r="M403" s="493" t="s">
        <v>913</v>
      </c>
      <c r="N403" s="493" t="s">
        <v>914</v>
      </c>
      <c r="O403" s="493">
        <v>451000</v>
      </c>
      <c r="P403" s="439">
        <v>410000</v>
      </c>
      <c r="Q403" s="493">
        <v>41000</v>
      </c>
      <c r="R403" s="493" t="s">
        <v>124</v>
      </c>
      <c r="S403" s="493" t="s">
        <v>382</v>
      </c>
      <c r="T403" s="493" t="s">
        <v>125</v>
      </c>
      <c r="U403" s="493" t="s">
        <v>126</v>
      </c>
      <c r="V403" s="493" t="s">
        <v>127</v>
      </c>
      <c r="W403" s="493" t="s">
        <v>128</v>
      </c>
      <c r="X403" s="493" t="s">
        <v>915</v>
      </c>
      <c r="Y403" s="493" t="s">
        <v>377</v>
      </c>
      <c r="Z403" s="493" t="s">
        <v>2211</v>
      </c>
      <c r="AA403" s="493" t="s">
        <v>130</v>
      </c>
      <c r="AB403" s="493" t="s">
        <v>377</v>
      </c>
      <c r="AC403" s="493" t="s">
        <v>131</v>
      </c>
      <c r="AD403" s="493" t="s">
        <v>1624</v>
      </c>
      <c r="AE403" s="493">
        <v>410000</v>
      </c>
      <c r="AF403" s="493">
        <v>41000</v>
      </c>
      <c r="AG403" s="493" t="s">
        <v>1114</v>
      </c>
      <c r="AH403" s="130">
        <f t="shared" si="87"/>
        <v>46182</v>
      </c>
      <c r="AI403" s="495">
        <v>46149</v>
      </c>
      <c r="AJ403" s="439">
        <f>P403*1.1</f>
        <v>451000.00000000006</v>
      </c>
      <c r="AK403" s="121">
        <f t="shared" si="89"/>
        <v>0</v>
      </c>
      <c r="AL403" s="440" t="str">
        <f t="shared" ca="1" si="90"/>
        <v/>
      </c>
      <c r="AM403" s="440"/>
      <c r="AN403" s="440"/>
      <c r="AO403" s="440"/>
    </row>
    <row r="404" spans="1:41" ht="16.5" customHeight="1">
      <c r="A404" s="492" t="s">
        <v>2211</v>
      </c>
      <c r="B404" s="493" t="s">
        <v>2273</v>
      </c>
      <c r="C404" s="492" t="s">
        <v>2211</v>
      </c>
      <c r="D404" s="492" t="s">
        <v>2211</v>
      </c>
      <c r="E404" s="493" t="s">
        <v>116</v>
      </c>
      <c r="F404" s="493" t="s">
        <v>377</v>
      </c>
      <c r="G404" s="493" t="s">
        <v>117</v>
      </c>
      <c r="H404" s="493" t="s">
        <v>118</v>
      </c>
      <c r="I404" s="493" t="s">
        <v>119</v>
      </c>
      <c r="J404" s="493" t="s">
        <v>1722</v>
      </c>
      <c r="K404" s="493" t="s">
        <v>377</v>
      </c>
      <c r="L404" s="493" t="s">
        <v>1723</v>
      </c>
      <c r="M404" s="493" t="s">
        <v>1724</v>
      </c>
      <c r="N404" s="493" t="s">
        <v>1725</v>
      </c>
      <c r="O404" s="493">
        <v>1203400</v>
      </c>
      <c r="P404" s="439">
        <v>1094000</v>
      </c>
      <c r="Q404" s="493">
        <v>109400</v>
      </c>
      <c r="R404" s="493" t="s">
        <v>124</v>
      </c>
      <c r="S404" s="493" t="s">
        <v>382</v>
      </c>
      <c r="T404" s="493" t="s">
        <v>125</v>
      </c>
      <c r="U404" s="493" t="s">
        <v>126</v>
      </c>
      <c r="V404" s="493" t="s">
        <v>127</v>
      </c>
      <c r="W404" s="493" t="s">
        <v>128</v>
      </c>
      <c r="X404" s="493" t="s">
        <v>1726</v>
      </c>
      <c r="Y404" s="493" t="s">
        <v>377</v>
      </c>
      <c r="Z404" s="493" t="s">
        <v>2211</v>
      </c>
      <c r="AA404" s="493" t="s">
        <v>130</v>
      </c>
      <c r="AB404" s="493" t="s">
        <v>377</v>
      </c>
      <c r="AC404" s="493" t="s">
        <v>131</v>
      </c>
      <c r="AD404" s="493" t="s">
        <v>2274</v>
      </c>
      <c r="AE404" s="493">
        <v>1094000</v>
      </c>
      <c r="AF404" s="493">
        <v>109400</v>
      </c>
      <c r="AG404" s="493" t="s">
        <v>1741</v>
      </c>
      <c r="AH404" s="130">
        <f t="shared" si="87"/>
        <v>46182</v>
      </c>
      <c r="AI404" s="495">
        <v>46148</v>
      </c>
      <c r="AJ404" s="439"/>
      <c r="AK404" s="121">
        <f t="shared" si="89"/>
        <v>1203400</v>
      </c>
      <c r="AL404" s="440" t="str">
        <f t="shared" ca="1" si="90"/>
        <v/>
      </c>
      <c r="AM404" s="440"/>
      <c r="AN404" s="440"/>
      <c r="AO404" s="440"/>
    </row>
    <row r="405" spans="1:41" ht="16.5" hidden="1" customHeight="1">
      <c r="A405" s="492" t="s">
        <v>2211</v>
      </c>
      <c r="B405" s="493" t="s">
        <v>2212</v>
      </c>
      <c r="C405" s="492" t="s">
        <v>2211</v>
      </c>
      <c r="D405" s="492" t="s">
        <v>2211</v>
      </c>
      <c r="E405" s="493" t="s">
        <v>116</v>
      </c>
      <c r="F405" s="493" t="s">
        <v>377</v>
      </c>
      <c r="G405" s="493" t="s">
        <v>117</v>
      </c>
      <c r="H405" s="493" t="s">
        <v>118</v>
      </c>
      <c r="I405" s="493" t="s">
        <v>119</v>
      </c>
      <c r="J405" s="493" t="s">
        <v>1189</v>
      </c>
      <c r="K405" s="493" t="s">
        <v>377</v>
      </c>
      <c r="L405" s="493" t="s">
        <v>1190</v>
      </c>
      <c r="M405" s="493" t="s">
        <v>1191</v>
      </c>
      <c r="N405" s="493" t="s">
        <v>1192</v>
      </c>
      <c r="O405" s="493">
        <v>495330</v>
      </c>
      <c r="P405" s="439">
        <v>450300</v>
      </c>
      <c r="Q405" s="493">
        <v>45030</v>
      </c>
      <c r="R405" s="493" t="s">
        <v>124</v>
      </c>
      <c r="S405" s="493" t="s">
        <v>382</v>
      </c>
      <c r="T405" s="493" t="s">
        <v>125</v>
      </c>
      <c r="U405" s="493" t="s">
        <v>126</v>
      </c>
      <c r="V405" s="493" t="s">
        <v>127</v>
      </c>
      <c r="W405" s="493" t="s">
        <v>128</v>
      </c>
      <c r="X405" s="493" t="s">
        <v>1193</v>
      </c>
      <c r="Y405" s="493" t="s">
        <v>377</v>
      </c>
      <c r="Z405" s="493" t="s">
        <v>2211</v>
      </c>
      <c r="AA405" s="493" t="s">
        <v>130</v>
      </c>
      <c r="AB405" s="493" t="s">
        <v>377</v>
      </c>
      <c r="AC405" s="493" t="s">
        <v>131</v>
      </c>
      <c r="AD405" s="493" t="s">
        <v>2213</v>
      </c>
      <c r="AE405" s="493">
        <v>450300</v>
      </c>
      <c r="AF405" s="493">
        <v>45030</v>
      </c>
      <c r="AG405" s="493" t="s">
        <v>2171</v>
      </c>
      <c r="AH405" s="130">
        <f t="shared" si="87"/>
        <v>46182</v>
      </c>
      <c r="AI405" s="495">
        <v>46171</v>
      </c>
      <c r="AJ405" s="439">
        <f t="shared" ref="AJ405" si="91">P405*1.1</f>
        <v>495330.00000000006</v>
      </c>
      <c r="AK405" s="121">
        <f t="shared" si="89"/>
        <v>0</v>
      </c>
      <c r="AL405" s="440" t="str">
        <f t="shared" ca="1" si="90"/>
        <v/>
      </c>
      <c r="AM405" s="440"/>
      <c r="AN405" s="440"/>
      <c r="AO405" s="440"/>
    </row>
    <row r="406" spans="1:41" ht="16.5" hidden="1" customHeight="1">
      <c r="A406" s="492" t="s">
        <v>2211</v>
      </c>
      <c r="B406" s="493" t="s">
        <v>2214</v>
      </c>
      <c r="C406" s="492" t="s">
        <v>2211</v>
      </c>
      <c r="D406" s="492" t="s">
        <v>2211</v>
      </c>
      <c r="E406" s="493" t="s">
        <v>116</v>
      </c>
      <c r="F406" s="493" t="s">
        <v>377</v>
      </c>
      <c r="G406" s="493" t="s">
        <v>117</v>
      </c>
      <c r="H406" s="493" t="s">
        <v>118</v>
      </c>
      <c r="I406" s="493" t="s">
        <v>119</v>
      </c>
      <c r="J406" s="493" t="s">
        <v>1392</v>
      </c>
      <c r="K406" s="493" t="s">
        <v>377</v>
      </c>
      <c r="L406" s="493" t="s">
        <v>1393</v>
      </c>
      <c r="M406" s="493" t="s">
        <v>1394</v>
      </c>
      <c r="N406" s="493" t="s">
        <v>1395</v>
      </c>
      <c r="O406" s="493">
        <v>630080</v>
      </c>
      <c r="P406" s="439">
        <v>572800</v>
      </c>
      <c r="Q406" s="493">
        <v>57280</v>
      </c>
      <c r="R406" s="493" t="s">
        <v>124</v>
      </c>
      <c r="S406" s="493" t="s">
        <v>382</v>
      </c>
      <c r="T406" s="493" t="s">
        <v>125</v>
      </c>
      <c r="U406" s="493" t="s">
        <v>126</v>
      </c>
      <c r="V406" s="493" t="s">
        <v>127</v>
      </c>
      <c r="W406" s="493" t="s">
        <v>128</v>
      </c>
      <c r="X406" s="493" t="s">
        <v>1396</v>
      </c>
      <c r="Y406" s="493" t="s">
        <v>377</v>
      </c>
      <c r="Z406" s="493" t="s">
        <v>2211</v>
      </c>
      <c r="AA406" s="493" t="s">
        <v>130</v>
      </c>
      <c r="AB406" s="493" t="s">
        <v>377</v>
      </c>
      <c r="AC406" s="493" t="s">
        <v>131</v>
      </c>
      <c r="AD406" s="493" t="s">
        <v>2215</v>
      </c>
      <c r="AE406" s="493">
        <v>572800</v>
      </c>
      <c r="AF406" s="493">
        <v>57280</v>
      </c>
      <c r="AG406" s="493" t="s">
        <v>2148</v>
      </c>
      <c r="AH406" s="130">
        <f t="shared" si="87"/>
        <v>46182</v>
      </c>
      <c r="AI406" s="495">
        <v>46169</v>
      </c>
      <c r="AJ406" s="439">
        <f>P406*1.1</f>
        <v>630080</v>
      </c>
      <c r="AK406" s="121">
        <f t="shared" si="89"/>
        <v>0</v>
      </c>
      <c r="AL406" s="440" t="str">
        <f t="shared" ca="1" si="90"/>
        <v/>
      </c>
      <c r="AM406" s="440"/>
      <c r="AN406" s="440"/>
      <c r="AO406" s="440"/>
    </row>
    <row r="407" spans="1:41" ht="16.5" hidden="1" customHeight="1">
      <c r="A407" s="492" t="s">
        <v>2211</v>
      </c>
      <c r="B407" s="493" t="s">
        <v>2216</v>
      </c>
      <c r="C407" s="492" t="s">
        <v>2211</v>
      </c>
      <c r="D407" s="492" t="s">
        <v>2211</v>
      </c>
      <c r="E407" s="493" t="s">
        <v>116</v>
      </c>
      <c r="F407" s="493" t="s">
        <v>377</v>
      </c>
      <c r="G407" s="493" t="s">
        <v>117</v>
      </c>
      <c r="H407" s="493" t="s">
        <v>118</v>
      </c>
      <c r="I407" s="493" t="s">
        <v>119</v>
      </c>
      <c r="J407" s="493" t="s">
        <v>1827</v>
      </c>
      <c r="K407" s="493" t="s">
        <v>377</v>
      </c>
      <c r="L407" s="493" t="s">
        <v>1828</v>
      </c>
      <c r="M407" s="493" t="s">
        <v>1829</v>
      </c>
      <c r="N407" s="493" t="s">
        <v>1830</v>
      </c>
      <c r="O407" s="493">
        <v>6050000</v>
      </c>
      <c r="P407" s="439">
        <v>5500000</v>
      </c>
      <c r="Q407" s="493">
        <v>550000</v>
      </c>
      <c r="R407" s="493" t="s">
        <v>124</v>
      </c>
      <c r="S407" s="493" t="s">
        <v>382</v>
      </c>
      <c r="T407" s="493" t="s">
        <v>125</v>
      </c>
      <c r="U407" s="493" t="s">
        <v>126</v>
      </c>
      <c r="V407" s="493" t="s">
        <v>127</v>
      </c>
      <c r="W407" s="493" t="s">
        <v>128</v>
      </c>
      <c r="X407" s="493" t="s">
        <v>1831</v>
      </c>
      <c r="Y407" s="493" t="s">
        <v>377</v>
      </c>
      <c r="Z407" s="493" t="s">
        <v>2211</v>
      </c>
      <c r="AA407" s="493" t="s">
        <v>130</v>
      </c>
      <c r="AB407" s="493" t="s">
        <v>377</v>
      </c>
      <c r="AC407" s="493" t="s">
        <v>131</v>
      </c>
      <c r="AD407" s="493" t="s">
        <v>769</v>
      </c>
      <c r="AE407" s="493">
        <v>5500000</v>
      </c>
      <c r="AF407" s="493">
        <v>550000</v>
      </c>
      <c r="AG407" s="493" t="s">
        <v>2217</v>
      </c>
      <c r="AH407" s="130">
        <f t="shared" si="87"/>
        <v>46182</v>
      </c>
      <c r="AI407" s="495">
        <v>46142</v>
      </c>
      <c r="AJ407" s="439">
        <f>P407*1.1</f>
        <v>6050000.0000000009</v>
      </c>
      <c r="AK407" s="121">
        <f t="shared" si="89"/>
        <v>0</v>
      </c>
      <c r="AL407" s="440" t="str">
        <f t="shared" ca="1" si="90"/>
        <v/>
      </c>
      <c r="AM407" s="440"/>
      <c r="AN407" s="440"/>
      <c r="AO407" s="440"/>
    </row>
    <row r="408" spans="1:41" ht="16.5" hidden="1" customHeight="1">
      <c r="A408" s="492" t="s">
        <v>2277</v>
      </c>
      <c r="B408" s="493" t="s">
        <v>2319</v>
      </c>
      <c r="C408" s="492" t="s">
        <v>2318</v>
      </c>
      <c r="D408" s="492" t="s">
        <v>2318</v>
      </c>
      <c r="E408" s="493" t="s">
        <v>116</v>
      </c>
      <c r="F408" s="493" t="s">
        <v>377</v>
      </c>
      <c r="G408" s="493" t="s">
        <v>117</v>
      </c>
      <c r="H408" s="493" t="s">
        <v>118</v>
      </c>
      <c r="I408" s="493" t="s">
        <v>119</v>
      </c>
      <c r="J408" s="493" t="s">
        <v>2291</v>
      </c>
      <c r="K408" s="493" t="s">
        <v>377</v>
      </c>
      <c r="L408" s="493" t="s">
        <v>2292</v>
      </c>
      <c r="M408" s="493" t="s">
        <v>2293</v>
      </c>
      <c r="N408" s="493" t="s">
        <v>2294</v>
      </c>
      <c r="O408" s="493">
        <v>195800</v>
      </c>
      <c r="P408" s="439">
        <v>178000</v>
      </c>
      <c r="Q408" s="493">
        <v>17800</v>
      </c>
      <c r="R408" s="493" t="s">
        <v>441</v>
      </c>
      <c r="S408" s="493" t="s">
        <v>442</v>
      </c>
      <c r="T408" s="493" t="s">
        <v>125</v>
      </c>
      <c r="U408" s="493" t="s">
        <v>2320</v>
      </c>
      <c r="V408" s="493" t="s">
        <v>127</v>
      </c>
      <c r="W408" s="493" t="s">
        <v>128</v>
      </c>
      <c r="X408" s="493" t="s">
        <v>2295</v>
      </c>
      <c r="Y408" s="493" t="s">
        <v>377</v>
      </c>
      <c r="Z408" s="493" t="s">
        <v>2277</v>
      </c>
      <c r="AA408" s="493" t="s">
        <v>130</v>
      </c>
      <c r="AB408" s="493" t="s">
        <v>377</v>
      </c>
      <c r="AC408" s="493" t="s">
        <v>131</v>
      </c>
      <c r="AD408" s="493" t="s">
        <v>2321</v>
      </c>
      <c r="AE408" s="493">
        <v>178000</v>
      </c>
      <c r="AF408" s="493">
        <v>17800</v>
      </c>
      <c r="AG408" s="493" t="s">
        <v>2172</v>
      </c>
      <c r="AH408" s="130">
        <f t="shared" si="87"/>
        <v>46186</v>
      </c>
      <c r="AI408" s="495"/>
      <c r="AJ408" s="439"/>
      <c r="AK408" s="121">
        <f t="shared" ref="AK408:AK447" si="92">(P408*1.1)-AJ408</f>
        <v>195800.00000000003</v>
      </c>
      <c r="AL408" s="440" t="str">
        <f t="shared" ref="AL408:AL447" ca="1" si="93">IF(OR(A408="",AK408=0),"",IF(TODAY()-A408&gt;=91,"장기미수",IF(TODAY()-A408&gt;=41,"관리","")))</f>
        <v/>
      </c>
      <c r="AM408" s="440"/>
      <c r="AN408" s="440"/>
      <c r="AO408" s="440"/>
    </row>
    <row r="409" spans="1:41" ht="16.5" hidden="1" customHeight="1">
      <c r="A409" s="492" t="s">
        <v>2277</v>
      </c>
      <c r="B409" s="493" t="s">
        <v>2288</v>
      </c>
      <c r="C409" s="492" t="s">
        <v>2277</v>
      </c>
      <c r="D409" s="492" t="s">
        <v>2277</v>
      </c>
      <c r="E409" s="493" t="s">
        <v>116</v>
      </c>
      <c r="F409" s="493" t="s">
        <v>377</v>
      </c>
      <c r="G409" s="493" t="s">
        <v>117</v>
      </c>
      <c r="H409" s="493" t="s">
        <v>118</v>
      </c>
      <c r="I409" s="493" t="s">
        <v>119</v>
      </c>
      <c r="J409" s="493" t="s">
        <v>510</v>
      </c>
      <c r="K409" s="493" t="s">
        <v>377</v>
      </c>
      <c r="L409" s="493" t="s">
        <v>511</v>
      </c>
      <c r="M409" s="493" t="s">
        <v>2289</v>
      </c>
      <c r="N409" s="493" t="s">
        <v>513</v>
      </c>
      <c r="O409" s="493">
        <v>286000</v>
      </c>
      <c r="P409" s="439">
        <v>260000</v>
      </c>
      <c r="Q409" s="493">
        <v>26000</v>
      </c>
      <c r="R409" s="493" t="s">
        <v>124</v>
      </c>
      <c r="S409" s="493" t="s">
        <v>382</v>
      </c>
      <c r="T409" s="493" t="s">
        <v>125</v>
      </c>
      <c r="U409" s="493" t="s">
        <v>126</v>
      </c>
      <c r="V409" s="493" t="s">
        <v>127</v>
      </c>
      <c r="W409" s="493" t="s">
        <v>128</v>
      </c>
      <c r="X409" s="493" t="s">
        <v>514</v>
      </c>
      <c r="Y409" s="493" t="s">
        <v>377</v>
      </c>
      <c r="Z409" s="493" t="s">
        <v>2277</v>
      </c>
      <c r="AA409" s="493" t="s">
        <v>130</v>
      </c>
      <c r="AB409" s="493" t="s">
        <v>377</v>
      </c>
      <c r="AC409" s="493" t="s">
        <v>131</v>
      </c>
      <c r="AD409" s="493" t="s">
        <v>2290</v>
      </c>
      <c r="AE409" s="493">
        <v>260000</v>
      </c>
      <c r="AF409" s="493">
        <v>26000</v>
      </c>
      <c r="AG409" s="493" t="s">
        <v>1026</v>
      </c>
      <c r="AH409" s="130">
        <f t="shared" si="87"/>
        <v>46186</v>
      </c>
      <c r="AI409" s="495"/>
      <c r="AJ409" s="439"/>
      <c r="AK409" s="121">
        <f t="shared" si="92"/>
        <v>286000</v>
      </c>
      <c r="AL409" s="440" t="str">
        <f t="shared" ca="1" si="93"/>
        <v/>
      </c>
      <c r="AM409" s="440"/>
      <c r="AN409" s="440"/>
      <c r="AO409" s="440"/>
    </row>
    <row r="410" spans="1:41" ht="16.5" hidden="1" customHeight="1">
      <c r="A410" s="492" t="s">
        <v>2277</v>
      </c>
      <c r="B410" s="493" t="s">
        <v>2296</v>
      </c>
      <c r="C410" s="492" t="s">
        <v>2277</v>
      </c>
      <c r="D410" s="492" t="s">
        <v>2277</v>
      </c>
      <c r="E410" s="493" t="s">
        <v>116</v>
      </c>
      <c r="F410" s="493" t="s">
        <v>377</v>
      </c>
      <c r="G410" s="493" t="s">
        <v>117</v>
      </c>
      <c r="H410" s="493" t="s">
        <v>118</v>
      </c>
      <c r="I410" s="493" t="s">
        <v>119</v>
      </c>
      <c r="J410" s="493" t="s">
        <v>2297</v>
      </c>
      <c r="K410" s="493" t="s">
        <v>377</v>
      </c>
      <c r="L410" s="493" t="s">
        <v>2298</v>
      </c>
      <c r="M410" s="493" t="s">
        <v>2299</v>
      </c>
      <c r="N410" s="493" t="s">
        <v>2300</v>
      </c>
      <c r="O410" s="493">
        <v>2341240</v>
      </c>
      <c r="P410" s="439">
        <v>2128400</v>
      </c>
      <c r="Q410" s="493">
        <v>212840</v>
      </c>
      <c r="R410" s="493" t="s">
        <v>124</v>
      </c>
      <c r="S410" s="493" t="s">
        <v>382</v>
      </c>
      <c r="T410" s="493" t="s">
        <v>125</v>
      </c>
      <c r="U410" s="493" t="s">
        <v>126</v>
      </c>
      <c r="V410" s="493" t="s">
        <v>127</v>
      </c>
      <c r="W410" s="493" t="s">
        <v>128</v>
      </c>
      <c r="X410" s="493" t="s">
        <v>2301</v>
      </c>
      <c r="Y410" s="493" t="s">
        <v>377</v>
      </c>
      <c r="Z410" s="493" t="s">
        <v>2277</v>
      </c>
      <c r="AA410" s="493" t="s">
        <v>130</v>
      </c>
      <c r="AB410" s="493" t="s">
        <v>377</v>
      </c>
      <c r="AC410" s="493" t="s">
        <v>131</v>
      </c>
      <c r="AD410" s="493" t="s">
        <v>2302</v>
      </c>
      <c r="AE410" s="493">
        <v>2128400</v>
      </c>
      <c r="AF410" s="493">
        <v>212840</v>
      </c>
      <c r="AG410" s="493" t="s">
        <v>2311</v>
      </c>
      <c r="AH410" s="130">
        <f t="shared" si="87"/>
        <v>46186</v>
      </c>
      <c r="AI410" s="495">
        <v>46149</v>
      </c>
      <c r="AJ410" s="439">
        <f>P410*1.1</f>
        <v>2341240</v>
      </c>
      <c r="AK410" s="121">
        <f t="shared" si="92"/>
        <v>0</v>
      </c>
      <c r="AL410" s="440" t="str">
        <f t="shared" ca="1" si="93"/>
        <v/>
      </c>
      <c r="AM410" s="440"/>
      <c r="AN410" s="440"/>
      <c r="AO410" s="440"/>
    </row>
    <row r="411" spans="1:41" ht="16.5" hidden="1" customHeight="1">
      <c r="A411" s="492" t="s">
        <v>2277</v>
      </c>
      <c r="B411" s="493" t="s">
        <v>2303</v>
      </c>
      <c r="C411" s="492" t="s">
        <v>2277</v>
      </c>
      <c r="D411" s="492" t="s">
        <v>2277</v>
      </c>
      <c r="E411" s="493" t="s">
        <v>116</v>
      </c>
      <c r="F411" s="493" t="s">
        <v>377</v>
      </c>
      <c r="G411" s="493" t="s">
        <v>117</v>
      </c>
      <c r="H411" s="493" t="s">
        <v>118</v>
      </c>
      <c r="I411" s="493" t="s">
        <v>119</v>
      </c>
      <c r="J411" s="493" t="s">
        <v>808</v>
      </c>
      <c r="K411" s="493" t="s">
        <v>377</v>
      </c>
      <c r="L411" s="493" t="s">
        <v>809</v>
      </c>
      <c r="M411" s="493" t="s">
        <v>810</v>
      </c>
      <c r="N411" s="493" t="s">
        <v>811</v>
      </c>
      <c r="O411" s="493">
        <v>196460</v>
      </c>
      <c r="P411" s="439">
        <v>178600</v>
      </c>
      <c r="Q411" s="493">
        <v>17860</v>
      </c>
      <c r="R411" s="493" t="s">
        <v>124</v>
      </c>
      <c r="S411" s="493" t="s">
        <v>382</v>
      </c>
      <c r="T411" s="493" t="s">
        <v>125</v>
      </c>
      <c r="U411" s="493" t="s">
        <v>445</v>
      </c>
      <c r="V411" s="493" t="s">
        <v>127</v>
      </c>
      <c r="W411" s="493" t="s">
        <v>128</v>
      </c>
      <c r="X411" s="493" t="s">
        <v>812</v>
      </c>
      <c r="Y411" s="493" t="s">
        <v>377</v>
      </c>
      <c r="Z411" s="493" t="s">
        <v>2277</v>
      </c>
      <c r="AA411" s="493" t="s">
        <v>130</v>
      </c>
      <c r="AB411" s="493" t="s">
        <v>377</v>
      </c>
      <c r="AC411" s="493" t="s">
        <v>131</v>
      </c>
      <c r="AD411" s="493" t="s">
        <v>2304</v>
      </c>
      <c r="AE411" s="493">
        <v>178600</v>
      </c>
      <c r="AF411" s="493">
        <v>17860</v>
      </c>
      <c r="AG411" s="493" t="s">
        <v>571</v>
      </c>
      <c r="AH411" s="130">
        <f t="shared" si="87"/>
        <v>46186</v>
      </c>
      <c r="AI411" s="495"/>
      <c r="AJ411" s="439"/>
      <c r="AK411" s="121">
        <f t="shared" si="92"/>
        <v>196460.00000000003</v>
      </c>
      <c r="AL411" s="440" t="str">
        <f t="shared" ca="1" si="93"/>
        <v/>
      </c>
      <c r="AM411" s="440" t="s">
        <v>2412</v>
      </c>
      <c r="AN411" s="440"/>
      <c r="AO411" s="440"/>
    </row>
    <row r="412" spans="1:41" ht="16.5" hidden="1" customHeight="1">
      <c r="A412" s="492" t="s">
        <v>2277</v>
      </c>
      <c r="B412" s="493" t="s">
        <v>2305</v>
      </c>
      <c r="C412" s="492" t="s">
        <v>2277</v>
      </c>
      <c r="D412" s="492" t="s">
        <v>2277</v>
      </c>
      <c r="E412" s="493" t="s">
        <v>116</v>
      </c>
      <c r="F412" s="493" t="s">
        <v>377</v>
      </c>
      <c r="G412" s="493" t="s">
        <v>117</v>
      </c>
      <c r="H412" s="493" t="s">
        <v>118</v>
      </c>
      <c r="I412" s="493" t="s">
        <v>119</v>
      </c>
      <c r="J412" s="493" t="s">
        <v>898</v>
      </c>
      <c r="K412" s="493" t="s">
        <v>377</v>
      </c>
      <c r="L412" s="493" t="s">
        <v>899</v>
      </c>
      <c r="M412" s="493" t="s">
        <v>900</v>
      </c>
      <c r="N412" s="493" t="s">
        <v>901</v>
      </c>
      <c r="O412" s="493">
        <v>661760</v>
      </c>
      <c r="P412" s="439">
        <v>601600</v>
      </c>
      <c r="Q412" s="493">
        <v>60160</v>
      </c>
      <c r="R412" s="493" t="s">
        <v>124</v>
      </c>
      <c r="S412" s="493" t="s">
        <v>382</v>
      </c>
      <c r="T412" s="493" t="s">
        <v>125</v>
      </c>
      <c r="U412" s="493" t="s">
        <v>126</v>
      </c>
      <c r="V412" s="493" t="s">
        <v>127</v>
      </c>
      <c r="W412" s="493" t="s">
        <v>128</v>
      </c>
      <c r="X412" s="493" t="s">
        <v>377</v>
      </c>
      <c r="Y412" s="493" t="s">
        <v>902</v>
      </c>
      <c r="Z412" s="493" t="s">
        <v>2277</v>
      </c>
      <c r="AA412" s="493" t="s">
        <v>130</v>
      </c>
      <c r="AB412" s="493" t="s">
        <v>377</v>
      </c>
      <c r="AC412" s="493" t="s">
        <v>131</v>
      </c>
      <c r="AD412" s="493" t="s">
        <v>2306</v>
      </c>
      <c r="AE412" s="493">
        <v>601600</v>
      </c>
      <c r="AF412" s="493">
        <v>60160</v>
      </c>
      <c r="AG412" s="493" t="s">
        <v>2312</v>
      </c>
      <c r="AH412" s="130">
        <f t="shared" si="87"/>
        <v>46186</v>
      </c>
      <c r="AI412" s="495"/>
      <c r="AJ412" s="439"/>
      <c r="AK412" s="121">
        <f t="shared" si="92"/>
        <v>661760</v>
      </c>
      <c r="AL412" s="440" t="str">
        <f t="shared" ca="1" si="93"/>
        <v/>
      </c>
      <c r="AM412" s="440"/>
      <c r="AN412" s="440"/>
      <c r="AO412" s="440"/>
    </row>
    <row r="413" spans="1:41" ht="16.5" hidden="1" customHeight="1">
      <c r="A413" s="492" t="s">
        <v>2277</v>
      </c>
      <c r="B413" s="493" t="s">
        <v>2307</v>
      </c>
      <c r="C413" s="492" t="s">
        <v>2277</v>
      </c>
      <c r="D413" s="492" t="s">
        <v>2277</v>
      </c>
      <c r="E413" s="493" t="s">
        <v>116</v>
      </c>
      <c r="F413" s="493" t="s">
        <v>377</v>
      </c>
      <c r="G413" s="493" t="s">
        <v>117</v>
      </c>
      <c r="H413" s="493" t="s">
        <v>118</v>
      </c>
      <c r="I413" s="493" t="s">
        <v>119</v>
      </c>
      <c r="J413" s="493" t="s">
        <v>2291</v>
      </c>
      <c r="K413" s="493" t="s">
        <v>377</v>
      </c>
      <c r="L413" s="493" t="s">
        <v>2292</v>
      </c>
      <c r="M413" s="493" t="s">
        <v>2293</v>
      </c>
      <c r="N413" s="493" t="s">
        <v>2294</v>
      </c>
      <c r="O413" s="493">
        <v>743380</v>
      </c>
      <c r="P413" s="439">
        <v>675800</v>
      </c>
      <c r="Q413" s="493">
        <v>67580</v>
      </c>
      <c r="R413" s="493" t="s">
        <v>124</v>
      </c>
      <c r="S413" s="493" t="s">
        <v>382</v>
      </c>
      <c r="T413" s="493" t="s">
        <v>125</v>
      </c>
      <c r="U413" s="493" t="s">
        <v>126</v>
      </c>
      <c r="V413" s="493" t="s">
        <v>127</v>
      </c>
      <c r="W413" s="493" t="s">
        <v>128</v>
      </c>
      <c r="X413" s="493" t="s">
        <v>2295</v>
      </c>
      <c r="Y413" s="493" t="s">
        <v>377</v>
      </c>
      <c r="Z413" s="493" t="s">
        <v>2277</v>
      </c>
      <c r="AA413" s="493" t="s">
        <v>130</v>
      </c>
      <c r="AB413" s="493" t="s">
        <v>377</v>
      </c>
      <c r="AC413" s="493" t="s">
        <v>131</v>
      </c>
      <c r="AD413" s="493" t="s">
        <v>2308</v>
      </c>
      <c r="AE413" s="493">
        <v>675800</v>
      </c>
      <c r="AF413" s="493">
        <v>67580</v>
      </c>
      <c r="AG413" s="493" t="s">
        <v>2172</v>
      </c>
      <c r="AH413" s="130">
        <f t="shared" si="87"/>
        <v>46186</v>
      </c>
      <c r="AI413" s="495"/>
      <c r="AJ413" s="439"/>
      <c r="AK413" s="121">
        <f t="shared" si="92"/>
        <v>743380.00000000012</v>
      </c>
      <c r="AL413" s="440" t="str">
        <f t="shared" ca="1" si="93"/>
        <v/>
      </c>
      <c r="AM413" s="440"/>
      <c r="AN413" s="440"/>
      <c r="AO413" s="440"/>
    </row>
    <row r="414" spans="1:41" ht="16.5" hidden="1" customHeight="1">
      <c r="A414" s="492" t="s">
        <v>2277</v>
      </c>
      <c r="B414" s="493" t="s">
        <v>2309</v>
      </c>
      <c r="C414" s="492" t="s">
        <v>2277</v>
      </c>
      <c r="D414" s="492" t="s">
        <v>2277</v>
      </c>
      <c r="E414" s="493" t="s">
        <v>116</v>
      </c>
      <c r="F414" s="493" t="s">
        <v>377</v>
      </c>
      <c r="G414" s="493" t="s">
        <v>117</v>
      </c>
      <c r="H414" s="493" t="s">
        <v>118</v>
      </c>
      <c r="I414" s="493" t="s">
        <v>119</v>
      </c>
      <c r="J414" s="493" t="s">
        <v>2077</v>
      </c>
      <c r="K414" s="493" t="s">
        <v>377</v>
      </c>
      <c r="L414" s="493" t="s">
        <v>2078</v>
      </c>
      <c r="M414" s="493" t="s">
        <v>2079</v>
      </c>
      <c r="N414" s="493" t="s">
        <v>2080</v>
      </c>
      <c r="O414" s="493">
        <v>1954590</v>
      </c>
      <c r="P414" s="439">
        <v>1776900</v>
      </c>
      <c r="Q414" s="493">
        <v>177690</v>
      </c>
      <c r="R414" s="493" t="s">
        <v>124</v>
      </c>
      <c r="S414" s="493" t="s">
        <v>382</v>
      </c>
      <c r="T414" s="493" t="s">
        <v>125</v>
      </c>
      <c r="U414" s="493" t="s">
        <v>126</v>
      </c>
      <c r="V414" s="493" t="s">
        <v>127</v>
      </c>
      <c r="W414" s="493" t="s">
        <v>128</v>
      </c>
      <c r="X414" s="493" t="s">
        <v>2081</v>
      </c>
      <c r="Y414" s="493" t="s">
        <v>377</v>
      </c>
      <c r="Z414" s="493" t="s">
        <v>2277</v>
      </c>
      <c r="AA414" s="493" t="s">
        <v>130</v>
      </c>
      <c r="AB414" s="493" t="s">
        <v>377</v>
      </c>
      <c r="AC414" s="493" t="s">
        <v>131</v>
      </c>
      <c r="AD414" s="493" t="s">
        <v>2310</v>
      </c>
      <c r="AE414" s="493">
        <v>1776900</v>
      </c>
      <c r="AF414" s="493">
        <v>177690</v>
      </c>
      <c r="AG414" s="493" t="s">
        <v>2089</v>
      </c>
      <c r="AH414" s="130">
        <f t="shared" si="87"/>
        <v>46186</v>
      </c>
      <c r="AI414" s="495"/>
      <c r="AJ414" s="439"/>
      <c r="AK414" s="121">
        <f t="shared" si="92"/>
        <v>1954590.0000000002</v>
      </c>
      <c r="AL414" s="440" t="str">
        <f t="shared" ca="1" si="93"/>
        <v/>
      </c>
      <c r="AM414" s="440"/>
      <c r="AN414" s="440"/>
      <c r="AO414" s="440"/>
    </row>
    <row r="415" spans="1:41" ht="16.5" hidden="1" customHeight="1">
      <c r="A415" s="492" t="s">
        <v>2277</v>
      </c>
      <c r="B415" s="493" t="s">
        <v>2278</v>
      </c>
      <c r="C415" s="492" t="s">
        <v>2277</v>
      </c>
      <c r="D415" s="492" t="s">
        <v>2277</v>
      </c>
      <c r="E415" s="493" t="s">
        <v>116</v>
      </c>
      <c r="F415" s="493" t="s">
        <v>377</v>
      </c>
      <c r="G415" s="493" t="s">
        <v>117</v>
      </c>
      <c r="H415" s="493" t="s">
        <v>118</v>
      </c>
      <c r="I415" s="493" t="s">
        <v>119</v>
      </c>
      <c r="J415" s="493" t="s">
        <v>2279</v>
      </c>
      <c r="K415" s="493" t="s">
        <v>377</v>
      </c>
      <c r="L415" s="493" t="s">
        <v>2280</v>
      </c>
      <c r="M415" s="493" t="s">
        <v>2281</v>
      </c>
      <c r="N415" s="493" t="s">
        <v>2282</v>
      </c>
      <c r="O415" s="493">
        <v>3986400</v>
      </c>
      <c r="P415" s="439">
        <v>3624000</v>
      </c>
      <c r="Q415" s="493">
        <v>362400</v>
      </c>
      <c r="R415" s="493" t="s">
        <v>124</v>
      </c>
      <c r="S415" s="493" t="s">
        <v>382</v>
      </c>
      <c r="T415" s="493" t="s">
        <v>125</v>
      </c>
      <c r="U415" s="493" t="s">
        <v>126</v>
      </c>
      <c r="V415" s="493" t="s">
        <v>127</v>
      </c>
      <c r="W415" s="493" t="s">
        <v>128</v>
      </c>
      <c r="X415" s="493" t="s">
        <v>2283</v>
      </c>
      <c r="Y415" s="493" t="s">
        <v>377</v>
      </c>
      <c r="Z415" s="493" t="s">
        <v>2277</v>
      </c>
      <c r="AA415" s="493" t="s">
        <v>130</v>
      </c>
      <c r="AB415" s="493" t="s">
        <v>377</v>
      </c>
      <c r="AC415" s="493" t="s">
        <v>131</v>
      </c>
      <c r="AD415" s="493" t="s">
        <v>2284</v>
      </c>
      <c r="AE415" s="493">
        <v>3624000</v>
      </c>
      <c r="AF415" s="493">
        <v>362400</v>
      </c>
      <c r="AG415" s="493" t="s">
        <v>2287</v>
      </c>
      <c r="AH415" s="130">
        <f t="shared" si="87"/>
        <v>46186</v>
      </c>
      <c r="AI415" s="495">
        <v>46153</v>
      </c>
      <c r="AJ415" s="439">
        <f>P415*1.1</f>
        <v>3986400.0000000005</v>
      </c>
      <c r="AK415" s="121">
        <f t="shared" si="92"/>
        <v>0</v>
      </c>
      <c r="AL415" s="440" t="str">
        <f t="shared" ca="1" si="93"/>
        <v/>
      </c>
      <c r="AM415" s="440"/>
      <c r="AN415" s="440"/>
      <c r="AO415" s="440"/>
    </row>
    <row r="416" spans="1:41" ht="16.5" hidden="1" customHeight="1">
      <c r="A416" s="492" t="s">
        <v>2277</v>
      </c>
      <c r="B416" s="493" t="s">
        <v>2285</v>
      </c>
      <c r="C416" s="492" t="s">
        <v>2277</v>
      </c>
      <c r="D416" s="492" t="s">
        <v>2277</v>
      </c>
      <c r="E416" s="493" t="s">
        <v>116</v>
      </c>
      <c r="F416" s="493" t="s">
        <v>377</v>
      </c>
      <c r="G416" s="493" t="s">
        <v>117</v>
      </c>
      <c r="H416" s="493" t="s">
        <v>118</v>
      </c>
      <c r="I416" s="493" t="s">
        <v>119</v>
      </c>
      <c r="J416" s="493" t="s">
        <v>828</v>
      </c>
      <c r="K416" s="493" t="s">
        <v>377</v>
      </c>
      <c r="L416" s="493" t="s">
        <v>829</v>
      </c>
      <c r="M416" s="493" t="s">
        <v>830</v>
      </c>
      <c r="N416" s="493" t="s">
        <v>831</v>
      </c>
      <c r="O416" s="493">
        <v>30250000</v>
      </c>
      <c r="P416" s="439">
        <v>27500000</v>
      </c>
      <c r="Q416" s="493">
        <v>2750000</v>
      </c>
      <c r="R416" s="493" t="s">
        <v>124</v>
      </c>
      <c r="S416" s="493" t="s">
        <v>382</v>
      </c>
      <c r="T416" s="493" t="s">
        <v>125</v>
      </c>
      <c r="U416" s="493" t="s">
        <v>126</v>
      </c>
      <c r="V416" s="493" t="s">
        <v>127</v>
      </c>
      <c r="W416" s="493" t="s">
        <v>128</v>
      </c>
      <c r="X416" s="493" t="s">
        <v>832</v>
      </c>
      <c r="Y416" s="493" t="s">
        <v>377</v>
      </c>
      <c r="Z416" s="493" t="s">
        <v>2277</v>
      </c>
      <c r="AA416" s="493" t="s">
        <v>130</v>
      </c>
      <c r="AB416" s="493" t="s">
        <v>377</v>
      </c>
      <c r="AC416" s="493" t="s">
        <v>131</v>
      </c>
      <c r="AD416" s="493" t="s">
        <v>2286</v>
      </c>
      <c r="AE416" s="493">
        <v>27500000</v>
      </c>
      <c r="AF416" s="493">
        <v>2750000</v>
      </c>
      <c r="AG416" s="493" t="s">
        <v>814</v>
      </c>
      <c r="AH416" s="130">
        <f t="shared" si="87"/>
        <v>46186</v>
      </c>
      <c r="AI416" s="495"/>
      <c r="AJ416" s="439"/>
      <c r="AK416" s="121">
        <f t="shared" si="92"/>
        <v>30250000.000000004</v>
      </c>
      <c r="AL416" s="440" t="str">
        <f t="shared" ca="1" si="93"/>
        <v/>
      </c>
      <c r="AM416" s="440"/>
      <c r="AN416" s="440"/>
      <c r="AO416" s="440"/>
    </row>
    <row r="417" spans="1:41" ht="16.5" hidden="1" customHeight="1">
      <c r="A417" s="492" t="s">
        <v>2365</v>
      </c>
      <c r="B417" s="493" t="s">
        <v>2366</v>
      </c>
      <c r="C417" s="492" t="s">
        <v>2365</v>
      </c>
      <c r="D417" s="492" t="s">
        <v>2365</v>
      </c>
      <c r="E417" s="493" t="s">
        <v>116</v>
      </c>
      <c r="F417" s="493" t="s">
        <v>377</v>
      </c>
      <c r="G417" s="493" t="s">
        <v>117</v>
      </c>
      <c r="H417" s="493" t="s">
        <v>118</v>
      </c>
      <c r="I417" s="493" t="s">
        <v>119</v>
      </c>
      <c r="J417" s="493" t="s">
        <v>2367</v>
      </c>
      <c r="K417" s="493" t="s">
        <v>377</v>
      </c>
      <c r="L417" s="493" t="s">
        <v>2368</v>
      </c>
      <c r="M417" s="493" t="s">
        <v>2369</v>
      </c>
      <c r="N417" s="493" t="s">
        <v>2370</v>
      </c>
      <c r="O417" s="493">
        <v>827200</v>
      </c>
      <c r="P417" s="439">
        <v>752000</v>
      </c>
      <c r="Q417" s="493">
        <v>75200</v>
      </c>
      <c r="R417" s="493" t="s">
        <v>124</v>
      </c>
      <c r="S417" s="493" t="s">
        <v>382</v>
      </c>
      <c r="T417" s="493" t="s">
        <v>125</v>
      </c>
      <c r="U417" s="493" t="s">
        <v>377</v>
      </c>
      <c r="V417" s="493" t="s">
        <v>127</v>
      </c>
      <c r="W417" s="493" t="s">
        <v>128</v>
      </c>
      <c r="X417" s="493" t="s">
        <v>2371</v>
      </c>
      <c r="Y417" s="493" t="s">
        <v>377</v>
      </c>
      <c r="Z417" s="493" t="s">
        <v>2365</v>
      </c>
      <c r="AA417" s="493" t="s">
        <v>130</v>
      </c>
      <c r="AB417" s="493" t="s">
        <v>377</v>
      </c>
      <c r="AC417" s="493" t="s">
        <v>131</v>
      </c>
      <c r="AD417" s="493" t="s">
        <v>2144</v>
      </c>
      <c r="AE417" s="493">
        <v>752000</v>
      </c>
      <c r="AF417" s="493">
        <v>75200</v>
      </c>
      <c r="AG417" s="493" t="s">
        <v>2392</v>
      </c>
      <c r="AH417" s="130">
        <f t="shared" si="87"/>
        <v>46188</v>
      </c>
      <c r="AI417" s="495">
        <v>46148</v>
      </c>
      <c r="AJ417" s="439">
        <f>P417*1.1</f>
        <v>827200.00000000012</v>
      </c>
      <c r="AK417" s="121">
        <f t="shared" si="92"/>
        <v>0</v>
      </c>
      <c r="AL417" s="440" t="str">
        <f t="shared" ca="1" si="93"/>
        <v/>
      </c>
      <c r="AM417" s="440"/>
      <c r="AN417" s="440"/>
      <c r="AO417" s="440"/>
    </row>
    <row r="418" spans="1:41" ht="16.5" hidden="1" customHeight="1">
      <c r="A418" s="492" t="s">
        <v>2365</v>
      </c>
      <c r="B418" s="493" t="s">
        <v>2407</v>
      </c>
      <c r="C418" s="492" t="s">
        <v>2365</v>
      </c>
      <c r="D418" s="492" t="s">
        <v>2365</v>
      </c>
      <c r="E418" s="493" t="s">
        <v>116</v>
      </c>
      <c r="F418" s="493" t="s">
        <v>377</v>
      </c>
      <c r="G418" s="493" t="s">
        <v>117</v>
      </c>
      <c r="H418" s="493" t="s">
        <v>118</v>
      </c>
      <c r="I418" s="493" t="s">
        <v>119</v>
      </c>
      <c r="J418" s="493" t="s">
        <v>1690</v>
      </c>
      <c r="K418" s="493" t="s">
        <v>377</v>
      </c>
      <c r="L418" s="493" t="s">
        <v>1691</v>
      </c>
      <c r="M418" s="493" t="s">
        <v>1692</v>
      </c>
      <c r="N418" s="493" t="s">
        <v>1693</v>
      </c>
      <c r="O418" s="493">
        <v>-1716000</v>
      </c>
      <c r="P418" s="439">
        <v>-1560000</v>
      </c>
      <c r="Q418" s="493">
        <v>-156000</v>
      </c>
      <c r="R418" s="493" t="s">
        <v>124</v>
      </c>
      <c r="S418" s="493" t="s">
        <v>382</v>
      </c>
      <c r="T418" s="493" t="s">
        <v>125</v>
      </c>
      <c r="U418" s="493" t="s">
        <v>126</v>
      </c>
      <c r="V418" s="493" t="s">
        <v>127</v>
      </c>
      <c r="W418" s="493" t="s">
        <v>128</v>
      </c>
      <c r="X418" s="493" t="s">
        <v>1694</v>
      </c>
      <c r="Y418" s="493" t="s">
        <v>377</v>
      </c>
      <c r="Z418" s="493" t="s">
        <v>2365</v>
      </c>
      <c r="AA418" s="493" t="s">
        <v>1653</v>
      </c>
      <c r="AB418" s="493" t="s">
        <v>377</v>
      </c>
      <c r="AC418" s="493" t="s">
        <v>1634</v>
      </c>
      <c r="AD418" s="493" t="s">
        <v>2408</v>
      </c>
      <c r="AE418" s="493">
        <v>-1560000</v>
      </c>
      <c r="AF418" s="493">
        <v>-156000</v>
      </c>
      <c r="AG418" s="493" t="s">
        <v>2410</v>
      </c>
      <c r="AH418" s="130">
        <f t="shared" si="87"/>
        <v>46188</v>
      </c>
      <c r="AI418" s="495"/>
      <c r="AJ418" s="439"/>
      <c r="AK418" s="121">
        <f t="shared" si="92"/>
        <v>-1716000.0000000002</v>
      </c>
      <c r="AL418" s="440" t="str">
        <f t="shared" ca="1" si="93"/>
        <v/>
      </c>
      <c r="AM418" s="440"/>
      <c r="AN418" s="440"/>
      <c r="AO418" s="440"/>
    </row>
    <row r="419" spans="1:41" ht="16.5" hidden="1" customHeight="1">
      <c r="A419" s="492" t="s">
        <v>2365</v>
      </c>
      <c r="B419" s="493" t="s">
        <v>2372</v>
      </c>
      <c r="C419" s="492" t="s">
        <v>2365</v>
      </c>
      <c r="D419" s="492" t="s">
        <v>2365</v>
      </c>
      <c r="E419" s="493" t="s">
        <v>116</v>
      </c>
      <c r="F419" s="493" t="s">
        <v>377</v>
      </c>
      <c r="G419" s="493" t="s">
        <v>117</v>
      </c>
      <c r="H419" s="493" t="s">
        <v>118</v>
      </c>
      <c r="I419" s="493" t="s">
        <v>119</v>
      </c>
      <c r="J419" s="493" t="s">
        <v>619</v>
      </c>
      <c r="K419" s="493" t="s">
        <v>377</v>
      </c>
      <c r="L419" s="493" t="s">
        <v>569</v>
      </c>
      <c r="M419" s="493" t="s">
        <v>620</v>
      </c>
      <c r="N419" s="493" t="s">
        <v>621</v>
      </c>
      <c r="O419" s="493">
        <v>97828500</v>
      </c>
      <c r="P419" s="439">
        <v>88935000</v>
      </c>
      <c r="Q419" s="493">
        <v>8893500</v>
      </c>
      <c r="R419" s="493" t="s">
        <v>124</v>
      </c>
      <c r="S419" s="493" t="s">
        <v>382</v>
      </c>
      <c r="T419" s="493" t="s">
        <v>125</v>
      </c>
      <c r="U419" s="493" t="s">
        <v>126</v>
      </c>
      <c r="V419" s="493" t="s">
        <v>127</v>
      </c>
      <c r="W419" s="493" t="s">
        <v>128</v>
      </c>
      <c r="X419" s="493" t="s">
        <v>622</v>
      </c>
      <c r="Y419" s="493" t="s">
        <v>377</v>
      </c>
      <c r="Z419" s="493" t="s">
        <v>2365</v>
      </c>
      <c r="AA419" s="493" t="s">
        <v>130</v>
      </c>
      <c r="AB419" s="493" t="s">
        <v>377</v>
      </c>
      <c r="AC419" s="493" t="s">
        <v>131</v>
      </c>
      <c r="AD419" s="493" t="s">
        <v>2373</v>
      </c>
      <c r="AE419" s="493">
        <v>88935000</v>
      </c>
      <c r="AF419" s="493">
        <v>8893500</v>
      </c>
      <c r="AG419" s="493" t="s">
        <v>2393</v>
      </c>
      <c r="AH419" s="130">
        <f t="shared" si="87"/>
        <v>46188</v>
      </c>
      <c r="AI419" s="495"/>
      <c r="AJ419" s="439"/>
      <c r="AK419" s="121">
        <f t="shared" si="92"/>
        <v>97828500.000000015</v>
      </c>
      <c r="AL419" s="440" t="str">
        <f t="shared" ca="1" si="93"/>
        <v/>
      </c>
      <c r="AM419" s="440"/>
      <c r="AN419" s="440"/>
      <c r="AO419" s="440"/>
    </row>
    <row r="420" spans="1:41" ht="16.5" hidden="1" customHeight="1">
      <c r="A420" s="492" t="s">
        <v>2365</v>
      </c>
      <c r="B420" s="493" t="s">
        <v>2374</v>
      </c>
      <c r="C420" s="492" t="s">
        <v>2365</v>
      </c>
      <c r="D420" s="492" t="s">
        <v>2365</v>
      </c>
      <c r="E420" s="493" t="s">
        <v>116</v>
      </c>
      <c r="F420" s="493" t="s">
        <v>377</v>
      </c>
      <c r="G420" s="493" t="s">
        <v>117</v>
      </c>
      <c r="H420" s="493" t="s">
        <v>118</v>
      </c>
      <c r="I420" s="493" t="s">
        <v>119</v>
      </c>
      <c r="J420" s="493" t="s">
        <v>1055</v>
      </c>
      <c r="K420" s="493" t="s">
        <v>377</v>
      </c>
      <c r="L420" s="493" t="s">
        <v>1056</v>
      </c>
      <c r="M420" s="493" t="s">
        <v>1057</v>
      </c>
      <c r="N420" s="493" t="s">
        <v>2375</v>
      </c>
      <c r="O420" s="493">
        <v>122100</v>
      </c>
      <c r="P420" s="439">
        <v>111000</v>
      </c>
      <c r="Q420" s="493">
        <v>11100</v>
      </c>
      <c r="R420" s="493" t="s">
        <v>124</v>
      </c>
      <c r="S420" s="493" t="s">
        <v>382</v>
      </c>
      <c r="T420" s="493" t="s">
        <v>125</v>
      </c>
      <c r="U420" s="493" t="s">
        <v>126</v>
      </c>
      <c r="V420" s="493" t="s">
        <v>127</v>
      </c>
      <c r="W420" s="493" t="s">
        <v>128</v>
      </c>
      <c r="X420" s="493" t="s">
        <v>1058</v>
      </c>
      <c r="Y420" s="493" t="s">
        <v>377</v>
      </c>
      <c r="Z420" s="493" t="s">
        <v>2365</v>
      </c>
      <c r="AA420" s="493" t="s">
        <v>130</v>
      </c>
      <c r="AB420" s="493" t="s">
        <v>377</v>
      </c>
      <c r="AC420" s="493" t="s">
        <v>131</v>
      </c>
      <c r="AD420" s="493" t="s">
        <v>1294</v>
      </c>
      <c r="AE420" s="493">
        <v>111000</v>
      </c>
      <c r="AF420" s="493">
        <v>11100</v>
      </c>
      <c r="AG420" s="493" t="s">
        <v>1741</v>
      </c>
      <c r="AH420" s="130">
        <f t="shared" si="87"/>
        <v>46188</v>
      </c>
      <c r="AI420" s="495">
        <v>46149</v>
      </c>
      <c r="AJ420" s="439">
        <f>P420*1.1</f>
        <v>122100.00000000001</v>
      </c>
      <c r="AK420" s="121">
        <f t="shared" si="92"/>
        <v>0</v>
      </c>
      <c r="AL420" s="440" t="str">
        <f t="shared" ca="1" si="93"/>
        <v/>
      </c>
      <c r="AM420" s="440"/>
      <c r="AN420" s="440"/>
      <c r="AO420" s="440"/>
    </row>
    <row r="421" spans="1:41" ht="16.5" hidden="1" customHeight="1">
      <c r="A421" s="492" t="s">
        <v>2365</v>
      </c>
      <c r="B421" s="493" t="s">
        <v>2376</v>
      </c>
      <c r="C421" s="492" t="s">
        <v>2365</v>
      </c>
      <c r="D421" s="492" t="s">
        <v>2365</v>
      </c>
      <c r="E421" s="493" t="s">
        <v>116</v>
      </c>
      <c r="F421" s="493" t="s">
        <v>377</v>
      </c>
      <c r="G421" s="493" t="s">
        <v>117</v>
      </c>
      <c r="H421" s="493" t="s">
        <v>118</v>
      </c>
      <c r="I421" s="493" t="s">
        <v>119</v>
      </c>
      <c r="J421" s="493" t="s">
        <v>1988</v>
      </c>
      <c r="K421" s="493" t="s">
        <v>377</v>
      </c>
      <c r="L421" s="493" t="s">
        <v>1989</v>
      </c>
      <c r="M421" s="493" t="s">
        <v>1990</v>
      </c>
      <c r="N421" s="493" t="s">
        <v>1991</v>
      </c>
      <c r="O421" s="493">
        <v>2356750</v>
      </c>
      <c r="P421" s="439">
        <v>2142500</v>
      </c>
      <c r="Q421" s="493">
        <v>214250</v>
      </c>
      <c r="R421" s="493" t="s">
        <v>124</v>
      </c>
      <c r="S421" s="493" t="s">
        <v>382</v>
      </c>
      <c r="T421" s="493" t="s">
        <v>125</v>
      </c>
      <c r="U421" s="493" t="s">
        <v>126</v>
      </c>
      <c r="V421" s="493" t="s">
        <v>127</v>
      </c>
      <c r="W421" s="493" t="s">
        <v>128</v>
      </c>
      <c r="X421" s="493" t="s">
        <v>1992</v>
      </c>
      <c r="Y421" s="493" t="s">
        <v>377</v>
      </c>
      <c r="Z421" s="493" t="s">
        <v>2365</v>
      </c>
      <c r="AA421" s="493" t="s">
        <v>130</v>
      </c>
      <c r="AB421" s="493" t="s">
        <v>377</v>
      </c>
      <c r="AC421" s="493" t="s">
        <v>131</v>
      </c>
      <c r="AD421" s="493" t="s">
        <v>1993</v>
      </c>
      <c r="AE421" s="493">
        <v>2142500</v>
      </c>
      <c r="AF421" s="493">
        <v>214250</v>
      </c>
      <c r="AG421" s="493" t="s">
        <v>1748</v>
      </c>
      <c r="AH421" s="130">
        <f t="shared" si="87"/>
        <v>46188</v>
      </c>
      <c r="AI421" s="495">
        <v>46157</v>
      </c>
      <c r="AJ421" s="439">
        <f>P421*1.1</f>
        <v>2356750</v>
      </c>
      <c r="AK421" s="121">
        <f t="shared" si="92"/>
        <v>0</v>
      </c>
      <c r="AL421" s="440" t="str">
        <f t="shared" ca="1" si="93"/>
        <v/>
      </c>
      <c r="AM421" s="440"/>
      <c r="AN421" s="440"/>
      <c r="AO421" s="440"/>
    </row>
    <row r="422" spans="1:41" ht="16.5" hidden="1" customHeight="1">
      <c r="A422" s="492" t="s">
        <v>2365</v>
      </c>
      <c r="B422" s="493" t="s">
        <v>2377</v>
      </c>
      <c r="C422" s="492" t="s">
        <v>2365</v>
      </c>
      <c r="D422" s="492" t="s">
        <v>2365</v>
      </c>
      <c r="E422" s="493" t="s">
        <v>116</v>
      </c>
      <c r="F422" s="493" t="s">
        <v>377</v>
      </c>
      <c r="G422" s="493" t="s">
        <v>117</v>
      </c>
      <c r="H422" s="493" t="s">
        <v>118</v>
      </c>
      <c r="I422" s="493" t="s">
        <v>119</v>
      </c>
      <c r="J422" s="493" t="s">
        <v>797</v>
      </c>
      <c r="K422" s="493" t="s">
        <v>377</v>
      </c>
      <c r="L422" s="493" t="s">
        <v>798</v>
      </c>
      <c r="M422" s="493" t="s">
        <v>799</v>
      </c>
      <c r="N422" s="493" t="s">
        <v>800</v>
      </c>
      <c r="O422" s="493">
        <v>3902250</v>
      </c>
      <c r="P422" s="439">
        <v>3547500</v>
      </c>
      <c r="Q422" s="493">
        <v>354750</v>
      </c>
      <c r="R422" s="493" t="s">
        <v>124</v>
      </c>
      <c r="S422" s="493" t="s">
        <v>382</v>
      </c>
      <c r="T422" s="493" t="s">
        <v>125</v>
      </c>
      <c r="U422" s="493" t="s">
        <v>126</v>
      </c>
      <c r="V422" s="493" t="s">
        <v>127</v>
      </c>
      <c r="W422" s="493" t="s">
        <v>128</v>
      </c>
      <c r="X422" s="493" t="s">
        <v>801</v>
      </c>
      <c r="Y422" s="493" t="s">
        <v>377</v>
      </c>
      <c r="Z422" s="493" t="s">
        <v>2365</v>
      </c>
      <c r="AA422" s="493" t="s">
        <v>130</v>
      </c>
      <c r="AB422" s="493" t="s">
        <v>377</v>
      </c>
      <c r="AC422" s="493" t="s">
        <v>131</v>
      </c>
      <c r="AD422" s="493" t="s">
        <v>1886</v>
      </c>
      <c r="AE422" s="493">
        <v>3547500</v>
      </c>
      <c r="AF422" s="493">
        <v>354750</v>
      </c>
      <c r="AG422" s="493" t="s">
        <v>2394</v>
      </c>
      <c r="AH422" s="130">
        <f t="shared" si="87"/>
        <v>46188</v>
      </c>
      <c r="AI422" s="495"/>
      <c r="AJ422" s="439"/>
      <c r="AK422" s="121">
        <f t="shared" si="92"/>
        <v>3902250.0000000005</v>
      </c>
      <c r="AL422" s="440" t="str">
        <f t="shared" ca="1" si="93"/>
        <v/>
      </c>
      <c r="AM422" s="440"/>
      <c r="AN422" s="440"/>
      <c r="AO422" s="440"/>
    </row>
    <row r="423" spans="1:41" ht="16.5" hidden="1" customHeight="1">
      <c r="A423" s="492" t="s">
        <v>2365</v>
      </c>
      <c r="B423" s="493" t="s">
        <v>2378</v>
      </c>
      <c r="C423" s="492" t="s">
        <v>2365</v>
      </c>
      <c r="D423" s="492" t="s">
        <v>2365</v>
      </c>
      <c r="E423" s="493" t="s">
        <v>116</v>
      </c>
      <c r="F423" s="493" t="s">
        <v>377</v>
      </c>
      <c r="G423" s="493" t="s">
        <v>117</v>
      </c>
      <c r="H423" s="493" t="s">
        <v>118</v>
      </c>
      <c r="I423" s="493" t="s">
        <v>119</v>
      </c>
      <c r="J423" s="493" t="s">
        <v>797</v>
      </c>
      <c r="K423" s="493" t="s">
        <v>377</v>
      </c>
      <c r="L423" s="493" t="s">
        <v>798</v>
      </c>
      <c r="M423" s="493" t="s">
        <v>799</v>
      </c>
      <c r="N423" s="493" t="s">
        <v>800</v>
      </c>
      <c r="O423" s="493">
        <v>853270</v>
      </c>
      <c r="P423" s="439">
        <v>775700</v>
      </c>
      <c r="Q423" s="493">
        <v>77570</v>
      </c>
      <c r="R423" s="493" t="s">
        <v>124</v>
      </c>
      <c r="S423" s="493" t="s">
        <v>382</v>
      </c>
      <c r="T423" s="493" t="s">
        <v>125</v>
      </c>
      <c r="U423" s="493" t="s">
        <v>126</v>
      </c>
      <c r="V423" s="493" t="s">
        <v>127</v>
      </c>
      <c r="W423" s="493" t="s">
        <v>128</v>
      </c>
      <c r="X423" s="493" t="s">
        <v>801</v>
      </c>
      <c r="Y423" s="493" t="s">
        <v>377</v>
      </c>
      <c r="Z423" s="493" t="s">
        <v>2365</v>
      </c>
      <c r="AA423" s="493" t="s">
        <v>130</v>
      </c>
      <c r="AB423" s="493" t="s">
        <v>377</v>
      </c>
      <c r="AC423" s="493" t="s">
        <v>131</v>
      </c>
      <c r="AD423" s="493" t="s">
        <v>2379</v>
      </c>
      <c r="AE423" s="493">
        <v>775700</v>
      </c>
      <c r="AF423" s="493">
        <v>77570</v>
      </c>
      <c r="AG423" s="493" t="s">
        <v>2395</v>
      </c>
      <c r="AH423" s="130">
        <f t="shared" si="87"/>
        <v>46188</v>
      </c>
      <c r="AI423" s="495"/>
      <c r="AJ423" s="439"/>
      <c r="AK423" s="121">
        <f t="shared" si="92"/>
        <v>853270.00000000012</v>
      </c>
      <c r="AL423" s="440" t="str">
        <f t="shared" ca="1" si="93"/>
        <v/>
      </c>
      <c r="AM423" s="440"/>
      <c r="AN423" s="440"/>
      <c r="AO423" s="440"/>
    </row>
    <row r="424" spans="1:41" ht="16.5" customHeight="1">
      <c r="A424" s="492" t="s">
        <v>2365</v>
      </c>
      <c r="B424" s="493" t="s">
        <v>2380</v>
      </c>
      <c r="C424" s="492" t="s">
        <v>2365</v>
      </c>
      <c r="D424" s="492" t="s">
        <v>2365</v>
      </c>
      <c r="E424" s="493" t="s">
        <v>116</v>
      </c>
      <c r="F424" s="493" t="s">
        <v>377</v>
      </c>
      <c r="G424" s="493" t="s">
        <v>117</v>
      </c>
      <c r="H424" s="493" t="s">
        <v>118</v>
      </c>
      <c r="I424" s="493" t="s">
        <v>119</v>
      </c>
      <c r="J424" s="493" t="s">
        <v>1722</v>
      </c>
      <c r="K424" s="493" t="s">
        <v>377</v>
      </c>
      <c r="L424" s="493" t="s">
        <v>1723</v>
      </c>
      <c r="M424" s="493" t="s">
        <v>1724</v>
      </c>
      <c r="N424" s="493" t="s">
        <v>1725</v>
      </c>
      <c r="O424" s="493">
        <v>1278200</v>
      </c>
      <c r="P424" s="439">
        <v>1162000</v>
      </c>
      <c r="Q424" s="493">
        <v>116200</v>
      </c>
      <c r="R424" s="493" t="s">
        <v>124</v>
      </c>
      <c r="S424" s="493" t="s">
        <v>382</v>
      </c>
      <c r="T424" s="493" t="s">
        <v>125</v>
      </c>
      <c r="U424" s="493" t="s">
        <v>126</v>
      </c>
      <c r="V424" s="493" t="s">
        <v>127</v>
      </c>
      <c r="W424" s="493" t="s">
        <v>128</v>
      </c>
      <c r="X424" s="493" t="s">
        <v>1726</v>
      </c>
      <c r="Y424" s="493" t="s">
        <v>377</v>
      </c>
      <c r="Z424" s="493" t="s">
        <v>2365</v>
      </c>
      <c r="AA424" s="493" t="s">
        <v>130</v>
      </c>
      <c r="AB424" s="493" t="s">
        <v>377</v>
      </c>
      <c r="AC424" s="493" t="s">
        <v>131</v>
      </c>
      <c r="AD424" s="493" t="s">
        <v>2381</v>
      </c>
      <c r="AE424" s="493">
        <v>1162000</v>
      </c>
      <c r="AF424" s="493">
        <v>116200</v>
      </c>
      <c r="AG424" s="493" t="s">
        <v>3005</v>
      </c>
      <c r="AH424" s="130">
        <f t="shared" si="87"/>
        <v>46188</v>
      </c>
      <c r="AI424" s="495">
        <v>46171</v>
      </c>
      <c r="AJ424" s="439">
        <f>P424*1.1</f>
        <v>1278200</v>
      </c>
      <c r="AK424" s="121">
        <f t="shared" si="92"/>
        <v>0</v>
      </c>
      <c r="AL424" s="440" t="str">
        <f t="shared" ca="1" si="93"/>
        <v/>
      </c>
      <c r="AM424" s="440"/>
      <c r="AN424" s="440"/>
      <c r="AO424" s="440"/>
    </row>
    <row r="425" spans="1:41" ht="16.5" hidden="1" customHeight="1">
      <c r="A425" s="492" t="s">
        <v>2365</v>
      </c>
      <c r="B425" s="493" t="s">
        <v>2382</v>
      </c>
      <c r="C425" s="492" t="s">
        <v>2365</v>
      </c>
      <c r="D425" s="492" t="s">
        <v>2365</v>
      </c>
      <c r="E425" s="493" t="s">
        <v>116</v>
      </c>
      <c r="F425" s="493" t="s">
        <v>377</v>
      </c>
      <c r="G425" s="493" t="s">
        <v>117</v>
      </c>
      <c r="H425" s="493" t="s">
        <v>118</v>
      </c>
      <c r="I425" s="493" t="s">
        <v>119</v>
      </c>
      <c r="J425" s="493" t="s">
        <v>1666</v>
      </c>
      <c r="K425" s="493" t="s">
        <v>377</v>
      </c>
      <c r="L425" s="493" t="s">
        <v>1667</v>
      </c>
      <c r="M425" s="493" t="s">
        <v>1668</v>
      </c>
      <c r="N425" s="493" t="s">
        <v>1669</v>
      </c>
      <c r="O425" s="493">
        <v>1506230</v>
      </c>
      <c r="P425" s="439">
        <v>1369300</v>
      </c>
      <c r="Q425" s="493">
        <v>136930</v>
      </c>
      <c r="R425" s="493" t="s">
        <v>124</v>
      </c>
      <c r="S425" s="493" t="s">
        <v>382</v>
      </c>
      <c r="T425" s="493" t="s">
        <v>125</v>
      </c>
      <c r="U425" s="493" t="s">
        <v>126</v>
      </c>
      <c r="V425" s="493" t="s">
        <v>127</v>
      </c>
      <c r="W425" s="493" t="s">
        <v>128</v>
      </c>
      <c r="X425" s="493" t="s">
        <v>1670</v>
      </c>
      <c r="Y425" s="493" t="s">
        <v>377</v>
      </c>
      <c r="Z425" s="493" t="s">
        <v>2365</v>
      </c>
      <c r="AA425" s="493" t="s">
        <v>130</v>
      </c>
      <c r="AB425" s="493" t="s">
        <v>377</v>
      </c>
      <c r="AC425" s="493" t="s">
        <v>131</v>
      </c>
      <c r="AD425" s="493" t="s">
        <v>2383</v>
      </c>
      <c r="AE425" s="493">
        <v>1369300</v>
      </c>
      <c r="AF425" s="493">
        <v>136930</v>
      </c>
      <c r="AG425" s="493" t="s">
        <v>2359</v>
      </c>
      <c r="AH425" s="130">
        <f t="shared" si="87"/>
        <v>46188</v>
      </c>
      <c r="AI425" s="495"/>
      <c r="AJ425" s="439"/>
      <c r="AK425" s="121">
        <f t="shared" si="92"/>
        <v>1506230.0000000002</v>
      </c>
      <c r="AL425" s="440" t="str">
        <f t="shared" ca="1" si="93"/>
        <v/>
      </c>
      <c r="AM425" s="440"/>
      <c r="AN425" s="440"/>
      <c r="AO425" s="440"/>
    </row>
    <row r="426" spans="1:41" ht="16.5" hidden="1" customHeight="1">
      <c r="A426" s="492" t="s">
        <v>2365</v>
      </c>
      <c r="B426" s="493" t="s">
        <v>2384</v>
      </c>
      <c r="C426" s="492" t="s">
        <v>2365</v>
      </c>
      <c r="D426" s="492" t="s">
        <v>2365</v>
      </c>
      <c r="E426" s="493" t="s">
        <v>116</v>
      </c>
      <c r="F426" s="493" t="s">
        <v>377</v>
      </c>
      <c r="G426" s="493" t="s">
        <v>117</v>
      </c>
      <c r="H426" s="493" t="s">
        <v>118</v>
      </c>
      <c r="I426" s="493" t="s">
        <v>119</v>
      </c>
      <c r="J426" s="493" t="s">
        <v>690</v>
      </c>
      <c r="K426" s="493" t="s">
        <v>377</v>
      </c>
      <c r="L426" s="493" t="s">
        <v>691</v>
      </c>
      <c r="M426" s="493" t="s">
        <v>692</v>
      </c>
      <c r="N426" s="493" t="s">
        <v>693</v>
      </c>
      <c r="O426" s="493">
        <v>2201650</v>
      </c>
      <c r="P426" s="439">
        <v>2001500</v>
      </c>
      <c r="Q426" s="493">
        <v>200150</v>
      </c>
      <c r="R426" s="493" t="s">
        <v>124</v>
      </c>
      <c r="S426" s="493" t="s">
        <v>382</v>
      </c>
      <c r="T426" s="493" t="s">
        <v>125</v>
      </c>
      <c r="U426" s="493" t="s">
        <v>126</v>
      </c>
      <c r="V426" s="493" t="s">
        <v>127</v>
      </c>
      <c r="W426" s="493" t="s">
        <v>128</v>
      </c>
      <c r="X426" s="493" t="s">
        <v>694</v>
      </c>
      <c r="Y426" s="493" t="s">
        <v>377</v>
      </c>
      <c r="Z426" s="493" t="s">
        <v>2365</v>
      </c>
      <c r="AA426" s="493" t="s">
        <v>130</v>
      </c>
      <c r="AB426" s="493" t="s">
        <v>377</v>
      </c>
      <c r="AC426" s="493" t="s">
        <v>131</v>
      </c>
      <c r="AD426" s="493" t="s">
        <v>2385</v>
      </c>
      <c r="AE426" s="493">
        <v>2001500</v>
      </c>
      <c r="AF426" s="493">
        <v>200150</v>
      </c>
      <c r="AG426" s="493" t="s">
        <v>2396</v>
      </c>
      <c r="AH426" s="130">
        <f t="shared" si="87"/>
        <v>46188</v>
      </c>
      <c r="AI426" s="495"/>
      <c r="AJ426" s="439"/>
      <c r="AK426" s="121">
        <f t="shared" si="92"/>
        <v>2201650</v>
      </c>
      <c r="AL426" s="440" t="str">
        <f t="shared" ca="1" si="93"/>
        <v/>
      </c>
      <c r="AM426" s="440"/>
      <c r="AN426" s="440"/>
      <c r="AO426" s="440"/>
    </row>
    <row r="427" spans="1:41" ht="16.5" hidden="1" customHeight="1">
      <c r="A427" s="492" t="s">
        <v>2365</v>
      </c>
      <c r="B427" s="493" t="s">
        <v>2386</v>
      </c>
      <c r="C427" s="492" t="s">
        <v>2365</v>
      </c>
      <c r="D427" s="492" t="s">
        <v>2365</v>
      </c>
      <c r="E427" s="493" t="s">
        <v>116</v>
      </c>
      <c r="F427" s="493" t="s">
        <v>377</v>
      </c>
      <c r="G427" s="493" t="s">
        <v>117</v>
      </c>
      <c r="H427" s="493" t="s">
        <v>118</v>
      </c>
      <c r="I427" s="493" t="s">
        <v>119</v>
      </c>
      <c r="J427" s="493" t="s">
        <v>474</v>
      </c>
      <c r="K427" s="493" t="s">
        <v>377</v>
      </c>
      <c r="L427" s="493" t="s">
        <v>475</v>
      </c>
      <c r="M427" s="493" t="s">
        <v>476</v>
      </c>
      <c r="N427" s="493" t="s">
        <v>477</v>
      </c>
      <c r="O427" s="493">
        <v>42843350</v>
      </c>
      <c r="P427" s="439">
        <v>38948500</v>
      </c>
      <c r="Q427" s="493">
        <v>3894850</v>
      </c>
      <c r="R427" s="493" t="s">
        <v>124</v>
      </c>
      <c r="S427" s="493" t="s">
        <v>382</v>
      </c>
      <c r="T427" s="493" t="s">
        <v>125</v>
      </c>
      <c r="U427" s="493" t="s">
        <v>126</v>
      </c>
      <c r="V427" s="493" t="s">
        <v>127</v>
      </c>
      <c r="W427" s="493" t="s">
        <v>128</v>
      </c>
      <c r="X427" s="493" t="s">
        <v>478</v>
      </c>
      <c r="Y427" s="493" t="s">
        <v>377</v>
      </c>
      <c r="Z427" s="493" t="s">
        <v>2365</v>
      </c>
      <c r="AA427" s="493" t="s">
        <v>130</v>
      </c>
      <c r="AB427" s="493" t="s">
        <v>377</v>
      </c>
      <c r="AC427" s="493" t="s">
        <v>131</v>
      </c>
      <c r="AD427" s="493" t="s">
        <v>2387</v>
      </c>
      <c r="AE427" s="493">
        <v>38948500</v>
      </c>
      <c r="AF427" s="493">
        <v>3894850</v>
      </c>
      <c r="AG427" s="493" t="s">
        <v>2397</v>
      </c>
      <c r="AH427" s="130">
        <f t="shared" si="87"/>
        <v>46188</v>
      </c>
      <c r="AI427" s="495"/>
      <c r="AJ427" s="439"/>
      <c r="AK427" s="121">
        <f t="shared" si="92"/>
        <v>42843350</v>
      </c>
      <c r="AL427" s="440" t="str">
        <f t="shared" ca="1" si="93"/>
        <v/>
      </c>
      <c r="AM427" s="440"/>
      <c r="AN427" s="440"/>
      <c r="AO427" s="440"/>
    </row>
    <row r="428" spans="1:41" ht="16.5" hidden="1" customHeight="1">
      <c r="A428" s="492" t="s">
        <v>2365</v>
      </c>
      <c r="B428" s="493" t="s">
        <v>2492</v>
      </c>
      <c r="C428" s="492" t="s">
        <v>2400</v>
      </c>
      <c r="D428" s="492" t="s">
        <v>2400</v>
      </c>
      <c r="E428" s="493" t="s">
        <v>116</v>
      </c>
      <c r="F428" s="493" t="s">
        <v>377</v>
      </c>
      <c r="G428" s="493" t="s">
        <v>117</v>
      </c>
      <c r="H428" s="493" t="s">
        <v>118</v>
      </c>
      <c r="I428" s="493" t="s">
        <v>119</v>
      </c>
      <c r="J428" s="493" t="s">
        <v>836</v>
      </c>
      <c r="K428" s="493" t="s">
        <v>377</v>
      </c>
      <c r="L428" s="493" t="s">
        <v>837</v>
      </c>
      <c r="M428" s="493" t="s">
        <v>838</v>
      </c>
      <c r="N428" s="493" t="s">
        <v>839</v>
      </c>
      <c r="O428" s="493">
        <v>1504580</v>
      </c>
      <c r="P428" s="439">
        <v>1367800</v>
      </c>
      <c r="Q428" s="493">
        <v>136780</v>
      </c>
      <c r="R428" s="493" t="s">
        <v>441</v>
      </c>
      <c r="S428" s="493" t="s">
        <v>442</v>
      </c>
      <c r="T428" s="493" t="s">
        <v>125</v>
      </c>
      <c r="U428" s="493" t="s">
        <v>2493</v>
      </c>
      <c r="V428" s="493" t="s">
        <v>127</v>
      </c>
      <c r="W428" s="493" t="s">
        <v>128</v>
      </c>
      <c r="X428" s="493" t="s">
        <v>840</v>
      </c>
      <c r="Y428" s="493" t="s">
        <v>377</v>
      </c>
      <c r="Z428" s="493" t="s">
        <v>2365</v>
      </c>
      <c r="AA428" s="493" t="s">
        <v>130</v>
      </c>
      <c r="AB428" s="493" t="s">
        <v>377</v>
      </c>
      <c r="AC428" s="493" t="s">
        <v>131</v>
      </c>
      <c r="AD428" s="493" t="s">
        <v>2388</v>
      </c>
      <c r="AE428" s="493">
        <v>1367800</v>
      </c>
      <c r="AF428" s="493">
        <v>136780</v>
      </c>
      <c r="AG428" s="493" t="s">
        <v>2206</v>
      </c>
      <c r="AH428" s="130">
        <f t="shared" si="87"/>
        <v>46188</v>
      </c>
      <c r="AI428" s="495">
        <v>46153</v>
      </c>
      <c r="AJ428" s="439">
        <f>P428*1.1</f>
        <v>1504580.0000000002</v>
      </c>
      <c r="AK428" s="121">
        <f t="shared" si="92"/>
        <v>0</v>
      </c>
      <c r="AL428" s="440"/>
      <c r="AM428" s="440"/>
      <c r="AN428" s="440"/>
      <c r="AO428" s="440"/>
    </row>
    <row r="429" spans="1:41" ht="16.5" hidden="1" customHeight="1">
      <c r="A429" s="492" t="s">
        <v>2365</v>
      </c>
      <c r="B429" s="493" t="s">
        <v>2389</v>
      </c>
      <c r="C429" s="492" t="s">
        <v>2365</v>
      </c>
      <c r="D429" s="492" t="s">
        <v>2365</v>
      </c>
      <c r="E429" s="493" t="s">
        <v>116</v>
      </c>
      <c r="F429" s="493" t="s">
        <v>377</v>
      </c>
      <c r="G429" s="493" t="s">
        <v>117</v>
      </c>
      <c r="H429" s="493" t="s">
        <v>118</v>
      </c>
      <c r="I429" s="493" t="s">
        <v>119</v>
      </c>
      <c r="J429" s="493" t="s">
        <v>1577</v>
      </c>
      <c r="K429" s="493" t="s">
        <v>377</v>
      </c>
      <c r="L429" s="493" t="s">
        <v>1578</v>
      </c>
      <c r="M429" s="493" t="s">
        <v>1579</v>
      </c>
      <c r="N429" s="493" t="s">
        <v>1580</v>
      </c>
      <c r="O429" s="493">
        <v>7221500</v>
      </c>
      <c r="P429" s="439">
        <v>6565000</v>
      </c>
      <c r="Q429" s="493">
        <v>656500</v>
      </c>
      <c r="R429" s="493" t="s">
        <v>124</v>
      </c>
      <c r="S429" s="493" t="s">
        <v>382</v>
      </c>
      <c r="T429" s="493" t="s">
        <v>125</v>
      </c>
      <c r="U429" s="493" t="s">
        <v>126</v>
      </c>
      <c r="V429" s="493" t="s">
        <v>127</v>
      </c>
      <c r="W429" s="493" t="s">
        <v>128</v>
      </c>
      <c r="X429" s="493" t="s">
        <v>1581</v>
      </c>
      <c r="Y429" s="493" t="s">
        <v>377</v>
      </c>
      <c r="Z429" s="493" t="s">
        <v>2365</v>
      </c>
      <c r="AA429" s="493" t="s">
        <v>130</v>
      </c>
      <c r="AB429" s="493" t="s">
        <v>377</v>
      </c>
      <c r="AC429" s="493" t="s">
        <v>131</v>
      </c>
      <c r="AD429" s="493" t="s">
        <v>2014</v>
      </c>
      <c r="AE429" s="493">
        <v>6565000</v>
      </c>
      <c r="AF429" s="493">
        <v>656500</v>
      </c>
      <c r="AG429" s="493" t="s">
        <v>2398</v>
      </c>
      <c r="AH429" s="130">
        <f t="shared" si="87"/>
        <v>46188</v>
      </c>
      <c r="AI429" s="495"/>
      <c r="AJ429" s="439"/>
      <c r="AK429" s="121">
        <f t="shared" si="92"/>
        <v>7221500.0000000009</v>
      </c>
      <c r="AL429" s="440" t="str">
        <f t="shared" ca="1" si="93"/>
        <v/>
      </c>
      <c r="AM429" s="440"/>
      <c r="AN429" s="440"/>
      <c r="AO429" s="440"/>
    </row>
    <row r="430" spans="1:41" ht="16.5" hidden="1" customHeight="1">
      <c r="A430" s="492" t="s">
        <v>2365</v>
      </c>
      <c r="B430" s="493" t="s">
        <v>2390</v>
      </c>
      <c r="C430" s="492" t="s">
        <v>2365</v>
      </c>
      <c r="D430" s="492" t="s">
        <v>2365</v>
      </c>
      <c r="E430" s="493" t="s">
        <v>116</v>
      </c>
      <c r="F430" s="493" t="s">
        <v>377</v>
      </c>
      <c r="G430" s="493" t="s">
        <v>117</v>
      </c>
      <c r="H430" s="493" t="s">
        <v>118</v>
      </c>
      <c r="I430" s="493" t="s">
        <v>119</v>
      </c>
      <c r="J430" s="493" t="s">
        <v>949</v>
      </c>
      <c r="K430" s="493" t="s">
        <v>377</v>
      </c>
      <c r="L430" s="493" t="s">
        <v>86</v>
      </c>
      <c r="M430" s="493" t="s">
        <v>950</v>
      </c>
      <c r="N430" s="493" t="s">
        <v>951</v>
      </c>
      <c r="O430" s="493">
        <v>9075000</v>
      </c>
      <c r="P430" s="439">
        <v>8250000</v>
      </c>
      <c r="Q430" s="493">
        <v>825000</v>
      </c>
      <c r="R430" s="493" t="s">
        <v>124</v>
      </c>
      <c r="S430" s="493" t="s">
        <v>382</v>
      </c>
      <c r="T430" s="493" t="s">
        <v>125</v>
      </c>
      <c r="U430" s="493" t="s">
        <v>126</v>
      </c>
      <c r="V430" s="493" t="s">
        <v>127</v>
      </c>
      <c r="W430" s="493" t="s">
        <v>128</v>
      </c>
      <c r="X430" s="493" t="s">
        <v>952</v>
      </c>
      <c r="Y430" s="493" t="s">
        <v>377</v>
      </c>
      <c r="Z430" s="493" t="s">
        <v>2365</v>
      </c>
      <c r="AA430" s="493" t="s">
        <v>130</v>
      </c>
      <c r="AB430" s="493" t="s">
        <v>377</v>
      </c>
      <c r="AC430" s="493" t="s">
        <v>131</v>
      </c>
      <c r="AD430" s="493" t="s">
        <v>1832</v>
      </c>
      <c r="AE430" s="493">
        <v>8250000</v>
      </c>
      <c r="AF430" s="493">
        <v>825000</v>
      </c>
      <c r="AG430" s="493" t="s">
        <v>1771</v>
      </c>
      <c r="AH430" s="130">
        <f t="shared" si="87"/>
        <v>46188</v>
      </c>
      <c r="AI430" s="495"/>
      <c r="AJ430" s="439"/>
      <c r="AK430" s="121">
        <f t="shared" si="92"/>
        <v>9075000</v>
      </c>
      <c r="AL430" s="440" t="str">
        <f t="shared" ca="1" si="93"/>
        <v/>
      </c>
      <c r="AM430" s="440"/>
      <c r="AN430" s="440"/>
      <c r="AO430" s="440"/>
    </row>
    <row r="431" spans="1:41" ht="16.5" hidden="1" customHeight="1">
      <c r="A431" s="492" t="s">
        <v>2365</v>
      </c>
      <c r="B431" s="493" t="s">
        <v>2391</v>
      </c>
      <c r="C431" s="492" t="s">
        <v>2365</v>
      </c>
      <c r="D431" s="492" t="s">
        <v>2365</v>
      </c>
      <c r="E431" s="493" t="s">
        <v>116</v>
      </c>
      <c r="F431" s="493" t="s">
        <v>377</v>
      </c>
      <c r="G431" s="493" t="s">
        <v>117</v>
      </c>
      <c r="H431" s="493" t="s">
        <v>118</v>
      </c>
      <c r="I431" s="493" t="s">
        <v>119</v>
      </c>
      <c r="J431" s="493" t="s">
        <v>869</v>
      </c>
      <c r="K431" s="493" t="s">
        <v>377</v>
      </c>
      <c r="L431" s="493" t="s">
        <v>870</v>
      </c>
      <c r="M431" s="493" t="s">
        <v>871</v>
      </c>
      <c r="N431" s="493" t="s">
        <v>872</v>
      </c>
      <c r="O431" s="493">
        <v>15125000</v>
      </c>
      <c r="P431" s="439">
        <v>13750000</v>
      </c>
      <c r="Q431" s="493">
        <v>1375000</v>
      </c>
      <c r="R431" s="493" t="s">
        <v>124</v>
      </c>
      <c r="S431" s="493" t="s">
        <v>382</v>
      </c>
      <c r="T431" s="493" t="s">
        <v>125</v>
      </c>
      <c r="U431" s="493" t="s">
        <v>126</v>
      </c>
      <c r="V431" s="493" t="s">
        <v>127</v>
      </c>
      <c r="W431" s="493" t="s">
        <v>128</v>
      </c>
      <c r="X431" s="493" t="s">
        <v>873</v>
      </c>
      <c r="Y431" s="493" t="s">
        <v>377</v>
      </c>
      <c r="Z431" s="493" t="s">
        <v>2365</v>
      </c>
      <c r="AA431" s="493" t="s">
        <v>130</v>
      </c>
      <c r="AB431" s="493" t="s">
        <v>377</v>
      </c>
      <c r="AC431" s="493" t="s">
        <v>131</v>
      </c>
      <c r="AD431" s="493" t="s">
        <v>2094</v>
      </c>
      <c r="AE431" s="493">
        <v>13750000</v>
      </c>
      <c r="AF431" s="493">
        <v>1375000</v>
      </c>
      <c r="AG431" s="493" t="s">
        <v>2399</v>
      </c>
      <c r="AH431" s="130">
        <f t="shared" si="87"/>
        <v>46188</v>
      </c>
      <c r="AI431" s="495"/>
      <c r="AJ431" s="439"/>
      <c r="AK431" s="121">
        <f t="shared" si="92"/>
        <v>15125000.000000002</v>
      </c>
      <c r="AL431" s="440" t="str">
        <f t="shared" ca="1" si="93"/>
        <v/>
      </c>
      <c r="AM431" s="440"/>
      <c r="AN431" s="440"/>
      <c r="AO431" s="440"/>
    </row>
    <row r="432" spans="1:41" ht="16.5" customHeight="1">
      <c r="A432" s="492" t="s">
        <v>2318</v>
      </c>
      <c r="B432" s="493" t="s">
        <v>2322</v>
      </c>
      <c r="C432" s="492" t="s">
        <v>2318</v>
      </c>
      <c r="D432" s="492" t="s">
        <v>2318</v>
      </c>
      <c r="E432" s="493" t="s">
        <v>116</v>
      </c>
      <c r="F432" s="493" t="s">
        <v>377</v>
      </c>
      <c r="G432" s="493" t="s">
        <v>117</v>
      </c>
      <c r="H432" s="493" t="s">
        <v>118</v>
      </c>
      <c r="I432" s="493" t="s">
        <v>119</v>
      </c>
      <c r="J432" s="493" t="s">
        <v>1722</v>
      </c>
      <c r="K432" s="493" t="s">
        <v>377</v>
      </c>
      <c r="L432" s="493" t="s">
        <v>1723</v>
      </c>
      <c r="M432" s="493" t="s">
        <v>1724</v>
      </c>
      <c r="N432" s="493" t="s">
        <v>1725</v>
      </c>
      <c r="O432" s="493">
        <v>2079000</v>
      </c>
      <c r="P432" s="439">
        <v>1890000</v>
      </c>
      <c r="Q432" s="493">
        <v>189000</v>
      </c>
      <c r="R432" s="493" t="s">
        <v>441</v>
      </c>
      <c r="S432" s="493" t="s">
        <v>442</v>
      </c>
      <c r="T432" s="493" t="s">
        <v>125</v>
      </c>
      <c r="U432" s="493" t="s">
        <v>2323</v>
      </c>
      <c r="V432" s="493" t="s">
        <v>127</v>
      </c>
      <c r="W432" s="493" t="s">
        <v>128</v>
      </c>
      <c r="X432" s="493" t="s">
        <v>1726</v>
      </c>
      <c r="Y432" s="493" t="s">
        <v>377</v>
      </c>
      <c r="Z432" s="493" t="s">
        <v>2318</v>
      </c>
      <c r="AA432" s="493" t="s">
        <v>130</v>
      </c>
      <c r="AB432" s="493" t="s">
        <v>377</v>
      </c>
      <c r="AC432" s="493" t="s">
        <v>131</v>
      </c>
      <c r="AD432" s="493" t="s">
        <v>2324</v>
      </c>
      <c r="AE432" s="493">
        <v>1890000</v>
      </c>
      <c r="AF432" s="493">
        <v>189000</v>
      </c>
      <c r="AG432" s="493" t="s">
        <v>2411</v>
      </c>
      <c r="AH432" s="130">
        <f t="shared" si="87"/>
        <v>46189</v>
      </c>
      <c r="AI432" s="495">
        <v>46171</v>
      </c>
      <c r="AJ432" s="439">
        <f>P432*1.1</f>
        <v>2079000.0000000002</v>
      </c>
      <c r="AK432" s="121">
        <f t="shared" si="92"/>
        <v>0</v>
      </c>
      <c r="AL432" s="440" t="str">
        <f t="shared" ca="1" si="93"/>
        <v/>
      </c>
      <c r="AM432" s="440"/>
      <c r="AN432" s="440"/>
      <c r="AO432" s="440"/>
    </row>
    <row r="433" spans="1:41" ht="16.5" hidden="1" customHeight="1">
      <c r="A433" s="492" t="s">
        <v>2318</v>
      </c>
      <c r="B433" s="493" t="s">
        <v>2325</v>
      </c>
      <c r="C433" s="492" t="s">
        <v>2318</v>
      </c>
      <c r="D433" s="492" t="s">
        <v>2318</v>
      </c>
      <c r="E433" s="493" t="s">
        <v>116</v>
      </c>
      <c r="F433" s="493" t="s">
        <v>377</v>
      </c>
      <c r="G433" s="493" t="s">
        <v>117</v>
      </c>
      <c r="H433" s="493" t="s">
        <v>118</v>
      </c>
      <c r="I433" s="493" t="s">
        <v>119</v>
      </c>
      <c r="J433" s="493" t="s">
        <v>1270</v>
      </c>
      <c r="K433" s="493" t="s">
        <v>377</v>
      </c>
      <c r="L433" s="493" t="s">
        <v>1271</v>
      </c>
      <c r="M433" s="493" t="s">
        <v>1272</v>
      </c>
      <c r="N433" s="493" t="s">
        <v>1273</v>
      </c>
      <c r="O433" s="493">
        <v>10368710</v>
      </c>
      <c r="P433" s="439">
        <v>9426100</v>
      </c>
      <c r="Q433" s="493">
        <v>942610</v>
      </c>
      <c r="R433" s="493" t="s">
        <v>124</v>
      </c>
      <c r="S433" s="493" t="s">
        <v>382</v>
      </c>
      <c r="T433" s="493" t="s">
        <v>125</v>
      </c>
      <c r="U433" s="493" t="s">
        <v>126</v>
      </c>
      <c r="V433" s="493" t="s">
        <v>127</v>
      </c>
      <c r="W433" s="493" t="s">
        <v>128</v>
      </c>
      <c r="X433" s="493" t="s">
        <v>1274</v>
      </c>
      <c r="Y433" s="493" t="s">
        <v>377</v>
      </c>
      <c r="Z433" s="493" t="s">
        <v>2318</v>
      </c>
      <c r="AA433" s="493" t="s">
        <v>130</v>
      </c>
      <c r="AB433" s="493" t="s">
        <v>377</v>
      </c>
      <c r="AC433" s="493" t="s">
        <v>131</v>
      </c>
      <c r="AD433" s="493" t="s">
        <v>2326</v>
      </c>
      <c r="AE433" s="493">
        <v>9426100</v>
      </c>
      <c r="AF433" s="493">
        <v>942610</v>
      </c>
      <c r="AG433" s="493" t="s">
        <v>2210</v>
      </c>
      <c r="AH433" s="130">
        <f t="shared" si="87"/>
        <v>46189</v>
      </c>
      <c r="AI433" s="495"/>
      <c r="AJ433" s="439"/>
      <c r="AK433" s="121">
        <f t="shared" si="92"/>
        <v>10368710</v>
      </c>
      <c r="AL433" s="440" t="str">
        <f t="shared" ca="1" si="93"/>
        <v/>
      </c>
      <c r="AM433" s="440"/>
      <c r="AN433" s="440"/>
      <c r="AO433" s="440"/>
    </row>
    <row r="434" spans="1:41" ht="16.5" hidden="1" customHeight="1">
      <c r="A434" s="492" t="s">
        <v>2318</v>
      </c>
      <c r="B434" s="493" t="s">
        <v>2327</v>
      </c>
      <c r="C434" s="492" t="s">
        <v>2318</v>
      </c>
      <c r="D434" s="492" t="s">
        <v>2318</v>
      </c>
      <c r="E434" s="493" t="s">
        <v>116</v>
      </c>
      <c r="F434" s="493" t="s">
        <v>377</v>
      </c>
      <c r="G434" s="493" t="s">
        <v>117</v>
      </c>
      <c r="H434" s="493" t="s">
        <v>118</v>
      </c>
      <c r="I434" s="493" t="s">
        <v>119</v>
      </c>
      <c r="J434" s="493" t="s">
        <v>797</v>
      </c>
      <c r="K434" s="493" t="s">
        <v>377</v>
      </c>
      <c r="L434" s="493" t="s">
        <v>798</v>
      </c>
      <c r="M434" s="493" t="s">
        <v>799</v>
      </c>
      <c r="N434" s="493" t="s">
        <v>800</v>
      </c>
      <c r="O434" s="493">
        <v>2986500</v>
      </c>
      <c r="P434" s="439">
        <v>2715000</v>
      </c>
      <c r="Q434" s="493">
        <v>271500</v>
      </c>
      <c r="R434" s="493" t="s">
        <v>124</v>
      </c>
      <c r="S434" s="493" t="s">
        <v>382</v>
      </c>
      <c r="T434" s="493" t="s">
        <v>125</v>
      </c>
      <c r="U434" s="493" t="s">
        <v>445</v>
      </c>
      <c r="V434" s="493" t="s">
        <v>127</v>
      </c>
      <c r="W434" s="493" t="s">
        <v>128</v>
      </c>
      <c r="X434" s="493" t="s">
        <v>801</v>
      </c>
      <c r="Y434" s="493" t="s">
        <v>377</v>
      </c>
      <c r="Z434" s="493" t="s">
        <v>2318</v>
      </c>
      <c r="AA434" s="493" t="s">
        <v>130</v>
      </c>
      <c r="AB434" s="493" t="s">
        <v>377</v>
      </c>
      <c r="AC434" s="493" t="s">
        <v>131</v>
      </c>
      <c r="AD434" s="493" t="s">
        <v>2328</v>
      </c>
      <c r="AE434" s="493">
        <v>2715000</v>
      </c>
      <c r="AF434" s="493">
        <v>271500</v>
      </c>
      <c r="AG434" s="493" t="s">
        <v>1280</v>
      </c>
      <c r="AH434" s="130">
        <f t="shared" si="87"/>
        <v>46189</v>
      </c>
      <c r="AI434" s="495"/>
      <c r="AJ434" s="439"/>
      <c r="AK434" s="121">
        <f t="shared" si="92"/>
        <v>2986500.0000000005</v>
      </c>
      <c r="AL434" s="440" t="str">
        <f t="shared" ca="1" si="93"/>
        <v/>
      </c>
      <c r="AM434" s="440" t="s">
        <v>2412</v>
      </c>
      <c r="AN434" s="440"/>
      <c r="AO434" s="440"/>
    </row>
    <row r="435" spans="1:41" ht="16.5" hidden="1" customHeight="1">
      <c r="A435" s="492" t="s">
        <v>2318</v>
      </c>
      <c r="B435" s="493" t="s">
        <v>2329</v>
      </c>
      <c r="C435" s="492" t="s">
        <v>2318</v>
      </c>
      <c r="D435" s="492" t="s">
        <v>2318</v>
      </c>
      <c r="E435" s="493" t="s">
        <v>116</v>
      </c>
      <c r="F435" s="493" t="s">
        <v>377</v>
      </c>
      <c r="G435" s="493" t="s">
        <v>117</v>
      </c>
      <c r="H435" s="493" t="s">
        <v>118</v>
      </c>
      <c r="I435" s="493" t="s">
        <v>119</v>
      </c>
      <c r="J435" s="493" t="s">
        <v>2154</v>
      </c>
      <c r="K435" s="493" t="s">
        <v>377</v>
      </c>
      <c r="L435" s="493" t="s">
        <v>2155</v>
      </c>
      <c r="M435" s="493" t="s">
        <v>2156</v>
      </c>
      <c r="N435" s="493" t="s">
        <v>2157</v>
      </c>
      <c r="O435" s="493">
        <v>1988800</v>
      </c>
      <c r="P435" s="439">
        <v>1808000</v>
      </c>
      <c r="Q435" s="493">
        <v>180800</v>
      </c>
      <c r="R435" s="493" t="s">
        <v>124</v>
      </c>
      <c r="S435" s="493" t="s">
        <v>382</v>
      </c>
      <c r="T435" s="493" t="s">
        <v>125</v>
      </c>
      <c r="U435" s="493" t="s">
        <v>445</v>
      </c>
      <c r="V435" s="493" t="s">
        <v>127</v>
      </c>
      <c r="W435" s="493" t="s">
        <v>128</v>
      </c>
      <c r="X435" s="493" t="s">
        <v>2158</v>
      </c>
      <c r="Y435" s="493" t="s">
        <v>377</v>
      </c>
      <c r="Z435" s="493" t="s">
        <v>2318</v>
      </c>
      <c r="AA435" s="493" t="s">
        <v>130</v>
      </c>
      <c r="AB435" s="493" t="s">
        <v>377</v>
      </c>
      <c r="AC435" s="493" t="s">
        <v>131</v>
      </c>
      <c r="AD435" s="493" t="s">
        <v>2330</v>
      </c>
      <c r="AE435" s="493">
        <v>1808000</v>
      </c>
      <c r="AF435" s="493">
        <v>180800</v>
      </c>
      <c r="AG435" s="493" t="s">
        <v>2356</v>
      </c>
      <c r="AH435" s="130">
        <f t="shared" si="87"/>
        <v>46189</v>
      </c>
      <c r="AI435" s="495"/>
      <c r="AJ435" s="439"/>
      <c r="AK435" s="121">
        <f t="shared" si="92"/>
        <v>1988800.0000000002</v>
      </c>
      <c r="AL435" s="440" t="str">
        <f t="shared" ca="1" si="93"/>
        <v/>
      </c>
      <c r="AM435" s="440" t="s">
        <v>2412</v>
      </c>
      <c r="AN435" s="440"/>
      <c r="AO435" s="440"/>
    </row>
    <row r="436" spans="1:41" ht="16.5" hidden="1" customHeight="1">
      <c r="A436" s="492" t="s">
        <v>2318</v>
      </c>
      <c r="B436" s="493" t="s">
        <v>2409</v>
      </c>
      <c r="C436" s="492" t="s">
        <v>2318</v>
      </c>
      <c r="D436" s="492" t="s">
        <v>2318</v>
      </c>
      <c r="E436" s="493" t="s">
        <v>116</v>
      </c>
      <c r="F436" s="493" t="s">
        <v>377</v>
      </c>
      <c r="G436" s="493" t="s">
        <v>117</v>
      </c>
      <c r="H436" s="493" t="s">
        <v>118</v>
      </c>
      <c r="I436" s="493" t="s">
        <v>119</v>
      </c>
      <c r="J436" s="493" t="s">
        <v>1189</v>
      </c>
      <c r="K436" s="493" t="s">
        <v>377</v>
      </c>
      <c r="L436" s="493" t="s">
        <v>1190</v>
      </c>
      <c r="M436" s="493" t="s">
        <v>1191</v>
      </c>
      <c r="N436" s="493" t="s">
        <v>1192</v>
      </c>
      <c r="O436" s="493">
        <v>103719000</v>
      </c>
      <c r="P436" s="439">
        <v>94290000</v>
      </c>
      <c r="Q436" s="493">
        <v>9429000</v>
      </c>
      <c r="R436" s="493" t="s">
        <v>124</v>
      </c>
      <c r="S436" s="493" t="s">
        <v>382</v>
      </c>
      <c r="T436" s="493" t="s">
        <v>125</v>
      </c>
      <c r="U436" s="493" t="s">
        <v>445</v>
      </c>
      <c r="V436" s="493" t="s">
        <v>127</v>
      </c>
      <c r="W436" s="493" t="s">
        <v>128</v>
      </c>
      <c r="X436" s="493" t="s">
        <v>1193</v>
      </c>
      <c r="Y436" s="493" t="s">
        <v>377</v>
      </c>
      <c r="Z436" s="493" t="s">
        <v>2318</v>
      </c>
      <c r="AA436" s="493" t="s">
        <v>130</v>
      </c>
      <c r="AB436" s="493" t="s">
        <v>377</v>
      </c>
      <c r="AC436" s="493" t="s">
        <v>131</v>
      </c>
      <c r="AD436" s="493" t="s">
        <v>2331</v>
      </c>
      <c r="AE436" s="493">
        <v>94290000</v>
      </c>
      <c r="AF436" s="493">
        <v>9429000</v>
      </c>
      <c r="AG436" s="493" t="s">
        <v>753</v>
      </c>
      <c r="AH436" s="130">
        <f t="shared" si="87"/>
        <v>46189</v>
      </c>
      <c r="AI436" s="495"/>
      <c r="AJ436" s="439"/>
      <c r="AK436" s="121">
        <f t="shared" si="92"/>
        <v>103719000.00000001</v>
      </c>
      <c r="AL436" s="440" t="str">
        <f t="shared" ca="1" si="93"/>
        <v/>
      </c>
      <c r="AM436" s="440" t="s">
        <v>2412</v>
      </c>
      <c r="AN436" s="440"/>
      <c r="AO436" s="440"/>
    </row>
    <row r="437" spans="1:41" ht="16.5" hidden="1" customHeight="1">
      <c r="A437" s="492" t="s">
        <v>2318</v>
      </c>
      <c r="B437" s="493" t="s">
        <v>2332</v>
      </c>
      <c r="C437" s="492" t="s">
        <v>2318</v>
      </c>
      <c r="D437" s="492" t="s">
        <v>2318</v>
      </c>
      <c r="E437" s="493" t="s">
        <v>116</v>
      </c>
      <c r="F437" s="493" t="s">
        <v>377</v>
      </c>
      <c r="G437" s="493" t="s">
        <v>117</v>
      </c>
      <c r="H437" s="493" t="s">
        <v>118</v>
      </c>
      <c r="I437" s="493" t="s">
        <v>119</v>
      </c>
      <c r="J437" s="493" t="s">
        <v>1254</v>
      </c>
      <c r="K437" s="493" t="s">
        <v>377</v>
      </c>
      <c r="L437" s="493" t="s">
        <v>391</v>
      </c>
      <c r="M437" s="493" t="s">
        <v>1255</v>
      </c>
      <c r="N437" s="493" t="s">
        <v>1256</v>
      </c>
      <c r="O437" s="493">
        <v>2387000</v>
      </c>
      <c r="P437" s="439">
        <v>2170000</v>
      </c>
      <c r="Q437" s="493">
        <v>217000</v>
      </c>
      <c r="R437" s="493" t="s">
        <v>124</v>
      </c>
      <c r="S437" s="493" t="s">
        <v>382</v>
      </c>
      <c r="T437" s="493" t="s">
        <v>125</v>
      </c>
      <c r="U437" s="493" t="s">
        <v>445</v>
      </c>
      <c r="V437" s="493" t="s">
        <v>127</v>
      </c>
      <c r="W437" s="493" t="s">
        <v>128</v>
      </c>
      <c r="X437" s="493" t="s">
        <v>1257</v>
      </c>
      <c r="Y437" s="493" t="s">
        <v>377</v>
      </c>
      <c r="Z437" s="493" t="s">
        <v>2318</v>
      </c>
      <c r="AA437" s="493" t="s">
        <v>130</v>
      </c>
      <c r="AB437" s="493" t="s">
        <v>377</v>
      </c>
      <c r="AC437" s="493" t="s">
        <v>131</v>
      </c>
      <c r="AD437" s="493" t="s">
        <v>2333</v>
      </c>
      <c r="AE437" s="493">
        <v>2170000</v>
      </c>
      <c r="AF437" s="493">
        <v>217000</v>
      </c>
      <c r="AG437" s="493" t="s">
        <v>2357</v>
      </c>
      <c r="AH437" s="130">
        <f t="shared" si="87"/>
        <v>46189</v>
      </c>
      <c r="AI437" s="495">
        <v>46171</v>
      </c>
      <c r="AJ437" s="439">
        <f>P437*1.1</f>
        <v>2387000</v>
      </c>
      <c r="AK437" s="121">
        <f t="shared" si="92"/>
        <v>0</v>
      </c>
      <c r="AL437" s="440" t="str">
        <f t="shared" ca="1" si="93"/>
        <v/>
      </c>
      <c r="AM437" s="440" t="s">
        <v>2412</v>
      </c>
      <c r="AN437" s="440"/>
      <c r="AO437" s="440"/>
    </row>
    <row r="438" spans="1:41" ht="16.5" hidden="1" customHeight="1">
      <c r="A438" s="492" t="s">
        <v>2318</v>
      </c>
      <c r="B438" s="493" t="s">
        <v>2334</v>
      </c>
      <c r="C438" s="492" t="s">
        <v>2318</v>
      </c>
      <c r="D438" s="492" t="s">
        <v>2318</v>
      </c>
      <c r="E438" s="493" t="s">
        <v>116</v>
      </c>
      <c r="F438" s="493" t="s">
        <v>377</v>
      </c>
      <c r="G438" s="493" t="s">
        <v>117</v>
      </c>
      <c r="H438" s="493" t="s">
        <v>118</v>
      </c>
      <c r="I438" s="493" t="s">
        <v>119</v>
      </c>
      <c r="J438" s="493" t="s">
        <v>2291</v>
      </c>
      <c r="K438" s="493" t="s">
        <v>377</v>
      </c>
      <c r="L438" s="493" t="s">
        <v>2292</v>
      </c>
      <c r="M438" s="493" t="s">
        <v>2293</v>
      </c>
      <c r="N438" s="493" t="s">
        <v>2294</v>
      </c>
      <c r="O438" s="493">
        <v>4914800</v>
      </c>
      <c r="P438" s="439">
        <v>4468000</v>
      </c>
      <c r="Q438" s="493">
        <v>446800</v>
      </c>
      <c r="R438" s="493" t="s">
        <v>124</v>
      </c>
      <c r="S438" s="493" t="s">
        <v>382</v>
      </c>
      <c r="T438" s="493" t="s">
        <v>125</v>
      </c>
      <c r="U438" s="493" t="s">
        <v>445</v>
      </c>
      <c r="V438" s="493" t="s">
        <v>127</v>
      </c>
      <c r="W438" s="493" t="s">
        <v>128</v>
      </c>
      <c r="X438" s="493" t="s">
        <v>2295</v>
      </c>
      <c r="Y438" s="493" t="s">
        <v>377</v>
      </c>
      <c r="Z438" s="493" t="s">
        <v>2318</v>
      </c>
      <c r="AA438" s="493" t="s">
        <v>130</v>
      </c>
      <c r="AB438" s="493" t="s">
        <v>377</v>
      </c>
      <c r="AC438" s="493" t="s">
        <v>131</v>
      </c>
      <c r="AD438" s="493" t="s">
        <v>2335</v>
      </c>
      <c r="AE438" s="493">
        <v>4468000</v>
      </c>
      <c r="AF438" s="493">
        <v>446800</v>
      </c>
      <c r="AG438" s="493" t="s">
        <v>2358</v>
      </c>
      <c r="AH438" s="130">
        <f t="shared" si="87"/>
        <v>46189</v>
      </c>
      <c r="AI438" s="495"/>
      <c r="AJ438" s="439"/>
      <c r="AK438" s="121">
        <f t="shared" si="92"/>
        <v>4914800</v>
      </c>
      <c r="AL438" s="440" t="str">
        <f t="shared" ca="1" si="93"/>
        <v/>
      </c>
      <c r="AM438" s="440" t="s">
        <v>2412</v>
      </c>
      <c r="AN438" s="440"/>
      <c r="AO438" s="440"/>
    </row>
    <row r="439" spans="1:41" ht="16.5" hidden="1" customHeight="1">
      <c r="A439" s="492" t="s">
        <v>2318</v>
      </c>
      <c r="B439" s="493" t="s">
        <v>2336</v>
      </c>
      <c r="C439" s="492" t="s">
        <v>2318</v>
      </c>
      <c r="D439" s="492" t="s">
        <v>2318</v>
      </c>
      <c r="E439" s="493" t="s">
        <v>116</v>
      </c>
      <c r="F439" s="493" t="s">
        <v>377</v>
      </c>
      <c r="G439" s="493" t="s">
        <v>117</v>
      </c>
      <c r="H439" s="493" t="s">
        <v>118</v>
      </c>
      <c r="I439" s="493" t="s">
        <v>119</v>
      </c>
      <c r="J439" s="493" t="s">
        <v>1666</v>
      </c>
      <c r="K439" s="493" t="s">
        <v>377</v>
      </c>
      <c r="L439" s="493" t="s">
        <v>1667</v>
      </c>
      <c r="M439" s="493" t="s">
        <v>1668</v>
      </c>
      <c r="N439" s="493" t="s">
        <v>1669</v>
      </c>
      <c r="O439" s="493">
        <v>225830</v>
      </c>
      <c r="P439" s="439">
        <v>205300</v>
      </c>
      <c r="Q439" s="493">
        <v>20530</v>
      </c>
      <c r="R439" s="493" t="s">
        <v>124</v>
      </c>
      <c r="S439" s="493" t="s">
        <v>382</v>
      </c>
      <c r="T439" s="493" t="s">
        <v>125</v>
      </c>
      <c r="U439" s="493" t="s">
        <v>445</v>
      </c>
      <c r="V439" s="493" t="s">
        <v>127</v>
      </c>
      <c r="W439" s="493" t="s">
        <v>128</v>
      </c>
      <c r="X439" s="493" t="s">
        <v>1670</v>
      </c>
      <c r="Y439" s="493" t="s">
        <v>377</v>
      </c>
      <c r="Z439" s="493" t="s">
        <v>2318</v>
      </c>
      <c r="AA439" s="493" t="s">
        <v>130</v>
      </c>
      <c r="AB439" s="493" t="s">
        <v>377</v>
      </c>
      <c r="AC439" s="493" t="s">
        <v>131</v>
      </c>
      <c r="AD439" s="493" t="s">
        <v>2337</v>
      </c>
      <c r="AE439" s="493">
        <v>205300</v>
      </c>
      <c r="AF439" s="493">
        <v>20530</v>
      </c>
      <c r="AG439" s="493" t="s">
        <v>2359</v>
      </c>
      <c r="AH439" s="130">
        <f t="shared" si="87"/>
        <v>46189</v>
      </c>
      <c r="AI439" s="495">
        <v>46171</v>
      </c>
      <c r="AJ439" s="439">
        <f>P439*1.1</f>
        <v>225830.00000000003</v>
      </c>
      <c r="AK439" s="121">
        <f t="shared" si="92"/>
        <v>0</v>
      </c>
      <c r="AL439" s="440" t="str">
        <f t="shared" ca="1" si="93"/>
        <v/>
      </c>
      <c r="AM439" s="440" t="s">
        <v>2412</v>
      </c>
      <c r="AN439" s="440"/>
      <c r="AO439" s="440"/>
    </row>
    <row r="440" spans="1:41" ht="16.5" hidden="1" customHeight="1">
      <c r="A440" s="492" t="s">
        <v>2318</v>
      </c>
      <c r="B440" s="493" t="s">
        <v>2338</v>
      </c>
      <c r="C440" s="492" t="s">
        <v>2318</v>
      </c>
      <c r="D440" s="492" t="s">
        <v>2318</v>
      </c>
      <c r="E440" s="493" t="s">
        <v>116</v>
      </c>
      <c r="F440" s="493" t="s">
        <v>377</v>
      </c>
      <c r="G440" s="493" t="s">
        <v>117</v>
      </c>
      <c r="H440" s="493" t="s">
        <v>118</v>
      </c>
      <c r="I440" s="493" t="s">
        <v>119</v>
      </c>
      <c r="J440" s="493" t="s">
        <v>2291</v>
      </c>
      <c r="K440" s="493" t="s">
        <v>377</v>
      </c>
      <c r="L440" s="493" t="s">
        <v>2292</v>
      </c>
      <c r="M440" s="493" t="s">
        <v>2293</v>
      </c>
      <c r="N440" s="493" t="s">
        <v>2294</v>
      </c>
      <c r="O440" s="493">
        <v>310200</v>
      </c>
      <c r="P440" s="439">
        <v>282000</v>
      </c>
      <c r="Q440" s="493">
        <v>28200</v>
      </c>
      <c r="R440" s="493" t="s">
        <v>124</v>
      </c>
      <c r="S440" s="493" t="s">
        <v>382</v>
      </c>
      <c r="T440" s="493" t="s">
        <v>125</v>
      </c>
      <c r="U440" s="493" t="s">
        <v>445</v>
      </c>
      <c r="V440" s="493" t="s">
        <v>127</v>
      </c>
      <c r="W440" s="493" t="s">
        <v>128</v>
      </c>
      <c r="X440" s="493" t="s">
        <v>2295</v>
      </c>
      <c r="Y440" s="493" t="s">
        <v>377</v>
      </c>
      <c r="Z440" s="493" t="s">
        <v>2318</v>
      </c>
      <c r="AA440" s="493" t="s">
        <v>130</v>
      </c>
      <c r="AB440" s="493" t="s">
        <v>377</v>
      </c>
      <c r="AC440" s="493" t="s">
        <v>131</v>
      </c>
      <c r="AD440" s="493" t="s">
        <v>2339</v>
      </c>
      <c r="AE440" s="493">
        <v>282000</v>
      </c>
      <c r="AF440" s="493">
        <v>28200</v>
      </c>
      <c r="AG440" s="493" t="s">
        <v>1023</v>
      </c>
      <c r="AH440" s="130">
        <f t="shared" si="87"/>
        <v>46189</v>
      </c>
      <c r="AI440" s="495"/>
      <c r="AJ440" s="439"/>
      <c r="AK440" s="121">
        <f t="shared" si="92"/>
        <v>310200</v>
      </c>
      <c r="AL440" s="440" t="str">
        <f t="shared" ca="1" si="93"/>
        <v/>
      </c>
      <c r="AM440" s="440" t="s">
        <v>2412</v>
      </c>
      <c r="AN440" s="440"/>
      <c r="AO440" s="440"/>
    </row>
    <row r="441" spans="1:41" ht="16.5" hidden="1" customHeight="1">
      <c r="A441" s="492" t="s">
        <v>2318</v>
      </c>
      <c r="B441" s="493" t="s">
        <v>2340</v>
      </c>
      <c r="C441" s="492" t="s">
        <v>2318</v>
      </c>
      <c r="D441" s="492" t="s">
        <v>2318</v>
      </c>
      <c r="E441" s="493" t="s">
        <v>116</v>
      </c>
      <c r="F441" s="493" t="s">
        <v>377</v>
      </c>
      <c r="G441" s="493" t="s">
        <v>117</v>
      </c>
      <c r="H441" s="493" t="s">
        <v>118</v>
      </c>
      <c r="I441" s="493" t="s">
        <v>119</v>
      </c>
      <c r="J441" s="493" t="s">
        <v>519</v>
      </c>
      <c r="K441" s="493" t="s">
        <v>377</v>
      </c>
      <c r="L441" s="493" t="s">
        <v>520</v>
      </c>
      <c r="M441" s="493" t="s">
        <v>521</v>
      </c>
      <c r="N441" s="493" t="s">
        <v>522</v>
      </c>
      <c r="O441" s="493">
        <v>14381510</v>
      </c>
      <c r="P441" s="439">
        <v>13074100</v>
      </c>
      <c r="Q441" s="493">
        <v>1307410</v>
      </c>
      <c r="R441" s="493" t="s">
        <v>124</v>
      </c>
      <c r="S441" s="493" t="s">
        <v>382</v>
      </c>
      <c r="T441" s="493" t="s">
        <v>125</v>
      </c>
      <c r="U441" s="493" t="s">
        <v>126</v>
      </c>
      <c r="V441" s="493" t="s">
        <v>127</v>
      </c>
      <c r="W441" s="493" t="s">
        <v>128</v>
      </c>
      <c r="X441" s="493" t="s">
        <v>523</v>
      </c>
      <c r="Y441" s="493" t="s">
        <v>377</v>
      </c>
      <c r="Z441" s="493" t="s">
        <v>2318</v>
      </c>
      <c r="AA441" s="493" t="s">
        <v>130</v>
      </c>
      <c r="AB441" s="493" t="s">
        <v>377</v>
      </c>
      <c r="AC441" s="493" t="s">
        <v>131</v>
      </c>
      <c r="AD441" s="493" t="s">
        <v>2341</v>
      </c>
      <c r="AE441" s="493">
        <v>13074100</v>
      </c>
      <c r="AF441" s="493">
        <v>1307410</v>
      </c>
      <c r="AG441" s="493" t="s">
        <v>2360</v>
      </c>
      <c r="AH441" s="130">
        <f t="shared" si="87"/>
        <v>46189</v>
      </c>
      <c r="AI441" s="495"/>
      <c r="AJ441" s="439"/>
      <c r="AK441" s="121">
        <f t="shared" si="92"/>
        <v>14381510.000000002</v>
      </c>
      <c r="AL441" s="440" t="str">
        <f t="shared" ca="1" si="93"/>
        <v/>
      </c>
      <c r="AM441" s="440"/>
      <c r="AN441" s="440"/>
      <c r="AO441" s="440"/>
    </row>
    <row r="442" spans="1:41" ht="16.5" hidden="1" customHeight="1">
      <c r="A442" s="492" t="s">
        <v>2318</v>
      </c>
      <c r="B442" s="493" t="s">
        <v>2342</v>
      </c>
      <c r="C442" s="492" t="s">
        <v>2318</v>
      </c>
      <c r="D442" s="492" t="s">
        <v>2318</v>
      </c>
      <c r="E442" s="493" t="s">
        <v>116</v>
      </c>
      <c r="F442" s="493" t="s">
        <v>377</v>
      </c>
      <c r="G442" s="493" t="s">
        <v>117</v>
      </c>
      <c r="H442" s="493" t="s">
        <v>118</v>
      </c>
      <c r="I442" s="493" t="s">
        <v>119</v>
      </c>
      <c r="J442" s="493" t="s">
        <v>1675</v>
      </c>
      <c r="K442" s="493" t="s">
        <v>377</v>
      </c>
      <c r="L442" s="493" t="s">
        <v>1676</v>
      </c>
      <c r="M442" s="493" t="s">
        <v>1677</v>
      </c>
      <c r="N442" s="493" t="s">
        <v>1678</v>
      </c>
      <c r="O442" s="493">
        <v>4510000</v>
      </c>
      <c r="P442" s="439">
        <v>4100000</v>
      </c>
      <c r="Q442" s="493">
        <v>410000</v>
      </c>
      <c r="R442" s="493" t="s">
        <v>124</v>
      </c>
      <c r="S442" s="493" t="s">
        <v>382</v>
      </c>
      <c r="T442" s="493" t="s">
        <v>125</v>
      </c>
      <c r="U442" s="493" t="s">
        <v>126</v>
      </c>
      <c r="V442" s="493" t="s">
        <v>127</v>
      </c>
      <c r="W442" s="493" t="s">
        <v>128</v>
      </c>
      <c r="X442" s="493" t="s">
        <v>1679</v>
      </c>
      <c r="Y442" s="493" t="s">
        <v>377</v>
      </c>
      <c r="Z442" s="493" t="s">
        <v>2318</v>
      </c>
      <c r="AA442" s="493" t="s">
        <v>130</v>
      </c>
      <c r="AB442" s="493" t="s">
        <v>377</v>
      </c>
      <c r="AC442" s="493" t="s">
        <v>131</v>
      </c>
      <c r="AD442" s="493" t="s">
        <v>2343</v>
      </c>
      <c r="AE442" s="493">
        <v>4100000</v>
      </c>
      <c r="AF442" s="493">
        <v>410000</v>
      </c>
      <c r="AG442" s="493" t="s">
        <v>1742</v>
      </c>
      <c r="AH442" s="130">
        <f t="shared" si="87"/>
        <v>46189</v>
      </c>
      <c r="AI442" s="495">
        <v>46153</v>
      </c>
      <c r="AJ442" s="439">
        <f>P442*1.1</f>
        <v>4510000</v>
      </c>
      <c r="AK442" s="121">
        <f t="shared" si="92"/>
        <v>0</v>
      </c>
      <c r="AL442" s="440" t="str">
        <f t="shared" ca="1" si="93"/>
        <v/>
      </c>
      <c r="AM442" s="440"/>
      <c r="AN442" s="440"/>
      <c r="AO442" s="440"/>
    </row>
    <row r="443" spans="1:41" ht="16.5" hidden="1" customHeight="1">
      <c r="A443" s="492" t="s">
        <v>2318</v>
      </c>
      <c r="B443" s="493" t="s">
        <v>2344</v>
      </c>
      <c r="C443" s="492" t="s">
        <v>2318</v>
      </c>
      <c r="D443" s="492" t="s">
        <v>2318</v>
      </c>
      <c r="E443" s="493" t="s">
        <v>116</v>
      </c>
      <c r="F443" s="493" t="s">
        <v>377</v>
      </c>
      <c r="G443" s="493" t="s">
        <v>117</v>
      </c>
      <c r="H443" s="493" t="s">
        <v>118</v>
      </c>
      <c r="I443" s="493" t="s">
        <v>119</v>
      </c>
      <c r="J443" s="493" t="s">
        <v>674</v>
      </c>
      <c r="K443" s="493" t="s">
        <v>377</v>
      </c>
      <c r="L443" s="493" t="s">
        <v>675</v>
      </c>
      <c r="M443" s="493" t="s">
        <v>676</v>
      </c>
      <c r="N443" s="493" t="s">
        <v>677</v>
      </c>
      <c r="O443" s="493">
        <v>9464840</v>
      </c>
      <c r="P443" s="439">
        <v>8604400</v>
      </c>
      <c r="Q443" s="493">
        <v>860440</v>
      </c>
      <c r="R443" s="493" t="s">
        <v>124</v>
      </c>
      <c r="S443" s="493" t="s">
        <v>382</v>
      </c>
      <c r="T443" s="493" t="s">
        <v>125</v>
      </c>
      <c r="U443" s="493" t="s">
        <v>126</v>
      </c>
      <c r="V443" s="493" t="s">
        <v>127</v>
      </c>
      <c r="W443" s="493" t="s">
        <v>128</v>
      </c>
      <c r="X443" s="493" t="s">
        <v>678</v>
      </c>
      <c r="Y443" s="493" t="s">
        <v>377</v>
      </c>
      <c r="Z443" s="493" t="s">
        <v>2318</v>
      </c>
      <c r="AA443" s="493" t="s">
        <v>130</v>
      </c>
      <c r="AB443" s="493" t="s">
        <v>377</v>
      </c>
      <c r="AC443" s="493" t="s">
        <v>131</v>
      </c>
      <c r="AD443" s="493" t="s">
        <v>2345</v>
      </c>
      <c r="AE443" s="493">
        <v>8604400</v>
      </c>
      <c r="AF443" s="493">
        <v>860440</v>
      </c>
      <c r="AG443" s="493" t="s">
        <v>2361</v>
      </c>
      <c r="AH443" s="130">
        <f t="shared" si="87"/>
        <v>46189</v>
      </c>
      <c r="AI443" s="495">
        <v>46171</v>
      </c>
      <c r="AJ443" s="439">
        <f t="shared" ref="AJ443" si="94">P443*1.1</f>
        <v>9464840</v>
      </c>
      <c r="AK443" s="121">
        <f t="shared" si="92"/>
        <v>0</v>
      </c>
      <c r="AL443" s="440" t="str">
        <f t="shared" ca="1" si="93"/>
        <v/>
      </c>
      <c r="AM443" s="440"/>
      <c r="AN443" s="440"/>
      <c r="AO443" s="440"/>
    </row>
    <row r="444" spans="1:41" ht="16.5" hidden="1" customHeight="1">
      <c r="A444" s="492" t="s">
        <v>2318</v>
      </c>
      <c r="B444" s="493" t="s">
        <v>2346</v>
      </c>
      <c r="C444" s="492" t="s">
        <v>2318</v>
      </c>
      <c r="D444" s="492" t="s">
        <v>2318</v>
      </c>
      <c r="E444" s="493" t="s">
        <v>116</v>
      </c>
      <c r="F444" s="493" t="s">
        <v>377</v>
      </c>
      <c r="G444" s="493" t="s">
        <v>117</v>
      </c>
      <c r="H444" s="493" t="s">
        <v>118</v>
      </c>
      <c r="I444" s="493" t="s">
        <v>119</v>
      </c>
      <c r="J444" s="493" t="s">
        <v>905</v>
      </c>
      <c r="K444" s="493" t="s">
        <v>377</v>
      </c>
      <c r="L444" s="493" t="s">
        <v>340</v>
      </c>
      <c r="M444" s="493" t="s">
        <v>906</v>
      </c>
      <c r="N444" s="493" t="s">
        <v>907</v>
      </c>
      <c r="O444" s="493">
        <v>550550</v>
      </c>
      <c r="P444" s="439">
        <v>500500</v>
      </c>
      <c r="Q444" s="493">
        <v>50050</v>
      </c>
      <c r="R444" s="493" t="s">
        <v>124</v>
      </c>
      <c r="S444" s="493" t="s">
        <v>382</v>
      </c>
      <c r="T444" s="493" t="s">
        <v>125</v>
      </c>
      <c r="U444" s="493" t="s">
        <v>126</v>
      </c>
      <c r="V444" s="493" t="s">
        <v>127</v>
      </c>
      <c r="W444" s="493" t="s">
        <v>128</v>
      </c>
      <c r="X444" s="493" t="s">
        <v>908</v>
      </c>
      <c r="Y444" s="493" t="s">
        <v>377</v>
      </c>
      <c r="Z444" s="493" t="s">
        <v>2318</v>
      </c>
      <c r="AA444" s="493" t="s">
        <v>130</v>
      </c>
      <c r="AB444" s="493" t="s">
        <v>377</v>
      </c>
      <c r="AC444" s="493" t="s">
        <v>131</v>
      </c>
      <c r="AD444" s="493" t="s">
        <v>937</v>
      </c>
      <c r="AE444" s="493">
        <v>500500</v>
      </c>
      <c r="AF444" s="493">
        <v>50050</v>
      </c>
      <c r="AG444" s="493" t="s">
        <v>2362</v>
      </c>
      <c r="AH444" s="130">
        <f t="shared" si="87"/>
        <v>46189</v>
      </c>
      <c r="AI444" s="495"/>
      <c r="AJ444" s="439"/>
      <c r="AK444" s="121">
        <f t="shared" si="92"/>
        <v>550550</v>
      </c>
      <c r="AL444" s="440" t="str">
        <f t="shared" ca="1" si="93"/>
        <v/>
      </c>
      <c r="AM444" s="440"/>
      <c r="AN444" s="440"/>
      <c r="AO444" s="440"/>
    </row>
    <row r="445" spans="1:41" ht="16.5" hidden="1" customHeight="1">
      <c r="A445" s="492" t="s">
        <v>2318</v>
      </c>
      <c r="B445" s="493" t="s">
        <v>2347</v>
      </c>
      <c r="C445" s="492" t="s">
        <v>2318</v>
      </c>
      <c r="D445" s="492" t="s">
        <v>2318</v>
      </c>
      <c r="E445" s="493" t="s">
        <v>116</v>
      </c>
      <c r="F445" s="493" t="s">
        <v>377</v>
      </c>
      <c r="G445" s="493" t="s">
        <v>117</v>
      </c>
      <c r="H445" s="493" t="s">
        <v>118</v>
      </c>
      <c r="I445" s="493" t="s">
        <v>119</v>
      </c>
      <c r="J445" s="493" t="s">
        <v>628</v>
      </c>
      <c r="K445" s="493" t="s">
        <v>377</v>
      </c>
      <c r="L445" s="493" t="s">
        <v>629</v>
      </c>
      <c r="M445" s="493" t="s">
        <v>630</v>
      </c>
      <c r="N445" s="493" t="s">
        <v>631</v>
      </c>
      <c r="O445" s="493">
        <v>51040</v>
      </c>
      <c r="P445" s="439">
        <v>46400</v>
      </c>
      <c r="Q445" s="493">
        <v>4640</v>
      </c>
      <c r="R445" s="493" t="s">
        <v>124</v>
      </c>
      <c r="S445" s="493" t="s">
        <v>382</v>
      </c>
      <c r="T445" s="493" t="s">
        <v>125</v>
      </c>
      <c r="U445" s="493" t="s">
        <v>126</v>
      </c>
      <c r="V445" s="493" t="s">
        <v>127</v>
      </c>
      <c r="W445" s="493" t="s">
        <v>128</v>
      </c>
      <c r="X445" s="493" t="s">
        <v>632</v>
      </c>
      <c r="Y445" s="493" t="s">
        <v>377</v>
      </c>
      <c r="Z445" s="493" t="s">
        <v>2318</v>
      </c>
      <c r="AA445" s="493" t="s">
        <v>130</v>
      </c>
      <c r="AB445" s="493" t="s">
        <v>377</v>
      </c>
      <c r="AC445" s="493" t="s">
        <v>131</v>
      </c>
      <c r="AD445" s="493" t="s">
        <v>2348</v>
      </c>
      <c r="AE445" s="493">
        <v>46400</v>
      </c>
      <c r="AF445" s="493">
        <v>4640</v>
      </c>
      <c r="AG445" s="493" t="s">
        <v>2363</v>
      </c>
      <c r="AH445" s="130">
        <f t="shared" si="87"/>
        <v>46189</v>
      </c>
      <c r="AI445" s="495">
        <v>46171</v>
      </c>
      <c r="AJ445" s="439">
        <f t="shared" ref="AJ445" si="95">P445*1.1</f>
        <v>51040.000000000007</v>
      </c>
      <c r="AK445" s="121">
        <f t="shared" si="92"/>
        <v>0</v>
      </c>
      <c r="AL445" s="440" t="str">
        <f t="shared" ca="1" si="93"/>
        <v/>
      </c>
      <c r="AM445" s="440"/>
      <c r="AN445" s="440"/>
      <c r="AO445" s="440"/>
    </row>
    <row r="446" spans="1:41" ht="16.5" hidden="1" customHeight="1">
      <c r="A446" s="492" t="s">
        <v>2318</v>
      </c>
      <c r="B446" s="493" t="s">
        <v>2349</v>
      </c>
      <c r="C446" s="492" t="s">
        <v>2318</v>
      </c>
      <c r="D446" s="492" t="s">
        <v>2318</v>
      </c>
      <c r="E446" s="493" t="s">
        <v>116</v>
      </c>
      <c r="F446" s="493" t="s">
        <v>377</v>
      </c>
      <c r="G446" s="493" t="s">
        <v>117</v>
      </c>
      <c r="H446" s="493" t="s">
        <v>118</v>
      </c>
      <c r="I446" s="493" t="s">
        <v>119</v>
      </c>
      <c r="J446" s="493" t="s">
        <v>2350</v>
      </c>
      <c r="K446" s="493" t="s">
        <v>377</v>
      </c>
      <c r="L446" s="493" t="s">
        <v>2351</v>
      </c>
      <c r="M446" s="493" t="s">
        <v>2352</v>
      </c>
      <c r="N446" s="493" t="s">
        <v>2353</v>
      </c>
      <c r="O446" s="493">
        <v>18332050</v>
      </c>
      <c r="P446" s="439">
        <v>16665500</v>
      </c>
      <c r="Q446" s="493">
        <v>1666550</v>
      </c>
      <c r="R446" s="493" t="s">
        <v>124</v>
      </c>
      <c r="S446" s="493" t="s">
        <v>382</v>
      </c>
      <c r="T446" s="493" t="s">
        <v>125</v>
      </c>
      <c r="U446" s="493" t="s">
        <v>126</v>
      </c>
      <c r="V446" s="493" t="s">
        <v>127</v>
      </c>
      <c r="W446" s="493" t="s">
        <v>128</v>
      </c>
      <c r="X446" s="493" t="s">
        <v>2354</v>
      </c>
      <c r="Y446" s="493" t="s">
        <v>377</v>
      </c>
      <c r="Z446" s="493" t="s">
        <v>2318</v>
      </c>
      <c r="AA446" s="493" t="s">
        <v>130</v>
      </c>
      <c r="AB446" s="493" t="s">
        <v>377</v>
      </c>
      <c r="AC446" s="493" t="s">
        <v>131</v>
      </c>
      <c r="AD446" s="493" t="s">
        <v>2355</v>
      </c>
      <c r="AE446" s="493">
        <v>16665500</v>
      </c>
      <c r="AF446" s="493">
        <v>1666550</v>
      </c>
      <c r="AG446" s="493" t="s">
        <v>2364</v>
      </c>
      <c r="AH446" s="130">
        <f t="shared" si="87"/>
        <v>46189</v>
      </c>
      <c r="AI446" s="495">
        <v>46149</v>
      </c>
      <c r="AJ446" s="439">
        <f>P446*1.1</f>
        <v>18332050</v>
      </c>
      <c r="AK446" s="121">
        <f t="shared" si="92"/>
        <v>0</v>
      </c>
      <c r="AL446" s="440" t="str">
        <f t="shared" ca="1" si="93"/>
        <v/>
      </c>
      <c r="AM446" s="440"/>
      <c r="AN446" s="440"/>
      <c r="AO446" s="440"/>
    </row>
    <row r="447" spans="1:41" ht="16.5" hidden="1" customHeight="1">
      <c r="A447" s="492" t="s">
        <v>2211</v>
      </c>
      <c r="B447" s="493" t="s">
        <v>2413</v>
      </c>
      <c r="C447" s="492" t="s">
        <v>2318</v>
      </c>
      <c r="D447" s="492" t="s">
        <v>2419</v>
      </c>
      <c r="E447" s="493" t="s">
        <v>116</v>
      </c>
      <c r="F447" s="493" t="s">
        <v>377</v>
      </c>
      <c r="G447" s="493" t="s">
        <v>117</v>
      </c>
      <c r="H447" s="493" t="s">
        <v>118</v>
      </c>
      <c r="I447" s="493" t="s">
        <v>119</v>
      </c>
      <c r="J447" s="493" t="s">
        <v>2414</v>
      </c>
      <c r="K447" s="493" t="s">
        <v>377</v>
      </c>
      <c r="L447" s="493" t="s">
        <v>385</v>
      </c>
      <c r="M447" s="493" t="s">
        <v>2415</v>
      </c>
      <c r="N447" s="493" t="s">
        <v>2416</v>
      </c>
      <c r="O447" s="493">
        <v>2351580</v>
      </c>
      <c r="P447" s="439">
        <v>2137800</v>
      </c>
      <c r="Q447" s="493">
        <v>213780</v>
      </c>
      <c r="R447" s="493" t="s">
        <v>124</v>
      </c>
      <c r="S447" s="493" t="s">
        <v>382</v>
      </c>
      <c r="T447" s="493" t="s">
        <v>125</v>
      </c>
      <c r="U447" s="493" t="s">
        <v>377</v>
      </c>
      <c r="V447" s="493" t="s">
        <v>127</v>
      </c>
      <c r="W447" s="493" t="s">
        <v>128</v>
      </c>
      <c r="X447" s="493" t="s">
        <v>2417</v>
      </c>
      <c r="Y447" s="493" t="s">
        <v>377</v>
      </c>
      <c r="Z447" s="493" t="s">
        <v>2211</v>
      </c>
      <c r="AA447" s="493" t="s">
        <v>130</v>
      </c>
      <c r="AB447" s="493" t="s">
        <v>377</v>
      </c>
      <c r="AC447" s="493" t="s">
        <v>131</v>
      </c>
      <c r="AD447" s="493" t="s">
        <v>2418</v>
      </c>
      <c r="AE447" s="493">
        <v>2137800</v>
      </c>
      <c r="AF447" s="493">
        <v>213780</v>
      </c>
      <c r="AG447" s="493" t="s">
        <v>377</v>
      </c>
      <c r="AH447" s="130">
        <f t="shared" si="87"/>
        <v>46182</v>
      </c>
      <c r="AI447" s="495">
        <v>46171</v>
      </c>
      <c r="AJ447" s="439">
        <f>P447*1.1</f>
        <v>2351580</v>
      </c>
      <c r="AK447" s="121">
        <f t="shared" si="92"/>
        <v>0</v>
      </c>
      <c r="AL447" s="440" t="str">
        <f t="shared" ca="1" si="93"/>
        <v/>
      </c>
      <c r="AM447" s="440"/>
      <c r="AN447" s="440"/>
      <c r="AO447" s="440"/>
    </row>
    <row r="448" spans="1:41" ht="16.5" hidden="1" customHeight="1">
      <c r="A448" s="492" t="s">
        <v>2400</v>
      </c>
      <c r="B448" s="493" t="s">
        <v>2420</v>
      </c>
      <c r="C448" s="492" t="s">
        <v>2400</v>
      </c>
      <c r="D448" s="492" t="s">
        <v>2431</v>
      </c>
      <c r="E448" s="493" t="s">
        <v>116</v>
      </c>
      <c r="F448" s="493" t="s">
        <v>377</v>
      </c>
      <c r="G448" s="493" t="s">
        <v>117</v>
      </c>
      <c r="H448" s="493" t="s">
        <v>118</v>
      </c>
      <c r="I448" s="493" t="s">
        <v>119</v>
      </c>
      <c r="J448" s="493" t="s">
        <v>661</v>
      </c>
      <c r="K448" s="493" t="s">
        <v>377</v>
      </c>
      <c r="L448" s="493" t="s">
        <v>662</v>
      </c>
      <c r="M448" s="493" t="s">
        <v>663</v>
      </c>
      <c r="N448" s="493" t="s">
        <v>664</v>
      </c>
      <c r="O448" s="493">
        <v>962500</v>
      </c>
      <c r="P448" s="439">
        <v>875000</v>
      </c>
      <c r="Q448" s="493">
        <v>87500</v>
      </c>
      <c r="R448" s="493" t="s">
        <v>124</v>
      </c>
      <c r="S448" s="493" t="s">
        <v>382</v>
      </c>
      <c r="T448" s="493" t="s">
        <v>125</v>
      </c>
      <c r="U448" s="493" t="s">
        <v>126</v>
      </c>
      <c r="V448" s="493" t="s">
        <v>127</v>
      </c>
      <c r="W448" s="493" t="s">
        <v>128</v>
      </c>
      <c r="X448" s="493" t="s">
        <v>665</v>
      </c>
      <c r="Y448" s="493" t="s">
        <v>377</v>
      </c>
      <c r="Z448" s="493" t="s">
        <v>2400</v>
      </c>
      <c r="AA448" s="493" t="s">
        <v>130</v>
      </c>
      <c r="AB448" s="493" t="s">
        <v>377</v>
      </c>
      <c r="AC448" s="493" t="s">
        <v>131</v>
      </c>
      <c r="AD448" s="493" t="s">
        <v>2421</v>
      </c>
      <c r="AE448" s="493">
        <v>875000</v>
      </c>
      <c r="AF448" s="493">
        <v>87500</v>
      </c>
      <c r="AG448" s="493" t="s">
        <v>2432</v>
      </c>
      <c r="AH448" s="130">
        <f t="shared" si="87"/>
        <v>46190</v>
      </c>
      <c r="AI448" s="495">
        <v>46150</v>
      </c>
      <c r="AJ448" s="439">
        <f>P448*1.1</f>
        <v>962500.00000000012</v>
      </c>
      <c r="AK448" s="121">
        <f t="shared" ref="AK448:AK453" si="96">(P448*1.1)-AJ448</f>
        <v>0</v>
      </c>
      <c r="AL448" s="440" t="str">
        <f t="shared" ref="AL448:AL453" ca="1" si="97">IF(OR(A448="",AK448=0),"",IF(TODAY()-A448&gt;=91,"장기미수",IF(TODAY()-A448&gt;=41,"관리","")))</f>
        <v/>
      </c>
      <c r="AM448" s="440"/>
      <c r="AN448" s="440"/>
      <c r="AO448" s="440"/>
    </row>
    <row r="449" spans="1:41" ht="16.5" hidden="1" customHeight="1">
      <c r="A449" s="492" t="s">
        <v>2400</v>
      </c>
      <c r="B449" s="493" t="s">
        <v>2422</v>
      </c>
      <c r="C449" s="492" t="s">
        <v>2400</v>
      </c>
      <c r="D449" s="492" t="s">
        <v>2431</v>
      </c>
      <c r="E449" s="493" t="s">
        <v>116</v>
      </c>
      <c r="F449" s="493" t="s">
        <v>377</v>
      </c>
      <c r="G449" s="493" t="s">
        <v>117</v>
      </c>
      <c r="H449" s="493" t="s">
        <v>118</v>
      </c>
      <c r="I449" s="493" t="s">
        <v>119</v>
      </c>
      <c r="J449" s="493" t="s">
        <v>2291</v>
      </c>
      <c r="K449" s="493" t="s">
        <v>377</v>
      </c>
      <c r="L449" s="493" t="s">
        <v>2292</v>
      </c>
      <c r="M449" s="493" t="s">
        <v>2293</v>
      </c>
      <c r="N449" s="493" t="s">
        <v>2294</v>
      </c>
      <c r="O449" s="493">
        <v>5900400</v>
      </c>
      <c r="P449" s="439">
        <v>5364000</v>
      </c>
      <c r="Q449" s="493">
        <v>536400</v>
      </c>
      <c r="R449" s="493" t="s">
        <v>124</v>
      </c>
      <c r="S449" s="493" t="s">
        <v>382</v>
      </c>
      <c r="T449" s="493" t="s">
        <v>125</v>
      </c>
      <c r="U449" s="493" t="s">
        <v>126</v>
      </c>
      <c r="V449" s="493" t="s">
        <v>127</v>
      </c>
      <c r="W449" s="493" t="s">
        <v>128</v>
      </c>
      <c r="X449" s="493" t="s">
        <v>2295</v>
      </c>
      <c r="Y449" s="493" t="s">
        <v>377</v>
      </c>
      <c r="Z449" s="493" t="s">
        <v>2400</v>
      </c>
      <c r="AA449" s="493" t="s">
        <v>130</v>
      </c>
      <c r="AB449" s="493" t="s">
        <v>377</v>
      </c>
      <c r="AC449" s="493" t="s">
        <v>131</v>
      </c>
      <c r="AD449" s="493" t="s">
        <v>2423</v>
      </c>
      <c r="AE449" s="493">
        <v>5364000</v>
      </c>
      <c r="AF449" s="493">
        <v>536400</v>
      </c>
      <c r="AG449" s="493" t="s">
        <v>2424</v>
      </c>
      <c r="AH449" s="130">
        <f t="shared" si="87"/>
        <v>46190</v>
      </c>
      <c r="AI449" s="495"/>
      <c r="AJ449" s="439"/>
      <c r="AK449" s="121">
        <f t="shared" si="96"/>
        <v>5900400.0000000009</v>
      </c>
      <c r="AL449" s="440" t="str">
        <f t="shared" ca="1" si="97"/>
        <v/>
      </c>
      <c r="AM449" s="440" t="s">
        <v>783</v>
      </c>
      <c r="AN449" s="440"/>
      <c r="AO449" s="440"/>
    </row>
    <row r="450" spans="1:41" ht="16.5" hidden="1" customHeight="1">
      <c r="A450" s="492" t="s">
        <v>2400</v>
      </c>
      <c r="B450" s="493" t="s">
        <v>2425</v>
      </c>
      <c r="C450" s="492" t="s">
        <v>2400</v>
      </c>
      <c r="D450" s="492" t="s">
        <v>2431</v>
      </c>
      <c r="E450" s="493" t="s">
        <v>116</v>
      </c>
      <c r="F450" s="493" t="s">
        <v>377</v>
      </c>
      <c r="G450" s="493" t="s">
        <v>117</v>
      </c>
      <c r="H450" s="493" t="s">
        <v>118</v>
      </c>
      <c r="I450" s="493" t="s">
        <v>119</v>
      </c>
      <c r="J450" s="493" t="s">
        <v>836</v>
      </c>
      <c r="K450" s="493" t="s">
        <v>377</v>
      </c>
      <c r="L450" s="493" t="s">
        <v>837</v>
      </c>
      <c r="M450" s="493" t="s">
        <v>838</v>
      </c>
      <c r="N450" s="493" t="s">
        <v>839</v>
      </c>
      <c r="O450" s="493">
        <v>586080</v>
      </c>
      <c r="P450" s="439">
        <v>532800</v>
      </c>
      <c r="Q450" s="493">
        <v>53280</v>
      </c>
      <c r="R450" s="493" t="s">
        <v>124</v>
      </c>
      <c r="S450" s="493" t="s">
        <v>382</v>
      </c>
      <c r="T450" s="493" t="s">
        <v>125</v>
      </c>
      <c r="U450" s="493" t="s">
        <v>126</v>
      </c>
      <c r="V450" s="493" t="s">
        <v>127</v>
      </c>
      <c r="W450" s="493" t="s">
        <v>128</v>
      </c>
      <c r="X450" s="493" t="s">
        <v>840</v>
      </c>
      <c r="Y450" s="493" t="s">
        <v>377</v>
      </c>
      <c r="Z450" s="493" t="s">
        <v>2400</v>
      </c>
      <c r="AA450" s="493" t="s">
        <v>130</v>
      </c>
      <c r="AB450" s="493" t="s">
        <v>377</v>
      </c>
      <c r="AC450" s="493" t="s">
        <v>131</v>
      </c>
      <c r="AD450" s="493" t="s">
        <v>2426</v>
      </c>
      <c r="AE450" s="493">
        <v>532800</v>
      </c>
      <c r="AF450" s="493">
        <v>53280</v>
      </c>
      <c r="AG450" s="493" t="s">
        <v>2427</v>
      </c>
      <c r="AH450" s="130">
        <f t="shared" si="87"/>
        <v>46190</v>
      </c>
      <c r="AI450" s="495">
        <v>46153</v>
      </c>
      <c r="AJ450" s="439">
        <f>P450*1.1</f>
        <v>586080</v>
      </c>
      <c r="AK450" s="121">
        <f t="shared" si="96"/>
        <v>0</v>
      </c>
      <c r="AL450" s="440" t="str">
        <f t="shared" ca="1" si="97"/>
        <v/>
      </c>
      <c r="AM450" s="440"/>
      <c r="AN450" s="440"/>
      <c r="AO450" s="440"/>
    </row>
    <row r="451" spans="1:41" ht="16.5" hidden="1" customHeight="1">
      <c r="A451" s="492" t="s">
        <v>2400</v>
      </c>
      <c r="B451" s="493" t="s">
        <v>2401</v>
      </c>
      <c r="C451" s="492" t="s">
        <v>2400</v>
      </c>
      <c r="D451" s="492" t="s">
        <v>2431</v>
      </c>
      <c r="E451" s="493" t="s">
        <v>116</v>
      </c>
      <c r="F451" s="493" t="s">
        <v>377</v>
      </c>
      <c r="G451" s="493" t="s">
        <v>117</v>
      </c>
      <c r="H451" s="493" t="s">
        <v>118</v>
      </c>
      <c r="I451" s="493" t="s">
        <v>119</v>
      </c>
      <c r="J451" s="493" t="s">
        <v>710</v>
      </c>
      <c r="K451" s="493" t="s">
        <v>377</v>
      </c>
      <c r="L451" s="493" t="s">
        <v>586</v>
      </c>
      <c r="M451" s="493" t="s">
        <v>711</v>
      </c>
      <c r="N451" s="493" t="s">
        <v>712</v>
      </c>
      <c r="O451" s="493">
        <v>7562500</v>
      </c>
      <c r="P451" s="439">
        <v>6875000</v>
      </c>
      <c r="Q451" s="493">
        <v>687500</v>
      </c>
      <c r="R451" s="493" t="s">
        <v>124</v>
      </c>
      <c r="S451" s="493" t="s">
        <v>382</v>
      </c>
      <c r="T451" s="493" t="s">
        <v>125</v>
      </c>
      <c r="U451" s="493" t="s">
        <v>126</v>
      </c>
      <c r="V451" s="493" t="s">
        <v>127</v>
      </c>
      <c r="W451" s="493" t="s">
        <v>128</v>
      </c>
      <c r="X451" s="493" t="s">
        <v>713</v>
      </c>
      <c r="Y451" s="493" t="s">
        <v>377</v>
      </c>
      <c r="Z451" s="493" t="s">
        <v>2400</v>
      </c>
      <c r="AA451" s="493" t="s">
        <v>130</v>
      </c>
      <c r="AB451" s="493" t="s">
        <v>377</v>
      </c>
      <c r="AC451" s="493" t="s">
        <v>131</v>
      </c>
      <c r="AD451" s="493" t="s">
        <v>2402</v>
      </c>
      <c r="AE451" s="493">
        <v>6875000</v>
      </c>
      <c r="AF451" s="493">
        <v>687500</v>
      </c>
      <c r="AG451" s="493" t="s">
        <v>2428</v>
      </c>
      <c r="AH451" s="130">
        <f t="shared" si="87"/>
        <v>46190</v>
      </c>
      <c r="AI451" s="495"/>
      <c r="AJ451" s="439"/>
      <c r="AK451" s="121">
        <f t="shared" si="96"/>
        <v>7562500.0000000009</v>
      </c>
      <c r="AL451" s="440" t="str">
        <f t="shared" ca="1" si="97"/>
        <v/>
      </c>
      <c r="AM451" s="440"/>
      <c r="AN451" s="440"/>
      <c r="AO451" s="440"/>
    </row>
    <row r="452" spans="1:41" ht="16.5" hidden="1" customHeight="1">
      <c r="A452" s="492" t="s">
        <v>2400</v>
      </c>
      <c r="B452" s="493" t="s">
        <v>2403</v>
      </c>
      <c r="C452" s="492" t="s">
        <v>2400</v>
      </c>
      <c r="D452" s="492" t="s">
        <v>2431</v>
      </c>
      <c r="E452" s="493" t="s">
        <v>116</v>
      </c>
      <c r="F452" s="493" t="s">
        <v>377</v>
      </c>
      <c r="G452" s="493" t="s">
        <v>117</v>
      </c>
      <c r="H452" s="493" t="s">
        <v>118</v>
      </c>
      <c r="I452" s="493" t="s">
        <v>119</v>
      </c>
      <c r="J452" s="493" t="s">
        <v>1675</v>
      </c>
      <c r="K452" s="493" t="s">
        <v>377</v>
      </c>
      <c r="L452" s="493" t="s">
        <v>1676</v>
      </c>
      <c r="M452" s="493" t="s">
        <v>1677</v>
      </c>
      <c r="N452" s="493" t="s">
        <v>1678</v>
      </c>
      <c r="O452" s="493">
        <v>2026200</v>
      </c>
      <c r="P452" s="439">
        <v>1842000</v>
      </c>
      <c r="Q452" s="493">
        <v>184200</v>
      </c>
      <c r="R452" s="493" t="s">
        <v>124</v>
      </c>
      <c r="S452" s="493" t="s">
        <v>382</v>
      </c>
      <c r="T452" s="493" t="s">
        <v>125</v>
      </c>
      <c r="U452" s="493" t="s">
        <v>126</v>
      </c>
      <c r="V452" s="493" t="s">
        <v>127</v>
      </c>
      <c r="W452" s="493" t="s">
        <v>128</v>
      </c>
      <c r="X452" s="493" t="s">
        <v>1679</v>
      </c>
      <c r="Y452" s="493" t="s">
        <v>377</v>
      </c>
      <c r="Z452" s="493" t="s">
        <v>2400</v>
      </c>
      <c r="AA452" s="493" t="s">
        <v>130</v>
      </c>
      <c r="AB452" s="493" t="s">
        <v>377</v>
      </c>
      <c r="AC452" s="493" t="s">
        <v>131</v>
      </c>
      <c r="AD452" s="493" t="s">
        <v>2404</v>
      </c>
      <c r="AE452" s="493">
        <v>1842000</v>
      </c>
      <c r="AF452" s="493">
        <v>184200</v>
      </c>
      <c r="AG452" s="493" t="s">
        <v>2429</v>
      </c>
      <c r="AH452" s="130">
        <f t="shared" si="87"/>
        <v>46190</v>
      </c>
      <c r="AI452" s="495">
        <v>46170</v>
      </c>
      <c r="AJ452" s="439">
        <f>P452*1.1</f>
        <v>2026200.0000000002</v>
      </c>
      <c r="AK452" s="121">
        <f t="shared" si="96"/>
        <v>0</v>
      </c>
      <c r="AL452" s="440" t="str">
        <f t="shared" ca="1" si="97"/>
        <v/>
      </c>
      <c r="AM452" s="440"/>
      <c r="AN452" s="440"/>
      <c r="AO452" s="440"/>
    </row>
    <row r="453" spans="1:41" ht="16.5" hidden="1" customHeight="1">
      <c r="A453" s="492" t="s">
        <v>2400</v>
      </c>
      <c r="B453" s="493" t="s">
        <v>2405</v>
      </c>
      <c r="C453" s="492" t="s">
        <v>2400</v>
      </c>
      <c r="D453" s="492" t="s">
        <v>2431</v>
      </c>
      <c r="E453" s="493" t="s">
        <v>116</v>
      </c>
      <c r="F453" s="493" t="s">
        <v>377</v>
      </c>
      <c r="G453" s="493" t="s">
        <v>117</v>
      </c>
      <c r="H453" s="493" t="s">
        <v>118</v>
      </c>
      <c r="I453" s="493" t="s">
        <v>119</v>
      </c>
      <c r="J453" s="493" t="s">
        <v>2291</v>
      </c>
      <c r="K453" s="493" t="s">
        <v>377</v>
      </c>
      <c r="L453" s="493" t="s">
        <v>2292</v>
      </c>
      <c r="M453" s="493" t="s">
        <v>2293</v>
      </c>
      <c r="N453" s="493" t="s">
        <v>2294</v>
      </c>
      <c r="O453" s="493">
        <v>367620</v>
      </c>
      <c r="P453" s="439">
        <v>334200</v>
      </c>
      <c r="Q453" s="493">
        <v>33420</v>
      </c>
      <c r="R453" s="493" t="s">
        <v>124</v>
      </c>
      <c r="S453" s="493" t="s">
        <v>382</v>
      </c>
      <c r="T453" s="493" t="s">
        <v>125</v>
      </c>
      <c r="U453" s="493" t="s">
        <v>445</v>
      </c>
      <c r="V453" s="493" t="s">
        <v>127</v>
      </c>
      <c r="W453" s="493" t="s">
        <v>128</v>
      </c>
      <c r="X453" s="493" t="s">
        <v>2295</v>
      </c>
      <c r="Y453" s="493" t="s">
        <v>377</v>
      </c>
      <c r="Z453" s="493" t="s">
        <v>2400</v>
      </c>
      <c r="AA453" s="493" t="s">
        <v>130</v>
      </c>
      <c r="AB453" s="493" t="s">
        <v>377</v>
      </c>
      <c r="AC453" s="493" t="s">
        <v>131</v>
      </c>
      <c r="AD453" s="493" t="s">
        <v>2406</v>
      </c>
      <c r="AE453" s="493">
        <v>334200</v>
      </c>
      <c r="AF453" s="493">
        <v>33420</v>
      </c>
      <c r="AG453" s="493" t="s">
        <v>2430</v>
      </c>
      <c r="AH453" s="130">
        <f t="shared" si="87"/>
        <v>46190</v>
      </c>
      <c r="AI453" s="495"/>
      <c r="AJ453" s="439"/>
      <c r="AK453" s="121">
        <f t="shared" si="96"/>
        <v>367620.00000000006</v>
      </c>
      <c r="AL453" s="440" t="str">
        <f t="shared" ca="1" si="97"/>
        <v/>
      </c>
      <c r="AM453" s="440"/>
      <c r="AN453" s="440"/>
      <c r="AO453" s="440"/>
    </row>
    <row r="454" spans="1:41" ht="16.5" hidden="1" customHeight="1">
      <c r="A454" s="492" t="s">
        <v>2152</v>
      </c>
      <c r="B454" s="493" t="s">
        <v>2438</v>
      </c>
      <c r="C454" s="492" t="s">
        <v>2439</v>
      </c>
      <c r="D454" s="492" t="s">
        <v>2449</v>
      </c>
      <c r="E454" s="493" t="s">
        <v>116</v>
      </c>
      <c r="F454" s="493" t="s">
        <v>377</v>
      </c>
      <c r="G454" s="493" t="s">
        <v>117</v>
      </c>
      <c r="H454" s="493" t="s">
        <v>118</v>
      </c>
      <c r="I454" s="493" t="s">
        <v>119</v>
      </c>
      <c r="J454" s="493" t="s">
        <v>2291</v>
      </c>
      <c r="K454" s="493" t="s">
        <v>377</v>
      </c>
      <c r="L454" s="493" t="s">
        <v>2292</v>
      </c>
      <c r="M454" s="493" t="s">
        <v>2293</v>
      </c>
      <c r="N454" s="493" t="s">
        <v>2294</v>
      </c>
      <c r="O454" s="493">
        <v>4505710</v>
      </c>
      <c r="P454" s="439">
        <v>4096100</v>
      </c>
      <c r="Q454" s="493">
        <v>409610</v>
      </c>
      <c r="R454" s="493" t="s">
        <v>441</v>
      </c>
      <c r="S454" s="493" t="s">
        <v>442</v>
      </c>
      <c r="T454" s="493" t="s">
        <v>125</v>
      </c>
      <c r="U454" s="493" t="s">
        <v>2440</v>
      </c>
      <c r="V454" s="493" t="s">
        <v>127</v>
      </c>
      <c r="W454" s="493" t="s">
        <v>128</v>
      </c>
      <c r="X454" s="493" t="s">
        <v>2295</v>
      </c>
      <c r="Y454" s="493" t="s">
        <v>377</v>
      </c>
      <c r="Z454" s="493" t="s">
        <v>2152</v>
      </c>
      <c r="AA454" s="493" t="s">
        <v>130</v>
      </c>
      <c r="AB454" s="493" t="s">
        <v>377</v>
      </c>
      <c r="AC454" s="493" t="s">
        <v>131</v>
      </c>
      <c r="AD454" s="493" t="s">
        <v>2167</v>
      </c>
      <c r="AE454" s="493">
        <v>4096100</v>
      </c>
      <c r="AF454" s="493">
        <v>409610</v>
      </c>
      <c r="AG454" s="493" t="s">
        <v>2441</v>
      </c>
      <c r="AH454" s="130">
        <f t="shared" si="87"/>
        <v>46180</v>
      </c>
      <c r="AI454" s="495"/>
      <c r="AJ454" s="439"/>
      <c r="AK454" s="121">
        <f t="shared" ref="AK454:AK457" si="98">(P454*1.1)-AJ454</f>
        <v>4505710</v>
      </c>
      <c r="AL454" s="440" t="str">
        <f t="shared" ref="AL454:AL457" ca="1" si="99">IF(OR(A454="",AK454=0),"",IF(TODAY()-A454&gt;=91,"장기미수",IF(TODAY()-A454&gt;=41,"관리","")))</f>
        <v/>
      </c>
      <c r="AM454" s="440" t="s">
        <v>783</v>
      </c>
      <c r="AN454" s="440"/>
      <c r="AO454" s="440"/>
    </row>
    <row r="455" spans="1:41" ht="16.5" hidden="1" customHeight="1">
      <c r="A455" s="492" t="s">
        <v>2152</v>
      </c>
      <c r="B455" s="493" t="s">
        <v>2442</v>
      </c>
      <c r="C455" s="492" t="s">
        <v>2439</v>
      </c>
      <c r="D455" s="492" t="s">
        <v>2449</v>
      </c>
      <c r="E455" s="493" t="s">
        <v>116</v>
      </c>
      <c r="F455" s="493" t="s">
        <v>377</v>
      </c>
      <c r="G455" s="493" t="s">
        <v>117</v>
      </c>
      <c r="H455" s="493" t="s">
        <v>118</v>
      </c>
      <c r="I455" s="493" t="s">
        <v>119</v>
      </c>
      <c r="J455" s="493" t="s">
        <v>2291</v>
      </c>
      <c r="K455" s="493" t="s">
        <v>377</v>
      </c>
      <c r="L455" s="493" t="s">
        <v>2292</v>
      </c>
      <c r="M455" s="493" t="s">
        <v>2293</v>
      </c>
      <c r="N455" s="493" t="s">
        <v>2294</v>
      </c>
      <c r="O455" s="493">
        <v>3390200</v>
      </c>
      <c r="P455" s="439">
        <v>3082000</v>
      </c>
      <c r="Q455" s="493">
        <v>308200</v>
      </c>
      <c r="R455" s="493" t="s">
        <v>441</v>
      </c>
      <c r="S455" s="493" t="s">
        <v>442</v>
      </c>
      <c r="T455" s="493" t="s">
        <v>125</v>
      </c>
      <c r="U455" s="493" t="s">
        <v>2443</v>
      </c>
      <c r="V455" s="493" t="s">
        <v>127</v>
      </c>
      <c r="W455" s="493" t="s">
        <v>128</v>
      </c>
      <c r="X455" s="493" t="s">
        <v>2295</v>
      </c>
      <c r="Y455" s="493" t="s">
        <v>377</v>
      </c>
      <c r="Z455" s="493" t="s">
        <v>2152</v>
      </c>
      <c r="AA455" s="493" t="s">
        <v>130</v>
      </c>
      <c r="AB455" s="493" t="s">
        <v>377</v>
      </c>
      <c r="AC455" s="493" t="s">
        <v>131</v>
      </c>
      <c r="AD455" s="493" t="s">
        <v>2166</v>
      </c>
      <c r="AE455" s="493">
        <v>3082000</v>
      </c>
      <c r="AF455" s="493">
        <v>308200</v>
      </c>
      <c r="AG455" s="493" t="s">
        <v>2444</v>
      </c>
      <c r="AH455" s="130">
        <f t="shared" si="87"/>
        <v>46180</v>
      </c>
      <c r="AI455" s="495"/>
      <c r="AJ455" s="439"/>
      <c r="AK455" s="121">
        <f t="shared" si="98"/>
        <v>3390200.0000000005</v>
      </c>
      <c r="AL455" s="440" t="str">
        <f t="shared" ca="1" si="99"/>
        <v/>
      </c>
      <c r="AM455" s="440" t="s">
        <v>783</v>
      </c>
      <c r="AN455" s="440"/>
      <c r="AO455" s="440"/>
    </row>
    <row r="456" spans="1:41" ht="16.5" hidden="1" customHeight="1">
      <c r="A456" s="492" t="s">
        <v>1772</v>
      </c>
      <c r="B456" s="493" t="s">
        <v>2445</v>
      </c>
      <c r="C456" s="492" t="s">
        <v>2439</v>
      </c>
      <c r="D456" s="492" t="s">
        <v>2449</v>
      </c>
      <c r="E456" s="493" t="s">
        <v>116</v>
      </c>
      <c r="F456" s="493" t="s">
        <v>377</v>
      </c>
      <c r="G456" s="493" t="s">
        <v>117</v>
      </c>
      <c r="H456" s="493" t="s">
        <v>118</v>
      </c>
      <c r="I456" s="493" t="s">
        <v>119</v>
      </c>
      <c r="J456" s="493" t="s">
        <v>2291</v>
      </c>
      <c r="K456" s="493" t="s">
        <v>377</v>
      </c>
      <c r="L456" s="493" t="s">
        <v>2292</v>
      </c>
      <c r="M456" s="493" t="s">
        <v>2293</v>
      </c>
      <c r="N456" s="493" t="s">
        <v>2294</v>
      </c>
      <c r="O456" s="493">
        <v>12859000</v>
      </c>
      <c r="P456" s="439">
        <v>11690000</v>
      </c>
      <c r="Q456" s="493">
        <v>1169000</v>
      </c>
      <c r="R456" s="493" t="s">
        <v>441</v>
      </c>
      <c r="S456" s="493" t="s">
        <v>442</v>
      </c>
      <c r="T456" s="493" t="s">
        <v>125</v>
      </c>
      <c r="U456" s="493" t="s">
        <v>2446</v>
      </c>
      <c r="V456" s="493" t="s">
        <v>127</v>
      </c>
      <c r="W456" s="493" t="s">
        <v>128</v>
      </c>
      <c r="X456" s="493" t="s">
        <v>2295</v>
      </c>
      <c r="Y456" s="493" t="s">
        <v>377</v>
      </c>
      <c r="Z456" s="493" t="s">
        <v>1772</v>
      </c>
      <c r="AA456" s="493" t="s">
        <v>130</v>
      </c>
      <c r="AB456" s="493" t="s">
        <v>377</v>
      </c>
      <c r="AC456" s="493" t="s">
        <v>131</v>
      </c>
      <c r="AD456" s="493" t="s">
        <v>1793</v>
      </c>
      <c r="AE456" s="493">
        <v>11690000</v>
      </c>
      <c r="AF456" s="493">
        <v>1169000</v>
      </c>
      <c r="AG456" s="493" t="s">
        <v>1535</v>
      </c>
      <c r="AH456" s="130">
        <f t="shared" si="87"/>
        <v>46167</v>
      </c>
      <c r="AI456" s="495"/>
      <c r="AJ456" s="439"/>
      <c r="AK456" s="121">
        <f t="shared" si="98"/>
        <v>12859000.000000002</v>
      </c>
      <c r="AL456" s="440" t="str">
        <f t="shared" ca="1" si="99"/>
        <v>관리</v>
      </c>
      <c r="AM456" s="440" t="s">
        <v>783</v>
      </c>
      <c r="AN456" s="440"/>
      <c r="AO456" s="440"/>
    </row>
    <row r="457" spans="1:41" ht="16.5" hidden="1" customHeight="1">
      <c r="A457" s="492" t="s">
        <v>1447</v>
      </c>
      <c r="B457" s="493" t="s">
        <v>2447</v>
      </c>
      <c r="C457" s="492" t="s">
        <v>2439</v>
      </c>
      <c r="D457" s="492" t="s">
        <v>2449</v>
      </c>
      <c r="E457" s="493" t="s">
        <v>116</v>
      </c>
      <c r="F457" s="493" t="s">
        <v>377</v>
      </c>
      <c r="G457" s="493" t="s">
        <v>117</v>
      </c>
      <c r="H457" s="493" t="s">
        <v>118</v>
      </c>
      <c r="I457" s="493" t="s">
        <v>119</v>
      </c>
      <c r="J457" s="493" t="s">
        <v>2291</v>
      </c>
      <c r="K457" s="493" t="s">
        <v>377</v>
      </c>
      <c r="L457" s="493" t="s">
        <v>2292</v>
      </c>
      <c r="M457" s="493" t="s">
        <v>2293</v>
      </c>
      <c r="N457" s="493" t="s">
        <v>2294</v>
      </c>
      <c r="O457" s="493">
        <v>5247000</v>
      </c>
      <c r="P457" s="439">
        <v>4770000</v>
      </c>
      <c r="Q457" s="493">
        <v>477000</v>
      </c>
      <c r="R457" s="493" t="s">
        <v>441</v>
      </c>
      <c r="S457" s="493" t="s">
        <v>442</v>
      </c>
      <c r="T457" s="493" t="s">
        <v>125</v>
      </c>
      <c r="U457" s="493" t="s">
        <v>2448</v>
      </c>
      <c r="V457" s="493" t="s">
        <v>127</v>
      </c>
      <c r="W457" s="493" t="s">
        <v>128</v>
      </c>
      <c r="X457" s="493" t="s">
        <v>2295</v>
      </c>
      <c r="Y457" s="493" t="s">
        <v>377</v>
      </c>
      <c r="Z457" s="493" t="s">
        <v>1447</v>
      </c>
      <c r="AA457" s="493" t="s">
        <v>130</v>
      </c>
      <c r="AB457" s="493" t="s">
        <v>377</v>
      </c>
      <c r="AC457" s="493" t="s">
        <v>131</v>
      </c>
      <c r="AD457" s="493" t="s">
        <v>1493</v>
      </c>
      <c r="AE457" s="493">
        <v>4770000</v>
      </c>
      <c r="AF457" s="493">
        <v>477000</v>
      </c>
      <c r="AG457" s="493" t="s">
        <v>2450</v>
      </c>
      <c r="AH457" s="130">
        <f t="shared" ref="AH457:AH519" si="100">IF(A457&lt;&gt;"", A457+40, "")</f>
        <v>46155</v>
      </c>
      <c r="AI457" s="495"/>
      <c r="AJ457" s="439"/>
      <c r="AK457" s="121">
        <f t="shared" si="98"/>
        <v>5247000</v>
      </c>
      <c r="AL457" s="440" t="str">
        <f t="shared" ca="1" si="99"/>
        <v>관리</v>
      </c>
      <c r="AM457" s="440" t="s">
        <v>783</v>
      </c>
      <c r="AN457" s="440"/>
      <c r="AO457" s="440"/>
    </row>
    <row r="458" spans="1:41" ht="16.5" hidden="1" customHeight="1">
      <c r="A458" s="492" t="s">
        <v>2439</v>
      </c>
      <c r="B458" s="493" t="s">
        <v>2451</v>
      </c>
      <c r="C458" s="492" t="s">
        <v>2439</v>
      </c>
      <c r="D458" s="492" t="s">
        <v>2449</v>
      </c>
      <c r="E458" s="493" t="s">
        <v>116</v>
      </c>
      <c r="F458" s="493" t="s">
        <v>377</v>
      </c>
      <c r="G458" s="493" t="s">
        <v>117</v>
      </c>
      <c r="H458" s="493" t="s">
        <v>118</v>
      </c>
      <c r="I458" s="493" t="s">
        <v>119</v>
      </c>
      <c r="J458" s="493" t="s">
        <v>474</v>
      </c>
      <c r="K458" s="493" t="s">
        <v>377</v>
      </c>
      <c r="L458" s="493" t="s">
        <v>475</v>
      </c>
      <c r="M458" s="493" t="s">
        <v>476</v>
      </c>
      <c r="N458" s="493" t="s">
        <v>477</v>
      </c>
      <c r="O458" s="493">
        <v>1841400</v>
      </c>
      <c r="P458" s="439">
        <v>1674000</v>
      </c>
      <c r="Q458" s="493">
        <v>167400</v>
      </c>
      <c r="R458" s="493" t="s">
        <v>124</v>
      </c>
      <c r="S458" s="493" t="s">
        <v>382</v>
      </c>
      <c r="T458" s="493" t="s">
        <v>125</v>
      </c>
      <c r="U458" s="493" t="s">
        <v>126</v>
      </c>
      <c r="V458" s="493" t="s">
        <v>127</v>
      </c>
      <c r="W458" s="493" t="s">
        <v>128</v>
      </c>
      <c r="X458" s="493" t="s">
        <v>478</v>
      </c>
      <c r="Y458" s="493" t="s">
        <v>377</v>
      </c>
      <c r="Z458" s="493" t="s">
        <v>2439</v>
      </c>
      <c r="AA458" s="493" t="s">
        <v>130</v>
      </c>
      <c r="AB458" s="493" t="s">
        <v>377</v>
      </c>
      <c r="AC458" s="493" t="s">
        <v>131</v>
      </c>
      <c r="AD458" s="493" t="s">
        <v>2452</v>
      </c>
      <c r="AE458" s="493">
        <v>1674000</v>
      </c>
      <c r="AF458" s="493">
        <v>167400</v>
      </c>
      <c r="AG458" s="493" t="s">
        <v>2483</v>
      </c>
      <c r="AH458" s="130">
        <f t="shared" si="100"/>
        <v>46193</v>
      </c>
      <c r="AI458" s="495"/>
      <c r="AJ458" s="439"/>
      <c r="AK458" s="121">
        <f t="shared" ref="AK458:AK467" si="101">(P458*1.1)-AJ458</f>
        <v>1841400.0000000002</v>
      </c>
      <c r="AL458" s="440" t="str">
        <f t="shared" ref="AL458:AL466" ca="1" si="102">IF(OR(A458="",AK458=0),"",IF(TODAY()-A458&gt;=91,"장기미수",IF(TODAY()-A458&gt;=41,"관리","")))</f>
        <v/>
      </c>
      <c r="AM458" s="440"/>
      <c r="AN458" s="440"/>
      <c r="AO458" s="440"/>
    </row>
    <row r="459" spans="1:41" ht="16.5" hidden="1" customHeight="1">
      <c r="A459" s="492" t="s">
        <v>2439</v>
      </c>
      <c r="B459" s="493" t="s">
        <v>2453</v>
      </c>
      <c r="C459" s="492" t="s">
        <v>2439</v>
      </c>
      <c r="D459" s="492" t="s">
        <v>2449</v>
      </c>
      <c r="E459" s="493" t="s">
        <v>116</v>
      </c>
      <c r="F459" s="493" t="s">
        <v>377</v>
      </c>
      <c r="G459" s="493" t="s">
        <v>117</v>
      </c>
      <c r="H459" s="493" t="s">
        <v>118</v>
      </c>
      <c r="I459" s="493" t="s">
        <v>119</v>
      </c>
      <c r="J459" s="493" t="s">
        <v>1392</v>
      </c>
      <c r="K459" s="493" t="s">
        <v>377</v>
      </c>
      <c r="L459" s="493" t="s">
        <v>1393</v>
      </c>
      <c r="M459" s="493" t="s">
        <v>1394</v>
      </c>
      <c r="N459" s="493" t="s">
        <v>1395</v>
      </c>
      <c r="O459" s="493">
        <v>388300</v>
      </c>
      <c r="P459" s="439">
        <v>353000</v>
      </c>
      <c r="Q459" s="493">
        <v>35300</v>
      </c>
      <c r="R459" s="493" t="s">
        <v>124</v>
      </c>
      <c r="S459" s="493" t="s">
        <v>382</v>
      </c>
      <c r="T459" s="493" t="s">
        <v>125</v>
      </c>
      <c r="U459" s="493" t="s">
        <v>126</v>
      </c>
      <c r="V459" s="493" t="s">
        <v>127</v>
      </c>
      <c r="W459" s="493" t="s">
        <v>128</v>
      </c>
      <c r="X459" s="493" t="s">
        <v>1396</v>
      </c>
      <c r="Y459" s="493" t="s">
        <v>377</v>
      </c>
      <c r="Z459" s="493" t="s">
        <v>2439</v>
      </c>
      <c r="AA459" s="493" t="s">
        <v>130</v>
      </c>
      <c r="AB459" s="493" t="s">
        <v>377</v>
      </c>
      <c r="AC459" s="493" t="s">
        <v>131</v>
      </c>
      <c r="AD459" s="493" t="s">
        <v>2454</v>
      </c>
      <c r="AE459" s="493">
        <v>353000</v>
      </c>
      <c r="AF459" s="493">
        <v>35300</v>
      </c>
      <c r="AG459" s="493" t="s">
        <v>2484</v>
      </c>
      <c r="AH459" s="130">
        <f t="shared" si="100"/>
        <v>46193</v>
      </c>
      <c r="AI459" s="495">
        <v>46169</v>
      </c>
      <c r="AJ459" s="439">
        <f>P459*1.1</f>
        <v>388300.00000000006</v>
      </c>
      <c r="AK459" s="121">
        <f t="shared" si="101"/>
        <v>0</v>
      </c>
      <c r="AL459" s="440" t="str">
        <f t="shared" ca="1" si="102"/>
        <v/>
      </c>
      <c r="AM459" s="440"/>
      <c r="AN459" s="440"/>
      <c r="AO459" s="440"/>
    </row>
    <row r="460" spans="1:41" ht="16.5" hidden="1" customHeight="1">
      <c r="A460" s="492" t="s">
        <v>2439</v>
      </c>
      <c r="B460" s="493" t="s">
        <v>2455</v>
      </c>
      <c r="C460" s="492" t="s">
        <v>2439</v>
      </c>
      <c r="D460" s="492" t="s">
        <v>2449</v>
      </c>
      <c r="E460" s="493" t="s">
        <v>116</v>
      </c>
      <c r="F460" s="493" t="s">
        <v>377</v>
      </c>
      <c r="G460" s="493" t="s">
        <v>117</v>
      </c>
      <c r="H460" s="493" t="s">
        <v>118</v>
      </c>
      <c r="I460" s="493" t="s">
        <v>119</v>
      </c>
      <c r="J460" s="493" t="s">
        <v>474</v>
      </c>
      <c r="K460" s="493" t="s">
        <v>377</v>
      </c>
      <c r="L460" s="493" t="s">
        <v>475</v>
      </c>
      <c r="M460" s="493" t="s">
        <v>476</v>
      </c>
      <c r="N460" s="493" t="s">
        <v>477</v>
      </c>
      <c r="O460" s="493">
        <v>4133800</v>
      </c>
      <c r="P460" s="439">
        <v>3758000</v>
      </c>
      <c r="Q460" s="493">
        <v>375800</v>
      </c>
      <c r="R460" s="493" t="s">
        <v>124</v>
      </c>
      <c r="S460" s="493" t="s">
        <v>382</v>
      </c>
      <c r="T460" s="493" t="s">
        <v>125</v>
      </c>
      <c r="U460" s="493" t="s">
        <v>126</v>
      </c>
      <c r="V460" s="493" t="s">
        <v>127</v>
      </c>
      <c r="W460" s="493" t="s">
        <v>128</v>
      </c>
      <c r="X460" s="493" t="s">
        <v>478</v>
      </c>
      <c r="Y460" s="493" t="s">
        <v>377</v>
      </c>
      <c r="Z460" s="493" t="s">
        <v>2439</v>
      </c>
      <c r="AA460" s="493" t="s">
        <v>130</v>
      </c>
      <c r="AB460" s="493" t="s">
        <v>377</v>
      </c>
      <c r="AC460" s="493" t="s">
        <v>131</v>
      </c>
      <c r="AD460" s="493" t="s">
        <v>2456</v>
      </c>
      <c r="AE460" s="493">
        <v>3758000</v>
      </c>
      <c r="AF460" s="493">
        <v>375800</v>
      </c>
      <c r="AG460" s="493" t="s">
        <v>2485</v>
      </c>
      <c r="AH460" s="130">
        <f t="shared" si="100"/>
        <v>46193</v>
      </c>
      <c r="AI460" s="495"/>
      <c r="AJ460" s="439"/>
      <c r="AK460" s="121">
        <f t="shared" si="101"/>
        <v>4133800.0000000005</v>
      </c>
      <c r="AL460" s="440" t="str">
        <f t="shared" ca="1" si="102"/>
        <v/>
      </c>
      <c r="AM460" s="440"/>
      <c r="AN460" s="440"/>
      <c r="AO460" s="440"/>
    </row>
    <row r="461" spans="1:41" ht="16.5" hidden="1" customHeight="1">
      <c r="A461" s="492" t="s">
        <v>2439</v>
      </c>
      <c r="B461" s="493" t="s">
        <v>2457</v>
      </c>
      <c r="C461" s="492" t="s">
        <v>2439</v>
      </c>
      <c r="D461" s="492" t="s">
        <v>2449</v>
      </c>
      <c r="E461" s="493" t="s">
        <v>116</v>
      </c>
      <c r="F461" s="493" t="s">
        <v>377</v>
      </c>
      <c r="G461" s="493" t="s">
        <v>117</v>
      </c>
      <c r="H461" s="493" t="s">
        <v>118</v>
      </c>
      <c r="I461" s="493" t="s">
        <v>119</v>
      </c>
      <c r="J461" s="493" t="s">
        <v>1144</v>
      </c>
      <c r="K461" s="493" t="s">
        <v>377</v>
      </c>
      <c r="L461" s="493" t="s">
        <v>1145</v>
      </c>
      <c r="M461" s="493" t="s">
        <v>1146</v>
      </c>
      <c r="N461" s="493" t="s">
        <v>1147</v>
      </c>
      <c r="O461" s="493">
        <v>35733500</v>
      </c>
      <c r="P461" s="439">
        <v>32485000</v>
      </c>
      <c r="Q461" s="493">
        <v>3248500</v>
      </c>
      <c r="R461" s="493" t="s">
        <v>124</v>
      </c>
      <c r="S461" s="493" t="s">
        <v>382</v>
      </c>
      <c r="T461" s="493" t="s">
        <v>125</v>
      </c>
      <c r="U461" s="493" t="s">
        <v>126</v>
      </c>
      <c r="V461" s="493" t="s">
        <v>127</v>
      </c>
      <c r="W461" s="493" t="s">
        <v>128</v>
      </c>
      <c r="X461" s="493" t="s">
        <v>1148</v>
      </c>
      <c r="Y461" s="493" t="s">
        <v>377</v>
      </c>
      <c r="Z461" s="493" t="s">
        <v>2439</v>
      </c>
      <c r="AA461" s="493" t="s">
        <v>130</v>
      </c>
      <c r="AB461" s="493" t="s">
        <v>377</v>
      </c>
      <c r="AC461" s="493" t="s">
        <v>131</v>
      </c>
      <c r="AD461" s="493" t="s">
        <v>2458</v>
      </c>
      <c r="AE461" s="493">
        <v>32485000</v>
      </c>
      <c r="AF461" s="493">
        <v>3248500</v>
      </c>
      <c r="AG461" s="493" t="s">
        <v>2486</v>
      </c>
      <c r="AH461" s="130">
        <f t="shared" si="100"/>
        <v>46193</v>
      </c>
      <c r="AI461" s="495"/>
      <c r="AJ461" s="439"/>
      <c r="AK461" s="121">
        <f t="shared" si="101"/>
        <v>35733500</v>
      </c>
      <c r="AL461" s="440" t="str">
        <f t="shared" ca="1" si="102"/>
        <v/>
      </c>
      <c r="AM461" s="440"/>
      <c r="AN461" s="440"/>
      <c r="AO461" s="440"/>
    </row>
    <row r="462" spans="1:41" ht="16.5" hidden="1" customHeight="1">
      <c r="A462" s="492" t="s">
        <v>2439</v>
      </c>
      <c r="B462" s="493" t="s">
        <v>2459</v>
      </c>
      <c r="C462" s="492" t="s">
        <v>2439</v>
      </c>
      <c r="D462" s="492" t="s">
        <v>2449</v>
      </c>
      <c r="E462" s="493" t="s">
        <v>116</v>
      </c>
      <c r="F462" s="493" t="s">
        <v>377</v>
      </c>
      <c r="G462" s="493" t="s">
        <v>117</v>
      </c>
      <c r="H462" s="493" t="s">
        <v>118</v>
      </c>
      <c r="I462" s="493" t="s">
        <v>119</v>
      </c>
      <c r="J462" s="493" t="s">
        <v>1760</v>
      </c>
      <c r="K462" s="493" t="s">
        <v>377</v>
      </c>
      <c r="L462" s="493" t="s">
        <v>1761</v>
      </c>
      <c r="M462" s="493" t="s">
        <v>1762</v>
      </c>
      <c r="N462" s="493" t="s">
        <v>1763</v>
      </c>
      <c r="O462" s="493">
        <v>5492960</v>
      </c>
      <c r="P462" s="439">
        <v>4993600</v>
      </c>
      <c r="Q462" s="493">
        <v>499360</v>
      </c>
      <c r="R462" s="493" t="s">
        <v>124</v>
      </c>
      <c r="S462" s="493" t="s">
        <v>382</v>
      </c>
      <c r="T462" s="493" t="s">
        <v>125</v>
      </c>
      <c r="U462" s="493" t="s">
        <v>126</v>
      </c>
      <c r="V462" s="493" t="s">
        <v>127</v>
      </c>
      <c r="W462" s="493" t="s">
        <v>128</v>
      </c>
      <c r="X462" s="493" t="s">
        <v>1764</v>
      </c>
      <c r="Y462" s="493" t="s">
        <v>377</v>
      </c>
      <c r="Z462" s="493" t="s">
        <v>2439</v>
      </c>
      <c r="AA462" s="493" t="s">
        <v>130</v>
      </c>
      <c r="AB462" s="493" t="s">
        <v>377</v>
      </c>
      <c r="AC462" s="493" t="s">
        <v>131</v>
      </c>
      <c r="AD462" s="493" t="s">
        <v>2460</v>
      </c>
      <c r="AE462" s="493">
        <v>4993600</v>
      </c>
      <c r="AF462" s="493">
        <v>499360</v>
      </c>
      <c r="AG462" s="493" t="s">
        <v>2487</v>
      </c>
      <c r="AH462" s="130">
        <f t="shared" si="100"/>
        <v>46193</v>
      </c>
      <c r="AI462" s="495">
        <v>46157</v>
      </c>
      <c r="AJ462" s="439">
        <f>P462*1.1</f>
        <v>5492960</v>
      </c>
      <c r="AK462" s="121">
        <f t="shared" si="101"/>
        <v>0</v>
      </c>
      <c r="AL462" s="440" t="str">
        <f t="shared" ca="1" si="102"/>
        <v/>
      </c>
      <c r="AM462" s="440"/>
      <c r="AN462" s="440"/>
      <c r="AO462" s="440"/>
    </row>
    <row r="463" spans="1:41" ht="16.5" hidden="1" customHeight="1">
      <c r="A463" s="492" t="s">
        <v>2439</v>
      </c>
      <c r="B463" s="493" t="s">
        <v>2461</v>
      </c>
      <c r="C463" s="492" t="s">
        <v>2439</v>
      </c>
      <c r="D463" s="492" t="s">
        <v>2449</v>
      </c>
      <c r="E463" s="493" t="s">
        <v>116</v>
      </c>
      <c r="F463" s="493" t="s">
        <v>377</v>
      </c>
      <c r="G463" s="493" t="s">
        <v>117</v>
      </c>
      <c r="H463" s="493" t="s">
        <v>118</v>
      </c>
      <c r="I463" s="493" t="s">
        <v>119</v>
      </c>
      <c r="J463" s="493" t="s">
        <v>2462</v>
      </c>
      <c r="K463" s="493" t="s">
        <v>377</v>
      </c>
      <c r="L463" s="493" t="s">
        <v>2463</v>
      </c>
      <c r="M463" s="493" t="s">
        <v>2464</v>
      </c>
      <c r="N463" s="493" t="s">
        <v>2465</v>
      </c>
      <c r="O463" s="493">
        <v>2068000</v>
      </c>
      <c r="P463" s="439">
        <v>1880000</v>
      </c>
      <c r="Q463" s="493">
        <v>188000</v>
      </c>
      <c r="R463" s="493" t="s">
        <v>124</v>
      </c>
      <c r="S463" s="493" t="s">
        <v>382</v>
      </c>
      <c r="T463" s="493" t="s">
        <v>125</v>
      </c>
      <c r="U463" s="493" t="s">
        <v>126</v>
      </c>
      <c r="V463" s="493" t="s">
        <v>127</v>
      </c>
      <c r="W463" s="493" t="s">
        <v>128</v>
      </c>
      <c r="X463" s="493" t="s">
        <v>2466</v>
      </c>
      <c r="Y463" s="493" t="s">
        <v>377</v>
      </c>
      <c r="Z463" s="493" t="s">
        <v>2439</v>
      </c>
      <c r="AA463" s="493" t="s">
        <v>130</v>
      </c>
      <c r="AB463" s="493" t="s">
        <v>377</v>
      </c>
      <c r="AC463" s="493" t="s">
        <v>131</v>
      </c>
      <c r="AD463" s="493" t="s">
        <v>2467</v>
      </c>
      <c r="AE463" s="493">
        <v>1880000</v>
      </c>
      <c r="AF463" s="493">
        <v>188000</v>
      </c>
      <c r="AG463" s="493" t="s">
        <v>2488</v>
      </c>
      <c r="AH463" s="130">
        <f t="shared" si="100"/>
        <v>46193</v>
      </c>
      <c r="AI463" s="495">
        <v>46171</v>
      </c>
      <c r="AJ463" s="439">
        <f>P463*1.1</f>
        <v>2068000.0000000002</v>
      </c>
      <c r="AK463" s="121">
        <f t="shared" si="101"/>
        <v>0</v>
      </c>
      <c r="AL463" s="440" t="str">
        <f t="shared" ca="1" si="102"/>
        <v/>
      </c>
      <c r="AM463" s="440"/>
      <c r="AN463" s="440"/>
      <c r="AO463" s="440"/>
    </row>
    <row r="464" spans="1:41" ht="16.5" hidden="1" customHeight="1">
      <c r="A464" s="492" t="s">
        <v>2439</v>
      </c>
      <c r="B464" s="493" t="s">
        <v>2468</v>
      </c>
      <c r="C464" s="492" t="s">
        <v>2439</v>
      </c>
      <c r="D464" s="492" t="s">
        <v>2449</v>
      </c>
      <c r="E464" s="493" t="s">
        <v>116</v>
      </c>
      <c r="F464" s="493" t="s">
        <v>377</v>
      </c>
      <c r="G464" s="493" t="s">
        <v>117</v>
      </c>
      <c r="H464" s="493" t="s">
        <v>118</v>
      </c>
      <c r="I464" s="493" t="s">
        <v>119</v>
      </c>
      <c r="J464" s="493" t="s">
        <v>120</v>
      </c>
      <c r="K464" s="493" t="s">
        <v>377</v>
      </c>
      <c r="L464" s="493" t="s">
        <v>390</v>
      </c>
      <c r="M464" s="493" t="s">
        <v>122</v>
      </c>
      <c r="N464" s="493" t="s">
        <v>123</v>
      </c>
      <c r="O464" s="493">
        <v>52312700</v>
      </c>
      <c r="P464" s="439">
        <v>47557000</v>
      </c>
      <c r="Q464" s="493">
        <v>4755700</v>
      </c>
      <c r="R464" s="493" t="s">
        <v>124</v>
      </c>
      <c r="S464" s="493" t="s">
        <v>382</v>
      </c>
      <c r="T464" s="493" t="s">
        <v>125</v>
      </c>
      <c r="U464" s="493" t="s">
        <v>126</v>
      </c>
      <c r="V464" s="493" t="s">
        <v>127</v>
      </c>
      <c r="W464" s="493" t="s">
        <v>128</v>
      </c>
      <c r="X464" s="493" t="s">
        <v>129</v>
      </c>
      <c r="Y464" s="493" t="s">
        <v>377</v>
      </c>
      <c r="Z464" s="493" t="s">
        <v>2439</v>
      </c>
      <c r="AA464" s="493" t="s">
        <v>130</v>
      </c>
      <c r="AB464" s="493" t="s">
        <v>377</v>
      </c>
      <c r="AC464" s="493" t="s">
        <v>131</v>
      </c>
      <c r="AD464" s="493" t="s">
        <v>2469</v>
      </c>
      <c r="AE464" s="493">
        <v>47557000</v>
      </c>
      <c r="AF464" s="493">
        <v>4755700</v>
      </c>
      <c r="AG464" s="493" t="s">
        <v>2489</v>
      </c>
      <c r="AH464" s="130">
        <f t="shared" si="100"/>
        <v>46193</v>
      </c>
      <c r="AI464" s="495"/>
      <c r="AJ464" s="439"/>
      <c r="AK464" s="121">
        <f t="shared" si="101"/>
        <v>52312700.000000007</v>
      </c>
      <c r="AL464" s="440" t="str">
        <f t="shared" ca="1" si="102"/>
        <v/>
      </c>
      <c r="AM464" s="440"/>
      <c r="AN464" s="440"/>
      <c r="AO464" s="440"/>
    </row>
    <row r="465" spans="1:41" ht="16.5" hidden="1" customHeight="1">
      <c r="A465" s="492" t="s">
        <v>2439</v>
      </c>
      <c r="B465" s="493" t="s">
        <v>2470</v>
      </c>
      <c r="C465" s="492" t="s">
        <v>2439</v>
      </c>
      <c r="D465" s="492" t="s">
        <v>2449</v>
      </c>
      <c r="E465" s="493" t="s">
        <v>116</v>
      </c>
      <c r="F465" s="493" t="s">
        <v>377</v>
      </c>
      <c r="G465" s="493" t="s">
        <v>117</v>
      </c>
      <c r="H465" s="493" t="s">
        <v>118</v>
      </c>
      <c r="I465" s="493" t="s">
        <v>119</v>
      </c>
      <c r="J465" s="493" t="s">
        <v>2471</v>
      </c>
      <c r="K465" s="493" t="s">
        <v>377</v>
      </c>
      <c r="L465" s="493" t="s">
        <v>580</v>
      </c>
      <c r="M465" s="493" t="s">
        <v>2472</v>
      </c>
      <c r="N465" s="493" t="s">
        <v>2473</v>
      </c>
      <c r="O465" s="493">
        <v>3157440</v>
      </c>
      <c r="P465" s="439">
        <v>2870400</v>
      </c>
      <c r="Q465" s="493">
        <v>287040</v>
      </c>
      <c r="R465" s="493" t="s">
        <v>124</v>
      </c>
      <c r="S465" s="493" t="s">
        <v>382</v>
      </c>
      <c r="T465" s="493" t="s">
        <v>125</v>
      </c>
      <c r="U465" s="493" t="s">
        <v>126</v>
      </c>
      <c r="V465" s="493" t="s">
        <v>127</v>
      </c>
      <c r="W465" s="493" t="s">
        <v>128</v>
      </c>
      <c r="X465" s="493" t="s">
        <v>2474</v>
      </c>
      <c r="Y465" s="493" t="s">
        <v>377</v>
      </c>
      <c r="Z465" s="493" t="s">
        <v>2439</v>
      </c>
      <c r="AA465" s="493" t="s">
        <v>130</v>
      </c>
      <c r="AB465" s="493" t="s">
        <v>377</v>
      </c>
      <c r="AC465" s="493" t="s">
        <v>131</v>
      </c>
      <c r="AD465" s="493" t="s">
        <v>2475</v>
      </c>
      <c r="AE465" s="493">
        <v>2870400</v>
      </c>
      <c r="AF465" s="493">
        <v>287040</v>
      </c>
      <c r="AG465" s="493" t="s">
        <v>2490</v>
      </c>
      <c r="AH465" s="130">
        <f t="shared" si="100"/>
        <v>46193</v>
      </c>
      <c r="AI465" s="495"/>
      <c r="AJ465" s="439"/>
      <c r="AK465" s="121">
        <f t="shared" si="101"/>
        <v>3157440.0000000005</v>
      </c>
      <c r="AL465" s="440" t="str">
        <f t="shared" ca="1" si="102"/>
        <v/>
      </c>
      <c r="AM465" s="440"/>
      <c r="AN465" s="440"/>
      <c r="AO465" s="440"/>
    </row>
    <row r="466" spans="1:41" ht="16.5" hidden="1" customHeight="1">
      <c r="A466" s="492" t="s">
        <v>2439</v>
      </c>
      <c r="B466" s="493" t="s">
        <v>2476</v>
      </c>
      <c r="C466" s="492" t="s">
        <v>2439</v>
      </c>
      <c r="D466" s="492" t="s">
        <v>2449</v>
      </c>
      <c r="E466" s="493" t="s">
        <v>116</v>
      </c>
      <c r="F466" s="493" t="s">
        <v>377</v>
      </c>
      <c r="G466" s="493" t="s">
        <v>117</v>
      </c>
      <c r="H466" s="493" t="s">
        <v>118</v>
      </c>
      <c r="I466" s="493" t="s">
        <v>119</v>
      </c>
      <c r="J466" s="493" t="s">
        <v>2477</v>
      </c>
      <c r="K466" s="493" t="s">
        <v>377</v>
      </c>
      <c r="L466" s="493" t="s">
        <v>2478</v>
      </c>
      <c r="M466" s="493" t="s">
        <v>2479</v>
      </c>
      <c r="N466" s="493" t="s">
        <v>2480</v>
      </c>
      <c r="O466" s="493">
        <v>665500</v>
      </c>
      <c r="P466" s="439">
        <v>605000</v>
      </c>
      <c r="Q466" s="493">
        <v>60500</v>
      </c>
      <c r="R466" s="493" t="s">
        <v>124</v>
      </c>
      <c r="S466" s="493" t="s">
        <v>382</v>
      </c>
      <c r="T466" s="493" t="s">
        <v>125</v>
      </c>
      <c r="U466" s="493" t="s">
        <v>126</v>
      </c>
      <c r="V466" s="493" t="s">
        <v>127</v>
      </c>
      <c r="W466" s="493" t="s">
        <v>128</v>
      </c>
      <c r="X466" s="493" t="s">
        <v>2481</v>
      </c>
      <c r="Y466" s="493" t="s">
        <v>377</v>
      </c>
      <c r="Z466" s="493" t="s">
        <v>2439</v>
      </c>
      <c r="AA466" s="493" t="s">
        <v>130</v>
      </c>
      <c r="AB466" s="493" t="s">
        <v>377</v>
      </c>
      <c r="AC466" s="493" t="s">
        <v>131</v>
      </c>
      <c r="AD466" s="493" t="s">
        <v>2482</v>
      </c>
      <c r="AE466" s="493">
        <v>605000</v>
      </c>
      <c r="AF466" s="493">
        <v>60500</v>
      </c>
      <c r="AG466" s="493" t="s">
        <v>2491</v>
      </c>
      <c r="AH466" s="130">
        <f t="shared" si="100"/>
        <v>46193</v>
      </c>
      <c r="AI466" s="495"/>
      <c r="AJ466" s="439"/>
      <c r="AK466" s="121">
        <f t="shared" si="101"/>
        <v>665500</v>
      </c>
      <c r="AL466" s="440" t="str">
        <f t="shared" ca="1" si="102"/>
        <v/>
      </c>
      <c r="AM466" s="440"/>
      <c r="AN466" s="440"/>
      <c r="AO466" s="440"/>
    </row>
    <row r="467" spans="1:41" ht="16.5" hidden="1" customHeight="1">
      <c r="A467" s="492" t="s">
        <v>2439</v>
      </c>
      <c r="B467" s="493" t="s">
        <v>2550</v>
      </c>
      <c r="C467" s="492" t="s">
        <v>2439</v>
      </c>
      <c r="D467" s="492" t="s">
        <v>2449</v>
      </c>
      <c r="E467" s="493" t="s">
        <v>116</v>
      </c>
      <c r="F467" s="493" t="s">
        <v>377</v>
      </c>
      <c r="G467" s="493" t="s">
        <v>117</v>
      </c>
      <c r="H467" s="493" t="s">
        <v>118</v>
      </c>
      <c r="I467" s="493" t="s">
        <v>119</v>
      </c>
      <c r="J467" s="493" t="s">
        <v>120</v>
      </c>
      <c r="K467" s="493" t="s">
        <v>377</v>
      </c>
      <c r="L467" s="493" t="s">
        <v>390</v>
      </c>
      <c r="M467" s="493" t="s">
        <v>122</v>
      </c>
      <c r="N467" s="493" t="s">
        <v>123</v>
      </c>
      <c r="O467" s="493">
        <v>-2420000</v>
      </c>
      <c r="P467" s="439">
        <v>-2200000</v>
      </c>
      <c r="Q467" s="493">
        <v>-220000</v>
      </c>
      <c r="R467" s="493" t="s">
        <v>441</v>
      </c>
      <c r="S467" s="493" t="s">
        <v>442</v>
      </c>
      <c r="T467" s="493" t="s">
        <v>125</v>
      </c>
      <c r="U467" s="493" t="s">
        <v>2551</v>
      </c>
      <c r="V467" s="493" t="s">
        <v>127</v>
      </c>
      <c r="W467" s="493" t="s">
        <v>128</v>
      </c>
      <c r="X467" s="493" t="s">
        <v>129</v>
      </c>
      <c r="Y467" s="493" t="s">
        <v>377</v>
      </c>
      <c r="Z467" s="493" t="s">
        <v>2439</v>
      </c>
      <c r="AA467" s="493" t="s">
        <v>1653</v>
      </c>
      <c r="AB467" s="493" t="s">
        <v>377</v>
      </c>
      <c r="AC467" s="493" t="s">
        <v>377</v>
      </c>
      <c r="AD467" s="493" t="s">
        <v>377</v>
      </c>
      <c r="AE467" s="493">
        <v>-2200000</v>
      </c>
      <c r="AF467" s="493">
        <v>-220000</v>
      </c>
      <c r="AG467" s="493" t="s">
        <v>463</v>
      </c>
      <c r="AH467" s="130">
        <f t="shared" si="100"/>
        <v>46193</v>
      </c>
      <c r="AI467" s="495"/>
      <c r="AJ467" s="439"/>
      <c r="AK467" s="121">
        <f t="shared" si="101"/>
        <v>-2420000</v>
      </c>
      <c r="AL467" s="440"/>
      <c r="AM467" s="440"/>
      <c r="AN467" s="440"/>
      <c r="AO467" s="440" t="s">
        <v>2555</v>
      </c>
    </row>
    <row r="468" spans="1:41" ht="16.5" hidden="1" customHeight="1">
      <c r="A468" s="492" t="s">
        <v>2508</v>
      </c>
      <c r="B468" s="493" t="s">
        <v>2509</v>
      </c>
      <c r="C468" s="492" t="s">
        <v>2508</v>
      </c>
      <c r="D468" s="492" t="s">
        <v>2540</v>
      </c>
      <c r="E468" s="493" t="s">
        <v>116</v>
      </c>
      <c r="F468" s="493" t="s">
        <v>377</v>
      </c>
      <c r="G468" s="493" t="s">
        <v>117</v>
      </c>
      <c r="H468" s="493" t="s">
        <v>118</v>
      </c>
      <c r="I468" s="493" t="s">
        <v>119</v>
      </c>
      <c r="J468" s="493" t="s">
        <v>2510</v>
      </c>
      <c r="K468" s="493" t="s">
        <v>377</v>
      </c>
      <c r="L468" s="493" t="s">
        <v>2511</v>
      </c>
      <c r="M468" s="493" t="s">
        <v>2512</v>
      </c>
      <c r="N468" s="493" t="s">
        <v>2513</v>
      </c>
      <c r="O468" s="493">
        <v>6125900</v>
      </c>
      <c r="P468" s="439">
        <v>5569000</v>
      </c>
      <c r="Q468" s="493">
        <v>556900</v>
      </c>
      <c r="R468" s="493" t="s">
        <v>124</v>
      </c>
      <c r="S468" s="493" t="s">
        <v>382</v>
      </c>
      <c r="T468" s="493" t="s">
        <v>125</v>
      </c>
      <c r="U468" s="493" t="s">
        <v>126</v>
      </c>
      <c r="V468" s="493" t="s">
        <v>127</v>
      </c>
      <c r="W468" s="493" t="s">
        <v>128</v>
      </c>
      <c r="X468" s="493" t="s">
        <v>2514</v>
      </c>
      <c r="Y468" s="493" t="s">
        <v>377</v>
      </c>
      <c r="Z468" s="493" t="s">
        <v>2508</v>
      </c>
      <c r="AA468" s="493" t="s">
        <v>130</v>
      </c>
      <c r="AB468" s="493" t="s">
        <v>377</v>
      </c>
      <c r="AC468" s="493" t="s">
        <v>131</v>
      </c>
      <c r="AD468" s="493" t="s">
        <v>2515</v>
      </c>
      <c r="AE468" s="493">
        <v>5569000</v>
      </c>
      <c r="AF468" s="493">
        <v>556900</v>
      </c>
      <c r="AG468" s="493" t="s">
        <v>2541</v>
      </c>
      <c r="AH468" s="130">
        <f t="shared" si="100"/>
        <v>46194</v>
      </c>
      <c r="AI468" s="495"/>
      <c r="AJ468" s="439"/>
      <c r="AK468" s="121">
        <f t="shared" ref="AK468:AK479" si="103">(P468*1.1)-AJ468</f>
        <v>6125900.0000000009</v>
      </c>
      <c r="AL468" s="440" t="str">
        <f t="shared" ref="AL468:AL479" ca="1" si="104">IF(OR(A468="",AK468=0),"",IF(TODAY()-A468&gt;=91,"장기미수",IF(TODAY()-A468&gt;=41,"관리","")))</f>
        <v/>
      </c>
      <c r="AM468" s="440"/>
      <c r="AN468" s="440"/>
      <c r="AO468" s="440"/>
    </row>
    <row r="469" spans="1:41" ht="16.5" hidden="1" customHeight="1">
      <c r="A469" s="492" t="s">
        <v>2508</v>
      </c>
      <c r="B469" s="493" t="s">
        <v>2516</v>
      </c>
      <c r="C469" s="492" t="s">
        <v>2508</v>
      </c>
      <c r="D469" s="492" t="s">
        <v>2540</v>
      </c>
      <c r="E469" s="493" t="s">
        <v>116</v>
      </c>
      <c r="F469" s="493" t="s">
        <v>377</v>
      </c>
      <c r="G469" s="493" t="s">
        <v>117</v>
      </c>
      <c r="H469" s="493" t="s">
        <v>118</v>
      </c>
      <c r="I469" s="493" t="s">
        <v>119</v>
      </c>
      <c r="J469" s="493" t="s">
        <v>454</v>
      </c>
      <c r="K469" s="493" t="s">
        <v>377</v>
      </c>
      <c r="L469" s="493" t="s">
        <v>455</v>
      </c>
      <c r="M469" s="493" t="s">
        <v>456</v>
      </c>
      <c r="N469" s="493" t="s">
        <v>457</v>
      </c>
      <c r="O469" s="493">
        <v>353100</v>
      </c>
      <c r="P469" s="439">
        <v>321000</v>
      </c>
      <c r="Q469" s="493">
        <v>32100</v>
      </c>
      <c r="R469" s="493" t="s">
        <v>124</v>
      </c>
      <c r="S469" s="493" t="s">
        <v>382</v>
      </c>
      <c r="T469" s="493" t="s">
        <v>125</v>
      </c>
      <c r="U469" s="493" t="s">
        <v>126</v>
      </c>
      <c r="V469" s="493" t="s">
        <v>127</v>
      </c>
      <c r="W469" s="493" t="s">
        <v>128</v>
      </c>
      <c r="X469" s="493" t="s">
        <v>458</v>
      </c>
      <c r="Y469" s="493" t="s">
        <v>377</v>
      </c>
      <c r="Z469" s="493" t="s">
        <v>2508</v>
      </c>
      <c r="AA469" s="493" t="s">
        <v>130</v>
      </c>
      <c r="AB469" s="493" t="s">
        <v>377</v>
      </c>
      <c r="AC469" s="493" t="s">
        <v>131</v>
      </c>
      <c r="AD469" s="493" t="s">
        <v>459</v>
      </c>
      <c r="AE469" s="493">
        <v>321000</v>
      </c>
      <c r="AF469" s="493">
        <v>32100</v>
      </c>
      <c r="AG469" s="493" t="s">
        <v>2542</v>
      </c>
      <c r="AH469" s="130">
        <f t="shared" si="100"/>
        <v>46194</v>
      </c>
      <c r="AI469" s="495">
        <v>46157</v>
      </c>
      <c r="AJ469" s="439">
        <f t="shared" ref="AJ469" si="105">P469*1.1</f>
        <v>353100</v>
      </c>
      <c r="AK469" s="121">
        <f t="shared" si="103"/>
        <v>0</v>
      </c>
      <c r="AL469" s="440" t="str">
        <f t="shared" ca="1" si="104"/>
        <v/>
      </c>
      <c r="AM469" s="440"/>
      <c r="AN469" s="440"/>
      <c r="AO469" s="440"/>
    </row>
    <row r="470" spans="1:41" ht="16.5" hidden="1" customHeight="1">
      <c r="A470" s="492" t="s">
        <v>2508</v>
      </c>
      <c r="B470" s="493" t="s">
        <v>2517</v>
      </c>
      <c r="C470" s="492" t="s">
        <v>2508</v>
      </c>
      <c r="D470" s="492" t="s">
        <v>2540</v>
      </c>
      <c r="E470" s="493" t="s">
        <v>116</v>
      </c>
      <c r="F470" s="493" t="s">
        <v>377</v>
      </c>
      <c r="G470" s="493" t="s">
        <v>117</v>
      </c>
      <c r="H470" s="493" t="s">
        <v>118</v>
      </c>
      <c r="I470" s="493" t="s">
        <v>119</v>
      </c>
      <c r="J470" s="493" t="s">
        <v>690</v>
      </c>
      <c r="K470" s="493" t="s">
        <v>377</v>
      </c>
      <c r="L470" s="493" t="s">
        <v>691</v>
      </c>
      <c r="M470" s="493" t="s">
        <v>692</v>
      </c>
      <c r="N470" s="493" t="s">
        <v>693</v>
      </c>
      <c r="O470" s="493">
        <v>8552940</v>
      </c>
      <c r="P470" s="439">
        <v>7775400</v>
      </c>
      <c r="Q470" s="493">
        <v>777540</v>
      </c>
      <c r="R470" s="493" t="s">
        <v>124</v>
      </c>
      <c r="S470" s="493" t="s">
        <v>382</v>
      </c>
      <c r="T470" s="493" t="s">
        <v>125</v>
      </c>
      <c r="U470" s="493" t="s">
        <v>126</v>
      </c>
      <c r="V470" s="493" t="s">
        <v>127</v>
      </c>
      <c r="W470" s="493" t="s">
        <v>128</v>
      </c>
      <c r="X470" s="493" t="s">
        <v>694</v>
      </c>
      <c r="Y470" s="493" t="s">
        <v>377</v>
      </c>
      <c r="Z470" s="493" t="s">
        <v>2508</v>
      </c>
      <c r="AA470" s="493" t="s">
        <v>130</v>
      </c>
      <c r="AB470" s="493" t="s">
        <v>377</v>
      </c>
      <c r="AC470" s="493" t="s">
        <v>131</v>
      </c>
      <c r="AD470" s="493" t="s">
        <v>2518</v>
      </c>
      <c r="AE470" s="493">
        <v>7775400</v>
      </c>
      <c r="AF470" s="493">
        <v>777540</v>
      </c>
      <c r="AG470" s="493" t="s">
        <v>2396</v>
      </c>
      <c r="AH470" s="130">
        <f t="shared" si="100"/>
        <v>46194</v>
      </c>
      <c r="AI470" s="495"/>
      <c r="AJ470" s="439"/>
      <c r="AK470" s="121">
        <f t="shared" si="103"/>
        <v>8552940</v>
      </c>
      <c r="AL470" s="440" t="str">
        <f t="shared" ca="1" si="104"/>
        <v/>
      </c>
      <c r="AM470" s="440"/>
      <c r="AN470" s="440"/>
      <c r="AO470" s="440"/>
    </row>
    <row r="471" spans="1:41" ht="16.5" hidden="1" customHeight="1">
      <c r="A471" s="492" t="s">
        <v>2508</v>
      </c>
      <c r="B471" s="493" t="s">
        <v>2519</v>
      </c>
      <c r="C471" s="492" t="s">
        <v>2508</v>
      </c>
      <c r="D471" s="492" t="s">
        <v>2540</v>
      </c>
      <c r="E471" s="493" t="s">
        <v>116</v>
      </c>
      <c r="F471" s="493" t="s">
        <v>377</v>
      </c>
      <c r="G471" s="493" t="s">
        <v>117</v>
      </c>
      <c r="H471" s="493" t="s">
        <v>118</v>
      </c>
      <c r="I471" s="493" t="s">
        <v>119</v>
      </c>
      <c r="J471" s="493" t="s">
        <v>1189</v>
      </c>
      <c r="K471" s="493" t="s">
        <v>377</v>
      </c>
      <c r="L471" s="493" t="s">
        <v>1190</v>
      </c>
      <c r="M471" s="493" t="s">
        <v>1191</v>
      </c>
      <c r="N471" s="493" t="s">
        <v>1192</v>
      </c>
      <c r="O471" s="493">
        <v>401500</v>
      </c>
      <c r="P471" s="439">
        <v>365000</v>
      </c>
      <c r="Q471" s="493">
        <v>36500</v>
      </c>
      <c r="R471" s="493" t="s">
        <v>124</v>
      </c>
      <c r="S471" s="493" t="s">
        <v>382</v>
      </c>
      <c r="T471" s="493" t="s">
        <v>125</v>
      </c>
      <c r="U471" s="493" t="s">
        <v>126</v>
      </c>
      <c r="V471" s="493" t="s">
        <v>127</v>
      </c>
      <c r="W471" s="493" t="s">
        <v>128</v>
      </c>
      <c r="X471" s="493" t="s">
        <v>1193</v>
      </c>
      <c r="Y471" s="493" t="s">
        <v>377</v>
      </c>
      <c r="Z471" s="493" t="s">
        <v>2508</v>
      </c>
      <c r="AA471" s="493" t="s">
        <v>130</v>
      </c>
      <c r="AB471" s="493" t="s">
        <v>377</v>
      </c>
      <c r="AC471" s="493" t="s">
        <v>131</v>
      </c>
      <c r="AD471" s="493" t="s">
        <v>2520</v>
      </c>
      <c r="AE471" s="493">
        <v>365000</v>
      </c>
      <c r="AF471" s="493">
        <v>36500</v>
      </c>
      <c r="AG471" s="493" t="s">
        <v>2171</v>
      </c>
      <c r="AH471" s="130">
        <f t="shared" si="100"/>
        <v>46194</v>
      </c>
      <c r="AI471" s="495"/>
      <c r="AJ471" s="439"/>
      <c r="AK471" s="121">
        <f t="shared" si="103"/>
        <v>401500.00000000006</v>
      </c>
      <c r="AL471" s="440" t="str">
        <f t="shared" ca="1" si="104"/>
        <v/>
      </c>
      <c r="AM471" s="440"/>
      <c r="AN471" s="440"/>
      <c r="AO471" s="440"/>
    </row>
    <row r="472" spans="1:41" ht="16.5" hidden="1" customHeight="1">
      <c r="A472" s="492" t="s">
        <v>2508</v>
      </c>
      <c r="B472" s="493" t="s">
        <v>2521</v>
      </c>
      <c r="C472" s="492" t="s">
        <v>2508</v>
      </c>
      <c r="D472" s="492" t="s">
        <v>2540</v>
      </c>
      <c r="E472" s="493" t="s">
        <v>116</v>
      </c>
      <c r="F472" s="493" t="s">
        <v>377</v>
      </c>
      <c r="G472" s="493" t="s">
        <v>117</v>
      </c>
      <c r="H472" s="493" t="s">
        <v>118</v>
      </c>
      <c r="I472" s="493" t="s">
        <v>119</v>
      </c>
      <c r="J472" s="493" t="s">
        <v>1577</v>
      </c>
      <c r="K472" s="493" t="s">
        <v>377</v>
      </c>
      <c r="L472" s="493" t="s">
        <v>1578</v>
      </c>
      <c r="M472" s="493" t="s">
        <v>1579</v>
      </c>
      <c r="N472" s="493" t="s">
        <v>1580</v>
      </c>
      <c r="O472" s="493">
        <v>1302400</v>
      </c>
      <c r="P472" s="439">
        <v>1184000</v>
      </c>
      <c r="Q472" s="493">
        <v>118400</v>
      </c>
      <c r="R472" s="493" t="s">
        <v>124</v>
      </c>
      <c r="S472" s="493" t="s">
        <v>382</v>
      </c>
      <c r="T472" s="493" t="s">
        <v>125</v>
      </c>
      <c r="U472" s="493" t="s">
        <v>126</v>
      </c>
      <c r="V472" s="493" t="s">
        <v>127</v>
      </c>
      <c r="W472" s="493" t="s">
        <v>128</v>
      </c>
      <c r="X472" s="493" t="s">
        <v>1581</v>
      </c>
      <c r="Y472" s="493" t="s">
        <v>377</v>
      </c>
      <c r="Z472" s="493" t="s">
        <v>2508</v>
      </c>
      <c r="AA472" s="493" t="s">
        <v>130</v>
      </c>
      <c r="AB472" s="493" t="s">
        <v>377</v>
      </c>
      <c r="AC472" s="493" t="s">
        <v>131</v>
      </c>
      <c r="AD472" s="493" t="s">
        <v>2522</v>
      </c>
      <c r="AE472" s="493">
        <v>1184000</v>
      </c>
      <c r="AF472" s="493">
        <v>118400</v>
      </c>
      <c r="AG472" s="493" t="s">
        <v>2543</v>
      </c>
      <c r="AH472" s="130">
        <f t="shared" si="100"/>
        <v>46194</v>
      </c>
      <c r="AI472" s="495"/>
      <c r="AJ472" s="439"/>
      <c r="AK472" s="121">
        <f t="shared" si="103"/>
        <v>1302400</v>
      </c>
      <c r="AL472" s="440" t="str">
        <f t="shared" ca="1" si="104"/>
        <v/>
      </c>
      <c r="AM472" s="440"/>
      <c r="AN472" s="440"/>
      <c r="AO472" s="440"/>
    </row>
    <row r="473" spans="1:41" ht="16.5" hidden="1" customHeight="1">
      <c r="A473" s="492" t="s">
        <v>2508</v>
      </c>
      <c r="B473" s="493" t="s">
        <v>2523</v>
      </c>
      <c r="C473" s="492" t="s">
        <v>2508</v>
      </c>
      <c r="D473" s="492" t="s">
        <v>2540</v>
      </c>
      <c r="E473" s="493" t="s">
        <v>116</v>
      </c>
      <c r="F473" s="493" t="s">
        <v>377</v>
      </c>
      <c r="G473" s="493" t="s">
        <v>117</v>
      </c>
      <c r="H473" s="493" t="s">
        <v>118</v>
      </c>
      <c r="I473" s="493" t="s">
        <v>119</v>
      </c>
      <c r="J473" s="493" t="s">
        <v>2524</v>
      </c>
      <c r="K473" s="493" t="s">
        <v>377</v>
      </c>
      <c r="L473" s="493" t="s">
        <v>2525</v>
      </c>
      <c r="M473" s="493" t="s">
        <v>2526</v>
      </c>
      <c r="N473" s="493" t="s">
        <v>2527</v>
      </c>
      <c r="O473" s="493">
        <v>8096770</v>
      </c>
      <c r="P473" s="439">
        <v>7360700</v>
      </c>
      <c r="Q473" s="493">
        <v>736070</v>
      </c>
      <c r="R473" s="493" t="s">
        <v>124</v>
      </c>
      <c r="S473" s="493" t="s">
        <v>382</v>
      </c>
      <c r="T473" s="493" t="s">
        <v>125</v>
      </c>
      <c r="U473" s="493" t="s">
        <v>126</v>
      </c>
      <c r="V473" s="493" t="s">
        <v>127</v>
      </c>
      <c r="W473" s="493" t="s">
        <v>128</v>
      </c>
      <c r="X473" s="493" t="s">
        <v>2528</v>
      </c>
      <c r="Y473" s="493" t="s">
        <v>377</v>
      </c>
      <c r="Z473" s="493" t="s">
        <v>2508</v>
      </c>
      <c r="AA473" s="493" t="s">
        <v>130</v>
      </c>
      <c r="AB473" s="493" t="s">
        <v>377</v>
      </c>
      <c r="AC473" s="493" t="s">
        <v>131</v>
      </c>
      <c r="AD473" s="493" t="s">
        <v>2529</v>
      </c>
      <c r="AE473" s="493">
        <v>7360700</v>
      </c>
      <c r="AF473" s="493">
        <v>736070</v>
      </c>
      <c r="AG473" s="493" t="s">
        <v>2544</v>
      </c>
      <c r="AH473" s="130">
        <f t="shared" si="100"/>
        <v>46194</v>
      </c>
      <c r="AI473" s="495"/>
      <c r="AJ473" s="439"/>
      <c r="AK473" s="121">
        <f t="shared" si="103"/>
        <v>8096770.0000000009</v>
      </c>
      <c r="AL473" s="440" t="str">
        <f t="shared" ca="1" si="104"/>
        <v/>
      </c>
      <c r="AM473" s="440"/>
      <c r="AN473" s="440"/>
      <c r="AO473" s="440"/>
    </row>
    <row r="474" spans="1:41" ht="16.5" hidden="1" customHeight="1">
      <c r="A474" s="492" t="s">
        <v>2508</v>
      </c>
      <c r="B474" s="493" t="s">
        <v>2530</v>
      </c>
      <c r="C474" s="492" t="s">
        <v>2508</v>
      </c>
      <c r="D474" s="492" t="s">
        <v>2540</v>
      </c>
      <c r="E474" s="493" t="s">
        <v>116</v>
      </c>
      <c r="F474" s="493" t="s">
        <v>377</v>
      </c>
      <c r="G474" s="493" t="s">
        <v>117</v>
      </c>
      <c r="H474" s="493" t="s">
        <v>118</v>
      </c>
      <c r="I474" s="493" t="s">
        <v>119</v>
      </c>
      <c r="J474" s="493" t="s">
        <v>474</v>
      </c>
      <c r="K474" s="493" t="s">
        <v>377</v>
      </c>
      <c r="L474" s="493" t="s">
        <v>475</v>
      </c>
      <c r="M474" s="493" t="s">
        <v>476</v>
      </c>
      <c r="N474" s="493" t="s">
        <v>477</v>
      </c>
      <c r="O474" s="493">
        <v>56053250</v>
      </c>
      <c r="P474" s="439">
        <v>50957500</v>
      </c>
      <c r="Q474" s="493">
        <v>5095750</v>
      </c>
      <c r="R474" s="493" t="s">
        <v>124</v>
      </c>
      <c r="S474" s="493" t="s">
        <v>382</v>
      </c>
      <c r="T474" s="493" t="s">
        <v>125</v>
      </c>
      <c r="U474" s="493" t="s">
        <v>126</v>
      </c>
      <c r="V474" s="493" t="s">
        <v>127</v>
      </c>
      <c r="W474" s="493" t="s">
        <v>128</v>
      </c>
      <c r="X474" s="493" t="s">
        <v>478</v>
      </c>
      <c r="Y474" s="493" t="s">
        <v>377</v>
      </c>
      <c r="Z474" s="493" t="s">
        <v>2508</v>
      </c>
      <c r="AA474" s="493" t="s">
        <v>130</v>
      </c>
      <c r="AB474" s="493" t="s">
        <v>377</v>
      </c>
      <c r="AC474" s="493" t="s">
        <v>131</v>
      </c>
      <c r="AD474" s="493" t="s">
        <v>2531</v>
      </c>
      <c r="AE474" s="493">
        <v>50957500</v>
      </c>
      <c r="AF474" s="493">
        <v>5095750</v>
      </c>
      <c r="AG474" s="493" t="s">
        <v>2545</v>
      </c>
      <c r="AH474" s="130">
        <f t="shared" si="100"/>
        <v>46194</v>
      </c>
      <c r="AI474" s="495"/>
      <c r="AJ474" s="439"/>
      <c r="AK474" s="121">
        <f t="shared" si="103"/>
        <v>56053250.000000007</v>
      </c>
      <c r="AL474" s="440" t="str">
        <f t="shared" ca="1" si="104"/>
        <v/>
      </c>
      <c r="AM474" s="440"/>
      <c r="AN474" s="440"/>
      <c r="AO474" s="440"/>
    </row>
    <row r="475" spans="1:41" ht="16.5" hidden="1" customHeight="1">
      <c r="A475" s="492" t="s">
        <v>2508</v>
      </c>
      <c r="B475" s="493" t="s">
        <v>2532</v>
      </c>
      <c r="C475" s="492" t="s">
        <v>2508</v>
      </c>
      <c r="D475" s="492" t="s">
        <v>2540</v>
      </c>
      <c r="E475" s="493" t="s">
        <v>116</v>
      </c>
      <c r="F475" s="493" t="s">
        <v>377</v>
      </c>
      <c r="G475" s="493" t="s">
        <v>117</v>
      </c>
      <c r="H475" s="493" t="s">
        <v>118</v>
      </c>
      <c r="I475" s="493" t="s">
        <v>119</v>
      </c>
      <c r="J475" s="493" t="s">
        <v>2291</v>
      </c>
      <c r="K475" s="493" t="s">
        <v>377</v>
      </c>
      <c r="L475" s="493" t="s">
        <v>2292</v>
      </c>
      <c r="M475" s="493" t="s">
        <v>2293</v>
      </c>
      <c r="N475" s="493" t="s">
        <v>2294</v>
      </c>
      <c r="O475" s="493">
        <v>559570</v>
      </c>
      <c r="P475" s="439">
        <v>508700</v>
      </c>
      <c r="Q475" s="493">
        <v>50870</v>
      </c>
      <c r="R475" s="493" t="s">
        <v>124</v>
      </c>
      <c r="S475" s="493" t="s">
        <v>382</v>
      </c>
      <c r="T475" s="493" t="s">
        <v>125</v>
      </c>
      <c r="U475" s="493" t="s">
        <v>126</v>
      </c>
      <c r="V475" s="493" t="s">
        <v>127</v>
      </c>
      <c r="W475" s="493" t="s">
        <v>128</v>
      </c>
      <c r="X475" s="493" t="s">
        <v>2295</v>
      </c>
      <c r="Y475" s="493" t="s">
        <v>377</v>
      </c>
      <c r="Z475" s="493" t="s">
        <v>2508</v>
      </c>
      <c r="AA475" s="493" t="s">
        <v>130</v>
      </c>
      <c r="AB475" s="493" t="s">
        <v>377</v>
      </c>
      <c r="AC475" s="493" t="s">
        <v>131</v>
      </c>
      <c r="AD475" s="493" t="s">
        <v>2533</v>
      </c>
      <c r="AE475" s="493">
        <v>508700</v>
      </c>
      <c r="AF475" s="493">
        <v>50870</v>
      </c>
      <c r="AG475" s="493" t="s">
        <v>2546</v>
      </c>
      <c r="AH475" s="130">
        <f t="shared" si="100"/>
        <v>46194</v>
      </c>
      <c r="AI475" s="495"/>
      <c r="AJ475" s="439"/>
      <c r="AK475" s="121">
        <f t="shared" si="103"/>
        <v>559570</v>
      </c>
      <c r="AL475" s="440" t="str">
        <f t="shared" ca="1" si="104"/>
        <v/>
      </c>
      <c r="AM475" s="440"/>
      <c r="AN475" s="440"/>
      <c r="AO475" s="440"/>
    </row>
    <row r="476" spans="1:41" ht="16.5" hidden="1" customHeight="1">
      <c r="A476" s="492" t="s">
        <v>2508</v>
      </c>
      <c r="B476" s="493" t="s">
        <v>2534</v>
      </c>
      <c r="C476" s="492" t="s">
        <v>2508</v>
      </c>
      <c r="D476" s="492" t="s">
        <v>2540</v>
      </c>
      <c r="E476" s="493" t="s">
        <v>116</v>
      </c>
      <c r="F476" s="493" t="s">
        <v>377</v>
      </c>
      <c r="G476" s="493" t="s">
        <v>117</v>
      </c>
      <c r="H476" s="493" t="s">
        <v>118</v>
      </c>
      <c r="I476" s="493" t="s">
        <v>119</v>
      </c>
      <c r="J476" s="493" t="s">
        <v>519</v>
      </c>
      <c r="K476" s="493" t="s">
        <v>377</v>
      </c>
      <c r="L476" s="493" t="s">
        <v>520</v>
      </c>
      <c r="M476" s="493" t="s">
        <v>521</v>
      </c>
      <c r="N476" s="493" t="s">
        <v>522</v>
      </c>
      <c r="O476" s="493">
        <v>7221500</v>
      </c>
      <c r="P476" s="439">
        <v>6565000</v>
      </c>
      <c r="Q476" s="493">
        <v>656500</v>
      </c>
      <c r="R476" s="493" t="s">
        <v>124</v>
      </c>
      <c r="S476" s="493" t="s">
        <v>382</v>
      </c>
      <c r="T476" s="493" t="s">
        <v>125</v>
      </c>
      <c r="U476" s="493" t="s">
        <v>126</v>
      </c>
      <c r="V476" s="493" t="s">
        <v>127</v>
      </c>
      <c r="W476" s="493" t="s">
        <v>128</v>
      </c>
      <c r="X476" s="493" t="s">
        <v>523</v>
      </c>
      <c r="Y476" s="493" t="s">
        <v>377</v>
      </c>
      <c r="Z476" s="493" t="s">
        <v>2508</v>
      </c>
      <c r="AA476" s="493" t="s">
        <v>130</v>
      </c>
      <c r="AB476" s="493" t="s">
        <v>377</v>
      </c>
      <c r="AC476" s="493" t="s">
        <v>131</v>
      </c>
      <c r="AD476" s="493" t="s">
        <v>2014</v>
      </c>
      <c r="AE476" s="493">
        <v>6565000</v>
      </c>
      <c r="AF476" s="493">
        <v>656500</v>
      </c>
      <c r="AG476" s="493" t="s">
        <v>2547</v>
      </c>
      <c r="AH476" s="130">
        <f t="shared" si="100"/>
        <v>46194</v>
      </c>
      <c r="AI476" s="495"/>
      <c r="AJ476" s="439"/>
      <c r="AK476" s="121">
        <f t="shared" si="103"/>
        <v>7221500.0000000009</v>
      </c>
      <c r="AL476" s="440" t="str">
        <f t="shared" ca="1" si="104"/>
        <v/>
      </c>
      <c r="AM476" s="440"/>
      <c r="AN476" s="440"/>
      <c r="AO476" s="440"/>
    </row>
    <row r="477" spans="1:41" ht="16.5" hidden="1" customHeight="1">
      <c r="A477" s="492" t="s">
        <v>2508</v>
      </c>
      <c r="B477" s="493" t="s">
        <v>2535</v>
      </c>
      <c r="C477" s="492" t="s">
        <v>2508</v>
      </c>
      <c r="D477" s="492" t="s">
        <v>2540</v>
      </c>
      <c r="E477" s="493" t="s">
        <v>116</v>
      </c>
      <c r="F477" s="493" t="s">
        <v>377</v>
      </c>
      <c r="G477" s="493" t="s">
        <v>117</v>
      </c>
      <c r="H477" s="493" t="s">
        <v>118</v>
      </c>
      <c r="I477" s="493" t="s">
        <v>119</v>
      </c>
      <c r="J477" s="493" t="s">
        <v>1061</v>
      </c>
      <c r="K477" s="493" t="s">
        <v>377</v>
      </c>
      <c r="L477" s="493" t="s">
        <v>1062</v>
      </c>
      <c r="M477" s="493" t="s">
        <v>1063</v>
      </c>
      <c r="N477" s="493" t="s">
        <v>1484</v>
      </c>
      <c r="O477" s="493">
        <v>3406590</v>
      </c>
      <c r="P477" s="439">
        <v>3096900</v>
      </c>
      <c r="Q477" s="493">
        <v>309690</v>
      </c>
      <c r="R477" s="493" t="s">
        <v>124</v>
      </c>
      <c r="S477" s="493" t="s">
        <v>382</v>
      </c>
      <c r="T477" s="493" t="s">
        <v>125</v>
      </c>
      <c r="U477" s="493" t="s">
        <v>126</v>
      </c>
      <c r="V477" s="493" t="s">
        <v>127</v>
      </c>
      <c r="W477" s="493" t="s">
        <v>128</v>
      </c>
      <c r="X477" s="493" t="s">
        <v>1064</v>
      </c>
      <c r="Y477" s="493" t="s">
        <v>377</v>
      </c>
      <c r="Z477" s="493" t="s">
        <v>2508</v>
      </c>
      <c r="AA477" s="493" t="s">
        <v>130</v>
      </c>
      <c r="AB477" s="493" t="s">
        <v>377</v>
      </c>
      <c r="AC477" s="493" t="s">
        <v>131</v>
      </c>
      <c r="AD477" s="493" t="s">
        <v>2536</v>
      </c>
      <c r="AE477" s="493">
        <v>3096900</v>
      </c>
      <c r="AF477" s="493">
        <v>309690</v>
      </c>
      <c r="AG477" s="493" t="s">
        <v>2548</v>
      </c>
      <c r="AH477" s="130">
        <f t="shared" si="100"/>
        <v>46194</v>
      </c>
      <c r="AI477" s="495"/>
      <c r="AJ477" s="439"/>
      <c r="AK477" s="121">
        <f t="shared" si="103"/>
        <v>3406590.0000000005</v>
      </c>
      <c r="AL477" s="440" t="str">
        <f t="shared" ca="1" si="104"/>
        <v/>
      </c>
      <c r="AM477" s="440"/>
      <c r="AN477" s="440"/>
      <c r="AO477" s="440"/>
    </row>
    <row r="478" spans="1:41" ht="16.5" hidden="1" customHeight="1">
      <c r="A478" s="492" t="s">
        <v>2508</v>
      </c>
      <c r="B478" s="493" t="s">
        <v>2537</v>
      </c>
      <c r="C478" s="492" t="s">
        <v>2508</v>
      </c>
      <c r="D478" s="492" t="s">
        <v>2540</v>
      </c>
      <c r="E478" s="493" t="s">
        <v>116</v>
      </c>
      <c r="F478" s="493" t="s">
        <v>377</v>
      </c>
      <c r="G478" s="493" t="s">
        <v>117</v>
      </c>
      <c r="H478" s="493" t="s">
        <v>118</v>
      </c>
      <c r="I478" s="493" t="s">
        <v>119</v>
      </c>
      <c r="J478" s="493" t="s">
        <v>1988</v>
      </c>
      <c r="K478" s="493" t="s">
        <v>377</v>
      </c>
      <c r="L478" s="493" t="s">
        <v>1989</v>
      </c>
      <c r="M478" s="493" t="s">
        <v>1990</v>
      </c>
      <c r="N478" s="493" t="s">
        <v>1991</v>
      </c>
      <c r="O478" s="493">
        <v>17154720</v>
      </c>
      <c r="P478" s="439">
        <v>15595200</v>
      </c>
      <c r="Q478" s="493">
        <v>1559520</v>
      </c>
      <c r="R478" s="493" t="s">
        <v>124</v>
      </c>
      <c r="S478" s="493" t="s">
        <v>382</v>
      </c>
      <c r="T478" s="493" t="s">
        <v>125</v>
      </c>
      <c r="U478" s="493" t="s">
        <v>126</v>
      </c>
      <c r="V478" s="493" t="s">
        <v>127</v>
      </c>
      <c r="W478" s="493" t="s">
        <v>128</v>
      </c>
      <c r="X478" s="493" t="s">
        <v>1992</v>
      </c>
      <c r="Y478" s="493" t="s">
        <v>377</v>
      </c>
      <c r="Z478" s="493" t="s">
        <v>2508</v>
      </c>
      <c r="AA478" s="493" t="s">
        <v>130</v>
      </c>
      <c r="AB478" s="493" t="s">
        <v>377</v>
      </c>
      <c r="AC478" s="493" t="s">
        <v>131</v>
      </c>
      <c r="AD478" s="493" t="s">
        <v>1874</v>
      </c>
      <c r="AE478" s="493">
        <v>15595200</v>
      </c>
      <c r="AF478" s="493">
        <v>1559520</v>
      </c>
      <c r="AG478" s="493" t="s">
        <v>2549</v>
      </c>
      <c r="AH478" s="130">
        <f t="shared" si="100"/>
        <v>46194</v>
      </c>
      <c r="AI478" s="495">
        <v>46157</v>
      </c>
      <c r="AJ478" s="439">
        <f>P478*1.1</f>
        <v>17154720</v>
      </c>
      <c r="AK478" s="121">
        <f t="shared" si="103"/>
        <v>0</v>
      </c>
      <c r="AL478" s="440" t="str">
        <f t="shared" ca="1" si="104"/>
        <v/>
      </c>
      <c r="AM478" s="440"/>
      <c r="AN478" s="440"/>
      <c r="AO478" s="440"/>
    </row>
    <row r="479" spans="1:41" ht="16.5" hidden="1" customHeight="1">
      <c r="A479" s="492" t="s">
        <v>2508</v>
      </c>
      <c r="B479" s="493" t="s">
        <v>2538</v>
      </c>
      <c r="C479" s="492" t="s">
        <v>2508</v>
      </c>
      <c r="D479" s="492" t="s">
        <v>2540</v>
      </c>
      <c r="E479" s="493" t="s">
        <v>116</v>
      </c>
      <c r="F479" s="493" t="s">
        <v>377</v>
      </c>
      <c r="G479" s="493" t="s">
        <v>117</v>
      </c>
      <c r="H479" s="493" t="s">
        <v>118</v>
      </c>
      <c r="I479" s="493" t="s">
        <v>119</v>
      </c>
      <c r="J479" s="493" t="s">
        <v>519</v>
      </c>
      <c r="K479" s="493" t="s">
        <v>377</v>
      </c>
      <c r="L479" s="493" t="s">
        <v>520</v>
      </c>
      <c r="M479" s="493" t="s">
        <v>521</v>
      </c>
      <c r="N479" s="493" t="s">
        <v>522</v>
      </c>
      <c r="O479" s="493">
        <v>5660930</v>
      </c>
      <c r="P479" s="439">
        <v>5146300</v>
      </c>
      <c r="Q479" s="493">
        <v>514630</v>
      </c>
      <c r="R479" s="493" t="s">
        <v>124</v>
      </c>
      <c r="S479" s="493" t="s">
        <v>382</v>
      </c>
      <c r="T479" s="493" t="s">
        <v>125</v>
      </c>
      <c r="U479" s="493" t="s">
        <v>126</v>
      </c>
      <c r="V479" s="493" t="s">
        <v>127</v>
      </c>
      <c r="W479" s="493" t="s">
        <v>128</v>
      </c>
      <c r="X479" s="493" t="s">
        <v>523</v>
      </c>
      <c r="Y479" s="493" t="s">
        <v>377</v>
      </c>
      <c r="Z479" s="493" t="s">
        <v>2508</v>
      </c>
      <c r="AA479" s="493" t="s">
        <v>130</v>
      </c>
      <c r="AB479" s="493" t="s">
        <v>377</v>
      </c>
      <c r="AC479" s="493" t="s">
        <v>131</v>
      </c>
      <c r="AD479" s="493" t="s">
        <v>2539</v>
      </c>
      <c r="AE479" s="493">
        <v>5146300</v>
      </c>
      <c r="AF479" s="493">
        <v>514630</v>
      </c>
      <c r="AG479" s="493" t="s">
        <v>2360</v>
      </c>
      <c r="AH479" s="130">
        <f t="shared" si="100"/>
        <v>46194</v>
      </c>
      <c r="AI479" s="495"/>
      <c r="AJ479" s="439"/>
      <c r="AK479" s="121">
        <f t="shared" si="103"/>
        <v>5660930</v>
      </c>
      <c r="AL479" s="440" t="str">
        <f t="shared" ca="1" si="104"/>
        <v/>
      </c>
      <c r="AM479" s="440"/>
      <c r="AN479" s="440"/>
      <c r="AO479" s="440"/>
    </row>
    <row r="480" spans="1:41" ht="16.5" hidden="1" customHeight="1">
      <c r="A480" s="492" t="s">
        <v>2561</v>
      </c>
      <c r="B480" s="493" t="s">
        <v>2562</v>
      </c>
      <c r="C480" s="492" t="s">
        <v>2561</v>
      </c>
      <c r="D480" s="492" t="s">
        <v>2569</v>
      </c>
      <c r="E480" s="493" t="s">
        <v>116</v>
      </c>
      <c r="F480" s="493" t="s">
        <v>377</v>
      </c>
      <c r="G480" s="493" t="s">
        <v>117</v>
      </c>
      <c r="H480" s="493" t="s">
        <v>118</v>
      </c>
      <c r="I480" s="493" t="s">
        <v>119</v>
      </c>
      <c r="J480" s="493" t="s">
        <v>1403</v>
      </c>
      <c r="K480" s="493" t="s">
        <v>377</v>
      </c>
      <c r="L480" s="493" t="s">
        <v>1404</v>
      </c>
      <c r="M480" s="493" t="s">
        <v>1405</v>
      </c>
      <c r="N480" s="493" t="s">
        <v>1406</v>
      </c>
      <c r="O480" s="493">
        <v>4109050</v>
      </c>
      <c r="P480" s="439">
        <v>3735500</v>
      </c>
      <c r="Q480" s="493">
        <v>373550</v>
      </c>
      <c r="R480" s="493" t="s">
        <v>441</v>
      </c>
      <c r="S480" s="493" t="s">
        <v>442</v>
      </c>
      <c r="T480" s="493" t="s">
        <v>125</v>
      </c>
      <c r="U480" s="493" t="s">
        <v>2563</v>
      </c>
      <c r="V480" s="493" t="s">
        <v>127</v>
      </c>
      <c r="W480" s="493" t="s">
        <v>128</v>
      </c>
      <c r="X480" s="493" t="s">
        <v>1407</v>
      </c>
      <c r="Y480" s="493" t="s">
        <v>377</v>
      </c>
      <c r="Z480" s="493" t="s">
        <v>2561</v>
      </c>
      <c r="AA480" s="493" t="s">
        <v>130</v>
      </c>
      <c r="AB480" s="493" t="s">
        <v>377</v>
      </c>
      <c r="AC480" s="493" t="s">
        <v>131</v>
      </c>
      <c r="AD480" s="493" t="s">
        <v>2564</v>
      </c>
      <c r="AE480" s="493">
        <v>3735500</v>
      </c>
      <c r="AF480" s="493">
        <v>373550</v>
      </c>
      <c r="AG480" s="493" t="s">
        <v>1749</v>
      </c>
      <c r="AH480" s="130">
        <f t="shared" si="100"/>
        <v>46195</v>
      </c>
      <c r="AI480" s="495"/>
      <c r="AJ480" s="439"/>
      <c r="AK480" s="121">
        <f t="shared" ref="AK480:AK482" si="106">(P480*1.1)-AJ480</f>
        <v>4109050.0000000005</v>
      </c>
      <c r="AL480" s="440" t="str">
        <f t="shared" ref="AL480:AL482" ca="1" si="107">IF(OR(A480="",AK480=0),"",IF(TODAY()-A480&gt;=91,"장기미수",IF(TODAY()-A480&gt;=41,"관리","")))</f>
        <v/>
      </c>
      <c r="AM480" s="440"/>
      <c r="AN480" s="440"/>
      <c r="AO480" s="440"/>
    </row>
    <row r="481" spans="1:41" ht="16.5" hidden="1" customHeight="1">
      <c r="A481" s="492" t="s">
        <v>2561</v>
      </c>
      <c r="B481" s="493" t="s">
        <v>2565</v>
      </c>
      <c r="C481" s="492" t="s">
        <v>2561</v>
      </c>
      <c r="D481" s="492" t="s">
        <v>2569</v>
      </c>
      <c r="E481" s="493" t="s">
        <v>116</v>
      </c>
      <c r="F481" s="493" t="s">
        <v>377</v>
      </c>
      <c r="G481" s="493" t="s">
        <v>117</v>
      </c>
      <c r="H481" s="493" t="s">
        <v>118</v>
      </c>
      <c r="I481" s="493" t="s">
        <v>119</v>
      </c>
      <c r="J481" s="493" t="s">
        <v>681</v>
      </c>
      <c r="K481" s="493" t="s">
        <v>377</v>
      </c>
      <c r="L481" s="493" t="s">
        <v>682</v>
      </c>
      <c r="M481" s="493" t="s">
        <v>683</v>
      </c>
      <c r="N481" s="493" t="s">
        <v>684</v>
      </c>
      <c r="O481" s="493">
        <v>3374250</v>
      </c>
      <c r="P481" s="439">
        <v>3067500</v>
      </c>
      <c r="Q481" s="493">
        <v>306750</v>
      </c>
      <c r="R481" s="493" t="s">
        <v>124</v>
      </c>
      <c r="S481" s="493" t="s">
        <v>382</v>
      </c>
      <c r="T481" s="493" t="s">
        <v>125</v>
      </c>
      <c r="U481" s="493" t="s">
        <v>126</v>
      </c>
      <c r="V481" s="493" t="s">
        <v>127</v>
      </c>
      <c r="W481" s="493" t="s">
        <v>128</v>
      </c>
      <c r="X481" s="493" t="s">
        <v>685</v>
      </c>
      <c r="Y481" s="493" t="s">
        <v>377</v>
      </c>
      <c r="Z481" s="493" t="s">
        <v>2561</v>
      </c>
      <c r="AA481" s="493" t="s">
        <v>130</v>
      </c>
      <c r="AB481" s="493" t="s">
        <v>377</v>
      </c>
      <c r="AC481" s="493" t="s">
        <v>131</v>
      </c>
      <c r="AD481" s="493" t="s">
        <v>2566</v>
      </c>
      <c r="AE481" s="493">
        <v>3067500</v>
      </c>
      <c r="AF481" s="493">
        <v>306750</v>
      </c>
      <c r="AG481" s="493" t="s">
        <v>2571</v>
      </c>
      <c r="AH481" s="130">
        <f t="shared" si="100"/>
        <v>46195</v>
      </c>
      <c r="AI481" s="495">
        <v>46157</v>
      </c>
      <c r="AJ481" s="439">
        <f>P481*1.1</f>
        <v>3374250.0000000005</v>
      </c>
      <c r="AK481" s="121">
        <f t="shared" si="106"/>
        <v>0</v>
      </c>
      <c r="AL481" s="440" t="str">
        <f t="shared" ca="1" si="107"/>
        <v/>
      </c>
      <c r="AM481" s="440"/>
      <c r="AN481" s="440"/>
      <c r="AO481" s="440"/>
    </row>
    <row r="482" spans="1:41" ht="16.5" hidden="1" customHeight="1">
      <c r="A482" s="492" t="s">
        <v>2561</v>
      </c>
      <c r="B482" s="493" t="s">
        <v>2567</v>
      </c>
      <c r="C482" s="492" t="s">
        <v>2561</v>
      </c>
      <c r="D482" s="492" t="s">
        <v>2569</v>
      </c>
      <c r="E482" s="493" t="s">
        <v>116</v>
      </c>
      <c r="F482" s="493" t="s">
        <v>377</v>
      </c>
      <c r="G482" s="493" t="s">
        <v>117</v>
      </c>
      <c r="H482" s="493" t="s">
        <v>118</v>
      </c>
      <c r="I482" s="493" t="s">
        <v>119</v>
      </c>
      <c r="J482" s="493" t="s">
        <v>869</v>
      </c>
      <c r="K482" s="493" t="s">
        <v>377</v>
      </c>
      <c r="L482" s="493" t="s">
        <v>870</v>
      </c>
      <c r="M482" s="493" t="s">
        <v>871</v>
      </c>
      <c r="N482" s="493" t="s">
        <v>872</v>
      </c>
      <c r="O482" s="493">
        <v>4766850</v>
      </c>
      <c r="P482" s="439">
        <v>4333500</v>
      </c>
      <c r="Q482" s="493">
        <v>433350</v>
      </c>
      <c r="R482" s="493" t="s">
        <v>124</v>
      </c>
      <c r="S482" s="493" t="s">
        <v>382</v>
      </c>
      <c r="T482" s="493" t="s">
        <v>125</v>
      </c>
      <c r="U482" s="493" t="s">
        <v>126</v>
      </c>
      <c r="V482" s="493" t="s">
        <v>127</v>
      </c>
      <c r="W482" s="493" t="s">
        <v>128</v>
      </c>
      <c r="X482" s="493" t="s">
        <v>873</v>
      </c>
      <c r="Y482" s="493" t="s">
        <v>377</v>
      </c>
      <c r="Z482" s="493" t="s">
        <v>2561</v>
      </c>
      <c r="AA482" s="493" t="s">
        <v>130</v>
      </c>
      <c r="AB482" s="493" t="s">
        <v>377</v>
      </c>
      <c r="AC482" s="493" t="s">
        <v>131</v>
      </c>
      <c r="AD482" s="493" t="s">
        <v>2568</v>
      </c>
      <c r="AE482" s="493">
        <v>4333500</v>
      </c>
      <c r="AF482" s="493">
        <v>433350</v>
      </c>
      <c r="AG482" s="493" t="s">
        <v>892</v>
      </c>
      <c r="AH482" s="130">
        <f t="shared" si="100"/>
        <v>46195</v>
      </c>
      <c r="AI482" s="495"/>
      <c r="AJ482" s="439"/>
      <c r="AK482" s="121">
        <f t="shared" si="106"/>
        <v>4766850</v>
      </c>
      <c r="AL482" s="440" t="str">
        <f t="shared" ca="1" si="107"/>
        <v/>
      </c>
      <c r="AM482" s="440"/>
      <c r="AN482" s="440"/>
      <c r="AO482" s="440"/>
    </row>
    <row r="483" spans="1:41" ht="16.5" hidden="1" customHeight="1">
      <c r="A483" s="492" t="s">
        <v>2572</v>
      </c>
      <c r="B483" s="493" t="s">
        <v>2630</v>
      </c>
      <c r="C483" s="492" t="s">
        <v>2572</v>
      </c>
      <c r="D483" s="492" t="s">
        <v>2612</v>
      </c>
      <c r="E483" s="493" t="s">
        <v>116</v>
      </c>
      <c r="F483" s="493" t="s">
        <v>377</v>
      </c>
      <c r="G483" s="493" t="s">
        <v>117</v>
      </c>
      <c r="H483" s="493" t="s">
        <v>118</v>
      </c>
      <c r="I483" s="493" t="s">
        <v>119</v>
      </c>
      <c r="J483" s="493" t="s">
        <v>120</v>
      </c>
      <c r="K483" s="493" t="s">
        <v>377</v>
      </c>
      <c r="L483" s="493" t="s">
        <v>390</v>
      </c>
      <c r="M483" s="493" t="s">
        <v>122</v>
      </c>
      <c r="N483" s="493" t="s">
        <v>123</v>
      </c>
      <c r="O483" s="493">
        <v>10630400</v>
      </c>
      <c r="P483" s="439">
        <v>9664000</v>
      </c>
      <c r="Q483" s="493">
        <v>966400</v>
      </c>
      <c r="R483" s="493" t="s">
        <v>124</v>
      </c>
      <c r="S483" s="493" t="s">
        <v>382</v>
      </c>
      <c r="T483" s="493" t="s">
        <v>125</v>
      </c>
      <c r="U483" s="493" t="s">
        <v>126</v>
      </c>
      <c r="V483" s="493" t="s">
        <v>127</v>
      </c>
      <c r="W483" s="493" t="s">
        <v>128</v>
      </c>
      <c r="X483" s="493" t="s">
        <v>129</v>
      </c>
      <c r="Y483" s="493" t="s">
        <v>377</v>
      </c>
      <c r="Z483" s="493" t="s">
        <v>2572</v>
      </c>
      <c r="AA483" s="493" t="s">
        <v>130</v>
      </c>
      <c r="AB483" s="493" t="s">
        <v>377</v>
      </c>
      <c r="AC483" s="493" t="s">
        <v>131</v>
      </c>
      <c r="AD483" s="493" t="s">
        <v>2631</v>
      </c>
      <c r="AE483" s="493">
        <v>9664000</v>
      </c>
      <c r="AF483" s="493">
        <v>966400</v>
      </c>
      <c r="AG483" s="493" t="s">
        <v>2489</v>
      </c>
      <c r="AH483" s="130">
        <f t="shared" si="100"/>
        <v>46196</v>
      </c>
      <c r="AI483" s="495"/>
      <c r="AJ483" s="439"/>
      <c r="AK483" s="121">
        <f t="shared" ref="AK483:AK504" si="108">(P483*1.1)-AJ483</f>
        <v>10630400</v>
      </c>
      <c r="AL483" s="440" t="str">
        <f t="shared" ref="AL483:AL504" ca="1" si="109">IF(OR(A483="",AK483=0),"",IF(TODAY()-A483&gt;=91,"장기미수",IF(TODAY()-A483&gt;=41,"관리","")))</f>
        <v/>
      </c>
      <c r="AM483" s="440"/>
      <c r="AN483" s="440"/>
      <c r="AO483" s="440"/>
    </row>
    <row r="484" spans="1:41" ht="16.5" hidden="1" customHeight="1">
      <c r="A484" s="492" t="s">
        <v>2572</v>
      </c>
      <c r="B484" s="493" t="s">
        <v>2632</v>
      </c>
      <c r="C484" s="492" t="s">
        <v>2572</v>
      </c>
      <c r="D484" s="492" t="s">
        <v>2612</v>
      </c>
      <c r="E484" s="493" t="s">
        <v>116</v>
      </c>
      <c r="F484" s="493" t="s">
        <v>377</v>
      </c>
      <c r="G484" s="493" t="s">
        <v>117</v>
      </c>
      <c r="H484" s="493" t="s">
        <v>118</v>
      </c>
      <c r="I484" s="493" t="s">
        <v>119</v>
      </c>
      <c r="J484" s="493" t="s">
        <v>1681</v>
      </c>
      <c r="K484" s="493" t="s">
        <v>377</v>
      </c>
      <c r="L484" s="493" t="s">
        <v>1682</v>
      </c>
      <c r="M484" s="493" t="s">
        <v>1683</v>
      </c>
      <c r="N484" s="493" t="s">
        <v>1684</v>
      </c>
      <c r="O484" s="493">
        <v>441540</v>
      </c>
      <c r="P484" s="439">
        <v>401400</v>
      </c>
      <c r="Q484" s="493">
        <v>40140</v>
      </c>
      <c r="R484" s="493" t="s">
        <v>124</v>
      </c>
      <c r="S484" s="493" t="s">
        <v>382</v>
      </c>
      <c r="T484" s="493" t="s">
        <v>125</v>
      </c>
      <c r="U484" s="493" t="s">
        <v>126</v>
      </c>
      <c r="V484" s="493" t="s">
        <v>127</v>
      </c>
      <c r="W484" s="493" t="s">
        <v>128</v>
      </c>
      <c r="X484" s="493" t="s">
        <v>1685</v>
      </c>
      <c r="Y484" s="493" t="s">
        <v>377</v>
      </c>
      <c r="Z484" s="493" t="s">
        <v>2572</v>
      </c>
      <c r="AA484" s="493" t="s">
        <v>130</v>
      </c>
      <c r="AB484" s="493" t="s">
        <v>377</v>
      </c>
      <c r="AC484" s="493" t="s">
        <v>131</v>
      </c>
      <c r="AD484" s="493" t="s">
        <v>2633</v>
      </c>
      <c r="AE484" s="493">
        <v>401400</v>
      </c>
      <c r="AF484" s="493">
        <v>40140</v>
      </c>
      <c r="AG484" s="493" t="s">
        <v>2644</v>
      </c>
      <c r="AH484" s="130">
        <f t="shared" si="100"/>
        <v>46196</v>
      </c>
      <c r="AI484" s="495">
        <v>46156</v>
      </c>
      <c r="AJ484" s="439">
        <f>P484*1.1</f>
        <v>441540.00000000006</v>
      </c>
      <c r="AK484" s="121">
        <f t="shared" si="108"/>
        <v>0</v>
      </c>
      <c r="AL484" s="440" t="str">
        <f t="shared" ca="1" si="109"/>
        <v/>
      </c>
      <c r="AM484" s="440"/>
      <c r="AN484" s="440"/>
      <c r="AO484" s="440"/>
    </row>
    <row r="485" spans="1:41" ht="16.5" hidden="1" customHeight="1">
      <c r="A485" s="492" t="s">
        <v>2572</v>
      </c>
      <c r="B485" s="493" t="s">
        <v>2634</v>
      </c>
      <c r="C485" s="492" t="s">
        <v>2572</v>
      </c>
      <c r="D485" s="492" t="s">
        <v>2612</v>
      </c>
      <c r="E485" s="493" t="s">
        <v>116</v>
      </c>
      <c r="F485" s="493" t="s">
        <v>377</v>
      </c>
      <c r="G485" s="493" t="s">
        <v>117</v>
      </c>
      <c r="H485" s="493" t="s">
        <v>118</v>
      </c>
      <c r="I485" s="493" t="s">
        <v>119</v>
      </c>
      <c r="J485" s="493" t="s">
        <v>869</v>
      </c>
      <c r="K485" s="493" t="s">
        <v>377</v>
      </c>
      <c r="L485" s="493" t="s">
        <v>870</v>
      </c>
      <c r="M485" s="493" t="s">
        <v>871</v>
      </c>
      <c r="N485" s="493" t="s">
        <v>872</v>
      </c>
      <c r="O485" s="493">
        <v>2265120</v>
      </c>
      <c r="P485" s="439">
        <v>2059200</v>
      </c>
      <c r="Q485" s="493">
        <v>205920</v>
      </c>
      <c r="R485" s="493" t="s">
        <v>124</v>
      </c>
      <c r="S485" s="493" t="s">
        <v>382</v>
      </c>
      <c r="T485" s="493" t="s">
        <v>125</v>
      </c>
      <c r="U485" s="493" t="s">
        <v>126</v>
      </c>
      <c r="V485" s="493" t="s">
        <v>127</v>
      </c>
      <c r="W485" s="493" t="s">
        <v>128</v>
      </c>
      <c r="X485" s="493" t="s">
        <v>873</v>
      </c>
      <c r="Y485" s="493" t="s">
        <v>377</v>
      </c>
      <c r="Z485" s="493" t="s">
        <v>2572</v>
      </c>
      <c r="AA485" s="493" t="s">
        <v>130</v>
      </c>
      <c r="AB485" s="493" t="s">
        <v>377</v>
      </c>
      <c r="AC485" s="493" t="s">
        <v>131</v>
      </c>
      <c r="AD485" s="493" t="s">
        <v>2635</v>
      </c>
      <c r="AE485" s="493">
        <v>2059200</v>
      </c>
      <c r="AF485" s="493">
        <v>205920</v>
      </c>
      <c r="AG485" s="493" t="s">
        <v>892</v>
      </c>
      <c r="AH485" s="130">
        <f t="shared" si="100"/>
        <v>46196</v>
      </c>
      <c r="AI485" s="495"/>
      <c r="AJ485" s="439"/>
      <c r="AK485" s="121">
        <f t="shared" si="108"/>
        <v>2265120</v>
      </c>
      <c r="AL485" s="440" t="str">
        <f t="shared" ca="1" si="109"/>
        <v/>
      </c>
      <c r="AM485" s="440"/>
      <c r="AN485" s="440"/>
      <c r="AO485" s="440"/>
    </row>
    <row r="486" spans="1:41" ht="16.5" hidden="1" customHeight="1">
      <c r="A486" s="492" t="s">
        <v>2572</v>
      </c>
      <c r="B486" s="493" t="s">
        <v>2636</v>
      </c>
      <c r="C486" s="492" t="s">
        <v>2572</v>
      </c>
      <c r="D486" s="492" t="s">
        <v>2612</v>
      </c>
      <c r="E486" s="493" t="s">
        <v>116</v>
      </c>
      <c r="F486" s="493" t="s">
        <v>377</v>
      </c>
      <c r="G486" s="493" t="s">
        <v>117</v>
      </c>
      <c r="H486" s="493" t="s">
        <v>118</v>
      </c>
      <c r="I486" s="493" t="s">
        <v>119</v>
      </c>
      <c r="J486" s="493" t="s">
        <v>2291</v>
      </c>
      <c r="K486" s="493" t="s">
        <v>377</v>
      </c>
      <c r="L486" s="493" t="s">
        <v>2292</v>
      </c>
      <c r="M486" s="493" t="s">
        <v>2293</v>
      </c>
      <c r="N486" s="493" t="s">
        <v>2294</v>
      </c>
      <c r="O486" s="493">
        <v>14130050</v>
      </c>
      <c r="P486" s="439">
        <v>12845500</v>
      </c>
      <c r="Q486" s="493">
        <v>1284550</v>
      </c>
      <c r="R486" s="493" t="s">
        <v>124</v>
      </c>
      <c r="S486" s="493" t="s">
        <v>382</v>
      </c>
      <c r="T486" s="493" t="s">
        <v>125</v>
      </c>
      <c r="U486" s="493" t="s">
        <v>445</v>
      </c>
      <c r="V486" s="493" t="s">
        <v>127</v>
      </c>
      <c r="W486" s="493" t="s">
        <v>128</v>
      </c>
      <c r="X486" s="493" t="s">
        <v>2295</v>
      </c>
      <c r="Y486" s="493" t="s">
        <v>377</v>
      </c>
      <c r="Z486" s="493" t="s">
        <v>2572</v>
      </c>
      <c r="AA486" s="493" t="s">
        <v>130</v>
      </c>
      <c r="AB486" s="493" t="s">
        <v>377</v>
      </c>
      <c r="AC486" s="493" t="s">
        <v>131</v>
      </c>
      <c r="AD486" s="493" t="s">
        <v>2637</v>
      </c>
      <c r="AE486" s="493">
        <v>12845500</v>
      </c>
      <c r="AF486" s="493">
        <v>1284550</v>
      </c>
      <c r="AG486" s="493" t="s">
        <v>2358</v>
      </c>
      <c r="AH486" s="130">
        <f t="shared" si="100"/>
        <v>46196</v>
      </c>
      <c r="AI486" s="495"/>
      <c r="AJ486" s="439"/>
      <c r="AK486" s="121">
        <f t="shared" si="108"/>
        <v>14130050.000000002</v>
      </c>
      <c r="AL486" s="440" t="str">
        <f t="shared" ca="1" si="109"/>
        <v/>
      </c>
      <c r="AM486" s="440"/>
      <c r="AN486" s="440"/>
      <c r="AO486" s="440"/>
    </row>
    <row r="487" spans="1:41" ht="16.5" hidden="1" customHeight="1">
      <c r="A487" s="492" t="s">
        <v>2572</v>
      </c>
      <c r="B487" s="493" t="s">
        <v>2638</v>
      </c>
      <c r="C487" s="492" t="s">
        <v>2572</v>
      </c>
      <c r="D487" s="492" t="s">
        <v>2612</v>
      </c>
      <c r="E487" s="493" t="s">
        <v>116</v>
      </c>
      <c r="F487" s="493" t="s">
        <v>377</v>
      </c>
      <c r="G487" s="493" t="s">
        <v>117</v>
      </c>
      <c r="H487" s="493" t="s">
        <v>118</v>
      </c>
      <c r="I487" s="493" t="s">
        <v>119</v>
      </c>
      <c r="J487" s="493" t="s">
        <v>1189</v>
      </c>
      <c r="K487" s="493" t="s">
        <v>377</v>
      </c>
      <c r="L487" s="493" t="s">
        <v>1190</v>
      </c>
      <c r="M487" s="493" t="s">
        <v>1191</v>
      </c>
      <c r="N487" s="493" t="s">
        <v>1192</v>
      </c>
      <c r="O487" s="493">
        <v>1113750</v>
      </c>
      <c r="P487" s="439">
        <v>1012500</v>
      </c>
      <c r="Q487" s="493">
        <v>101250</v>
      </c>
      <c r="R487" s="493" t="s">
        <v>124</v>
      </c>
      <c r="S487" s="493" t="s">
        <v>382</v>
      </c>
      <c r="T487" s="493" t="s">
        <v>125</v>
      </c>
      <c r="U487" s="493" t="s">
        <v>126</v>
      </c>
      <c r="V487" s="493" t="s">
        <v>127</v>
      </c>
      <c r="W487" s="493" t="s">
        <v>128</v>
      </c>
      <c r="X487" s="493" t="s">
        <v>1193</v>
      </c>
      <c r="Y487" s="493" t="s">
        <v>377</v>
      </c>
      <c r="Z487" s="493" t="s">
        <v>2572</v>
      </c>
      <c r="AA487" s="493" t="s">
        <v>130</v>
      </c>
      <c r="AB487" s="493" t="s">
        <v>377</v>
      </c>
      <c r="AC487" s="493" t="s">
        <v>131</v>
      </c>
      <c r="AD487" s="493" t="s">
        <v>2639</v>
      </c>
      <c r="AE487" s="493">
        <v>1012500</v>
      </c>
      <c r="AF487" s="493">
        <v>101250</v>
      </c>
      <c r="AG487" s="493" t="s">
        <v>2642</v>
      </c>
      <c r="AH487" s="130">
        <f t="shared" si="100"/>
        <v>46196</v>
      </c>
      <c r="AI487" s="495"/>
      <c r="AJ487" s="439"/>
      <c r="AK487" s="121">
        <f t="shared" si="108"/>
        <v>1113750</v>
      </c>
      <c r="AL487" s="440" t="str">
        <f t="shared" ca="1" si="109"/>
        <v/>
      </c>
      <c r="AM487" s="440"/>
      <c r="AN487" s="440"/>
      <c r="AO487" s="440"/>
    </row>
    <row r="488" spans="1:41" ht="16.5" hidden="1" customHeight="1">
      <c r="A488" s="492" t="s">
        <v>2572</v>
      </c>
      <c r="B488" s="493" t="s">
        <v>2640</v>
      </c>
      <c r="C488" s="492" t="s">
        <v>2572</v>
      </c>
      <c r="D488" s="492" t="s">
        <v>2612</v>
      </c>
      <c r="E488" s="493" t="s">
        <v>116</v>
      </c>
      <c r="F488" s="493" t="s">
        <v>377</v>
      </c>
      <c r="G488" s="493" t="s">
        <v>117</v>
      </c>
      <c r="H488" s="493" t="s">
        <v>118</v>
      </c>
      <c r="I488" s="493" t="s">
        <v>119</v>
      </c>
      <c r="J488" s="493" t="s">
        <v>836</v>
      </c>
      <c r="K488" s="493" t="s">
        <v>377</v>
      </c>
      <c r="L488" s="493" t="s">
        <v>837</v>
      </c>
      <c r="M488" s="493" t="s">
        <v>838</v>
      </c>
      <c r="N488" s="493" t="s">
        <v>839</v>
      </c>
      <c r="O488" s="493">
        <v>1764400</v>
      </c>
      <c r="P488" s="439">
        <v>1604000</v>
      </c>
      <c r="Q488" s="493">
        <v>160400</v>
      </c>
      <c r="R488" s="493" t="s">
        <v>124</v>
      </c>
      <c r="S488" s="493" t="s">
        <v>382</v>
      </c>
      <c r="T488" s="493" t="s">
        <v>125</v>
      </c>
      <c r="U488" s="493" t="s">
        <v>126</v>
      </c>
      <c r="V488" s="493" t="s">
        <v>127</v>
      </c>
      <c r="W488" s="493" t="s">
        <v>128</v>
      </c>
      <c r="X488" s="493" t="s">
        <v>840</v>
      </c>
      <c r="Y488" s="493" t="s">
        <v>377</v>
      </c>
      <c r="Z488" s="493" t="s">
        <v>2572</v>
      </c>
      <c r="AA488" s="493" t="s">
        <v>130</v>
      </c>
      <c r="AB488" s="493" t="s">
        <v>377</v>
      </c>
      <c r="AC488" s="493" t="s">
        <v>131</v>
      </c>
      <c r="AD488" s="493" t="s">
        <v>2641</v>
      </c>
      <c r="AE488" s="493">
        <v>1604000</v>
      </c>
      <c r="AF488" s="493">
        <v>160400</v>
      </c>
      <c r="AG488" s="493" t="s">
        <v>2206</v>
      </c>
      <c r="AH488" s="130">
        <f t="shared" si="100"/>
        <v>46196</v>
      </c>
      <c r="AI488" s="495">
        <v>46157</v>
      </c>
      <c r="AJ488" s="439">
        <f>P488*1.1</f>
        <v>1764400.0000000002</v>
      </c>
      <c r="AK488" s="121">
        <f t="shared" si="108"/>
        <v>0</v>
      </c>
      <c r="AL488" s="440" t="str">
        <f t="shared" ca="1" si="109"/>
        <v/>
      </c>
      <c r="AM488" s="440"/>
      <c r="AN488" s="440"/>
      <c r="AO488" s="440"/>
    </row>
    <row r="489" spans="1:41" ht="16.5" hidden="1" customHeight="1">
      <c r="A489" s="492" t="s">
        <v>2572</v>
      </c>
      <c r="B489" s="493" t="s">
        <v>2573</v>
      </c>
      <c r="C489" s="492" t="s">
        <v>2572</v>
      </c>
      <c r="D489" s="492" t="s">
        <v>2612</v>
      </c>
      <c r="E489" s="493" t="s">
        <v>116</v>
      </c>
      <c r="F489" s="493" t="s">
        <v>377</v>
      </c>
      <c r="G489" s="493" t="s">
        <v>117</v>
      </c>
      <c r="H489" s="493" t="s">
        <v>118</v>
      </c>
      <c r="I489" s="493" t="s">
        <v>119</v>
      </c>
      <c r="J489" s="493" t="s">
        <v>2574</v>
      </c>
      <c r="K489" s="493" t="s">
        <v>377</v>
      </c>
      <c r="L489" s="493" t="s">
        <v>2575</v>
      </c>
      <c r="M489" s="493" t="s">
        <v>2576</v>
      </c>
      <c r="N489" s="493" t="s">
        <v>2577</v>
      </c>
      <c r="O489" s="493">
        <v>635910</v>
      </c>
      <c r="P489" s="439">
        <v>578100</v>
      </c>
      <c r="Q489" s="493">
        <v>57810</v>
      </c>
      <c r="R489" s="493" t="s">
        <v>124</v>
      </c>
      <c r="S489" s="493" t="s">
        <v>382</v>
      </c>
      <c r="T489" s="493" t="s">
        <v>125</v>
      </c>
      <c r="U489" s="493" t="s">
        <v>126</v>
      </c>
      <c r="V489" s="493" t="s">
        <v>127</v>
      </c>
      <c r="W489" s="493" t="s">
        <v>128</v>
      </c>
      <c r="X489" s="493" t="s">
        <v>2578</v>
      </c>
      <c r="Y489" s="493" t="s">
        <v>377</v>
      </c>
      <c r="Z489" s="493" t="s">
        <v>2572</v>
      </c>
      <c r="AA489" s="493" t="s">
        <v>130</v>
      </c>
      <c r="AB489" s="493" t="s">
        <v>377</v>
      </c>
      <c r="AC489" s="493" t="s">
        <v>131</v>
      </c>
      <c r="AD489" s="493" t="s">
        <v>2579</v>
      </c>
      <c r="AE489" s="493">
        <v>578100</v>
      </c>
      <c r="AF489" s="493">
        <v>57810</v>
      </c>
      <c r="AG489" s="493" t="s">
        <v>2613</v>
      </c>
      <c r="AH489" s="130">
        <f t="shared" si="100"/>
        <v>46196</v>
      </c>
      <c r="AI489" s="495">
        <v>46156</v>
      </c>
      <c r="AJ489" s="439">
        <f>P489*1.1</f>
        <v>635910</v>
      </c>
      <c r="AK489" s="121">
        <f t="shared" si="108"/>
        <v>0</v>
      </c>
      <c r="AL489" s="440" t="str">
        <f t="shared" ca="1" si="109"/>
        <v/>
      </c>
      <c r="AM489" s="440"/>
      <c r="AN489" s="440"/>
      <c r="AO489" s="440"/>
    </row>
    <row r="490" spans="1:41" ht="16.5" hidden="1" customHeight="1">
      <c r="A490" s="492" t="s">
        <v>2572</v>
      </c>
      <c r="B490" s="493" t="s">
        <v>2580</v>
      </c>
      <c r="C490" s="492" t="s">
        <v>2572</v>
      </c>
      <c r="D490" s="492" t="s">
        <v>2612</v>
      </c>
      <c r="E490" s="493" t="s">
        <v>116</v>
      </c>
      <c r="F490" s="493" t="s">
        <v>377</v>
      </c>
      <c r="G490" s="493" t="s">
        <v>117</v>
      </c>
      <c r="H490" s="493" t="s">
        <v>118</v>
      </c>
      <c r="I490" s="493" t="s">
        <v>119</v>
      </c>
      <c r="J490" s="493" t="s">
        <v>510</v>
      </c>
      <c r="K490" s="493" t="s">
        <v>377</v>
      </c>
      <c r="L490" s="493" t="s">
        <v>511</v>
      </c>
      <c r="M490" s="493" t="s">
        <v>2289</v>
      </c>
      <c r="N490" s="493" t="s">
        <v>513</v>
      </c>
      <c r="O490" s="493">
        <v>3157000</v>
      </c>
      <c r="P490" s="439">
        <v>2870000</v>
      </c>
      <c r="Q490" s="493">
        <v>287000</v>
      </c>
      <c r="R490" s="493" t="s">
        <v>124</v>
      </c>
      <c r="S490" s="493" t="s">
        <v>382</v>
      </c>
      <c r="T490" s="493" t="s">
        <v>125</v>
      </c>
      <c r="U490" s="493" t="s">
        <v>126</v>
      </c>
      <c r="V490" s="493" t="s">
        <v>127</v>
      </c>
      <c r="W490" s="493" t="s">
        <v>128</v>
      </c>
      <c r="X490" s="493" t="s">
        <v>514</v>
      </c>
      <c r="Y490" s="493" t="s">
        <v>377</v>
      </c>
      <c r="Z490" s="493" t="s">
        <v>2572</v>
      </c>
      <c r="AA490" s="493" t="s">
        <v>130</v>
      </c>
      <c r="AB490" s="493" t="s">
        <v>377</v>
      </c>
      <c r="AC490" s="493" t="s">
        <v>131</v>
      </c>
      <c r="AD490" s="493" t="s">
        <v>2581</v>
      </c>
      <c r="AE490" s="493">
        <v>2870000</v>
      </c>
      <c r="AF490" s="493">
        <v>287000</v>
      </c>
      <c r="AG490" s="493" t="s">
        <v>2614</v>
      </c>
      <c r="AH490" s="130">
        <f t="shared" si="100"/>
        <v>46196</v>
      </c>
      <c r="AI490" s="495"/>
      <c r="AJ490" s="439"/>
      <c r="AK490" s="121">
        <f t="shared" si="108"/>
        <v>3157000.0000000005</v>
      </c>
      <c r="AL490" s="440" t="str">
        <f t="shared" ca="1" si="109"/>
        <v/>
      </c>
      <c r="AM490" s="440"/>
      <c r="AN490" s="440"/>
      <c r="AO490" s="440"/>
    </row>
    <row r="491" spans="1:41" ht="16.5" hidden="1" customHeight="1">
      <c r="A491" s="492" t="s">
        <v>2572</v>
      </c>
      <c r="B491" s="493" t="s">
        <v>2582</v>
      </c>
      <c r="C491" s="492" t="s">
        <v>2572</v>
      </c>
      <c r="D491" s="492" t="s">
        <v>2612</v>
      </c>
      <c r="E491" s="493" t="s">
        <v>116</v>
      </c>
      <c r="F491" s="493" t="s">
        <v>377</v>
      </c>
      <c r="G491" s="493" t="s">
        <v>117</v>
      </c>
      <c r="H491" s="493" t="s">
        <v>118</v>
      </c>
      <c r="I491" s="493" t="s">
        <v>119</v>
      </c>
      <c r="J491" s="493" t="s">
        <v>1715</v>
      </c>
      <c r="K491" s="493" t="s">
        <v>377</v>
      </c>
      <c r="L491" s="493" t="s">
        <v>1716</v>
      </c>
      <c r="M491" s="493" t="s">
        <v>1717</v>
      </c>
      <c r="N491" s="493" t="s">
        <v>1718</v>
      </c>
      <c r="O491" s="493">
        <v>151030</v>
      </c>
      <c r="P491" s="439">
        <v>137300</v>
      </c>
      <c r="Q491" s="493">
        <v>13730</v>
      </c>
      <c r="R491" s="493" t="s">
        <v>124</v>
      </c>
      <c r="S491" s="493" t="s">
        <v>382</v>
      </c>
      <c r="T491" s="493" t="s">
        <v>125</v>
      </c>
      <c r="U491" s="493" t="s">
        <v>126</v>
      </c>
      <c r="V491" s="493" t="s">
        <v>127</v>
      </c>
      <c r="W491" s="493" t="s">
        <v>128</v>
      </c>
      <c r="X491" s="493" t="s">
        <v>1719</v>
      </c>
      <c r="Y491" s="493" t="s">
        <v>377</v>
      </c>
      <c r="Z491" s="493" t="s">
        <v>2572</v>
      </c>
      <c r="AA491" s="493" t="s">
        <v>130</v>
      </c>
      <c r="AB491" s="493" t="s">
        <v>377</v>
      </c>
      <c r="AC491" s="493" t="s">
        <v>131</v>
      </c>
      <c r="AD491" s="493" t="s">
        <v>2021</v>
      </c>
      <c r="AE491" s="493">
        <v>137300</v>
      </c>
      <c r="AF491" s="493">
        <v>13730</v>
      </c>
      <c r="AG491" s="493" t="s">
        <v>1741</v>
      </c>
      <c r="AH491" s="130">
        <f t="shared" si="100"/>
        <v>46196</v>
      </c>
      <c r="AI491" s="495"/>
      <c r="AJ491" s="439"/>
      <c r="AK491" s="121">
        <f t="shared" si="108"/>
        <v>151030</v>
      </c>
      <c r="AL491" s="440" t="str">
        <f t="shared" ca="1" si="109"/>
        <v/>
      </c>
      <c r="AM491" s="440"/>
      <c r="AN491" s="440"/>
      <c r="AO491" s="440"/>
    </row>
    <row r="492" spans="1:41" ht="16.5" hidden="1" customHeight="1">
      <c r="A492" s="492" t="s">
        <v>2572</v>
      </c>
      <c r="B492" s="493" t="s">
        <v>2583</v>
      </c>
      <c r="C492" s="492" t="s">
        <v>2572</v>
      </c>
      <c r="D492" s="492" t="s">
        <v>2612</v>
      </c>
      <c r="E492" s="493" t="s">
        <v>116</v>
      </c>
      <c r="F492" s="493" t="s">
        <v>377</v>
      </c>
      <c r="G492" s="493" t="s">
        <v>117</v>
      </c>
      <c r="H492" s="493" t="s">
        <v>118</v>
      </c>
      <c r="I492" s="493" t="s">
        <v>119</v>
      </c>
      <c r="J492" s="493" t="s">
        <v>797</v>
      </c>
      <c r="K492" s="493" t="s">
        <v>377</v>
      </c>
      <c r="L492" s="493" t="s">
        <v>798</v>
      </c>
      <c r="M492" s="493" t="s">
        <v>799</v>
      </c>
      <c r="N492" s="493" t="s">
        <v>800</v>
      </c>
      <c r="O492" s="493">
        <v>1146750</v>
      </c>
      <c r="P492" s="439">
        <v>1042500</v>
      </c>
      <c r="Q492" s="493">
        <v>104250</v>
      </c>
      <c r="R492" s="493" t="s">
        <v>124</v>
      </c>
      <c r="S492" s="493" t="s">
        <v>382</v>
      </c>
      <c r="T492" s="493" t="s">
        <v>125</v>
      </c>
      <c r="U492" s="493" t="s">
        <v>126</v>
      </c>
      <c r="V492" s="493" t="s">
        <v>127</v>
      </c>
      <c r="W492" s="493" t="s">
        <v>128</v>
      </c>
      <c r="X492" s="493" t="s">
        <v>801</v>
      </c>
      <c r="Y492" s="493" t="s">
        <v>377</v>
      </c>
      <c r="Z492" s="493" t="s">
        <v>2572</v>
      </c>
      <c r="AA492" s="493" t="s">
        <v>130</v>
      </c>
      <c r="AB492" s="493" t="s">
        <v>377</v>
      </c>
      <c r="AC492" s="493" t="s">
        <v>131</v>
      </c>
      <c r="AD492" s="493" t="s">
        <v>2584</v>
      </c>
      <c r="AE492" s="493">
        <v>1042500</v>
      </c>
      <c r="AF492" s="493">
        <v>104250</v>
      </c>
      <c r="AG492" s="493" t="s">
        <v>2394</v>
      </c>
      <c r="AH492" s="130">
        <f t="shared" si="100"/>
        <v>46196</v>
      </c>
      <c r="AI492" s="495"/>
      <c r="AJ492" s="439"/>
      <c r="AK492" s="121">
        <f t="shared" si="108"/>
        <v>1146750</v>
      </c>
      <c r="AL492" s="440" t="str">
        <f t="shared" ca="1" si="109"/>
        <v/>
      </c>
      <c r="AM492" s="440"/>
      <c r="AN492" s="440"/>
      <c r="AO492" s="440"/>
    </row>
    <row r="493" spans="1:41" ht="16.5" hidden="1" customHeight="1">
      <c r="A493" s="492" t="s">
        <v>2572</v>
      </c>
      <c r="B493" s="493" t="s">
        <v>2585</v>
      </c>
      <c r="C493" s="492" t="s">
        <v>2572</v>
      </c>
      <c r="D493" s="492" t="s">
        <v>2612</v>
      </c>
      <c r="E493" s="493" t="s">
        <v>116</v>
      </c>
      <c r="F493" s="493" t="s">
        <v>377</v>
      </c>
      <c r="G493" s="493" t="s">
        <v>117</v>
      </c>
      <c r="H493" s="493" t="s">
        <v>118</v>
      </c>
      <c r="I493" s="493" t="s">
        <v>119</v>
      </c>
      <c r="J493" s="493" t="s">
        <v>681</v>
      </c>
      <c r="K493" s="493" t="s">
        <v>377</v>
      </c>
      <c r="L493" s="493" t="s">
        <v>682</v>
      </c>
      <c r="M493" s="493" t="s">
        <v>683</v>
      </c>
      <c r="N493" s="493" t="s">
        <v>684</v>
      </c>
      <c r="O493" s="493">
        <v>9075000</v>
      </c>
      <c r="P493" s="439">
        <v>8250000</v>
      </c>
      <c r="Q493" s="493">
        <v>825000</v>
      </c>
      <c r="R493" s="493" t="s">
        <v>124</v>
      </c>
      <c r="S493" s="493" t="s">
        <v>382</v>
      </c>
      <c r="T493" s="493" t="s">
        <v>125</v>
      </c>
      <c r="U493" s="493" t="s">
        <v>126</v>
      </c>
      <c r="V493" s="493" t="s">
        <v>127</v>
      </c>
      <c r="W493" s="493" t="s">
        <v>128</v>
      </c>
      <c r="X493" s="493" t="s">
        <v>685</v>
      </c>
      <c r="Y493" s="493" t="s">
        <v>377</v>
      </c>
      <c r="Z493" s="493" t="s">
        <v>2572</v>
      </c>
      <c r="AA493" s="493" t="s">
        <v>130</v>
      </c>
      <c r="AB493" s="493" t="s">
        <v>377</v>
      </c>
      <c r="AC493" s="493" t="s">
        <v>131</v>
      </c>
      <c r="AD493" s="493" t="s">
        <v>1832</v>
      </c>
      <c r="AE493" s="493">
        <v>8250000</v>
      </c>
      <c r="AF493" s="493">
        <v>825000</v>
      </c>
      <c r="AG493" s="493" t="s">
        <v>2615</v>
      </c>
      <c r="AH493" s="130">
        <f t="shared" si="100"/>
        <v>46196</v>
      </c>
      <c r="AI493" s="495"/>
      <c r="AJ493" s="439"/>
      <c r="AK493" s="121">
        <f t="shared" si="108"/>
        <v>9075000</v>
      </c>
      <c r="AL493" s="440" t="str">
        <f t="shared" ca="1" si="109"/>
        <v/>
      </c>
      <c r="AM493" s="440"/>
      <c r="AN493" s="440"/>
      <c r="AO493" s="440"/>
    </row>
    <row r="494" spans="1:41" ht="16.5" hidden="1" customHeight="1">
      <c r="A494" s="492" t="s">
        <v>2572</v>
      </c>
      <c r="B494" s="493" t="s">
        <v>2586</v>
      </c>
      <c r="C494" s="492" t="s">
        <v>2572</v>
      </c>
      <c r="D494" s="492" t="s">
        <v>2612</v>
      </c>
      <c r="E494" s="493" t="s">
        <v>116</v>
      </c>
      <c r="F494" s="493" t="s">
        <v>377</v>
      </c>
      <c r="G494" s="493" t="s">
        <v>117</v>
      </c>
      <c r="H494" s="493" t="s">
        <v>118</v>
      </c>
      <c r="I494" s="493" t="s">
        <v>119</v>
      </c>
      <c r="J494" s="493" t="s">
        <v>828</v>
      </c>
      <c r="K494" s="493" t="s">
        <v>377</v>
      </c>
      <c r="L494" s="493" t="s">
        <v>829</v>
      </c>
      <c r="M494" s="493" t="s">
        <v>830</v>
      </c>
      <c r="N494" s="493" t="s">
        <v>831</v>
      </c>
      <c r="O494" s="493">
        <v>22687500</v>
      </c>
      <c r="P494" s="439">
        <v>20625000</v>
      </c>
      <c r="Q494" s="493">
        <v>2062500</v>
      </c>
      <c r="R494" s="493" t="s">
        <v>124</v>
      </c>
      <c r="S494" s="493" t="s">
        <v>382</v>
      </c>
      <c r="T494" s="493" t="s">
        <v>125</v>
      </c>
      <c r="U494" s="493" t="s">
        <v>126</v>
      </c>
      <c r="V494" s="493" t="s">
        <v>127</v>
      </c>
      <c r="W494" s="493" t="s">
        <v>128</v>
      </c>
      <c r="X494" s="493" t="s">
        <v>832</v>
      </c>
      <c r="Y494" s="493" t="s">
        <v>377</v>
      </c>
      <c r="Z494" s="493" t="s">
        <v>2572</v>
      </c>
      <c r="AA494" s="493" t="s">
        <v>130</v>
      </c>
      <c r="AB494" s="493" t="s">
        <v>377</v>
      </c>
      <c r="AC494" s="493" t="s">
        <v>131</v>
      </c>
      <c r="AD494" s="493" t="s">
        <v>2587</v>
      </c>
      <c r="AE494" s="493">
        <v>20625000</v>
      </c>
      <c r="AF494" s="493">
        <v>2062500</v>
      </c>
      <c r="AG494" s="493" t="s">
        <v>814</v>
      </c>
      <c r="AH494" s="130">
        <f t="shared" si="100"/>
        <v>46196</v>
      </c>
      <c r="AI494" s="495"/>
      <c r="AJ494" s="439"/>
      <c r="AK494" s="121">
        <f t="shared" si="108"/>
        <v>22687500</v>
      </c>
      <c r="AL494" s="440" t="str">
        <f t="shared" ca="1" si="109"/>
        <v/>
      </c>
      <c r="AM494" s="440"/>
      <c r="AN494" s="440"/>
      <c r="AO494" s="440"/>
    </row>
    <row r="495" spans="1:41" ht="16.5" hidden="1" customHeight="1">
      <c r="A495" s="492" t="s">
        <v>2572</v>
      </c>
      <c r="B495" s="493" t="s">
        <v>2588</v>
      </c>
      <c r="C495" s="492" t="s">
        <v>2572</v>
      </c>
      <c r="D495" s="492" t="s">
        <v>2612</v>
      </c>
      <c r="E495" s="493" t="s">
        <v>116</v>
      </c>
      <c r="F495" s="493" t="s">
        <v>377</v>
      </c>
      <c r="G495" s="493" t="s">
        <v>117</v>
      </c>
      <c r="H495" s="493" t="s">
        <v>118</v>
      </c>
      <c r="I495" s="493" t="s">
        <v>119</v>
      </c>
      <c r="J495" s="493" t="s">
        <v>2589</v>
      </c>
      <c r="K495" s="493" t="s">
        <v>377</v>
      </c>
      <c r="L495" s="493" t="s">
        <v>2590</v>
      </c>
      <c r="M495" s="493" t="s">
        <v>2591</v>
      </c>
      <c r="N495" s="493" t="s">
        <v>2592</v>
      </c>
      <c r="O495" s="493">
        <v>6699770</v>
      </c>
      <c r="P495" s="439">
        <v>6090700</v>
      </c>
      <c r="Q495" s="493">
        <v>609070</v>
      </c>
      <c r="R495" s="493" t="s">
        <v>124</v>
      </c>
      <c r="S495" s="493" t="s">
        <v>382</v>
      </c>
      <c r="T495" s="493" t="s">
        <v>125</v>
      </c>
      <c r="U495" s="493" t="s">
        <v>126</v>
      </c>
      <c r="V495" s="493" t="s">
        <v>127</v>
      </c>
      <c r="W495" s="493" t="s">
        <v>128</v>
      </c>
      <c r="X495" s="493" t="s">
        <v>2593</v>
      </c>
      <c r="Y495" s="493" t="s">
        <v>377</v>
      </c>
      <c r="Z495" s="493" t="s">
        <v>2572</v>
      </c>
      <c r="AA495" s="493" t="s">
        <v>130</v>
      </c>
      <c r="AB495" s="493" t="s">
        <v>377</v>
      </c>
      <c r="AC495" s="493" t="s">
        <v>131</v>
      </c>
      <c r="AD495" s="493" t="s">
        <v>2594</v>
      </c>
      <c r="AE495" s="493">
        <v>6090700</v>
      </c>
      <c r="AF495" s="493">
        <v>609070</v>
      </c>
      <c r="AG495" s="493" t="s">
        <v>2616</v>
      </c>
      <c r="AH495" s="130">
        <f t="shared" si="100"/>
        <v>46196</v>
      </c>
      <c r="AI495" s="495"/>
      <c r="AJ495" s="439"/>
      <c r="AK495" s="121">
        <f t="shared" si="108"/>
        <v>6699770.0000000009</v>
      </c>
      <c r="AL495" s="440" t="str">
        <f t="shared" ca="1" si="109"/>
        <v/>
      </c>
      <c r="AM495" s="440"/>
      <c r="AN495" s="440"/>
      <c r="AO495" s="440"/>
    </row>
    <row r="496" spans="1:41" ht="16.5" hidden="1" customHeight="1">
      <c r="A496" s="492" t="s">
        <v>2572</v>
      </c>
      <c r="B496" s="493" t="s">
        <v>2595</v>
      </c>
      <c r="C496" s="492" t="s">
        <v>2572</v>
      </c>
      <c r="D496" s="492" t="s">
        <v>2612</v>
      </c>
      <c r="E496" s="493" t="s">
        <v>116</v>
      </c>
      <c r="F496" s="493" t="s">
        <v>377</v>
      </c>
      <c r="G496" s="493" t="s">
        <v>117</v>
      </c>
      <c r="H496" s="493" t="s">
        <v>118</v>
      </c>
      <c r="I496" s="493" t="s">
        <v>119</v>
      </c>
      <c r="J496" s="493" t="s">
        <v>510</v>
      </c>
      <c r="K496" s="493" t="s">
        <v>377</v>
      </c>
      <c r="L496" s="493" t="s">
        <v>511</v>
      </c>
      <c r="M496" s="493" t="s">
        <v>2289</v>
      </c>
      <c r="N496" s="493" t="s">
        <v>513</v>
      </c>
      <c r="O496" s="493">
        <v>10035300</v>
      </c>
      <c r="P496" s="439">
        <v>9123000</v>
      </c>
      <c r="Q496" s="493">
        <v>912300</v>
      </c>
      <c r="R496" s="493" t="s">
        <v>124</v>
      </c>
      <c r="S496" s="493" t="s">
        <v>382</v>
      </c>
      <c r="T496" s="493" t="s">
        <v>125</v>
      </c>
      <c r="U496" s="493" t="s">
        <v>126</v>
      </c>
      <c r="V496" s="493" t="s">
        <v>127</v>
      </c>
      <c r="W496" s="493" t="s">
        <v>128</v>
      </c>
      <c r="X496" s="493" t="s">
        <v>514</v>
      </c>
      <c r="Y496" s="493" t="s">
        <v>377</v>
      </c>
      <c r="Z496" s="493" t="s">
        <v>2572</v>
      </c>
      <c r="AA496" s="493" t="s">
        <v>130</v>
      </c>
      <c r="AB496" s="493" t="s">
        <v>377</v>
      </c>
      <c r="AC496" s="493" t="s">
        <v>131</v>
      </c>
      <c r="AD496" s="493" t="s">
        <v>2596</v>
      </c>
      <c r="AE496" s="493">
        <v>9123000</v>
      </c>
      <c r="AF496" s="493">
        <v>912300</v>
      </c>
      <c r="AG496" s="493" t="s">
        <v>2617</v>
      </c>
      <c r="AH496" s="130">
        <f t="shared" si="100"/>
        <v>46196</v>
      </c>
      <c r="AI496" s="495"/>
      <c r="AJ496" s="439"/>
      <c r="AK496" s="121">
        <f t="shared" si="108"/>
        <v>10035300</v>
      </c>
      <c r="AL496" s="440" t="str">
        <f t="shared" ca="1" si="109"/>
        <v/>
      </c>
      <c r="AM496" s="440"/>
      <c r="AN496" s="440"/>
      <c r="AO496" s="440"/>
    </row>
    <row r="497" spans="1:41" ht="16.5" hidden="1" customHeight="1">
      <c r="A497" s="492" t="s">
        <v>2572</v>
      </c>
      <c r="B497" s="493" t="s">
        <v>2597</v>
      </c>
      <c r="C497" s="492" t="s">
        <v>2572</v>
      </c>
      <c r="D497" s="492" t="s">
        <v>2612</v>
      </c>
      <c r="E497" s="493" t="s">
        <v>116</v>
      </c>
      <c r="F497" s="493" t="s">
        <v>377</v>
      </c>
      <c r="G497" s="493" t="s">
        <v>117</v>
      </c>
      <c r="H497" s="493" t="s">
        <v>118</v>
      </c>
      <c r="I497" s="493" t="s">
        <v>119</v>
      </c>
      <c r="J497" s="493" t="s">
        <v>710</v>
      </c>
      <c r="K497" s="493" t="s">
        <v>377</v>
      </c>
      <c r="L497" s="493" t="s">
        <v>586</v>
      </c>
      <c r="M497" s="493" t="s">
        <v>711</v>
      </c>
      <c r="N497" s="493" t="s">
        <v>712</v>
      </c>
      <c r="O497" s="493">
        <v>945010</v>
      </c>
      <c r="P497" s="439">
        <v>859100</v>
      </c>
      <c r="Q497" s="493">
        <v>85910</v>
      </c>
      <c r="R497" s="493" t="s">
        <v>124</v>
      </c>
      <c r="S497" s="493" t="s">
        <v>382</v>
      </c>
      <c r="T497" s="493" t="s">
        <v>125</v>
      </c>
      <c r="U497" s="493" t="s">
        <v>126</v>
      </c>
      <c r="V497" s="493" t="s">
        <v>127</v>
      </c>
      <c r="W497" s="493" t="s">
        <v>128</v>
      </c>
      <c r="X497" s="493" t="s">
        <v>713</v>
      </c>
      <c r="Y497" s="493" t="s">
        <v>377</v>
      </c>
      <c r="Z497" s="493" t="s">
        <v>2572</v>
      </c>
      <c r="AA497" s="493" t="s">
        <v>130</v>
      </c>
      <c r="AB497" s="493" t="s">
        <v>377</v>
      </c>
      <c r="AC497" s="493" t="s">
        <v>131</v>
      </c>
      <c r="AD497" s="493" t="s">
        <v>2598</v>
      </c>
      <c r="AE497" s="493">
        <v>859100</v>
      </c>
      <c r="AF497" s="493">
        <v>85910</v>
      </c>
      <c r="AG497" s="493" t="s">
        <v>2618</v>
      </c>
      <c r="AH497" s="130">
        <f t="shared" si="100"/>
        <v>46196</v>
      </c>
      <c r="AI497" s="495"/>
      <c r="AJ497" s="439"/>
      <c r="AK497" s="121">
        <f t="shared" si="108"/>
        <v>945010.00000000012</v>
      </c>
      <c r="AL497" s="440" t="str">
        <f t="shared" ca="1" si="109"/>
        <v/>
      </c>
      <c r="AM497" s="440"/>
      <c r="AN497" s="440"/>
      <c r="AO497" s="440"/>
    </row>
    <row r="498" spans="1:41" ht="16.5" hidden="1" customHeight="1">
      <c r="A498" s="492" t="s">
        <v>2572</v>
      </c>
      <c r="B498" s="493" t="s">
        <v>2599</v>
      </c>
      <c r="C498" s="492" t="s">
        <v>2572</v>
      </c>
      <c r="D498" s="492" t="s">
        <v>2612</v>
      </c>
      <c r="E498" s="493" t="s">
        <v>116</v>
      </c>
      <c r="F498" s="493" t="s">
        <v>377</v>
      </c>
      <c r="G498" s="493" t="s">
        <v>117</v>
      </c>
      <c r="H498" s="493" t="s">
        <v>118</v>
      </c>
      <c r="I498" s="493" t="s">
        <v>119</v>
      </c>
      <c r="J498" s="493" t="s">
        <v>421</v>
      </c>
      <c r="K498" s="493" t="s">
        <v>377</v>
      </c>
      <c r="L498" s="493" t="s">
        <v>422</v>
      </c>
      <c r="M498" s="493" t="s">
        <v>423</v>
      </c>
      <c r="N498" s="493" t="s">
        <v>424</v>
      </c>
      <c r="O498" s="493">
        <v>1102200</v>
      </c>
      <c r="P498" s="439">
        <v>1002000</v>
      </c>
      <c r="Q498" s="493">
        <v>100200</v>
      </c>
      <c r="R498" s="493" t="s">
        <v>124</v>
      </c>
      <c r="S498" s="493" t="s">
        <v>382</v>
      </c>
      <c r="T498" s="493" t="s">
        <v>125</v>
      </c>
      <c r="U498" s="493" t="s">
        <v>126</v>
      </c>
      <c r="V498" s="493" t="s">
        <v>127</v>
      </c>
      <c r="W498" s="493" t="s">
        <v>128</v>
      </c>
      <c r="X498" s="493" t="s">
        <v>425</v>
      </c>
      <c r="Y498" s="493" t="s">
        <v>377</v>
      </c>
      <c r="Z498" s="493" t="s">
        <v>2572</v>
      </c>
      <c r="AA498" s="493" t="s">
        <v>130</v>
      </c>
      <c r="AB498" s="493" t="s">
        <v>377</v>
      </c>
      <c r="AC498" s="493" t="s">
        <v>131</v>
      </c>
      <c r="AD498" s="493" t="s">
        <v>2600</v>
      </c>
      <c r="AE498" s="493">
        <v>1002000</v>
      </c>
      <c r="AF498" s="493">
        <v>100200</v>
      </c>
      <c r="AG498" s="493" t="s">
        <v>2619</v>
      </c>
      <c r="AH498" s="130">
        <f t="shared" si="100"/>
        <v>46196</v>
      </c>
      <c r="AI498" s="495"/>
      <c r="AJ498" s="439"/>
      <c r="AK498" s="121">
        <f t="shared" si="108"/>
        <v>1102200</v>
      </c>
      <c r="AL498" s="440" t="str">
        <f t="shared" ca="1" si="109"/>
        <v/>
      </c>
      <c r="AM498" s="440"/>
      <c r="AN498" s="440"/>
      <c r="AO498" s="440"/>
    </row>
    <row r="499" spans="1:41" ht="16.5" hidden="1" customHeight="1">
      <c r="A499" s="492" t="s">
        <v>2572</v>
      </c>
      <c r="B499" s="493" t="s">
        <v>2601</v>
      </c>
      <c r="C499" s="492" t="s">
        <v>2572</v>
      </c>
      <c r="D499" s="492" t="s">
        <v>2612</v>
      </c>
      <c r="E499" s="493" t="s">
        <v>116</v>
      </c>
      <c r="F499" s="493" t="s">
        <v>377</v>
      </c>
      <c r="G499" s="493" t="s">
        <v>117</v>
      </c>
      <c r="H499" s="493" t="s">
        <v>118</v>
      </c>
      <c r="I499" s="493" t="s">
        <v>119</v>
      </c>
      <c r="J499" s="493" t="s">
        <v>911</v>
      </c>
      <c r="K499" s="493" t="s">
        <v>377</v>
      </c>
      <c r="L499" s="493" t="s">
        <v>912</v>
      </c>
      <c r="M499" s="493" t="s">
        <v>913</v>
      </c>
      <c r="N499" s="493" t="s">
        <v>914</v>
      </c>
      <c r="O499" s="493">
        <v>310200</v>
      </c>
      <c r="P499" s="439">
        <v>282000</v>
      </c>
      <c r="Q499" s="493">
        <v>28200</v>
      </c>
      <c r="R499" s="493" t="s">
        <v>124</v>
      </c>
      <c r="S499" s="493" t="s">
        <v>382</v>
      </c>
      <c r="T499" s="493" t="s">
        <v>125</v>
      </c>
      <c r="U499" s="493" t="s">
        <v>126</v>
      </c>
      <c r="V499" s="493" t="s">
        <v>127</v>
      </c>
      <c r="W499" s="493" t="s">
        <v>128</v>
      </c>
      <c r="X499" s="493" t="s">
        <v>915</v>
      </c>
      <c r="Y499" s="493" t="s">
        <v>377</v>
      </c>
      <c r="Z499" s="493" t="s">
        <v>2572</v>
      </c>
      <c r="AA499" s="493" t="s">
        <v>130</v>
      </c>
      <c r="AB499" s="493" t="s">
        <v>377</v>
      </c>
      <c r="AC499" s="493" t="s">
        <v>131</v>
      </c>
      <c r="AD499" s="493" t="s">
        <v>2339</v>
      </c>
      <c r="AE499" s="493">
        <v>282000</v>
      </c>
      <c r="AF499" s="493">
        <v>28200</v>
      </c>
      <c r="AG499" s="493" t="s">
        <v>1114</v>
      </c>
      <c r="AH499" s="130">
        <f t="shared" si="100"/>
        <v>46196</v>
      </c>
      <c r="AI499" s="495">
        <v>46160</v>
      </c>
      <c r="AJ499" s="439">
        <f>P499*1.1</f>
        <v>310200</v>
      </c>
      <c r="AK499" s="121">
        <f t="shared" si="108"/>
        <v>0</v>
      </c>
      <c r="AL499" s="440" t="str">
        <f t="shared" ca="1" si="109"/>
        <v/>
      </c>
      <c r="AM499" s="440"/>
      <c r="AN499" s="440"/>
      <c r="AO499" s="440"/>
    </row>
    <row r="500" spans="1:41" ht="16.5" hidden="1" customHeight="1">
      <c r="A500" s="492" t="s">
        <v>2572</v>
      </c>
      <c r="B500" s="493" t="s">
        <v>2602</v>
      </c>
      <c r="C500" s="492" t="s">
        <v>2572</v>
      </c>
      <c r="D500" s="492" t="s">
        <v>2612</v>
      </c>
      <c r="E500" s="493" t="s">
        <v>116</v>
      </c>
      <c r="F500" s="493" t="s">
        <v>377</v>
      </c>
      <c r="G500" s="493" t="s">
        <v>117</v>
      </c>
      <c r="H500" s="493" t="s">
        <v>118</v>
      </c>
      <c r="I500" s="493" t="s">
        <v>119</v>
      </c>
      <c r="J500" s="493" t="s">
        <v>1061</v>
      </c>
      <c r="K500" s="493" t="s">
        <v>377</v>
      </c>
      <c r="L500" s="493" t="s">
        <v>1062</v>
      </c>
      <c r="M500" s="493" t="s">
        <v>1063</v>
      </c>
      <c r="N500" s="493" t="s">
        <v>1484</v>
      </c>
      <c r="O500" s="493">
        <v>1555290</v>
      </c>
      <c r="P500" s="439">
        <v>1413900</v>
      </c>
      <c r="Q500" s="493">
        <v>141390</v>
      </c>
      <c r="R500" s="493" t="s">
        <v>124</v>
      </c>
      <c r="S500" s="493" t="s">
        <v>382</v>
      </c>
      <c r="T500" s="493" t="s">
        <v>125</v>
      </c>
      <c r="U500" s="493" t="s">
        <v>126</v>
      </c>
      <c r="V500" s="493" t="s">
        <v>127</v>
      </c>
      <c r="W500" s="493" t="s">
        <v>128</v>
      </c>
      <c r="X500" s="493" t="s">
        <v>1064</v>
      </c>
      <c r="Y500" s="493" t="s">
        <v>377</v>
      </c>
      <c r="Z500" s="493" t="s">
        <v>2572</v>
      </c>
      <c r="AA500" s="493" t="s">
        <v>130</v>
      </c>
      <c r="AB500" s="493" t="s">
        <v>377</v>
      </c>
      <c r="AC500" s="493" t="s">
        <v>131</v>
      </c>
      <c r="AD500" s="493" t="s">
        <v>2603</v>
      </c>
      <c r="AE500" s="493">
        <v>1413900</v>
      </c>
      <c r="AF500" s="493">
        <v>141390</v>
      </c>
      <c r="AG500" s="493" t="s">
        <v>2548</v>
      </c>
      <c r="AH500" s="130">
        <f t="shared" si="100"/>
        <v>46196</v>
      </c>
      <c r="AI500" s="495"/>
      <c r="AJ500" s="439"/>
      <c r="AK500" s="121">
        <f t="shared" si="108"/>
        <v>1555290.0000000002</v>
      </c>
      <c r="AL500" s="440" t="str">
        <f t="shared" ca="1" si="109"/>
        <v/>
      </c>
      <c r="AM500" s="440"/>
      <c r="AN500" s="440"/>
      <c r="AO500" s="440"/>
    </row>
    <row r="501" spans="1:41" ht="16.5" hidden="1" customHeight="1">
      <c r="A501" s="492" t="s">
        <v>2572</v>
      </c>
      <c r="B501" s="493" t="s">
        <v>2604</v>
      </c>
      <c r="C501" s="492" t="s">
        <v>2572</v>
      </c>
      <c r="D501" s="492" t="s">
        <v>2612</v>
      </c>
      <c r="E501" s="493" t="s">
        <v>116</v>
      </c>
      <c r="F501" s="493" t="s">
        <v>377</v>
      </c>
      <c r="G501" s="493" t="s">
        <v>117</v>
      </c>
      <c r="H501" s="493" t="s">
        <v>118</v>
      </c>
      <c r="I501" s="493" t="s">
        <v>119</v>
      </c>
      <c r="J501" s="493" t="s">
        <v>378</v>
      </c>
      <c r="K501" s="493" t="s">
        <v>377</v>
      </c>
      <c r="L501" s="493" t="s">
        <v>379</v>
      </c>
      <c r="M501" s="493" t="s">
        <v>380</v>
      </c>
      <c r="N501" s="493" t="s">
        <v>381</v>
      </c>
      <c r="O501" s="493">
        <v>1114080</v>
      </c>
      <c r="P501" s="439">
        <v>1012800</v>
      </c>
      <c r="Q501" s="493">
        <v>101280</v>
      </c>
      <c r="R501" s="493" t="s">
        <v>124</v>
      </c>
      <c r="S501" s="493" t="s">
        <v>382</v>
      </c>
      <c r="T501" s="493" t="s">
        <v>125</v>
      </c>
      <c r="U501" s="493" t="s">
        <v>126</v>
      </c>
      <c r="V501" s="493" t="s">
        <v>127</v>
      </c>
      <c r="W501" s="493" t="s">
        <v>128</v>
      </c>
      <c r="X501" s="493" t="s">
        <v>383</v>
      </c>
      <c r="Y501" s="493" t="s">
        <v>377</v>
      </c>
      <c r="Z501" s="493" t="s">
        <v>2572</v>
      </c>
      <c r="AA501" s="493" t="s">
        <v>130</v>
      </c>
      <c r="AB501" s="493" t="s">
        <v>377</v>
      </c>
      <c r="AC501" s="493" t="s">
        <v>131</v>
      </c>
      <c r="AD501" s="493" t="s">
        <v>2605</v>
      </c>
      <c r="AE501" s="493">
        <v>1012800</v>
      </c>
      <c r="AF501" s="493">
        <v>101280</v>
      </c>
      <c r="AG501" s="493" t="s">
        <v>2620</v>
      </c>
      <c r="AH501" s="130">
        <f t="shared" si="100"/>
        <v>46196</v>
      </c>
      <c r="AI501" s="495"/>
      <c r="AJ501" s="439"/>
      <c r="AK501" s="121">
        <f t="shared" si="108"/>
        <v>1114080</v>
      </c>
      <c r="AL501" s="440" t="str">
        <f t="shared" ca="1" si="109"/>
        <v/>
      </c>
      <c r="AM501" s="440"/>
      <c r="AN501" s="440"/>
      <c r="AO501" s="440"/>
    </row>
    <row r="502" spans="1:41" ht="16.5" hidden="1" customHeight="1">
      <c r="A502" s="492" t="s">
        <v>2572</v>
      </c>
      <c r="B502" s="493" t="s">
        <v>2606</v>
      </c>
      <c r="C502" s="492" t="s">
        <v>2572</v>
      </c>
      <c r="D502" s="492" t="s">
        <v>2612</v>
      </c>
      <c r="E502" s="493" t="s">
        <v>116</v>
      </c>
      <c r="F502" s="493" t="s">
        <v>377</v>
      </c>
      <c r="G502" s="493" t="s">
        <v>117</v>
      </c>
      <c r="H502" s="493" t="s">
        <v>118</v>
      </c>
      <c r="I502" s="493" t="s">
        <v>119</v>
      </c>
      <c r="J502" s="493" t="s">
        <v>378</v>
      </c>
      <c r="K502" s="493" t="s">
        <v>377</v>
      </c>
      <c r="L502" s="493" t="s">
        <v>379</v>
      </c>
      <c r="M502" s="493" t="s">
        <v>380</v>
      </c>
      <c r="N502" s="493" t="s">
        <v>381</v>
      </c>
      <c r="O502" s="493">
        <v>4749800</v>
      </c>
      <c r="P502" s="439">
        <v>4318000</v>
      </c>
      <c r="Q502" s="493">
        <v>431800</v>
      </c>
      <c r="R502" s="493" t="s">
        <v>124</v>
      </c>
      <c r="S502" s="493" t="s">
        <v>382</v>
      </c>
      <c r="T502" s="493" t="s">
        <v>125</v>
      </c>
      <c r="U502" s="493" t="s">
        <v>126</v>
      </c>
      <c r="V502" s="493" t="s">
        <v>127</v>
      </c>
      <c r="W502" s="493" t="s">
        <v>128</v>
      </c>
      <c r="X502" s="493" t="s">
        <v>383</v>
      </c>
      <c r="Y502" s="493" t="s">
        <v>377</v>
      </c>
      <c r="Z502" s="493" t="s">
        <v>2572</v>
      </c>
      <c r="AA502" s="493" t="s">
        <v>130</v>
      </c>
      <c r="AB502" s="493" t="s">
        <v>377</v>
      </c>
      <c r="AC502" s="493" t="s">
        <v>131</v>
      </c>
      <c r="AD502" s="493" t="s">
        <v>2607</v>
      </c>
      <c r="AE502" s="493">
        <v>4318000</v>
      </c>
      <c r="AF502" s="493">
        <v>431800</v>
      </c>
      <c r="AG502" s="493" t="s">
        <v>2621</v>
      </c>
      <c r="AH502" s="130">
        <f t="shared" si="100"/>
        <v>46196</v>
      </c>
      <c r="AI502" s="495"/>
      <c r="AJ502" s="439"/>
      <c r="AK502" s="121">
        <f t="shared" si="108"/>
        <v>4749800</v>
      </c>
      <c r="AL502" s="440" t="str">
        <f t="shared" ca="1" si="109"/>
        <v/>
      </c>
      <c r="AM502" s="440"/>
      <c r="AN502" s="440"/>
      <c r="AO502" s="440"/>
    </row>
    <row r="503" spans="1:41" ht="16.5" hidden="1" customHeight="1">
      <c r="A503" s="492" t="s">
        <v>2572</v>
      </c>
      <c r="B503" s="493" t="s">
        <v>2608</v>
      </c>
      <c r="C503" s="492" t="s">
        <v>2572</v>
      </c>
      <c r="D503" s="492" t="s">
        <v>2612</v>
      </c>
      <c r="E503" s="493" t="s">
        <v>116</v>
      </c>
      <c r="F503" s="493" t="s">
        <v>377</v>
      </c>
      <c r="G503" s="493" t="s">
        <v>117</v>
      </c>
      <c r="H503" s="493" t="s">
        <v>118</v>
      </c>
      <c r="I503" s="493" t="s">
        <v>119</v>
      </c>
      <c r="J503" s="493" t="s">
        <v>869</v>
      </c>
      <c r="K503" s="493" t="s">
        <v>377</v>
      </c>
      <c r="L503" s="493" t="s">
        <v>870</v>
      </c>
      <c r="M503" s="493" t="s">
        <v>871</v>
      </c>
      <c r="N503" s="493" t="s">
        <v>872</v>
      </c>
      <c r="O503" s="493">
        <v>1711820</v>
      </c>
      <c r="P503" s="439">
        <v>1556200</v>
      </c>
      <c r="Q503" s="493">
        <v>155620</v>
      </c>
      <c r="R503" s="493" t="s">
        <v>124</v>
      </c>
      <c r="S503" s="493" t="s">
        <v>382</v>
      </c>
      <c r="T503" s="493" t="s">
        <v>125</v>
      </c>
      <c r="U503" s="493" t="s">
        <v>126</v>
      </c>
      <c r="V503" s="493" t="s">
        <v>127</v>
      </c>
      <c r="W503" s="493" t="s">
        <v>128</v>
      </c>
      <c r="X503" s="493" t="s">
        <v>873</v>
      </c>
      <c r="Y503" s="493" t="s">
        <v>377</v>
      </c>
      <c r="Z503" s="493" t="s">
        <v>2572</v>
      </c>
      <c r="AA503" s="493" t="s">
        <v>130</v>
      </c>
      <c r="AB503" s="493" t="s">
        <v>377</v>
      </c>
      <c r="AC503" s="493" t="s">
        <v>131</v>
      </c>
      <c r="AD503" s="493" t="s">
        <v>2609</v>
      </c>
      <c r="AE503" s="493">
        <v>1556200</v>
      </c>
      <c r="AF503" s="493">
        <v>155620</v>
      </c>
      <c r="AG503" s="493" t="s">
        <v>2622</v>
      </c>
      <c r="AH503" s="130">
        <f t="shared" si="100"/>
        <v>46196</v>
      </c>
      <c r="AI503" s="495"/>
      <c r="AJ503" s="439"/>
      <c r="AK503" s="121">
        <f t="shared" si="108"/>
        <v>1711820.0000000002</v>
      </c>
      <c r="AL503" s="440" t="str">
        <f t="shared" ca="1" si="109"/>
        <v/>
      </c>
      <c r="AM503" s="440"/>
      <c r="AN503" s="440"/>
      <c r="AO503" s="440"/>
    </row>
    <row r="504" spans="1:41" ht="16.5" hidden="1" customHeight="1">
      <c r="A504" s="492" t="s">
        <v>2572</v>
      </c>
      <c r="B504" s="493" t="s">
        <v>2610</v>
      </c>
      <c r="C504" s="492" t="s">
        <v>2572</v>
      </c>
      <c r="D504" s="492" t="s">
        <v>2612</v>
      </c>
      <c r="E504" s="493" t="s">
        <v>116</v>
      </c>
      <c r="F504" s="493" t="s">
        <v>377</v>
      </c>
      <c r="G504" s="493" t="s">
        <v>117</v>
      </c>
      <c r="H504" s="493" t="s">
        <v>118</v>
      </c>
      <c r="I504" s="493" t="s">
        <v>119</v>
      </c>
      <c r="J504" s="493" t="s">
        <v>510</v>
      </c>
      <c r="K504" s="493" t="s">
        <v>377</v>
      </c>
      <c r="L504" s="493" t="s">
        <v>511</v>
      </c>
      <c r="M504" s="493" t="s">
        <v>2289</v>
      </c>
      <c r="N504" s="493" t="s">
        <v>513</v>
      </c>
      <c r="O504" s="493">
        <v>-1786950</v>
      </c>
      <c r="P504" s="439">
        <v>-1624500</v>
      </c>
      <c r="Q504" s="493">
        <v>-162450</v>
      </c>
      <c r="R504" s="493" t="s">
        <v>124</v>
      </c>
      <c r="S504" s="493" t="s">
        <v>382</v>
      </c>
      <c r="T504" s="493" t="s">
        <v>125</v>
      </c>
      <c r="U504" s="493" t="s">
        <v>126</v>
      </c>
      <c r="V504" s="493" t="s">
        <v>127</v>
      </c>
      <c r="W504" s="493" t="s">
        <v>128</v>
      </c>
      <c r="X504" s="493" t="s">
        <v>514</v>
      </c>
      <c r="Y504" s="493" t="s">
        <v>377</v>
      </c>
      <c r="Z504" s="493" t="s">
        <v>2561</v>
      </c>
      <c r="AA504" s="493" t="s">
        <v>1653</v>
      </c>
      <c r="AB504" s="493" t="s">
        <v>377</v>
      </c>
      <c r="AC504" s="493" t="s">
        <v>1634</v>
      </c>
      <c r="AD504" s="493" t="s">
        <v>2611</v>
      </c>
      <c r="AE504" s="493">
        <v>-1624500</v>
      </c>
      <c r="AF504" s="493">
        <v>-162450</v>
      </c>
      <c r="AG504" s="493" t="s">
        <v>1506</v>
      </c>
      <c r="AH504" s="130">
        <f t="shared" si="100"/>
        <v>46196</v>
      </c>
      <c r="AI504" s="495"/>
      <c r="AJ504" s="439"/>
      <c r="AK504" s="121">
        <f t="shared" si="108"/>
        <v>-1786950.0000000002</v>
      </c>
      <c r="AL504" s="440" t="str">
        <f t="shared" ca="1" si="109"/>
        <v/>
      </c>
      <c r="AM504" s="440"/>
      <c r="AN504" s="440"/>
      <c r="AO504" s="440" t="s">
        <v>2643</v>
      </c>
    </row>
    <row r="505" spans="1:41" ht="16.5" hidden="1" customHeight="1">
      <c r="A505" s="492" t="s">
        <v>2648</v>
      </c>
      <c r="B505" s="493" t="s">
        <v>2649</v>
      </c>
      <c r="C505" s="492" t="s">
        <v>2648</v>
      </c>
      <c r="D505" s="492" t="s">
        <v>2667</v>
      </c>
      <c r="E505" s="493" t="s">
        <v>116</v>
      </c>
      <c r="F505" s="493" t="s">
        <v>377</v>
      </c>
      <c r="G505" s="493" t="s">
        <v>117</v>
      </c>
      <c r="H505" s="493" t="s">
        <v>118</v>
      </c>
      <c r="I505" s="493" t="s">
        <v>119</v>
      </c>
      <c r="J505" s="493" t="s">
        <v>797</v>
      </c>
      <c r="K505" s="493" t="s">
        <v>377</v>
      </c>
      <c r="L505" s="493" t="s">
        <v>798</v>
      </c>
      <c r="M505" s="493" t="s">
        <v>799</v>
      </c>
      <c r="N505" s="493" t="s">
        <v>800</v>
      </c>
      <c r="O505" s="493">
        <v>1388200</v>
      </c>
      <c r="P505" s="439">
        <v>1262000</v>
      </c>
      <c r="Q505" s="493">
        <v>126200</v>
      </c>
      <c r="R505" s="493" t="s">
        <v>124</v>
      </c>
      <c r="S505" s="493" t="s">
        <v>382</v>
      </c>
      <c r="T505" s="493" t="s">
        <v>125</v>
      </c>
      <c r="U505" s="493" t="s">
        <v>126</v>
      </c>
      <c r="V505" s="493" t="s">
        <v>127</v>
      </c>
      <c r="W505" s="493" t="s">
        <v>128</v>
      </c>
      <c r="X505" s="493" t="s">
        <v>801</v>
      </c>
      <c r="Y505" s="493" t="s">
        <v>377</v>
      </c>
      <c r="Z505" s="493" t="s">
        <v>2648</v>
      </c>
      <c r="AA505" s="493" t="s">
        <v>130</v>
      </c>
      <c r="AB505" s="493" t="s">
        <v>377</v>
      </c>
      <c r="AC505" s="493" t="s">
        <v>131</v>
      </c>
      <c r="AD505" s="493" t="s">
        <v>2650</v>
      </c>
      <c r="AE505" s="493">
        <v>1262000</v>
      </c>
      <c r="AF505" s="493">
        <v>126200</v>
      </c>
      <c r="AG505" s="493" t="s">
        <v>2668</v>
      </c>
      <c r="AH505" s="130">
        <f t="shared" si="100"/>
        <v>46200</v>
      </c>
      <c r="AI505" s="495"/>
      <c r="AJ505" s="439"/>
      <c r="AK505" s="121">
        <f t="shared" ref="AK505:AK514" si="110">(P505*1.1)-AJ505</f>
        <v>1388200</v>
      </c>
      <c r="AL505" s="440" t="str">
        <f t="shared" ref="AL505:AL514" ca="1" si="111">IF(OR(A505="",AK505=0),"",IF(TODAY()-A505&gt;=91,"장기미수",IF(TODAY()-A505&gt;=41,"관리","")))</f>
        <v/>
      </c>
      <c r="AM505" s="440"/>
      <c r="AN505" s="440"/>
      <c r="AO505" s="440"/>
    </row>
    <row r="506" spans="1:41" ht="16.5" hidden="1" customHeight="1">
      <c r="A506" s="492" t="s">
        <v>2648</v>
      </c>
      <c r="B506" s="493" t="s">
        <v>2651</v>
      </c>
      <c r="C506" s="492" t="s">
        <v>2648</v>
      </c>
      <c r="D506" s="492" t="s">
        <v>2667</v>
      </c>
      <c r="E506" s="493" t="s">
        <v>116</v>
      </c>
      <c r="F506" s="493" t="s">
        <v>377</v>
      </c>
      <c r="G506" s="493" t="s">
        <v>117</v>
      </c>
      <c r="H506" s="493" t="s">
        <v>118</v>
      </c>
      <c r="I506" s="493" t="s">
        <v>119</v>
      </c>
      <c r="J506" s="493" t="s">
        <v>1894</v>
      </c>
      <c r="K506" s="493" t="s">
        <v>377</v>
      </c>
      <c r="L506" s="493" t="s">
        <v>1895</v>
      </c>
      <c r="M506" s="493" t="s">
        <v>1896</v>
      </c>
      <c r="N506" s="493" t="s">
        <v>1897</v>
      </c>
      <c r="O506" s="493">
        <v>367180</v>
      </c>
      <c r="P506" s="439">
        <v>333800</v>
      </c>
      <c r="Q506" s="493">
        <v>33380</v>
      </c>
      <c r="R506" s="493" t="s">
        <v>124</v>
      </c>
      <c r="S506" s="493" t="s">
        <v>382</v>
      </c>
      <c r="T506" s="493" t="s">
        <v>125</v>
      </c>
      <c r="U506" s="493" t="s">
        <v>126</v>
      </c>
      <c r="V506" s="493" t="s">
        <v>127</v>
      </c>
      <c r="W506" s="493" t="s">
        <v>128</v>
      </c>
      <c r="X506" s="493" t="s">
        <v>1898</v>
      </c>
      <c r="Y506" s="493" t="s">
        <v>377</v>
      </c>
      <c r="Z506" s="493" t="s">
        <v>2648</v>
      </c>
      <c r="AA506" s="493" t="s">
        <v>130</v>
      </c>
      <c r="AB506" s="493" t="s">
        <v>377</v>
      </c>
      <c r="AC506" s="493" t="s">
        <v>131</v>
      </c>
      <c r="AD506" s="493" t="s">
        <v>2652</v>
      </c>
      <c r="AE506" s="493">
        <v>333800</v>
      </c>
      <c r="AF506" s="493">
        <v>33380</v>
      </c>
      <c r="AG506" s="493" t="s">
        <v>2669</v>
      </c>
      <c r="AH506" s="130">
        <f t="shared" si="100"/>
        <v>46200</v>
      </c>
      <c r="AI506" s="495">
        <v>46157</v>
      </c>
      <c r="AJ506" s="439">
        <f>P506*1.1</f>
        <v>367180.00000000006</v>
      </c>
      <c r="AK506" s="121">
        <f t="shared" si="110"/>
        <v>0</v>
      </c>
      <c r="AL506" s="440" t="str">
        <f t="shared" ca="1" si="111"/>
        <v/>
      </c>
      <c r="AM506" s="440"/>
      <c r="AN506" s="440"/>
      <c r="AO506" s="440"/>
    </row>
    <row r="507" spans="1:41" ht="16.5" hidden="1" customHeight="1">
      <c r="A507" s="492" t="s">
        <v>2648</v>
      </c>
      <c r="B507" s="493" t="s">
        <v>2653</v>
      </c>
      <c r="C507" s="492" t="s">
        <v>2648</v>
      </c>
      <c r="D507" s="492" t="s">
        <v>2667</v>
      </c>
      <c r="E507" s="493" t="s">
        <v>116</v>
      </c>
      <c r="F507" s="493" t="s">
        <v>377</v>
      </c>
      <c r="G507" s="493" t="s">
        <v>117</v>
      </c>
      <c r="H507" s="493" t="s">
        <v>118</v>
      </c>
      <c r="I507" s="493" t="s">
        <v>119</v>
      </c>
      <c r="J507" s="493" t="s">
        <v>474</v>
      </c>
      <c r="K507" s="493" t="s">
        <v>377</v>
      </c>
      <c r="L507" s="493" t="s">
        <v>475</v>
      </c>
      <c r="M507" s="493" t="s">
        <v>476</v>
      </c>
      <c r="N507" s="493" t="s">
        <v>477</v>
      </c>
      <c r="O507" s="493">
        <v>324500</v>
      </c>
      <c r="P507" s="439">
        <v>295000</v>
      </c>
      <c r="Q507" s="493">
        <v>29500</v>
      </c>
      <c r="R507" s="493" t="s">
        <v>124</v>
      </c>
      <c r="S507" s="493" t="s">
        <v>382</v>
      </c>
      <c r="T507" s="493" t="s">
        <v>125</v>
      </c>
      <c r="U507" s="493" t="s">
        <v>126</v>
      </c>
      <c r="V507" s="493" t="s">
        <v>127</v>
      </c>
      <c r="W507" s="493" t="s">
        <v>128</v>
      </c>
      <c r="X507" s="493" t="s">
        <v>478</v>
      </c>
      <c r="Y507" s="493" t="s">
        <v>377</v>
      </c>
      <c r="Z507" s="493" t="s">
        <v>2648</v>
      </c>
      <c r="AA507" s="493" t="s">
        <v>130</v>
      </c>
      <c r="AB507" s="493" t="s">
        <v>377</v>
      </c>
      <c r="AC507" s="493" t="s">
        <v>131</v>
      </c>
      <c r="AD507" s="493" t="s">
        <v>1421</v>
      </c>
      <c r="AE507" s="493">
        <v>295000</v>
      </c>
      <c r="AF507" s="493">
        <v>29500</v>
      </c>
      <c r="AG507" s="493" t="s">
        <v>2670</v>
      </c>
      <c r="AH507" s="130">
        <f t="shared" si="100"/>
        <v>46200</v>
      </c>
      <c r="AI507" s="495"/>
      <c r="AJ507" s="439"/>
      <c r="AK507" s="121">
        <f t="shared" si="110"/>
        <v>324500</v>
      </c>
      <c r="AL507" s="440" t="str">
        <f t="shared" ca="1" si="111"/>
        <v/>
      </c>
      <c r="AM507" s="440"/>
      <c r="AN507" s="440"/>
      <c r="AO507" s="440"/>
    </row>
    <row r="508" spans="1:41" ht="16.5" hidden="1" customHeight="1">
      <c r="A508" s="492" t="s">
        <v>2648</v>
      </c>
      <c r="B508" s="493" t="s">
        <v>2654</v>
      </c>
      <c r="C508" s="492" t="s">
        <v>2648</v>
      </c>
      <c r="D508" s="492" t="s">
        <v>2667</v>
      </c>
      <c r="E508" s="493" t="s">
        <v>116</v>
      </c>
      <c r="F508" s="493" t="s">
        <v>377</v>
      </c>
      <c r="G508" s="493" t="s">
        <v>117</v>
      </c>
      <c r="H508" s="493" t="s">
        <v>118</v>
      </c>
      <c r="I508" s="493" t="s">
        <v>119</v>
      </c>
      <c r="J508" s="493" t="s">
        <v>1465</v>
      </c>
      <c r="K508" s="493" t="s">
        <v>377</v>
      </c>
      <c r="L508" s="493" t="s">
        <v>1466</v>
      </c>
      <c r="M508" s="493" t="s">
        <v>1467</v>
      </c>
      <c r="N508" s="493" t="s">
        <v>2655</v>
      </c>
      <c r="O508" s="493">
        <v>1869560</v>
      </c>
      <c r="P508" s="439">
        <v>1699600</v>
      </c>
      <c r="Q508" s="493">
        <v>169960</v>
      </c>
      <c r="R508" s="493" t="s">
        <v>124</v>
      </c>
      <c r="S508" s="493" t="s">
        <v>382</v>
      </c>
      <c r="T508" s="493" t="s">
        <v>125</v>
      </c>
      <c r="U508" s="493" t="s">
        <v>126</v>
      </c>
      <c r="V508" s="493" t="s">
        <v>127</v>
      </c>
      <c r="W508" s="493" t="s">
        <v>128</v>
      </c>
      <c r="X508" s="493" t="s">
        <v>1469</v>
      </c>
      <c r="Y508" s="493" t="s">
        <v>377</v>
      </c>
      <c r="Z508" s="493" t="s">
        <v>2648</v>
      </c>
      <c r="AA508" s="493" t="s">
        <v>130</v>
      </c>
      <c r="AB508" s="493" t="s">
        <v>377</v>
      </c>
      <c r="AC508" s="493" t="s">
        <v>131</v>
      </c>
      <c r="AD508" s="493" t="s">
        <v>2656</v>
      </c>
      <c r="AE508" s="493">
        <v>1699600</v>
      </c>
      <c r="AF508" s="493">
        <v>169960</v>
      </c>
      <c r="AG508" s="493" t="s">
        <v>2671</v>
      </c>
      <c r="AH508" s="130">
        <f t="shared" si="100"/>
        <v>46200</v>
      </c>
      <c r="AI508" s="495">
        <v>46160</v>
      </c>
      <c r="AJ508" s="439">
        <f>P508*1.1</f>
        <v>1869560.0000000002</v>
      </c>
      <c r="AK508" s="121">
        <f t="shared" si="110"/>
        <v>0</v>
      </c>
      <c r="AL508" s="440" t="str">
        <f t="shared" ca="1" si="111"/>
        <v/>
      </c>
      <c r="AM508" s="440"/>
      <c r="AN508" s="440"/>
      <c r="AO508" s="440"/>
    </row>
    <row r="509" spans="1:41" ht="16.5" hidden="1" customHeight="1">
      <c r="A509" s="492" t="s">
        <v>2648</v>
      </c>
      <c r="B509" s="493" t="s">
        <v>2657</v>
      </c>
      <c r="C509" s="492" t="s">
        <v>2648</v>
      </c>
      <c r="D509" s="492" t="s">
        <v>2667</v>
      </c>
      <c r="E509" s="493" t="s">
        <v>116</v>
      </c>
      <c r="F509" s="493" t="s">
        <v>377</v>
      </c>
      <c r="G509" s="493" t="s">
        <v>117</v>
      </c>
      <c r="H509" s="493" t="s">
        <v>118</v>
      </c>
      <c r="I509" s="493" t="s">
        <v>119</v>
      </c>
      <c r="J509" s="493" t="s">
        <v>1061</v>
      </c>
      <c r="K509" s="493" t="s">
        <v>377</v>
      </c>
      <c r="L509" s="493" t="s">
        <v>1062</v>
      </c>
      <c r="M509" s="493" t="s">
        <v>1063</v>
      </c>
      <c r="N509" s="493" t="s">
        <v>1484</v>
      </c>
      <c r="O509" s="493">
        <v>5183530</v>
      </c>
      <c r="P509" s="439">
        <v>4712300</v>
      </c>
      <c r="Q509" s="493">
        <v>471230</v>
      </c>
      <c r="R509" s="493" t="s">
        <v>124</v>
      </c>
      <c r="S509" s="493" t="s">
        <v>382</v>
      </c>
      <c r="T509" s="493" t="s">
        <v>125</v>
      </c>
      <c r="U509" s="493" t="s">
        <v>126</v>
      </c>
      <c r="V509" s="493" t="s">
        <v>127</v>
      </c>
      <c r="W509" s="493" t="s">
        <v>128</v>
      </c>
      <c r="X509" s="493" t="s">
        <v>1064</v>
      </c>
      <c r="Y509" s="493" t="s">
        <v>377</v>
      </c>
      <c r="Z509" s="493" t="s">
        <v>2648</v>
      </c>
      <c r="AA509" s="493" t="s">
        <v>130</v>
      </c>
      <c r="AB509" s="493" t="s">
        <v>377</v>
      </c>
      <c r="AC509" s="493" t="s">
        <v>131</v>
      </c>
      <c r="AD509" s="493" t="s">
        <v>2658</v>
      </c>
      <c r="AE509" s="493">
        <v>4712300</v>
      </c>
      <c r="AF509" s="493">
        <v>471230</v>
      </c>
      <c r="AG509" s="493" t="s">
        <v>2672</v>
      </c>
      <c r="AH509" s="130">
        <f t="shared" si="100"/>
        <v>46200</v>
      </c>
      <c r="AI509" s="495">
        <v>46164</v>
      </c>
      <c r="AJ509" s="439">
        <f>P509*1.1</f>
        <v>5183530</v>
      </c>
      <c r="AK509" s="121">
        <f t="shared" si="110"/>
        <v>0</v>
      </c>
      <c r="AL509" s="440" t="str">
        <f t="shared" ca="1" si="111"/>
        <v/>
      </c>
      <c r="AM509" s="440"/>
      <c r="AN509" s="440"/>
      <c r="AO509" s="440"/>
    </row>
    <row r="510" spans="1:41" ht="16.5" hidden="1" customHeight="1">
      <c r="A510" s="492" t="s">
        <v>2648</v>
      </c>
      <c r="B510" s="493" t="s">
        <v>2659</v>
      </c>
      <c r="C510" s="492" t="s">
        <v>2648</v>
      </c>
      <c r="D510" s="492" t="s">
        <v>2667</v>
      </c>
      <c r="E510" s="493" t="s">
        <v>116</v>
      </c>
      <c r="F510" s="493" t="s">
        <v>377</v>
      </c>
      <c r="G510" s="493" t="s">
        <v>117</v>
      </c>
      <c r="H510" s="493" t="s">
        <v>118</v>
      </c>
      <c r="I510" s="493" t="s">
        <v>119</v>
      </c>
      <c r="J510" s="493" t="s">
        <v>1403</v>
      </c>
      <c r="K510" s="493" t="s">
        <v>377</v>
      </c>
      <c r="L510" s="493" t="s">
        <v>1404</v>
      </c>
      <c r="M510" s="493" t="s">
        <v>1405</v>
      </c>
      <c r="N510" s="493" t="s">
        <v>1406</v>
      </c>
      <c r="O510" s="493">
        <v>2165900</v>
      </c>
      <c r="P510" s="439">
        <v>1969000</v>
      </c>
      <c r="Q510" s="493">
        <v>196900</v>
      </c>
      <c r="R510" s="493" t="s">
        <v>124</v>
      </c>
      <c r="S510" s="493" t="s">
        <v>382</v>
      </c>
      <c r="T510" s="493" t="s">
        <v>125</v>
      </c>
      <c r="U510" s="493" t="s">
        <v>126</v>
      </c>
      <c r="V510" s="493" t="s">
        <v>127</v>
      </c>
      <c r="W510" s="493" t="s">
        <v>128</v>
      </c>
      <c r="X510" s="493" t="s">
        <v>1407</v>
      </c>
      <c r="Y510" s="493" t="s">
        <v>377</v>
      </c>
      <c r="Z510" s="493" t="s">
        <v>2648</v>
      </c>
      <c r="AA510" s="493" t="s">
        <v>130</v>
      </c>
      <c r="AB510" s="493" t="s">
        <v>377</v>
      </c>
      <c r="AC510" s="493" t="s">
        <v>131</v>
      </c>
      <c r="AD510" s="493" t="s">
        <v>1854</v>
      </c>
      <c r="AE510" s="493">
        <v>1969000</v>
      </c>
      <c r="AF510" s="493">
        <v>196900</v>
      </c>
      <c r="AG510" s="493" t="s">
        <v>2673</v>
      </c>
      <c r="AH510" s="130">
        <f t="shared" si="100"/>
        <v>46200</v>
      </c>
      <c r="AI510" s="495"/>
      <c r="AJ510" s="439"/>
      <c r="AK510" s="121">
        <f t="shared" si="110"/>
        <v>2165900</v>
      </c>
      <c r="AL510" s="440" t="str">
        <f t="shared" ca="1" si="111"/>
        <v/>
      </c>
      <c r="AM510" s="440"/>
      <c r="AN510" s="440"/>
      <c r="AO510" s="440"/>
    </row>
    <row r="511" spans="1:41" ht="16.5" hidden="1" customHeight="1">
      <c r="A511" s="492" t="s">
        <v>2648</v>
      </c>
      <c r="B511" s="493" t="s">
        <v>2660</v>
      </c>
      <c r="C511" s="492" t="s">
        <v>2648</v>
      </c>
      <c r="D511" s="492" t="s">
        <v>2667</v>
      </c>
      <c r="E511" s="493" t="s">
        <v>116</v>
      </c>
      <c r="F511" s="493" t="s">
        <v>377</v>
      </c>
      <c r="G511" s="493" t="s">
        <v>117</v>
      </c>
      <c r="H511" s="493" t="s">
        <v>118</v>
      </c>
      <c r="I511" s="493" t="s">
        <v>119</v>
      </c>
      <c r="J511" s="493" t="s">
        <v>1403</v>
      </c>
      <c r="K511" s="493" t="s">
        <v>377</v>
      </c>
      <c r="L511" s="493" t="s">
        <v>1404</v>
      </c>
      <c r="M511" s="493" t="s">
        <v>1405</v>
      </c>
      <c r="N511" s="493" t="s">
        <v>1406</v>
      </c>
      <c r="O511" s="493">
        <v>1355750</v>
      </c>
      <c r="P511" s="439">
        <v>1232500</v>
      </c>
      <c r="Q511" s="493">
        <v>123250</v>
      </c>
      <c r="R511" s="493" t="s">
        <v>124</v>
      </c>
      <c r="S511" s="493" t="s">
        <v>382</v>
      </c>
      <c r="T511" s="493" t="s">
        <v>125</v>
      </c>
      <c r="U511" s="493" t="s">
        <v>126</v>
      </c>
      <c r="V511" s="493" t="s">
        <v>127</v>
      </c>
      <c r="W511" s="493" t="s">
        <v>128</v>
      </c>
      <c r="X511" s="493" t="s">
        <v>1407</v>
      </c>
      <c r="Y511" s="493" t="s">
        <v>377</v>
      </c>
      <c r="Z511" s="493" t="s">
        <v>2648</v>
      </c>
      <c r="AA511" s="493" t="s">
        <v>130</v>
      </c>
      <c r="AB511" s="493" t="s">
        <v>377</v>
      </c>
      <c r="AC511" s="493" t="s">
        <v>131</v>
      </c>
      <c r="AD511" s="493" t="s">
        <v>2661</v>
      </c>
      <c r="AE511" s="493">
        <v>1232500</v>
      </c>
      <c r="AF511" s="493">
        <v>123250</v>
      </c>
      <c r="AG511" s="493" t="s">
        <v>1749</v>
      </c>
      <c r="AH511" s="130">
        <f t="shared" si="100"/>
        <v>46200</v>
      </c>
      <c r="AI511" s="495"/>
      <c r="AJ511" s="439"/>
      <c r="AK511" s="121">
        <f t="shared" si="110"/>
        <v>1355750</v>
      </c>
      <c r="AL511" s="440" t="str">
        <f t="shared" ca="1" si="111"/>
        <v/>
      </c>
      <c r="AM511" s="440"/>
      <c r="AN511" s="440"/>
      <c r="AO511" s="440"/>
    </row>
    <row r="512" spans="1:41" ht="16.5" hidden="1" customHeight="1">
      <c r="A512" s="492" t="s">
        <v>2648</v>
      </c>
      <c r="B512" s="493" t="s">
        <v>2662</v>
      </c>
      <c r="C512" s="492" t="s">
        <v>2648</v>
      </c>
      <c r="D512" s="492" t="s">
        <v>2667</v>
      </c>
      <c r="E512" s="493" t="s">
        <v>116</v>
      </c>
      <c r="F512" s="493" t="s">
        <v>377</v>
      </c>
      <c r="G512" s="493" t="s">
        <v>117</v>
      </c>
      <c r="H512" s="493" t="s">
        <v>118</v>
      </c>
      <c r="I512" s="493" t="s">
        <v>119</v>
      </c>
      <c r="J512" s="493" t="s">
        <v>674</v>
      </c>
      <c r="K512" s="493" t="s">
        <v>377</v>
      </c>
      <c r="L512" s="493" t="s">
        <v>675</v>
      </c>
      <c r="M512" s="493" t="s">
        <v>676</v>
      </c>
      <c r="N512" s="493" t="s">
        <v>677</v>
      </c>
      <c r="O512" s="493">
        <v>5381750</v>
      </c>
      <c r="P512" s="439">
        <v>4892500</v>
      </c>
      <c r="Q512" s="493">
        <v>489250</v>
      </c>
      <c r="R512" s="493" t="s">
        <v>124</v>
      </c>
      <c r="S512" s="493" t="s">
        <v>382</v>
      </c>
      <c r="T512" s="493" t="s">
        <v>125</v>
      </c>
      <c r="U512" s="493" t="s">
        <v>126</v>
      </c>
      <c r="V512" s="493" t="s">
        <v>127</v>
      </c>
      <c r="W512" s="493" t="s">
        <v>128</v>
      </c>
      <c r="X512" s="493" t="s">
        <v>678</v>
      </c>
      <c r="Y512" s="493" t="s">
        <v>377</v>
      </c>
      <c r="Z512" s="493" t="s">
        <v>2648</v>
      </c>
      <c r="AA512" s="493" t="s">
        <v>130</v>
      </c>
      <c r="AB512" s="493" t="s">
        <v>377</v>
      </c>
      <c r="AC512" s="493" t="s">
        <v>131</v>
      </c>
      <c r="AD512" s="493" t="s">
        <v>2663</v>
      </c>
      <c r="AE512" s="493">
        <v>4892500</v>
      </c>
      <c r="AF512" s="493">
        <v>489250</v>
      </c>
      <c r="AG512" s="493" t="s">
        <v>2361</v>
      </c>
      <c r="AH512" s="130">
        <f t="shared" si="100"/>
        <v>46200</v>
      </c>
      <c r="AI512" s="495">
        <v>46171</v>
      </c>
      <c r="AJ512" s="439">
        <f t="shared" ref="AJ512:AJ513" si="112">P512*1.1</f>
        <v>5381750</v>
      </c>
      <c r="AK512" s="121">
        <f t="shared" si="110"/>
        <v>0</v>
      </c>
      <c r="AL512" s="440" t="str">
        <f t="shared" ca="1" si="111"/>
        <v/>
      </c>
      <c r="AM512" s="440"/>
      <c r="AN512" s="440"/>
      <c r="AO512" s="440"/>
    </row>
    <row r="513" spans="1:41" ht="16.5" hidden="1" customHeight="1">
      <c r="A513" s="492" t="s">
        <v>2648</v>
      </c>
      <c r="B513" s="493" t="s">
        <v>2664</v>
      </c>
      <c r="C513" s="492" t="s">
        <v>2648</v>
      </c>
      <c r="D513" s="492" t="s">
        <v>2667</v>
      </c>
      <c r="E513" s="493" t="s">
        <v>116</v>
      </c>
      <c r="F513" s="493" t="s">
        <v>377</v>
      </c>
      <c r="G513" s="493" t="s">
        <v>117</v>
      </c>
      <c r="H513" s="493" t="s">
        <v>118</v>
      </c>
      <c r="I513" s="493" t="s">
        <v>119</v>
      </c>
      <c r="J513" s="493" t="s">
        <v>674</v>
      </c>
      <c r="K513" s="493" t="s">
        <v>377</v>
      </c>
      <c r="L513" s="493" t="s">
        <v>675</v>
      </c>
      <c r="M513" s="493" t="s">
        <v>676</v>
      </c>
      <c r="N513" s="493" t="s">
        <v>677</v>
      </c>
      <c r="O513" s="493">
        <v>1589500</v>
      </c>
      <c r="P513" s="439">
        <v>1445000</v>
      </c>
      <c r="Q513" s="493">
        <v>144500</v>
      </c>
      <c r="R513" s="493" t="s">
        <v>124</v>
      </c>
      <c r="S513" s="493" t="s">
        <v>382</v>
      </c>
      <c r="T513" s="493" t="s">
        <v>125</v>
      </c>
      <c r="U513" s="493" t="s">
        <v>126</v>
      </c>
      <c r="V513" s="493" t="s">
        <v>127</v>
      </c>
      <c r="W513" s="493" t="s">
        <v>128</v>
      </c>
      <c r="X513" s="493" t="s">
        <v>678</v>
      </c>
      <c r="Y513" s="493" t="s">
        <v>377</v>
      </c>
      <c r="Z513" s="493" t="s">
        <v>2648</v>
      </c>
      <c r="AA513" s="493" t="s">
        <v>130</v>
      </c>
      <c r="AB513" s="493" t="s">
        <v>377</v>
      </c>
      <c r="AC513" s="493" t="s">
        <v>131</v>
      </c>
      <c r="AD513" s="493" t="s">
        <v>2665</v>
      </c>
      <c r="AE513" s="493">
        <v>1445000</v>
      </c>
      <c r="AF513" s="493">
        <v>144500</v>
      </c>
      <c r="AG513" s="493" t="s">
        <v>2674</v>
      </c>
      <c r="AH513" s="130">
        <f t="shared" si="100"/>
        <v>46200</v>
      </c>
      <c r="AI513" s="495">
        <v>46171</v>
      </c>
      <c r="AJ513" s="439">
        <f t="shared" si="112"/>
        <v>1589500.0000000002</v>
      </c>
      <c r="AK513" s="121">
        <f t="shared" si="110"/>
        <v>0</v>
      </c>
      <c r="AL513" s="440" t="str">
        <f t="shared" ca="1" si="111"/>
        <v/>
      </c>
      <c r="AM513" s="440"/>
      <c r="AN513" s="440"/>
      <c r="AO513" s="440"/>
    </row>
    <row r="514" spans="1:41" ht="16.5" hidden="1" customHeight="1">
      <c r="A514" s="492" t="s">
        <v>2648</v>
      </c>
      <c r="B514" s="493" t="s">
        <v>2666</v>
      </c>
      <c r="C514" s="492" t="s">
        <v>2648</v>
      </c>
      <c r="D514" s="492" t="s">
        <v>2667</v>
      </c>
      <c r="E514" s="493" t="s">
        <v>116</v>
      </c>
      <c r="F514" s="493" t="s">
        <v>377</v>
      </c>
      <c r="G514" s="493" t="s">
        <v>117</v>
      </c>
      <c r="H514" s="493" t="s">
        <v>118</v>
      </c>
      <c r="I514" s="493" t="s">
        <v>119</v>
      </c>
      <c r="J514" s="493" t="s">
        <v>2291</v>
      </c>
      <c r="K514" s="493" t="s">
        <v>377</v>
      </c>
      <c r="L514" s="493" t="s">
        <v>2292</v>
      </c>
      <c r="M514" s="493" t="s">
        <v>2293</v>
      </c>
      <c r="N514" s="493" t="s">
        <v>2294</v>
      </c>
      <c r="O514" s="493">
        <v>255200</v>
      </c>
      <c r="P514" s="439">
        <v>232000</v>
      </c>
      <c r="Q514" s="493">
        <v>23200</v>
      </c>
      <c r="R514" s="493" t="s">
        <v>124</v>
      </c>
      <c r="S514" s="493" t="s">
        <v>382</v>
      </c>
      <c r="T514" s="493" t="s">
        <v>125</v>
      </c>
      <c r="U514" s="493" t="s">
        <v>445</v>
      </c>
      <c r="V514" s="493" t="s">
        <v>127</v>
      </c>
      <c r="W514" s="493" t="s">
        <v>128</v>
      </c>
      <c r="X514" s="493" t="s">
        <v>2295</v>
      </c>
      <c r="Y514" s="493" t="s">
        <v>377</v>
      </c>
      <c r="Z514" s="493" t="s">
        <v>2648</v>
      </c>
      <c r="AA514" s="493" t="s">
        <v>130</v>
      </c>
      <c r="AB514" s="493" t="s">
        <v>377</v>
      </c>
      <c r="AC514" s="493" t="s">
        <v>131</v>
      </c>
      <c r="AD514" s="493" t="s">
        <v>2159</v>
      </c>
      <c r="AE514" s="493">
        <v>232000</v>
      </c>
      <c r="AF514" s="493">
        <v>23200</v>
      </c>
      <c r="AG514" s="493" t="s">
        <v>2358</v>
      </c>
      <c r="AH514" s="130">
        <f t="shared" si="100"/>
        <v>46200</v>
      </c>
      <c r="AI514" s="495"/>
      <c r="AJ514" s="439"/>
      <c r="AK514" s="121">
        <f t="shared" si="110"/>
        <v>255200.00000000003</v>
      </c>
      <c r="AL514" s="440" t="str">
        <f t="shared" ca="1" si="111"/>
        <v/>
      </c>
      <c r="AM514" s="440"/>
      <c r="AN514" s="440"/>
      <c r="AO514" s="440"/>
    </row>
    <row r="515" spans="1:41" ht="16.5" hidden="1" customHeight="1">
      <c r="A515" s="492" t="s">
        <v>2648</v>
      </c>
      <c r="B515" s="493" t="s">
        <v>2676</v>
      </c>
      <c r="C515" s="492" t="s">
        <v>2648</v>
      </c>
      <c r="D515" s="492" t="s">
        <v>2667</v>
      </c>
      <c r="E515" s="493" t="s">
        <v>116</v>
      </c>
      <c r="F515" s="493" t="s">
        <v>377</v>
      </c>
      <c r="G515" s="493" t="s">
        <v>117</v>
      </c>
      <c r="H515" s="493" t="s">
        <v>118</v>
      </c>
      <c r="I515" s="493" t="s">
        <v>119</v>
      </c>
      <c r="J515" s="493" t="s">
        <v>869</v>
      </c>
      <c r="K515" s="493" t="s">
        <v>377</v>
      </c>
      <c r="L515" s="493" t="s">
        <v>870</v>
      </c>
      <c r="M515" s="493" t="s">
        <v>871</v>
      </c>
      <c r="N515" s="493" t="s">
        <v>872</v>
      </c>
      <c r="O515" s="493">
        <v>10587500</v>
      </c>
      <c r="P515" s="439">
        <v>9625000</v>
      </c>
      <c r="Q515" s="493">
        <v>962500</v>
      </c>
      <c r="R515" s="493" t="s">
        <v>124</v>
      </c>
      <c r="S515" s="493" t="s">
        <v>382</v>
      </c>
      <c r="T515" s="493" t="s">
        <v>125</v>
      </c>
      <c r="U515" s="493" t="s">
        <v>126</v>
      </c>
      <c r="V515" s="493" t="s">
        <v>127</v>
      </c>
      <c r="W515" s="493" t="s">
        <v>128</v>
      </c>
      <c r="X515" s="493" t="s">
        <v>873</v>
      </c>
      <c r="Y515" s="493" t="s">
        <v>377</v>
      </c>
      <c r="Z515" s="493" t="s">
        <v>2648</v>
      </c>
      <c r="AA515" s="493" t="s">
        <v>130</v>
      </c>
      <c r="AB515" s="493" t="s">
        <v>377</v>
      </c>
      <c r="AC515" s="493" t="s">
        <v>131</v>
      </c>
      <c r="AD515" s="493" t="s">
        <v>2140</v>
      </c>
      <c r="AE515" s="493">
        <v>9625000</v>
      </c>
      <c r="AF515" s="493">
        <v>962500</v>
      </c>
      <c r="AG515" s="493" t="s">
        <v>2718</v>
      </c>
      <c r="AH515" s="130">
        <f t="shared" si="100"/>
        <v>46200</v>
      </c>
      <c r="AI515" s="495"/>
      <c r="AJ515" s="439"/>
      <c r="AK515" s="121">
        <f t="shared" ref="AK515:AK529" si="113">(P515*1.1)-AJ515</f>
        <v>10587500</v>
      </c>
      <c r="AL515" s="440" t="str">
        <f t="shared" ref="AL515:AL529" ca="1" si="114">IF(OR(A515="",AK515=0),"",IF(TODAY()-A515&gt;=91,"장기미수",IF(TODAY()-A515&gt;=41,"관리","")))</f>
        <v/>
      </c>
      <c r="AM515" s="440"/>
      <c r="AN515" s="440"/>
      <c r="AO515" s="440"/>
    </row>
    <row r="516" spans="1:41" ht="16.5" hidden="1" customHeight="1">
      <c r="A516" s="492" t="s">
        <v>2648</v>
      </c>
      <c r="B516" s="493" t="s">
        <v>2677</v>
      </c>
      <c r="C516" s="492" t="s">
        <v>2648</v>
      </c>
      <c r="D516" s="492" t="s">
        <v>2667</v>
      </c>
      <c r="E516" s="493" t="s">
        <v>116</v>
      </c>
      <c r="F516" s="493" t="s">
        <v>377</v>
      </c>
      <c r="G516" s="493" t="s">
        <v>117</v>
      </c>
      <c r="H516" s="493" t="s">
        <v>118</v>
      </c>
      <c r="I516" s="493" t="s">
        <v>119</v>
      </c>
      <c r="J516" s="493" t="s">
        <v>905</v>
      </c>
      <c r="K516" s="493" t="s">
        <v>377</v>
      </c>
      <c r="L516" s="493" t="s">
        <v>340</v>
      </c>
      <c r="M516" s="493" t="s">
        <v>906</v>
      </c>
      <c r="N516" s="493" t="s">
        <v>907</v>
      </c>
      <c r="O516" s="493">
        <v>2332000</v>
      </c>
      <c r="P516" s="439">
        <v>2120000</v>
      </c>
      <c r="Q516" s="493">
        <v>212000</v>
      </c>
      <c r="R516" s="493" t="s">
        <v>124</v>
      </c>
      <c r="S516" s="493" t="s">
        <v>382</v>
      </c>
      <c r="T516" s="493" t="s">
        <v>125</v>
      </c>
      <c r="U516" s="493" t="s">
        <v>126</v>
      </c>
      <c r="V516" s="493" t="s">
        <v>127</v>
      </c>
      <c r="W516" s="493" t="s">
        <v>128</v>
      </c>
      <c r="X516" s="493" t="s">
        <v>908</v>
      </c>
      <c r="Y516" s="493" t="s">
        <v>377</v>
      </c>
      <c r="Z516" s="493" t="s">
        <v>2648</v>
      </c>
      <c r="AA516" s="493" t="s">
        <v>130</v>
      </c>
      <c r="AB516" s="493" t="s">
        <v>377</v>
      </c>
      <c r="AC516" s="493" t="s">
        <v>131</v>
      </c>
      <c r="AD516" s="493" t="s">
        <v>2678</v>
      </c>
      <c r="AE516" s="493">
        <v>2120000</v>
      </c>
      <c r="AF516" s="493">
        <v>212000</v>
      </c>
      <c r="AG516" s="493" t="s">
        <v>1741</v>
      </c>
      <c r="AH516" s="130">
        <f t="shared" si="100"/>
        <v>46200</v>
      </c>
      <c r="AI516" s="495"/>
      <c r="AJ516" s="439"/>
      <c r="AK516" s="121">
        <f t="shared" si="113"/>
        <v>2332000</v>
      </c>
      <c r="AL516" s="440" t="str">
        <f t="shared" ca="1" si="114"/>
        <v/>
      </c>
      <c r="AM516" s="440"/>
      <c r="AN516" s="440"/>
      <c r="AO516" s="440"/>
    </row>
    <row r="517" spans="1:41" ht="16.5" hidden="1" customHeight="1">
      <c r="A517" s="492" t="s">
        <v>2648</v>
      </c>
      <c r="B517" s="493" t="s">
        <v>2679</v>
      </c>
      <c r="C517" s="492" t="s">
        <v>2648</v>
      </c>
      <c r="D517" s="492" t="s">
        <v>2667</v>
      </c>
      <c r="E517" s="493" t="s">
        <v>116</v>
      </c>
      <c r="F517" s="493" t="s">
        <v>377</v>
      </c>
      <c r="G517" s="493" t="s">
        <v>117</v>
      </c>
      <c r="H517" s="493" t="s">
        <v>118</v>
      </c>
      <c r="I517" s="493" t="s">
        <v>119</v>
      </c>
      <c r="J517" s="493" t="s">
        <v>519</v>
      </c>
      <c r="K517" s="493" t="s">
        <v>377</v>
      </c>
      <c r="L517" s="493" t="s">
        <v>520</v>
      </c>
      <c r="M517" s="493" t="s">
        <v>521</v>
      </c>
      <c r="N517" s="493" t="s">
        <v>522</v>
      </c>
      <c r="O517" s="493">
        <v>151030</v>
      </c>
      <c r="P517" s="439">
        <v>137300</v>
      </c>
      <c r="Q517" s="493">
        <v>13730</v>
      </c>
      <c r="R517" s="493" t="s">
        <v>124</v>
      </c>
      <c r="S517" s="493" t="s">
        <v>382</v>
      </c>
      <c r="T517" s="493" t="s">
        <v>125</v>
      </c>
      <c r="U517" s="493" t="s">
        <v>126</v>
      </c>
      <c r="V517" s="493" t="s">
        <v>127</v>
      </c>
      <c r="W517" s="493" t="s">
        <v>128</v>
      </c>
      <c r="X517" s="493" t="s">
        <v>523</v>
      </c>
      <c r="Y517" s="493" t="s">
        <v>377</v>
      </c>
      <c r="Z517" s="493" t="s">
        <v>2648</v>
      </c>
      <c r="AA517" s="493" t="s">
        <v>130</v>
      </c>
      <c r="AB517" s="493" t="s">
        <v>377</v>
      </c>
      <c r="AC517" s="493" t="s">
        <v>131</v>
      </c>
      <c r="AD517" s="493" t="s">
        <v>2021</v>
      </c>
      <c r="AE517" s="493">
        <v>137300</v>
      </c>
      <c r="AF517" s="493">
        <v>13730</v>
      </c>
      <c r="AG517" s="493" t="s">
        <v>2547</v>
      </c>
      <c r="AH517" s="130">
        <f t="shared" si="100"/>
        <v>46200</v>
      </c>
      <c r="AI517" s="495"/>
      <c r="AJ517" s="439"/>
      <c r="AK517" s="121">
        <f t="shared" si="113"/>
        <v>151030</v>
      </c>
      <c r="AL517" s="440" t="str">
        <f t="shared" ca="1" si="114"/>
        <v/>
      </c>
      <c r="AM517" s="440"/>
      <c r="AN517" s="440"/>
      <c r="AO517" s="440"/>
    </row>
    <row r="518" spans="1:41" ht="16.5" hidden="1" customHeight="1">
      <c r="A518" s="492" t="s">
        <v>2648</v>
      </c>
      <c r="B518" s="493" t="s">
        <v>2680</v>
      </c>
      <c r="C518" s="492" t="s">
        <v>2648</v>
      </c>
      <c r="D518" s="492" t="s">
        <v>2667</v>
      </c>
      <c r="E518" s="493" t="s">
        <v>116</v>
      </c>
      <c r="F518" s="493" t="s">
        <v>377</v>
      </c>
      <c r="G518" s="493" t="s">
        <v>117</v>
      </c>
      <c r="H518" s="493" t="s">
        <v>118</v>
      </c>
      <c r="I518" s="493" t="s">
        <v>119</v>
      </c>
      <c r="J518" s="493" t="s">
        <v>710</v>
      </c>
      <c r="K518" s="493" t="s">
        <v>377</v>
      </c>
      <c r="L518" s="493" t="s">
        <v>586</v>
      </c>
      <c r="M518" s="493" t="s">
        <v>711</v>
      </c>
      <c r="N518" s="493" t="s">
        <v>712</v>
      </c>
      <c r="O518" s="493">
        <v>36107500</v>
      </c>
      <c r="P518" s="439">
        <v>32825000</v>
      </c>
      <c r="Q518" s="493">
        <v>3282500</v>
      </c>
      <c r="R518" s="493" t="s">
        <v>124</v>
      </c>
      <c r="S518" s="493" t="s">
        <v>382</v>
      </c>
      <c r="T518" s="493" t="s">
        <v>125</v>
      </c>
      <c r="U518" s="493" t="s">
        <v>126</v>
      </c>
      <c r="V518" s="493" t="s">
        <v>127</v>
      </c>
      <c r="W518" s="493" t="s">
        <v>128</v>
      </c>
      <c r="X518" s="493" t="s">
        <v>713</v>
      </c>
      <c r="Y518" s="493" t="s">
        <v>377</v>
      </c>
      <c r="Z518" s="493" t="s">
        <v>2648</v>
      </c>
      <c r="AA518" s="493" t="s">
        <v>130</v>
      </c>
      <c r="AB518" s="493" t="s">
        <v>377</v>
      </c>
      <c r="AC518" s="493" t="s">
        <v>131</v>
      </c>
      <c r="AD518" s="493" t="s">
        <v>2681</v>
      </c>
      <c r="AE518" s="493">
        <v>32825000</v>
      </c>
      <c r="AF518" s="493">
        <v>3282500</v>
      </c>
      <c r="AG518" s="493" t="s">
        <v>2170</v>
      </c>
      <c r="AH518" s="130">
        <f t="shared" si="100"/>
        <v>46200</v>
      </c>
      <c r="AI518" s="495"/>
      <c r="AJ518" s="439"/>
      <c r="AK518" s="121">
        <f t="shared" si="113"/>
        <v>36107500</v>
      </c>
      <c r="AL518" s="440" t="str">
        <f t="shared" ca="1" si="114"/>
        <v/>
      </c>
      <c r="AM518" s="440"/>
      <c r="AN518" s="440"/>
      <c r="AO518" s="440"/>
    </row>
    <row r="519" spans="1:41" ht="16.5" hidden="1" customHeight="1">
      <c r="A519" s="492" t="s">
        <v>2648</v>
      </c>
      <c r="B519" s="493" t="s">
        <v>2682</v>
      </c>
      <c r="C519" s="492" t="s">
        <v>2648</v>
      </c>
      <c r="D519" s="492" t="s">
        <v>2667</v>
      </c>
      <c r="E519" s="493" t="s">
        <v>116</v>
      </c>
      <c r="F519" s="493" t="s">
        <v>377</v>
      </c>
      <c r="G519" s="493" t="s">
        <v>117</v>
      </c>
      <c r="H519" s="493" t="s">
        <v>118</v>
      </c>
      <c r="I519" s="493" t="s">
        <v>119</v>
      </c>
      <c r="J519" s="493" t="s">
        <v>474</v>
      </c>
      <c r="K519" s="493" t="s">
        <v>377</v>
      </c>
      <c r="L519" s="493" t="s">
        <v>475</v>
      </c>
      <c r="M519" s="493" t="s">
        <v>476</v>
      </c>
      <c r="N519" s="493" t="s">
        <v>477</v>
      </c>
      <c r="O519" s="493">
        <v>4184400</v>
      </c>
      <c r="P519" s="439">
        <v>3804000</v>
      </c>
      <c r="Q519" s="493">
        <v>380400</v>
      </c>
      <c r="R519" s="493" t="s">
        <v>124</v>
      </c>
      <c r="S519" s="493" t="s">
        <v>382</v>
      </c>
      <c r="T519" s="493" t="s">
        <v>125</v>
      </c>
      <c r="U519" s="493" t="s">
        <v>126</v>
      </c>
      <c r="V519" s="493" t="s">
        <v>127</v>
      </c>
      <c r="W519" s="493" t="s">
        <v>128</v>
      </c>
      <c r="X519" s="493" t="s">
        <v>478</v>
      </c>
      <c r="Y519" s="493" t="s">
        <v>377</v>
      </c>
      <c r="Z519" s="493" t="s">
        <v>2648</v>
      </c>
      <c r="AA519" s="493" t="s">
        <v>130</v>
      </c>
      <c r="AB519" s="493" t="s">
        <v>377</v>
      </c>
      <c r="AC519" s="493" t="s">
        <v>131</v>
      </c>
      <c r="AD519" s="493" t="s">
        <v>2683</v>
      </c>
      <c r="AE519" s="493">
        <v>3804000</v>
      </c>
      <c r="AF519" s="493">
        <v>380400</v>
      </c>
      <c r="AG519" s="493" t="s">
        <v>2397</v>
      </c>
      <c r="AH519" s="130">
        <f t="shared" si="100"/>
        <v>46200</v>
      </c>
      <c r="AI519" s="495"/>
      <c r="AJ519" s="439"/>
      <c r="AK519" s="121">
        <f t="shared" si="113"/>
        <v>4184400.0000000005</v>
      </c>
      <c r="AL519" s="440" t="str">
        <f t="shared" ca="1" si="114"/>
        <v/>
      </c>
      <c r="AM519" s="440"/>
      <c r="AN519" s="440"/>
      <c r="AO519" s="440"/>
    </row>
    <row r="520" spans="1:41" ht="16.5" hidden="1" customHeight="1">
      <c r="A520" s="492" t="s">
        <v>2648</v>
      </c>
      <c r="B520" s="493" t="s">
        <v>2684</v>
      </c>
      <c r="C520" s="492" t="s">
        <v>2648</v>
      </c>
      <c r="D520" s="492" t="s">
        <v>2667</v>
      </c>
      <c r="E520" s="493" t="s">
        <v>116</v>
      </c>
      <c r="F520" s="493" t="s">
        <v>377</v>
      </c>
      <c r="G520" s="493" t="s">
        <v>117</v>
      </c>
      <c r="H520" s="493" t="s">
        <v>118</v>
      </c>
      <c r="I520" s="493" t="s">
        <v>119</v>
      </c>
      <c r="J520" s="493" t="s">
        <v>1666</v>
      </c>
      <c r="K520" s="493" t="s">
        <v>377</v>
      </c>
      <c r="L520" s="493" t="s">
        <v>1667</v>
      </c>
      <c r="M520" s="493" t="s">
        <v>1668</v>
      </c>
      <c r="N520" s="493" t="s">
        <v>1669</v>
      </c>
      <c r="O520" s="493">
        <v>286000</v>
      </c>
      <c r="P520" s="439">
        <v>260000</v>
      </c>
      <c r="Q520" s="493">
        <v>26000</v>
      </c>
      <c r="R520" s="493" t="s">
        <v>124</v>
      </c>
      <c r="S520" s="493" t="s">
        <v>382</v>
      </c>
      <c r="T520" s="493" t="s">
        <v>125</v>
      </c>
      <c r="U520" s="493" t="s">
        <v>126</v>
      </c>
      <c r="V520" s="493" t="s">
        <v>127</v>
      </c>
      <c r="W520" s="493" t="s">
        <v>128</v>
      </c>
      <c r="X520" s="493" t="s">
        <v>1670</v>
      </c>
      <c r="Y520" s="493" t="s">
        <v>377</v>
      </c>
      <c r="Z520" s="493" t="s">
        <v>2648</v>
      </c>
      <c r="AA520" s="493" t="s">
        <v>130</v>
      </c>
      <c r="AB520" s="493" t="s">
        <v>377</v>
      </c>
      <c r="AC520" s="493" t="s">
        <v>131</v>
      </c>
      <c r="AD520" s="493" t="s">
        <v>2290</v>
      </c>
      <c r="AE520" s="493">
        <v>260000</v>
      </c>
      <c r="AF520" s="493">
        <v>26000</v>
      </c>
      <c r="AG520" s="493" t="s">
        <v>2359</v>
      </c>
      <c r="AH520" s="130">
        <f t="shared" ref="AH520:AH579" si="115">IF(A520&lt;&gt;"", A520+40, "")</f>
        <v>46200</v>
      </c>
      <c r="AI520" s="495">
        <v>46171</v>
      </c>
      <c r="AJ520" s="439">
        <f>P520*1.1</f>
        <v>286000</v>
      </c>
      <c r="AK520" s="121">
        <f t="shared" si="113"/>
        <v>0</v>
      </c>
      <c r="AL520" s="440" t="str">
        <f t="shared" ca="1" si="114"/>
        <v/>
      </c>
      <c r="AM520" s="440"/>
      <c r="AN520" s="440"/>
      <c r="AO520" s="440"/>
    </row>
    <row r="521" spans="1:41" ht="16.5" hidden="1" customHeight="1">
      <c r="A521" s="492" t="s">
        <v>2648</v>
      </c>
      <c r="B521" s="493" t="s">
        <v>2685</v>
      </c>
      <c r="C521" s="492" t="s">
        <v>2648</v>
      </c>
      <c r="D521" s="492" t="s">
        <v>2667</v>
      </c>
      <c r="E521" s="493" t="s">
        <v>116</v>
      </c>
      <c r="F521" s="493" t="s">
        <v>377</v>
      </c>
      <c r="G521" s="493" t="s">
        <v>117</v>
      </c>
      <c r="H521" s="493" t="s">
        <v>118</v>
      </c>
      <c r="I521" s="493" t="s">
        <v>119</v>
      </c>
      <c r="J521" s="493" t="s">
        <v>2686</v>
      </c>
      <c r="K521" s="493" t="s">
        <v>377</v>
      </c>
      <c r="L521" s="493" t="s">
        <v>2687</v>
      </c>
      <c r="M521" s="493" t="s">
        <v>2688</v>
      </c>
      <c r="N521" s="493" t="s">
        <v>2689</v>
      </c>
      <c r="O521" s="493">
        <v>1295140</v>
      </c>
      <c r="P521" s="439">
        <v>1177400</v>
      </c>
      <c r="Q521" s="493">
        <v>117740</v>
      </c>
      <c r="R521" s="493" t="s">
        <v>124</v>
      </c>
      <c r="S521" s="493" t="s">
        <v>382</v>
      </c>
      <c r="T521" s="493" t="s">
        <v>125</v>
      </c>
      <c r="U521" s="493" t="s">
        <v>126</v>
      </c>
      <c r="V521" s="493" t="s">
        <v>127</v>
      </c>
      <c r="W521" s="493" t="s">
        <v>128</v>
      </c>
      <c r="X521" s="493" t="s">
        <v>2690</v>
      </c>
      <c r="Y521" s="493" t="s">
        <v>377</v>
      </c>
      <c r="Z521" s="493" t="s">
        <v>2648</v>
      </c>
      <c r="AA521" s="493" t="s">
        <v>130</v>
      </c>
      <c r="AB521" s="493" t="s">
        <v>377</v>
      </c>
      <c r="AC521" s="493" t="s">
        <v>131</v>
      </c>
      <c r="AD521" s="493" t="s">
        <v>2691</v>
      </c>
      <c r="AE521" s="493">
        <v>1177400</v>
      </c>
      <c r="AF521" s="493">
        <v>117740</v>
      </c>
      <c r="AG521" s="493" t="s">
        <v>2719</v>
      </c>
      <c r="AH521" s="130">
        <f t="shared" si="115"/>
        <v>46200</v>
      </c>
      <c r="AI521" s="495"/>
      <c r="AJ521" s="439"/>
      <c r="AK521" s="121">
        <f t="shared" si="113"/>
        <v>1295140</v>
      </c>
      <c r="AL521" s="440" t="str">
        <f t="shared" ca="1" si="114"/>
        <v/>
      </c>
      <c r="AM521" s="440"/>
      <c r="AN521" s="440"/>
      <c r="AO521" s="440"/>
    </row>
    <row r="522" spans="1:41" ht="16.5" hidden="1" customHeight="1">
      <c r="A522" s="492" t="s">
        <v>2648</v>
      </c>
      <c r="B522" s="493" t="s">
        <v>2692</v>
      </c>
      <c r="C522" s="492" t="s">
        <v>2648</v>
      </c>
      <c r="D522" s="492" t="s">
        <v>2667</v>
      </c>
      <c r="E522" s="493" t="s">
        <v>116</v>
      </c>
      <c r="F522" s="493" t="s">
        <v>377</v>
      </c>
      <c r="G522" s="493" t="s">
        <v>117</v>
      </c>
      <c r="H522" s="493" t="s">
        <v>118</v>
      </c>
      <c r="I522" s="493" t="s">
        <v>119</v>
      </c>
      <c r="J522" s="493" t="s">
        <v>1332</v>
      </c>
      <c r="K522" s="493" t="s">
        <v>377</v>
      </c>
      <c r="L522" s="493" t="s">
        <v>1333</v>
      </c>
      <c r="M522" s="493" t="s">
        <v>1334</v>
      </c>
      <c r="N522" s="493" t="s">
        <v>1335</v>
      </c>
      <c r="O522" s="493">
        <v>5633100</v>
      </c>
      <c r="P522" s="439">
        <v>5121000</v>
      </c>
      <c r="Q522" s="493">
        <v>512100</v>
      </c>
      <c r="R522" s="493" t="s">
        <v>124</v>
      </c>
      <c r="S522" s="493" t="s">
        <v>382</v>
      </c>
      <c r="T522" s="493" t="s">
        <v>125</v>
      </c>
      <c r="U522" s="493" t="s">
        <v>126</v>
      </c>
      <c r="V522" s="493" t="s">
        <v>127</v>
      </c>
      <c r="W522" s="493" t="s">
        <v>128</v>
      </c>
      <c r="X522" s="493" t="s">
        <v>1336</v>
      </c>
      <c r="Y522" s="493" t="s">
        <v>377</v>
      </c>
      <c r="Z522" s="493" t="s">
        <v>2648</v>
      </c>
      <c r="AA522" s="493" t="s">
        <v>130</v>
      </c>
      <c r="AB522" s="493" t="s">
        <v>377</v>
      </c>
      <c r="AC522" s="493" t="s">
        <v>131</v>
      </c>
      <c r="AD522" s="493" t="s">
        <v>2693</v>
      </c>
      <c r="AE522" s="493">
        <v>5121000</v>
      </c>
      <c r="AF522" s="493">
        <v>512100</v>
      </c>
      <c r="AG522" s="493" t="s">
        <v>2720</v>
      </c>
      <c r="AH522" s="130">
        <f t="shared" si="115"/>
        <v>46200</v>
      </c>
      <c r="AI522" s="495">
        <v>46162</v>
      </c>
      <c r="AJ522" s="439">
        <f>P522*1.1</f>
        <v>5633100</v>
      </c>
      <c r="AK522" s="121">
        <f t="shared" si="113"/>
        <v>0</v>
      </c>
      <c r="AL522" s="440" t="str">
        <f t="shared" ca="1" si="114"/>
        <v/>
      </c>
      <c r="AM522" s="440"/>
      <c r="AN522" s="440"/>
      <c r="AO522" s="440"/>
    </row>
    <row r="523" spans="1:41" ht="16.5" hidden="1" customHeight="1">
      <c r="A523" s="492" t="s">
        <v>2648</v>
      </c>
      <c r="B523" s="493" t="s">
        <v>2694</v>
      </c>
      <c r="C523" s="492" t="s">
        <v>2648</v>
      </c>
      <c r="D523" s="492" t="s">
        <v>2667</v>
      </c>
      <c r="E523" s="493" t="s">
        <v>116</v>
      </c>
      <c r="F523" s="493" t="s">
        <v>377</v>
      </c>
      <c r="G523" s="493" t="s">
        <v>117</v>
      </c>
      <c r="H523" s="493" t="s">
        <v>118</v>
      </c>
      <c r="I523" s="493" t="s">
        <v>119</v>
      </c>
      <c r="J523" s="493" t="s">
        <v>1061</v>
      </c>
      <c r="K523" s="493" t="s">
        <v>377</v>
      </c>
      <c r="L523" s="493" t="s">
        <v>1062</v>
      </c>
      <c r="M523" s="493" t="s">
        <v>1063</v>
      </c>
      <c r="N523" s="493" t="s">
        <v>1484</v>
      </c>
      <c r="O523" s="493">
        <v>1667270</v>
      </c>
      <c r="P523" s="439">
        <v>1515700</v>
      </c>
      <c r="Q523" s="493">
        <v>151570</v>
      </c>
      <c r="R523" s="493" t="s">
        <v>124</v>
      </c>
      <c r="S523" s="493" t="s">
        <v>382</v>
      </c>
      <c r="T523" s="493" t="s">
        <v>125</v>
      </c>
      <c r="U523" s="493" t="s">
        <v>126</v>
      </c>
      <c r="V523" s="493" t="s">
        <v>127</v>
      </c>
      <c r="W523" s="493" t="s">
        <v>128</v>
      </c>
      <c r="X523" s="493" t="s">
        <v>1064</v>
      </c>
      <c r="Y523" s="493" t="s">
        <v>377</v>
      </c>
      <c r="Z523" s="493" t="s">
        <v>2648</v>
      </c>
      <c r="AA523" s="493" t="s">
        <v>130</v>
      </c>
      <c r="AB523" s="493" t="s">
        <v>377</v>
      </c>
      <c r="AC523" s="493" t="s">
        <v>131</v>
      </c>
      <c r="AD523" s="493" t="s">
        <v>2695</v>
      </c>
      <c r="AE523" s="493">
        <v>1515700</v>
      </c>
      <c r="AF523" s="493">
        <v>151570</v>
      </c>
      <c r="AG523" s="493" t="s">
        <v>2672</v>
      </c>
      <c r="AH523" s="130">
        <f t="shared" si="115"/>
        <v>46200</v>
      </c>
      <c r="AI523" s="495">
        <v>46164</v>
      </c>
      <c r="AJ523" s="439">
        <f>P523*1.1</f>
        <v>1667270.0000000002</v>
      </c>
      <c r="AK523" s="121">
        <f t="shared" si="113"/>
        <v>0</v>
      </c>
      <c r="AL523" s="440" t="str">
        <f t="shared" ca="1" si="114"/>
        <v/>
      </c>
      <c r="AM523" s="440"/>
      <c r="AN523" s="440"/>
      <c r="AO523" s="440"/>
    </row>
    <row r="524" spans="1:41" ht="16.5" hidden="1" customHeight="1">
      <c r="A524" s="492" t="s">
        <v>2648</v>
      </c>
      <c r="B524" s="493" t="s">
        <v>2696</v>
      </c>
      <c r="C524" s="492" t="s">
        <v>2648</v>
      </c>
      <c r="D524" s="492" t="s">
        <v>2667</v>
      </c>
      <c r="E524" s="493" t="s">
        <v>116</v>
      </c>
      <c r="F524" s="493" t="s">
        <v>377</v>
      </c>
      <c r="G524" s="493" t="s">
        <v>117</v>
      </c>
      <c r="H524" s="493" t="s">
        <v>118</v>
      </c>
      <c r="I524" s="493" t="s">
        <v>119</v>
      </c>
      <c r="J524" s="493" t="s">
        <v>1988</v>
      </c>
      <c r="K524" s="493" t="s">
        <v>377</v>
      </c>
      <c r="L524" s="493" t="s">
        <v>1989</v>
      </c>
      <c r="M524" s="493" t="s">
        <v>1990</v>
      </c>
      <c r="N524" s="493" t="s">
        <v>1991</v>
      </c>
      <c r="O524" s="493">
        <v>7672500</v>
      </c>
      <c r="P524" s="439">
        <v>6975000</v>
      </c>
      <c r="Q524" s="493">
        <v>697500</v>
      </c>
      <c r="R524" s="493" t="s">
        <v>124</v>
      </c>
      <c r="S524" s="493" t="s">
        <v>382</v>
      </c>
      <c r="T524" s="493" t="s">
        <v>125</v>
      </c>
      <c r="U524" s="493" t="s">
        <v>126</v>
      </c>
      <c r="V524" s="493" t="s">
        <v>127</v>
      </c>
      <c r="W524" s="493" t="s">
        <v>128</v>
      </c>
      <c r="X524" s="493" t="s">
        <v>1992</v>
      </c>
      <c r="Y524" s="493" t="s">
        <v>377</v>
      </c>
      <c r="Z524" s="493" t="s">
        <v>2648</v>
      </c>
      <c r="AA524" s="493" t="s">
        <v>130</v>
      </c>
      <c r="AB524" s="493" t="s">
        <v>377</v>
      </c>
      <c r="AC524" s="493" t="s">
        <v>131</v>
      </c>
      <c r="AD524" s="493" t="s">
        <v>2697</v>
      </c>
      <c r="AE524" s="493">
        <v>6975000</v>
      </c>
      <c r="AF524" s="493">
        <v>697500</v>
      </c>
      <c r="AG524" s="493" t="s">
        <v>1748</v>
      </c>
      <c r="AH524" s="130">
        <f t="shared" si="115"/>
        <v>46200</v>
      </c>
      <c r="AI524" s="495">
        <v>46171</v>
      </c>
      <c r="AJ524" s="439">
        <f>P524*1.1</f>
        <v>7672500.0000000009</v>
      </c>
      <c r="AK524" s="121">
        <f t="shared" si="113"/>
        <v>0</v>
      </c>
      <c r="AL524" s="440" t="str">
        <f t="shared" ca="1" si="114"/>
        <v/>
      </c>
      <c r="AM524" s="440"/>
      <c r="AN524" s="440"/>
      <c r="AO524" s="440"/>
    </row>
    <row r="525" spans="1:41" ht="16.5" hidden="1" customHeight="1">
      <c r="A525" s="492" t="s">
        <v>2648</v>
      </c>
      <c r="B525" s="493" t="s">
        <v>2698</v>
      </c>
      <c r="C525" s="492" t="s">
        <v>2648</v>
      </c>
      <c r="D525" s="492" t="s">
        <v>2667</v>
      </c>
      <c r="E525" s="493" t="s">
        <v>116</v>
      </c>
      <c r="F525" s="493" t="s">
        <v>377</v>
      </c>
      <c r="G525" s="493" t="s">
        <v>117</v>
      </c>
      <c r="H525" s="493" t="s">
        <v>118</v>
      </c>
      <c r="I525" s="493" t="s">
        <v>119</v>
      </c>
      <c r="J525" s="493" t="s">
        <v>1403</v>
      </c>
      <c r="K525" s="493" t="s">
        <v>377</v>
      </c>
      <c r="L525" s="493" t="s">
        <v>1404</v>
      </c>
      <c r="M525" s="493" t="s">
        <v>1405</v>
      </c>
      <c r="N525" s="493" t="s">
        <v>1406</v>
      </c>
      <c r="O525" s="493">
        <v>5493840</v>
      </c>
      <c r="P525" s="439">
        <v>4994400</v>
      </c>
      <c r="Q525" s="493">
        <v>499440</v>
      </c>
      <c r="R525" s="493" t="s">
        <v>124</v>
      </c>
      <c r="S525" s="493" t="s">
        <v>382</v>
      </c>
      <c r="T525" s="493" t="s">
        <v>125</v>
      </c>
      <c r="U525" s="493" t="s">
        <v>126</v>
      </c>
      <c r="V525" s="493" t="s">
        <v>127</v>
      </c>
      <c r="W525" s="493" t="s">
        <v>128</v>
      </c>
      <c r="X525" s="493" t="s">
        <v>1407</v>
      </c>
      <c r="Y525" s="493" t="s">
        <v>377</v>
      </c>
      <c r="Z525" s="493" t="s">
        <v>2648</v>
      </c>
      <c r="AA525" s="493" t="s">
        <v>130</v>
      </c>
      <c r="AB525" s="493" t="s">
        <v>377</v>
      </c>
      <c r="AC525" s="493" t="s">
        <v>131</v>
      </c>
      <c r="AD525" s="493" t="s">
        <v>2699</v>
      </c>
      <c r="AE525" s="493">
        <v>4994400</v>
      </c>
      <c r="AF525" s="493">
        <v>499440</v>
      </c>
      <c r="AG525" s="493" t="s">
        <v>1749</v>
      </c>
      <c r="AH525" s="130">
        <f t="shared" si="115"/>
        <v>46200</v>
      </c>
      <c r="AI525" s="495"/>
      <c r="AJ525" s="439"/>
      <c r="AK525" s="121">
        <f t="shared" si="113"/>
        <v>5493840</v>
      </c>
      <c r="AL525" s="440" t="str">
        <f t="shared" ca="1" si="114"/>
        <v/>
      </c>
      <c r="AM525" s="440"/>
      <c r="AN525" s="440"/>
      <c r="AO525" s="440"/>
    </row>
    <row r="526" spans="1:41" ht="16.5" hidden="1" customHeight="1">
      <c r="A526" s="492" t="s">
        <v>2648</v>
      </c>
      <c r="B526" s="493" t="s">
        <v>2700</v>
      </c>
      <c r="C526" s="492" t="s">
        <v>2648</v>
      </c>
      <c r="D526" s="492" t="s">
        <v>2667</v>
      </c>
      <c r="E526" s="493" t="s">
        <v>116</v>
      </c>
      <c r="F526" s="493" t="s">
        <v>377</v>
      </c>
      <c r="G526" s="493" t="s">
        <v>117</v>
      </c>
      <c r="H526" s="493" t="s">
        <v>118</v>
      </c>
      <c r="I526" s="493" t="s">
        <v>119</v>
      </c>
      <c r="J526" s="493" t="s">
        <v>2701</v>
      </c>
      <c r="K526" s="493" t="s">
        <v>377</v>
      </c>
      <c r="L526" s="493" t="s">
        <v>2702</v>
      </c>
      <c r="M526" s="493" t="s">
        <v>2703</v>
      </c>
      <c r="N526" s="493" t="s">
        <v>2704</v>
      </c>
      <c r="O526" s="493">
        <v>2252690</v>
      </c>
      <c r="P526" s="439">
        <v>2047900</v>
      </c>
      <c r="Q526" s="493">
        <v>204790</v>
      </c>
      <c r="R526" s="493" t="s">
        <v>124</v>
      </c>
      <c r="S526" s="493" t="s">
        <v>382</v>
      </c>
      <c r="T526" s="493" t="s">
        <v>125</v>
      </c>
      <c r="U526" s="493" t="s">
        <v>126</v>
      </c>
      <c r="V526" s="493" t="s">
        <v>127</v>
      </c>
      <c r="W526" s="493" t="s">
        <v>128</v>
      </c>
      <c r="X526" s="493" t="s">
        <v>2705</v>
      </c>
      <c r="Y526" s="493" t="s">
        <v>377</v>
      </c>
      <c r="Z526" s="493" t="s">
        <v>2648</v>
      </c>
      <c r="AA526" s="493" t="s">
        <v>130</v>
      </c>
      <c r="AB526" s="493" t="s">
        <v>377</v>
      </c>
      <c r="AC526" s="493" t="s">
        <v>131</v>
      </c>
      <c r="AD526" s="493" t="s">
        <v>2706</v>
      </c>
      <c r="AE526" s="493">
        <v>2047900</v>
      </c>
      <c r="AF526" s="493">
        <v>204790</v>
      </c>
      <c r="AG526" s="493" t="s">
        <v>2722</v>
      </c>
      <c r="AH526" s="130">
        <f t="shared" si="115"/>
        <v>46200</v>
      </c>
      <c r="AI526" s="495">
        <v>46161</v>
      </c>
      <c r="AJ526" s="439">
        <f>P526*1.1</f>
        <v>2252690</v>
      </c>
      <c r="AK526" s="121">
        <f t="shared" si="113"/>
        <v>0</v>
      </c>
      <c r="AL526" s="440" t="str">
        <f t="shared" ca="1" si="114"/>
        <v/>
      </c>
      <c r="AM526" s="440"/>
      <c r="AN526" s="440"/>
      <c r="AO526" s="440"/>
    </row>
    <row r="527" spans="1:41" ht="16.5" hidden="1" customHeight="1">
      <c r="A527" s="492" t="s">
        <v>2648</v>
      </c>
      <c r="B527" s="493" t="s">
        <v>2707</v>
      </c>
      <c r="C527" s="492" t="s">
        <v>2648</v>
      </c>
      <c r="D527" s="492" t="s">
        <v>2667</v>
      </c>
      <c r="E527" s="493" t="s">
        <v>116</v>
      </c>
      <c r="F527" s="493" t="s">
        <v>377</v>
      </c>
      <c r="G527" s="493" t="s">
        <v>117</v>
      </c>
      <c r="H527" s="493" t="s">
        <v>118</v>
      </c>
      <c r="I527" s="493" t="s">
        <v>119</v>
      </c>
      <c r="J527" s="493" t="s">
        <v>2708</v>
      </c>
      <c r="K527" s="493" t="s">
        <v>377</v>
      </c>
      <c r="L527" s="493" t="s">
        <v>2709</v>
      </c>
      <c r="M527" s="493" t="s">
        <v>2710</v>
      </c>
      <c r="N527" s="493" t="s">
        <v>2711</v>
      </c>
      <c r="O527" s="493">
        <v>1344200</v>
      </c>
      <c r="P527" s="439">
        <v>1222000</v>
      </c>
      <c r="Q527" s="493">
        <v>122200</v>
      </c>
      <c r="R527" s="493" t="s">
        <v>124</v>
      </c>
      <c r="S527" s="493" t="s">
        <v>382</v>
      </c>
      <c r="T527" s="493" t="s">
        <v>125</v>
      </c>
      <c r="U527" s="493" t="s">
        <v>126</v>
      </c>
      <c r="V527" s="493" t="s">
        <v>127</v>
      </c>
      <c r="W527" s="493" t="s">
        <v>128</v>
      </c>
      <c r="X527" s="493" t="s">
        <v>2712</v>
      </c>
      <c r="Y527" s="493" t="s">
        <v>377</v>
      </c>
      <c r="Z527" s="493" t="s">
        <v>2648</v>
      </c>
      <c r="AA527" s="493" t="s">
        <v>130</v>
      </c>
      <c r="AB527" s="493" t="s">
        <v>377</v>
      </c>
      <c r="AC527" s="493" t="s">
        <v>131</v>
      </c>
      <c r="AD527" s="493" t="s">
        <v>2713</v>
      </c>
      <c r="AE527" s="493">
        <v>1222000</v>
      </c>
      <c r="AF527" s="493">
        <v>122200</v>
      </c>
      <c r="AG527" s="493" t="s">
        <v>2723</v>
      </c>
      <c r="AH527" s="130">
        <f t="shared" si="115"/>
        <v>46200</v>
      </c>
      <c r="AI527" s="495">
        <v>46164</v>
      </c>
      <c r="AJ527" s="439">
        <f>P527*1.1</f>
        <v>1344200</v>
      </c>
      <c r="AK527" s="121">
        <f t="shared" si="113"/>
        <v>0</v>
      </c>
      <c r="AL527" s="440" t="str">
        <f t="shared" ca="1" si="114"/>
        <v/>
      </c>
      <c r="AM527" s="440"/>
      <c r="AN527" s="440"/>
      <c r="AO527" s="440"/>
    </row>
    <row r="528" spans="1:41" ht="16.5" hidden="1" customHeight="1">
      <c r="A528" s="492" t="s">
        <v>2648</v>
      </c>
      <c r="B528" s="493" t="s">
        <v>2714</v>
      </c>
      <c r="C528" s="492" t="s">
        <v>2648</v>
      </c>
      <c r="D528" s="492" t="s">
        <v>2667</v>
      </c>
      <c r="E528" s="493" t="s">
        <v>116</v>
      </c>
      <c r="F528" s="493" t="s">
        <v>377</v>
      </c>
      <c r="G528" s="493" t="s">
        <v>117</v>
      </c>
      <c r="H528" s="493" t="s">
        <v>118</v>
      </c>
      <c r="I528" s="493" t="s">
        <v>119</v>
      </c>
      <c r="J528" s="493" t="s">
        <v>1061</v>
      </c>
      <c r="K528" s="493" t="s">
        <v>377</v>
      </c>
      <c r="L528" s="493" t="s">
        <v>1062</v>
      </c>
      <c r="M528" s="493" t="s">
        <v>1063</v>
      </c>
      <c r="N528" s="493" t="s">
        <v>1484</v>
      </c>
      <c r="O528" s="493">
        <v>1686080</v>
      </c>
      <c r="P528" s="439">
        <v>1532800</v>
      </c>
      <c r="Q528" s="493">
        <v>153280</v>
      </c>
      <c r="R528" s="493" t="s">
        <v>124</v>
      </c>
      <c r="S528" s="493" t="s">
        <v>382</v>
      </c>
      <c r="T528" s="493" t="s">
        <v>125</v>
      </c>
      <c r="U528" s="493" t="s">
        <v>126</v>
      </c>
      <c r="V528" s="493" t="s">
        <v>127</v>
      </c>
      <c r="W528" s="493" t="s">
        <v>128</v>
      </c>
      <c r="X528" s="493" t="s">
        <v>1064</v>
      </c>
      <c r="Y528" s="493" t="s">
        <v>377</v>
      </c>
      <c r="Z528" s="493" t="s">
        <v>2648</v>
      </c>
      <c r="AA528" s="493" t="s">
        <v>130</v>
      </c>
      <c r="AB528" s="493" t="s">
        <v>377</v>
      </c>
      <c r="AC528" s="493" t="s">
        <v>131</v>
      </c>
      <c r="AD528" s="493" t="s">
        <v>2715</v>
      </c>
      <c r="AE528" s="493">
        <v>1532800</v>
      </c>
      <c r="AF528" s="493">
        <v>153280</v>
      </c>
      <c r="AG528" s="493" t="s">
        <v>2548</v>
      </c>
      <c r="AH528" s="130">
        <f t="shared" si="115"/>
        <v>46200</v>
      </c>
      <c r="AI528" s="495"/>
      <c r="AJ528" s="439"/>
      <c r="AK528" s="121">
        <f t="shared" si="113"/>
        <v>1686080.0000000002</v>
      </c>
      <c r="AL528" s="440" t="str">
        <f t="shared" ca="1" si="114"/>
        <v/>
      </c>
      <c r="AM528" s="440"/>
      <c r="AN528" s="440"/>
      <c r="AO528" s="440"/>
    </row>
    <row r="529" spans="1:41" ht="16.5" hidden="1" customHeight="1">
      <c r="A529" s="492" t="s">
        <v>2648</v>
      </c>
      <c r="B529" s="493" t="s">
        <v>2716</v>
      </c>
      <c r="C529" s="492" t="s">
        <v>2648</v>
      </c>
      <c r="D529" s="492" t="s">
        <v>2667</v>
      </c>
      <c r="E529" s="493" t="s">
        <v>116</v>
      </c>
      <c r="F529" s="493" t="s">
        <v>377</v>
      </c>
      <c r="G529" s="493" t="s">
        <v>117</v>
      </c>
      <c r="H529" s="493" t="s">
        <v>118</v>
      </c>
      <c r="I529" s="493" t="s">
        <v>119</v>
      </c>
      <c r="J529" s="493" t="s">
        <v>836</v>
      </c>
      <c r="K529" s="493" t="s">
        <v>377</v>
      </c>
      <c r="L529" s="493" t="s">
        <v>837</v>
      </c>
      <c r="M529" s="493" t="s">
        <v>838</v>
      </c>
      <c r="N529" s="493" t="s">
        <v>839</v>
      </c>
      <c r="O529" s="493">
        <v>976580</v>
      </c>
      <c r="P529" s="439">
        <v>887800</v>
      </c>
      <c r="Q529" s="493">
        <v>88780</v>
      </c>
      <c r="R529" s="493" t="s">
        <v>124</v>
      </c>
      <c r="S529" s="493" t="s">
        <v>382</v>
      </c>
      <c r="T529" s="493" t="s">
        <v>125</v>
      </c>
      <c r="U529" s="493" t="s">
        <v>126</v>
      </c>
      <c r="V529" s="493" t="s">
        <v>127</v>
      </c>
      <c r="W529" s="493" t="s">
        <v>128</v>
      </c>
      <c r="X529" s="493" t="s">
        <v>840</v>
      </c>
      <c r="Y529" s="493" t="s">
        <v>377</v>
      </c>
      <c r="Z529" s="493" t="s">
        <v>2648</v>
      </c>
      <c r="AA529" s="493" t="s">
        <v>130</v>
      </c>
      <c r="AB529" s="493" t="s">
        <v>377</v>
      </c>
      <c r="AC529" s="493" t="s">
        <v>131</v>
      </c>
      <c r="AD529" s="493" t="s">
        <v>2717</v>
      </c>
      <c r="AE529" s="493">
        <v>887800</v>
      </c>
      <c r="AF529" s="493">
        <v>88780</v>
      </c>
      <c r="AG529" s="493" t="s">
        <v>2206</v>
      </c>
      <c r="AH529" s="130">
        <f t="shared" si="115"/>
        <v>46200</v>
      </c>
      <c r="AI529" s="495">
        <v>46164</v>
      </c>
      <c r="AJ529" s="439">
        <f>P529*1.1</f>
        <v>976580.00000000012</v>
      </c>
      <c r="AK529" s="121">
        <f t="shared" si="113"/>
        <v>0</v>
      </c>
      <c r="AL529" s="440" t="str">
        <f t="shared" ca="1" si="114"/>
        <v/>
      </c>
      <c r="AM529" s="440"/>
      <c r="AN529" s="440"/>
      <c r="AO529" s="440"/>
    </row>
    <row r="530" spans="1:41" ht="16.5" hidden="1" customHeight="1">
      <c r="A530" s="492" t="s">
        <v>2727</v>
      </c>
      <c r="B530" s="493" t="s">
        <v>2728</v>
      </c>
      <c r="C530" s="492" t="s">
        <v>2727</v>
      </c>
      <c r="D530" s="492" t="s">
        <v>2746</v>
      </c>
      <c r="E530" s="493" t="s">
        <v>116</v>
      </c>
      <c r="F530" s="493" t="s">
        <v>377</v>
      </c>
      <c r="G530" s="493" t="s">
        <v>117</v>
      </c>
      <c r="H530" s="493" t="s">
        <v>118</v>
      </c>
      <c r="I530" s="493" t="s">
        <v>119</v>
      </c>
      <c r="J530" s="493" t="s">
        <v>836</v>
      </c>
      <c r="K530" s="493" t="s">
        <v>377</v>
      </c>
      <c r="L530" s="493" t="s">
        <v>837</v>
      </c>
      <c r="M530" s="493" t="s">
        <v>838</v>
      </c>
      <c r="N530" s="493" t="s">
        <v>839</v>
      </c>
      <c r="O530" s="493">
        <v>488290</v>
      </c>
      <c r="P530" s="439">
        <v>443900</v>
      </c>
      <c r="Q530" s="493">
        <v>44390</v>
      </c>
      <c r="R530" s="493" t="s">
        <v>124</v>
      </c>
      <c r="S530" s="493" t="s">
        <v>382</v>
      </c>
      <c r="T530" s="493" t="s">
        <v>125</v>
      </c>
      <c r="U530" s="493" t="s">
        <v>126</v>
      </c>
      <c r="V530" s="493" t="s">
        <v>127</v>
      </c>
      <c r="W530" s="493" t="s">
        <v>128</v>
      </c>
      <c r="X530" s="493" t="s">
        <v>840</v>
      </c>
      <c r="Y530" s="493" t="s">
        <v>377</v>
      </c>
      <c r="Z530" s="493" t="s">
        <v>2727</v>
      </c>
      <c r="AA530" s="493" t="s">
        <v>130</v>
      </c>
      <c r="AB530" s="493" t="s">
        <v>377</v>
      </c>
      <c r="AC530" s="493" t="s">
        <v>131</v>
      </c>
      <c r="AD530" s="493" t="s">
        <v>2729</v>
      </c>
      <c r="AE530" s="493">
        <v>443900</v>
      </c>
      <c r="AF530" s="493">
        <v>44390</v>
      </c>
      <c r="AG530" s="493" t="s">
        <v>2206</v>
      </c>
      <c r="AH530" s="130">
        <f t="shared" si="115"/>
        <v>46201</v>
      </c>
      <c r="AI530" s="495">
        <v>46164</v>
      </c>
      <c r="AJ530" s="439">
        <f>P530*1.1</f>
        <v>488290.00000000006</v>
      </c>
      <c r="AK530" s="121">
        <f t="shared" ref="AK530:AK547" si="116">(P530*1.1)-AJ530</f>
        <v>0</v>
      </c>
      <c r="AL530" s="440" t="str">
        <f t="shared" ref="AL530:AL536" ca="1" si="117">IF(OR(A530="",AK530=0),"",IF(TODAY()-A530&gt;=91,"장기미수",IF(TODAY()-A530&gt;=41,"관리","")))</f>
        <v/>
      </c>
      <c r="AM530" s="440"/>
      <c r="AN530" s="440"/>
      <c r="AO530" s="440"/>
    </row>
    <row r="531" spans="1:41" ht="16.5" hidden="1" customHeight="1">
      <c r="A531" s="492" t="s">
        <v>2727</v>
      </c>
      <c r="B531" s="493" t="s">
        <v>2730</v>
      </c>
      <c r="C531" s="492" t="s">
        <v>2727</v>
      </c>
      <c r="D531" s="492" t="s">
        <v>2746</v>
      </c>
      <c r="E531" s="493" t="s">
        <v>116</v>
      </c>
      <c r="F531" s="493" t="s">
        <v>377</v>
      </c>
      <c r="G531" s="493" t="s">
        <v>117</v>
      </c>
      <c r="H531" s="493" t="s">
        <v>118</v>
      </c>
      <c r="I531" s="493" t="s">
        <v>119</v>
      </c>
      <c r="J531" s="493" t="s">
        <v>2731</v>
      </c>
      <c r="K531" s="493" t="s">
        <v>377</v>
      </c>
      <c r="L531" s="493" t="s">
        <v>2732</v>
      </c>
      <c r="M531" s="493" t="s">
        <v>1012</v>
      </c>
      <c r="N531" s="493" t="s">
        <v>2733</v>
      </c>
      <c r="O531" s="493">
        <v>503360</v>
      </c>
      <c r="P531" s="439">
        <v>457600</v>
      </c>
      <c r="Q531" s="493">
        <v>45760</v>
      </c>
      <c r="R531" s="493" t="s">
        <v>124</v>
      </c>
      <c r="S531" s="493" t="s">
        <v>382</v>
      </c>
      <c r="T531" s="493" t="s">
        <v>125</v>
      </c>
      <c r="U531" s="493" t="s">
        <v>126</v>
      </c>
      <c r="V531" s="493" t="s">
        <v>127</v>
      </c>
      <c r="W531" s="493" t="s">
        <v>128</v>
      </c>
      <c r="X531" s="493" t="s">
        <v>377</v>
      </c>
      <c r="Y531" s="493" t="s">
        <v>2734</v>
      </c>
      <c r="Z531" s="493" t="s">
        <v>2727</v>
      </c>
      <c r="AA531" s="493" t="s">
        <v>130</v>
      </c>
      <c r="AB531" s="493" t="s">
        <v>377</v>
      </c>
      <c r="AC531" s="493" t="s">
        <v>131</v>
      </c>
      <c r="AD531" s="493" t="s">
        <v>2735</v>
      </c>
      <c r="AE531" s="493">
        <v>457600</v>
      </c>
      <c r="AF531" s="493">
        <v>45760</v>
      </c>
      <c r="AG531" s="493" t="s">
        <v>2747</v>
      </c>
      <c r="AH531" s="130">
        <f t="shared" si="115"/>
        <v>46201</v>
      </c>
      <c r="AI531" s="495">
        <v>46162</v>
      </c>
      <c r="AJ531" s="439">
        <f t="shared" ref="AJ531" si="118">P531*1.1</f>
        <v>503360.00000000006</v>
      </c>
      <c r="AK531" s="121">
        <f t="shared" si="116"/>
        <v>0</v>
      </c>
      <c r="AL531" s="440" t="str">
        <f t="shared" ca="1" si="117"/>
        <v/>
      </c>
      <c r="AM531" s="440"/>
      <c r="AN531" s="440"/>
      <c r="AO531" s="440"/>
    </row>
    <row r="532" spans="1:41" ht="16.5" hidden="1" customHeight="1">
      <c r="A532" s="492" t="s">
        <v>2727</v>
      </c>
      <c r="B532" s="493" t="s">
        <v>2736</v>
      </c>
      <c r="C532" s="492" t="s">
        <v>2727</v>
      </c>
      <c r="D532" s="492" t="s">
        <v>2746</v>
      </c>
      <c r="E532" s="493" t="s">
        <v>116</v>
      </c>
      <c r="F532" s="493" t="s">
        <v>377</v>
      </c>
      <c r="G532" s="493" t="s">
        <v>117</v>
      </c>
      <c r="H532" s="493" t="s">
        <v>118</v>
      </c>
      <c r="I532" s="493" t="s">
        <v>119</v>
      </c>
      <c r="J532" s="493" t="s">
        <v>797</v>
      </c>
      <c r="K532" s="493" t="s">
        <v>377</v>
      </c>
      <c r="L532" s="493" t="s">
        <v>798</v>
      </c>
      <c r="M532" s="493" t="s">
        <v>799</v>
      </c>
      <c r="N532" s="493" t="s">
        <v>800</v>
      </c>
      <c r="O532" s="493">
        <v>993520</v>
      </c>
      <c r="P532" s="439">
        <v>903200</v>
      </c>
      <c r="Q532" s="493">
        <v>90320</v>
      </c>
      <c r="R532" s="493" t="s">
        <v>124</v>
      </c>
      <c r="S532" s="493" t="s">
        <v>382</v>
      </c>
      <c r="T532" s="493" t="s">
        <v>125</v>
      </c>
      <c r="U532" s="493" t="s">
        <v>126</v>
      </c>
      <c r="V532" s="493" t="s">
        <v>127</v>
      </c>
      <c r="W532" s="493" t="s">
        <v>128</v>
      </c>
      <c r="X532" s="493" t="s">
        <v>801</v>
      </c>
      <c r="Y532" s="493" t="s">
        <v>377</v>
      </c>
      <c r="Z532" s="493" t="s">
        <v>2727</v>
      </c>
      <c r="AA532" s="493" t="s">
        <v>130</v>
      </c>
      <c r="AB532" s="493" t="s">
        <v>377</v>
      </c>
      <c r="AC532" s="493" t="s">
        <v>131</v>
      </c>
      <c r="AD532" s="493" t="s">
        <v>2737</v>
      </c>
      <c r="AE532" s="493">
        <v>903200</v>
      </c>
      <c r="AF532" s="493">
        <v>90320</v>
      </c>
      <c r="AG532" s="493" t="s">
        <v>2395</v>
      </c>
      <c r="AH532" s="130">
        <f t="shared" si="115"/>
        <v>46201</v>
      </c>
      <c r="AI532" s="495"/>
      <c r="AJ532" s="439"/>
      <c r="AK532" s="121">
        <f t="shared" si="116"/>
        <v>993520.00000000012</v>
      </c>
      <c r="AL532" s="440" t="str">
        <f t="shared" ca="1" si="117"/>
        <v/>
      </c>
      <c r="AM532" s="440"/>
      <c r="AN532" s="440"/>
      <c r="AO532" s="440"/>
    </row>
    <row r="533" spans="1:41" ht="16.5" hidden="1" customHeight="1">
      <c r="A533" s="492" t="s">
        <v>2727</v>
      </c>
      <c r="B533" s="493" t="s">
        <v>2738</v>
      </c>
      <c r="C533" s="492" t="s">
        <v>2727</v>
      </c>
      <c r="D533" s="492" t="s">
        <v>2746</v>
      </c>
      <c r="E533" s="493" t="s">
        <v>116</v>
      </c>
      <c r="F533" s="493" t="s">
        <v>377</v>
      </c>
      <c r="G533" s="493" t="s">
        <v>117</v>
      </c>
      <c r="H533" s="493" t="s">
        <v>118</v>
      </c>
      <c r="I533" s="493" t="s">
        <v>119</v>
      </c>
      <c r="J533" s="493" t="s">
        <v>1270</v>
      </c>
      <c r="K533" s="493" t="s">
        <v>377</v>
      </c>
      <c r="L533" s="493" t="s">
        <v>1271</v>
      </c>
      <c r="M533" s="493" t="s">
        <v>1272</v>
      </c>
      <c r="N533" s="493" t="s">
        <v>1273</v>
      </c>
      <c r="O533" s="493">
        <v>1358720</v>
      </c>
      <c r="P533" s="439">
        <v>1235200</v>
      </c>
      <c r="Q533" s="493">
        <v>123520</v>
      </c>
      <c r="R533" s="493" t="s">
        <v>124</v>
      </c>
      <c r="S533" s="493" t="s">
        <v>382</v>
      </c>
      <c r="T533" s="493" t="s">
        <v>125</v>
      </c>
      <c r="U533" s="493" t="s">
        <v>126</v>
      </c>
      <c r="V533" s="493" t="s">
        <v>127</v>
      </c>
      <c r="W533" s="493" t="s">
        <v>128</v>
      </c>
      <c r="X533" s="493" t="s">
        <v>1274</v>
      </c>
      <c r="Y533" s="493" t="s">
        <v>377</v>
      </c>
      <c r="Z533" s="493" t="s">
        <v>2727</v>
      </c>
      <c r="AA533" s="493" t="s">
        <v>130</v>
      </c>
      <c r="AB533" s="493" t="s">
        <v>377</v>
      </c>
      <c r="AC533" s="493" t="s">
        <v>131</v>
      </c>
      <c r="AD533" s="493" t="s">
        <v>2739</v>
      </c>
      <c r="AE533" s="493">
        <v>1235200</v>
      </c>
      <c r="AF533" s="493">
        <v>123520</v>
      </c>
      <c r="AG533" s="493" t="s">
        <v>1284</v>
      </c>
      <c r="AH533" s="130">
        <f t="shared" si="115"/>
        <v>46201</v>
      </c>
      <c r="AI533" s="495"/>
      <c r="AJ533" s="439"/>
      <c r="AK533" s="121">
        <f t="shared" si="116"/>
        <v>1358720</v>
      </c>
      <c r="AL533" s="440" t="str">
        <f t="shared" ca="1" si="117"/>
        <v/>
      </c>
      <c r="AM533" s="440"/>
      <c r="AN533" s="440"/>
      <c r="AO533" s="440"/>
    </row>
    <row r="534" spans="1:41" ht="16.5" hidden="1" customHeight="1">
      <c r="A534" s="492" t="s">
        <v>2727</v>
      </c>
      <c r="B534" s="493" t="s">
        <v>2740</v>
      </c>
      <c r="C534" s="492" t="s">
        <v>2727</v>
      </c>
      <c r="D534" s="492" t="s">
        <v>2746</v>
      </c>
      <c r="E534" s="493" t="s">
        <v>116</v>
      </c>
      <c r="F534" s="493" t="s">
        <v>377</v>
      </c>
      <c r="G534" s="493" t="s">
        <v>117</v>
      </c>
      <c r="H534" s="493" t="s">
        <v>118</v>
      </c>
      <c r="I534" s="493" t="s">
        <v>119</v>
      </c>
      <c r="J534" s="493" t="s">
        <v>1270</v>
      </c>
      <c r="K534" s="493" t="s">
        <v>377</v>
      </c>
      <c r="L534" s="493" t="s">
        <v>1271</v>
      </c>
      <c r="M534" s="493" t="s">
        <v>1272</v>
      </c>
      <c r="N534" s="493" t="s">
        <v>1273</v>
      </c>
      <c r="O534" s="493">
        <v>5298150</v>
      </c>
      <c r="P534" s="439">
        <v>4816500</v>
      </c>
      <c r="Q534" s="493">
        <v>481650</v>
      </c>
      <c r="R534" s="493" t="s">
        <v>124</v>
      </c>
      <c r="S534" s="493" t="s">
        <v>382</v>
      </c>
      <c r="T534" s="493" t="s">
        <v>125</v>
      </c>
      <c r="U534" s="493" t="s">
        <v>126</v>
      </c>
      <c r="V534" s="493" t="s">
        <v>127</v>
      </c>
      <c r="W534" s="493" t="s">
        <v>128</v>
      </c>
      <c r="X534" s="493" t="s">
        <v>1274</v>
      </c>
      <c r="Y534" s="493" t="s">
        <v>377</v>
      </c>
      <c r="Z534" s="493" t="s">
        <v>2727</v>
      </c>
      <c r="AA534" s="493" t="s">
        <v>130</v>
      </c>
      <c r="AB534" s="493" t="s">
        <v>377</v>
      </c>
      <c r="AC534" s="493" t="s">
        <v>131</v>
      </c>
      <c r="AD534" s="493" t="s">
        <v>2741</v>
      </c>
      <c r="AE534" s="493">
        <v>4816500</v>
      </c>
      <c r="AF534" s="493">
        <v>481650</v>
      </c>
      <c r="AG534" s="493" t="s">
        <v>1817</v>
      </c>
      <c r="AH534" s="130">
        <f t="shared" si="115"/>
        <v>46201</v>
      </c>
      <c r="AI534" s="495"/>
      <c r="AJ534" s="439"/>
      <c r="AK534" s="121">
        <f t="shared" si="116"/>
        <v>5298150</v>
      </c>
      <c r="AL534" s="440" t="str">
        <f t="shared" ca="1" si="117"/>
        <v/>
      </c>
      <c r="AM534" s="440"/>
      <c r="AN534" s="440"/>
      <c r="AO534" s="440"/>
    </row>
    <row r="535" spans="1:41" ht="16.5" hidden="1" customHeight="1">
      <c r="A535" s="492" t="s">
        <v>2727</v>
      </c>
      <c r="B535" s="493" t="s">
        <v>2742</v>
      </c>
      <c r="C535" s="492" t="s">
        <v>2727</v>
      </c>
      <c r="D535" s="492" t="s">
        <v>2746</v>
      </c>
      <c r="E535" s="493" t="s">
        <v>116</v>
      </c>
      <c r="F535" s="493" t="s">
        <v>377</v>
      </c>
      <c r="G535" s="493" t="s">
        <v>117</v>
      </c>
      <c r="H535" s="493" t="s">
        <v>118</v>
      </c>
      <c r="I535" s="493" t="s">
        <v>119</v>
      </c>
      <c r="J535" s="493" t="s">
        <v>1144</v>
      </c>
      <c r="K535" s="493" t="s">
        <v>377</v>
      </c>
      <c r="L535" s="493" t="s">
        <v>1145</v>
      </c>
      <c r="M535" s="493" t="s">
        <v>1146</v>
      </c>
      <c r="N535" s="493" t="s">
        <v>1147</v>
      </c>
      <c r="O535" s="493">
        <v>6415310</v>
      </c>
      <c r="P535" s="439">
        <v>5832100</v>
      </c>
      <c r="Q535" s="493">
        <v>583210</v>
      </c>
      <c r="R535" s="493" t="s">
        <v>124</v>
      </c>
      <c r="S535" s="493" t="s">
        <v>382</v>
      </c>
      <c r="T535" s="493" t="s">
        <v>125</v>
      </c>
      <c r="U535" s="493" t="s">
        <v>126</v>
      </c>
      <c r="V535" s="493" t="s">
        <v>127</v>
      </c>
      <c r="W535" s="493" t="s">
        <v>128</v>
      </c>
      <c r="X535" s="493" t="s">
        <v>1148</v>
      </c>
      <c r="Y535" s="493" t="s">
        <v>377</v>
      </c>
      <c r="Z535" s="493" t="s">
        <v>2727</v>
      </c>
      <c r="AA535" s="493" t="s">
        <v>130</v>
      </c>
      <c r="AB535" s="493" t="s">
        <v>377</v>
      </c>
      <c r="AC535" s="493" t="s">
        <v>131</v>
      </c>
      <c r="AD535" s="493" t="s">
        <v>2743</v>
      </c>
      <c r="AE535" s="493">
        <v>5832100</v>
      </c>
      <c r="AF535" s="493">
        <v>583210</v>
      </c>
      <c r="AG535" s="493" t="s">
        <v>2486</v>
      </c>
      <c r="AH535" s="130">
        <f t="shared" si="115"/>
        <v>46201</v>
      </c>
      <c r="AI535" s="495"/>
      <c r="AJ535" s="439"/>
      <c r="AK535" s="121">
        <f t="shared" si="116"/>
        <v>6415310.0000000009</v>
      </c>
      <c r="AL535" s="440" t="str">
        <f t="shared" ca="1" si="117"/>
        <v/>
      </c>
      <c r="AM535" s="440"/>
      <c r="AN535" s="440"/>
      <c r="AO535" s="440"/>
    </row>
    <row r="536" spans="1:41" ht="16.5" hidden="1" customHeight="1">
      <c r="A536" s="492" t="s">
        <v>2727</v>
      </c>
      <c r="B536" s="493" t="s">
        <v>2744</v>
      </c>
      <c r="C536" s="492" t="s">
        <v>2727</v>
      </c>
      <c r="D536" s="492" t="s">
        <v>2746</v>
      </c>
      <c r="E536" s="493" t="s">
        <v>116</v>
      </c>
      <c r="F536" s="493" t="s">
        <v>377</v>
      </c>
      <c r="G536" s="493" t="s">
        <v>117</v>
      </c>
      <c r="H536" s="493" t="s">
        <v>118</v>
      </c>
      <c r="I536" s="493" t="s">
        <v>119</v>
      </c>
      <c r="J536" s="493" t="s">
        <v>797</v>
      </c>
      <c r="K536" s="493" t="s">
        <v>377</v>
      </c>
      <c r="L536" s="493" t="s">
        <v>798</v>
      </c>
      <c r="M536" s="493" t="s">
        <v>799</v>
      </c>
      <c r="N536" s="493" t="s">
        <v>800</v>
      </c>
      <c r="O536" s="493">
        <v>3264800</v>
      </c>
      <c r="P536" s="439">
        <v>2968000</v>
      </c>
      <c r="Q536" s="493">
        <v>296800</v>
      </c>
      <c r="R536" s="493" t="s">
        <v>124</v>
      </c>
      <c r="S536" s="493" t="s">
        <v>382</v>
      </c>
      <c r="T536" s="493" t="s">
        <v>125</v>
      </c>
      <c r="U536" s="493" t="s">
        <v>126</v>
      </c>
      <c r="V536" s="493" t="s">
        <v>127</v>
      </c>
      <c r="W536" s="493" t="s">
        <v>128</v>
      </c>
      <c r="X536" s="493" t="s">
        <v>801</v>
      </c>
      <c r="Y536" s="493" t="s">
        <v>377</v>
      </c>
      <c r="Z536" s="493" t="s">
        <v>2727</v>
      </c>
      <c r="AA536" s="493" t="s">
        <v>130</v>
      </c>
      <c r="AB536" s="493" t="s">
        <v>377</v>
      </c>
      <c r="AC536" s="493" t="s">
        <v>131</v>
      </c>
      <c r="AD536" s="493" t="s">
        <v>2745</v>
      </c>
      <c r="AE536" s="493">
        <v>2968000</v>
      </c>
      <c r="AF536" s="493">
        <v>296800</v>
      </c>
      <c r="AG536" s="493" t="s">
        <v>2668</v>
      </c>
      <c r="AH536" s="130">
        <f t="shared" si="115"/>
        <v>46201</v>
      </c>
      <c r="AI536" s="495"/>
      <c r="AJ536" s="439"/>
      <c r="AK536" s="121">
        <f t="shared" si="116"/>
        <v>3264800.0000000005</v>
      </c>
      <c r="AL536" s="440" t="str">
        <f t="shared" ca="1" si="117"/>
        <v/>
      </c>
      <c r="AM536" s="440"/>
      <c r="AN536" s="440"/>
      <c r="AO536" s="440"/>
    </row>
    <row r="537" spans="1:41" ht="16.5" hidden="1" customHeight="1">
      <c r="A537" s="492" t="s">
        <v>2749</v>
      </c>
      <c r="B537" s="493" t="s">
        <v>2750</v>
      </c>
      <c r="C537" s="492" t="s">
        <v>2749</v>
      </c>
      <c r="D537" s="492" t="s">
        <v>2760</v>
      </c>
      <c r="E537" s="493" t="s">
        <v>116</v>
      </c>
      <c r="F537" s="493" t="s">
        <v>377</v>
      </c>
      <c r="G537" s="493" t="s">
        <v>117</v>
      </c>
      <c r="H537" s="493" t="s">
        <v>118</v>
      </c>
      <c r="I537" s="493" t="s">
        <v>119</v>
      </c>
      <c r="J537" s="493" t="s">
        <v>1061</v>
      </c>
      <c r="K537" s="493" t="s">
        <v>377</v>
      </c>
      <c r="L537" s="493" t="s">
        <v>1062</v>
      </c>
      <c r="M537" s="493" t="s">
        <v>1063</v>
      </c>
      <c r="N537" s="493" t="s">
        <v>1484</v>
      </c>
      <c r="O537" s="493">
        <v>690690</v>
      </c>
      <c r="P537" s="439">
        <v>627900</v>
      </c>
      <c r="Q537" s="493">
        <v>62790</v>
      </c>
      <c r="R537" s="493" t="s">
        <v>124</v>
      </c>
      <c r="S537" s="493" t="s">
        <v>382</v>
      </c>
      <c r="T537" s="493" t="s">
        <v>125</v>
      </c>
      <c r="U537" s="493" t="s">
        <v>126</v>
      </c>
      <c r="V537" s="493" t="s">
        <v>127</v>
      </c>
      <c r="W537" s="493" t="s">
        <v>128</v>
      </c>
      <c r="X537" s="493" t="s">
        <v>1064</v>
      </c>
      <c r="Y537" s="493" t="s">
        <v>377</v>
      </c>
      <c r="Z537" s="493" t="s">
        <v>2749</v>
      </c>
      <c r="AA537" s="493" t="s">
        <v>130</v>
      </c>
      <c r="AB537" s="493" t="s">
        <v>377</v>
      </c>
      <c r="AC537" s="493" t="s">
        <v>131</v>
      </c>
      <c r="AD537" s="493" t="s">
        <v>2751</v>
      </c>
      <c r="AE537" s="493">
        <v>627900</v>
      </c>
      <c r="AF537" s="493">
        <v>62790</v>
      </c>
      <c r="AG537" s="493" t="s">
        <v>2548</v>
      </c>
      <c r="AH537" s="130">
        <f t="shared" si="115"/>
        <v>46202</v>
      </c>
      <c r="AI537" s="495"/>
      <c r="AJ537" s="439"/>
      <c r="AK537" s="121">
        <f t="shared" si="116"/>
        <v>690690</v>
      </c>
      <c r="AL537" s="440"/>
      <c r="AM537" s="440"/>
      <c r="AN537" s="440"/>
      <c r="AO537" s="440"/>
    </row>
    <row r="538" spans="1:41" ht="16.5" hidden="1" customHeight="1">
      <c r="A538" s="492" t="s">
        <v>2749</v>
      </c>
      <c r="B538" s="493" t="s">
        <v>2752</v>
      </c>
      <c r="C538" s="492" t="s">
        <v>2749</v>
      </c>
      <c r="D538" s="492" t="s">
        <v>2760</v>
      </c>
      <c r="E538" s="493" t="s">
        <v>116</v>
      </c>
      <c r="F538" s="493" t="s">
        <v>377</v>
      </c>
      <c r="G538" s="493" t="s">
        <v>117</v>
      </c>
      <c r="H538" s="493" t="s">
        <v>118</v>
      </c>
      <c r="I538" s="493" t="s">
        <v>119</v>
      </c>
      <c r="J538" s="493" t="s">
        <v>681</v>
      </c>
      <c r="K538" s="493" t="s">
        <v>377</v>
      </c>
      <c r="L538" s="493" t="s">
        <v>682</v>
      </c>
      <c r="M538" s="493" t="s">
        <v>683</v>
      </c>
      <c r="N538" s="493" t="s">
        <v>684</v>
      </c>
      <c r="O538" s="493">
        <v>7562500</v>
      </c>
      <c r="P538" s="439">
        <v>6875000</v>
      </c>
      <c r="Q538" s="493">
        <v>687500</v>
      </c>
      <c r="R538" s="493" t="s">
        <v>124</v>
      </c>
      <c r="S538" s="493" t="s">
        <v>382</v>
      </c>
      <c r="T538" s="493" t="s">
        <v>125</v>
      </c>
      <c r="U538" s="493" t="s">
        <v>126</v>
      </c>
      <c r="V538" s="493" t="s">
        <v>127</v>
      </c>
      <c r="W538" s="493" t="s">
        <v>128</v>
      </c>
      <c r="X538" s="493" t="s">
        <v>685</v>
      </c>
      <c r="Y538" s="493" t="s">
        <v>377</v>
      </c>
      <c r="Z538" s="493" t="s">
        <v>2749</v>
      </c>
      <c r="AA538" s="493" t="s">
        <v>130</v>
      </c>
      <c r="AB538" s="493" t="s">
        <v>377</v>
      </c>
      <c r="AC538" s="493" t="s">
        <v>131</v>
      </c>
      <c r="AD538" s="493" t="s">
        <v>2402</v>
      </c>
      <c r="AE538" s="493">
        <v>6875000</v>
      </c>
      <c r="AF538" s="493">
        <v>687500</v>
      </c>
      <c r="AG538" s="493" t="s">
        <v>2761</v>
      </c>
      <c r="AH538" s="130">
        <f t="shared" si="115"/>
        <v>46202</v>
      </c>
      <c r="AI538" s="495"/>
      <c r="AJ538" s="439"/>
      <c r="AK538" s="121">
        <f t="shared" si="116"/>
        <v>7562500.0000000009</v>
      </c>
      <c r="AL538" s="440"/>
      <c r="AM538" s="440"/>
      <c r="AN538" s="440"/>
      <c r="AO538" s="440"/>
    </row>
    <row r="539" spans="1:41" ht="16.5" hidden="1" customHeight="1">
      <c r="A539" s="492" t="s">
        <v>2749</v>
      </c>
      <c r="B539" s="493" t="s">
        <v>2753</v>
      </c>
      <c r="C539" s="492" t="s">
        <v>2749</v>
      </c>
      <c r="D539" s="492" t="s">
        <v>2760</v>
      </c>
      <c r="E539" s="493" t="s">
        <v>116</v>
      </c>
      <c r="F539" s="493" t="s">
        <v>377</v>
      </c>
      <c r="G539" s="493" t="s">
        <v>117</v>
      </c>
      <c r="H539" s="493" t="s">
        <v>118</v>
      </c>
      <c r="I539" s="493" t="s">
        <v>119</v>
      </c>
      <c r="J539" s="493" t="s">
        <v>2754</v>
      </c>
      <c r="K539" s="493" t="s">
        <v>377</v>
      </c>
      <c r="L539" s="493" t="s">
        <v>2755</v>
      </c>
      <c r="M539" s="493" t="s">
        <v>2756</v>
      </c>
      <c r="N539" s="493" t="s">
        <v>2757</v>
      </c>
      <c r="O539" s="493">
        <v>9177190</v>
      </c>
      <c r="P539" s="439">
        <v>8342900</v>
      </c>
      <c r="Q539" s="493">
        <v>834290</v>
      </c>
      <c r="R539" s="493" t="s">
        <v>124</v>
      </c>
      <c r="S539" s="493" t="s">
        <v>382</v>
      </c>
      <c r="T539" s="493" t="s">
        <v>125</v>
      </c>
      <c r="U539" s="493" t="s">
        <v>126</v>
      </c>
      <c r="V539" s="493" t="s">
        <v>127</v>
      </c>
      <c r="W539" s="493" t="s">
        <v>128</v>
      </c>
      <c r="X539" s="493" t="s">
        <v>2758</v>
      </c>
      <c r="Y539" s="493" t="s">
        <v>377</v>
      </c>
      <c r="Z539" s="493" t="s">
        <v>2749</v>
      </c>
      <c r="AA539" s="493" t="s">
        <v>130</v>
      </c>
      <c r="AB539" s="493" t="s">
        <v>377</v>
      </c>
      <c r="AC539" s="493" t="s">
        <v>131</v>
      </c>
      <c r="AD539" s="493" t="s">
        <v>2759</v>
      </c>
      <c r="AE539" s="493">
        <v>8342900</v>
      </c>
      <c r="AF539" s="493">
        <v>834290</v>
      </c>
      <c r="AG539" s="493" t="s">
        <v>2762</v>
      </c>
      <c r="AH539" s="130">
        <f t="shared" si="115"/>
        <v>46202</v>
      </c>
      <c r="AI539" s="495">
        <v>46171</v>
      </c>
      <c r="AJ539" s="439">
        <f>P539*1.1</f>
        <v>9177190</v>
      </c>
      <c r="AK539" s="121">
        <f t="shared" si="116"/>
        <v>0</v>
      </c>
      <c r="AL539" s="440"/>
      <c r="AM539" s="440"/>
      <c r="AN539" s="440"/>
      <c r="AO539" s="440"/>
    </row>
    <row r="540" spans="1:41" ht="16.5" hidden="1" customHeight="1">
      <c r="A540" s="492" t="s">
        <v>2768</v>
      </c>
      <c r="B540" s="493" t="s">
        <v>2769</v>
      </c>
      <c r="C540" s="492" t="s">
        <v>2768</v>
      </c>
      <c r="D540" s="492" t="s">
        <v>2789</v>
      </c>
      <c r="E540" s="493" t="s">
        <v>116</v>
      </c>
      <c r="F540" s="493" t="s">
        <v>377</v>
      </c>
      <c r="G540" s="493" t="s">
        <v>117</v>
      </c>
      <c r="H540" s="493" t="s">
        <v>118</v>
      </c>
      <c r="I540" s="493" t="s">
        <v>119</v>
      </c>
      <c r="J540" s="493" t="s">
        <v>510</v>
      </c>
      <c r="K540" s="493" t="s">
        <v>377</v>
      </c>
      <c r="L540" s="493" t="s">
        <v>511</v>
      </c>
      <c r="M540" s="493" t="s">
        <v>2289</v>
      </c>
      <c r="N540" s="493" t="s">
        <v>513</v>
      </c>
      <c r="O540" s="493">
        <v>855250</v>
      </c>
      <c r="P540" s="439">
        <v>777500</v>
      </c>
      <c r="Q540" s="493">
        <v>77750</v>
      </c>
      <c r="R540" s="493" t="s">
        <v>124</v>
      </c>
      <c r="S540" s="493" t="s">
        <v>382</v>
      </c>
      <c r="T540" s="493" t="s">
        <v>125</v>
      </c>
      <c r="U540" s="493" t="s">
        <v>126</v>
      </c>
      <c r="V540" s="493" t="s">
        <v>127</v>
      </c>
      <c r="W540" s="493" t="s">
        <v>128</v>
      </c>
      <c r="X540" s="493" t="s">
        <v>514</v>
      </c>
      <c r="Y540" s="493" t="s">
        <v>377</v>
      </c>
      <c r="Z540" s="493" t="s">
        <v>2768</v>
      </c>
      <c r="AA540" s="493" t="s">
        <v>130</v>
      </c>
      <c r="AB540" s="493" t="s">
        <v>377</v>
      </c>
      <c r="AC540" s="493" t="s">
        <v>131</v>
      </c>
      <c r="AD540" s="493" t="s">
        <v>2770</v>
      </c>
      <c r="AE540" s="493">
        <v>777500</v>
      </c>
      <c r="AF540" s="493">
        <v>77750</v>
      </c>
      <c r="AG540" s="493" t="s">
        <v>2614</v>
      </c>
      <c r="AH540" s="130">
        <f t="shared" si="115"/>
        <v>46203</v>
      </c>
      <c r="AI540" s="495"/>
      <c r="AJ540" s="439"/>
      <c r="AK540" s="121">
        <f t="shared" si="116"/>
        <v>855250.00000000012</v>
      </c>
      <c r="AL540" s="440"/>
      <c r="AM540" s="440"/>
      <c r="AN540" s="440"/>
      <c r="AO540" s="440"/>
    </row>
    <row r="541" spans="1:41" ht="16.5" hidden="1" customHeight="1">
      <c r="A541" s="492" t="s">
        <v>2768</v>
      </c>
      <c r="B541" s="493" t="s">
        <v>2771</v>
      </c>
      <c r="C541" s="492" t="s">
        <v>2768</v>
      </c>
      <c r="D541" s="492" t="s">
        <v>2789</v>
      </c>
      <c r="E541" s="493" t="s">
        <v>116</v>
      </c>
      <c r="F541" s="493" t="s">
        <v>377</v>
      </c>
      <c r="G541" s="493" t="s">
        <v>117</v>
      </c>
      <c r="H541" s="493" t="s">
        <v>118</v>
      </c>
      <c r="I541" s="493" t="s">
        <v>119</v>
      </c>
      <c r="J541" s="493" t="s">
        <v>1988</v>
      </c>
      <c r="K541" s="493" t="s">
        <v>377</v>
      </c>
      <c r="L541" s="493" t="s">
        <v>1989</v>
      </c>
      <c r="M541" s="493" t="s">
        <v>1990</v>
      </c>
      <c r="N541" s="493" t="s">
        <v>1991</v>
      </c>
      <c r="O541" s="493">
        <v>685740</v>
      </c>
      <c r="P541" s="439">
        <v>623400</v>
      </c>
      <c r="Q541" s="493">
        <v>62340</v>
      </c>
      <c r="R541" s="493" t="s">
        <v>124</v>
      </c>
      <c r="S541" s="493" t="s">
        <v>382</v>
      </c>
      <c r="T541" s="493" t="s">
        <v>125</v>
      </c>
      <c r="U541" s="493" t="s">
        <v>445</v>
      </c>
      <c r="V541" s="493" t="s">
        <v>127</v>
      </c>
      <c r="W541" s="493" t="s">
        <v>128</v>
      </c>
      <c r="X541" s="493" t="s">
        <v>1992</v>
      </c>
      <c r="Y541" s="493" t="s">
        <v>377</v>
      </c>
      <c r="Z541" s="493" t="s">
        <v>2768</v>
      </c>
      <c r="AA541" s="493" t="s">
        <v>130</v>
      </c>
      <c r="AB541" s="493" t="s">
        <v>377</v>
      </c>
      <c r="AC541" s="493" t="s">
        <v>131</v>
      </c>
      <c r="AD541" s="493" t="s">
        <v>2772</v>
      </c>
      <c r="AE541" s="493">
        <v>623400</v>
      </c>
      <c r="AF541" s="493">
        <v>62340</v>
      </c>
      <c r="AG541" s="493" t="s">
        <v>2790</v>
      </c>
      <c r="AH541" s="130">
        <f t="shared" si="115"/>
        <v>46203</v>
      </c>
      <c r="AI541" s="495">
        <v>46171</v>
      </c>
      <c r="AJ541" s="439">
        <f>P541*1.1</f>
        <v>685740</v>
      </c>
      <c r="AK541" s="121">
        <f t="shared" si="116"/>
        <v>0</v>
      </c>
      <c r="AL541" s="440"/>
      <c r="AM541" s="440"/>
      <c r="AN541" s="440"/>
      <c r="AO541" s="440"/>
    </row>
    <row r="542" spans="1:41" ht="16.5" hidden="1" customHeight="1">
      <c r="A542" s="492" t="s">
        <v>2768</v>
      </c>
      <c r="B542" s="493" t="s">
        <v>2773</v>
      </c>
      <c r="C542" s="492" t="s">
        <v>2768</v>
      </c>
      <c r="D542" s="492" t="s">
        <v>2789</v>
      </c>
      <c r="E542" s="493" t="s">
        <v>116</v>
      </c>
      <c r="F542" s="493" t="s">
        <v>377</v>
      </c>
      <c r="G542" s="493" t="s">
        <v>117</v>
      </c>
      <c r="H542" s="493" t="s">
        <v>118</v>
      </c>
      <c r="I542" s="493" t="s">
        <v>119</v>
      </c>
      <c r="J542" s="493" t="s">
        <v>869</v>
      </c>
      <c r="K542" s="493" t="s">
        <v>377</v>
      </c>
      <c r="L542" s="493" t="s">
        <v>870</v>
      </c>
      <c r="M542" s="493" t="s">
        <v>871</v>
      </c>
      <c r="N542" s="493" t="s">
        <v>872</v>
      </c>
      <c r="O542" s="493">
        <v>388740</v>
      </c>
      <c r="P542" s="439">
        <v>353400</v>
      </c>
      <c r="Q542" s="493">
        <v>35340</v>
      </c>
      <c r="R542" s="493" t="s">
        <v>124</v>
      </c>
      <c r="S542" s="493" t="s">
        <v>382</v>
      </c>
      <c r="T542" s="493" t="s">
        <v>125</v>
      </c>
      <c r="U542" s="493" t="s">
        <v>126</v>
      </c>
      <c r="V542" s="493" t="s">
        <v>127</v>
      </c>
      <c r="W542" s="493" t="s">
        <v>128</v>
      </c>
      <c r="X542" s="493" t="s">
        <v>873</v>
      </c>
      <c r="Y542" s="493" t="s">
        <v>377</v>
      </c>
      <c r="Z542" s="493" t="s">
        <v>2768</v>
      </c>
      <c r="AA542" s="493" t="s">
        <v>130</v>
      </c>
      <c r="AB542" s="493" t="s">
        <v>377</v>
      </c>
      <c r="AC542" s="493" t="s">
        <v>131</v>
      </c>
      <c r="AD542" s="493" t="s">
        <v>2774</v>
      </c>
      <c r="AE542" s="493">
        <v>353400</v>
      </c>
      <c r="AF542" s="493">
        <v>35340</v>
      </c>
      <c r="AG542" s="493" t="s">
        <v>892</v>
      </c>
      <c r="AH542" s="130">
        <f t="shared" si="115"/>
        <v>46203</v>
      </c>
      <c r="AI542" s="495"/>
      <c r="AJ542" s="439"/>
      <c r="AK542" s="121">
        <f t="shared" si="116"/>
        <v>388740.00000000006</v>
      </c>
      <c r="AL542" s="440"/>
      <c r="AM542" s="440"/>
      <c r="AN542" s="440"/>
      <c r="AO542" s="440"/>
    </row>
    <row r="543" spans="1:41" ht="16.5" hidden="1" customHeight="1">
      <c r="A543" s="492" t="s">
        <v>2768</v>
      </c>
      <c r="B543" s="493" t="s">
        <v>2775</v>
      </c>
      <c r="C543" s="492" t="s">
        <v>2768</v>
      </c>
      <c r="D543" s="492" t="s">
        <v>2789</v>
      </c>
      <c r="E543" s="493" t="s">
        <v>116</v>
      </c>
      <c r="F543" s="493" t="s">
        <v>377</v>
      </c>
      <c r="G543" s="493" t="s">
        <v>117</v>
      </c>
      <c r="H543" s="493" t="s">
        <v>118</v>
      </c>
      <c r="I543" s="493" t="s">
        <v>119</v>
      </c>
      <c r="J543" s="493" t="s">
        <v>681</v>
      </c>
      <c r="K543" s="493" t="s">
        <v>377</v>
      </c>
      <c r="L543" s="493" t="s">
        <v>682</v>
      </c>
      <c r="M543" s="493" t="s">
        <v>683</v>
      </c>
      <c r="N543" s="493" t="s">
        <v>684</v>
      </c>
      <c r="O543" s="493">
        <v>7562500</v>
      </c>
      <c r="P543" s="439">
        <v>6875000</v>
      </c>
      <c r="Q543" s="493">
        <v>687500</v>
      </c>
      <c r="R543" s="493" t="s">
        <v>124</v>
      </c>
      <c r="S543" s="493" t="s">
        <v>382</v>
      </c>
      <c r="T543" s="493" t="s">
        <v>125</v>
      </c>
      <c r="U543" s="493" t="s">
        <v>126</v>
      </c>
      <c r="V543" s="493" t="s">
        <v>127</v>
      </c>
      <c r="W543" s="493" t="s">
        <v>128</v>
      </c>
      <c r="X543" s="493" t="s">
        <v>685</v>
      </c>
      <c r="Y543" s="493" t="s">
        <v>377</v>
      </c>
      <c r="Z543" s="493" t="s">
        <v>2768</v>
      </c>
      <c r="AA543" s="493" t="s">
        <v>130</v>
      </c>
      <c r="AB543" s="493" t="s">
        <v>377</v>
      </c>
      <c r="AC543" s="493" t="s">
        <v>131</v>
      </c>
      <c r="AD543" s="493" t="s">
        <v>2402</v>
      </c>
      <c r="AE543" s="493">
        <v>6875000</v>
      </c>
      <c r="AF543" s="493">
        <v>687500</v>
      </c>
      <c r="AG543" s="493" t="s">
        <v>2791</v>
      </c>
      <c r="AH543" s="130">
        <f t="shared" si="115"/>
        <v>46203</v>
      </c>
      <c r="AI543" s="495"/>
      <c r="AJ543" s="439"/>
      <c r="AK543" s="121">
        <f t="shared" si="116"/>
        <v>7562500.0000000009</v>
      </c>
      <c r="AL543" s="440"/>
      <c r="AM543" s="440"/>
      <c r="AN543" s="440"/>
      <c r="AO543" s="440"/>
    </row>
    <row r="544" spans="1:41" ht="16.5" hidden="1" customHeight="1">
      <c r="A544" s="492" t="s">
        <v>2768</v>
      </c>
      <c r="B544" s="493" t="s">
        <v>2776</v>
      </c>
      <c r="C544" s="492" t="s">
        <v>2768</v>
      </c>
      <c r="D544" s="492" t="s">
        <v>2789</v>
      </c>
      <c r="E544" s="493" t="s">
        <v>116</v>
      </c>
      <c r="F544" s="493" t="s">
        <v>377</v>
      </c>
      <c r="G544" s="493" t="s">
        <v>117</v>
      </c>
      <c r="H544" s="493" t="s">
        <v>118</v>
      </c>
      <c r="I544" s="493" t="s">
        <v>119</v>
      </c>
      <c r="J544" s="493" t="s">
        <v>120</v>
      </c>
      <c r="K544" s="493" t="s">
        <v>377</v>
      </c>
      <c r="L544" s="493" t="s">
        <v>390</v>
      </c>
      <c r="M544" s="493" t="s">
        <v>122</v>
      </c>
      <c r="N544" s="493" t="s">
        <v>123</v>
      </c>
      <c r="O544" s="493">
        <v>1905200</v>
      </c>
      <c r="P544" s="439">
        <v>1732000</v>
      </c>
      <c r="Q544" s="493">
        <v>173200</v>
      </c>
      <c r="R544" s="493" t="s">
        <v>124</v>
      </c>
      <c r="S544" s="493" t="s">
        <v>382</v>
      </c>
      <c r="T544" s="493" t="s">
        <v>125</v>
      </c>
      <c r="U544" s="493" t="s">
        <v>126</v>
      </c>
      <c r="V544" s="493" t="s">
        <v>127</v>
      </c>
      <c r="W544" s="493" t="s">
        <v>128</v>
      </c>
      <c r="X544" s="493" t="s">
        <v>129</v>
      </c>
      <c r="Y544" s="493" t="s">
        <v>377</v>
      </c>
      <c r="Z544" s="493" t="s">
        <v>2768</v>
      </c>
      <c r="AA544" s="493" t="s">
        <v>130</v>
      </c>
      <c r="AB544" s="493" t="s">
        <v>377</v>
      </c>
      <c r="AC544" s="493" t="s">
        <v>131</v>
      </c>
      <c r="AD544" s="493" t="s">
        <v>2777</v>
      </c>
      <c r="AE544" s="493">
        <v>1732000</v>
      </c>
      <c r="AF544" s="493">
        <v>173200</v>
      </c>
      <c r="AG544" s="493" t="s">
        <v>2792</v>
      </c>
      <c r="AH544" s="130">
        <f t="shared" si="115"/>
        <v>46203</v>
      </c>
      <c r="AI544" s="495"/>
      <c r="AJ544" s="439"/>
      <c r="AK544" s="121">
        <f t="shared" si="116"/>
        <v>1905200.0000000002</v>
      </c>
      <c r="AL544" s="440"/>
      <c r="AM544" s="440"/>
      <c r="AN544" s="440"/>
      <c r="AO544" s="440"/>
    </row>
    <row r="545" spans="1:41" ht="16.5" hidden="1" customHeight="1">
      <c r="A545" s="492" t="s">
        <v>2768</v>
      </c>
      <c r="B545" s="493" t="s">
        <v>2778</v>
      </c>
      <c r="C545" s="492" t="s">
        <v>2768</v>
      </c>
      <c r="D545" s="492" t="s">
        <v>2789</v>
      </c>
      <c r="E545" s="493" t="s">
        <v>116</v>
      </c>
      <c r="F545" s="493" t="s">
        <v>377</v>
      </c>
      <c r="G545" s="493" t="s">
        <v>117</v>
      </c>
      <c r="H545" s="493" t="s">
        <v>118</v>
      </c>
      <c r="I545" s="493" t="s">
        <v>119</v>
      </c>
      <c r="J545" s="493" t="s">
        <v>2779</v>
      </c>
      <c r="K545" s="493" t="s">
        <v>377</v>
      </c>
      <c r="L545" s="493" t="s">
        <v>2780</v>
      </c>
      <c r="M545" s="493" t="s">
        <v>2781</v>
      </c>
      <c r="N545" s="493" t="s">
        <v>2782</v>
      </c>
      <c r="O545" s="493">
        <v>8575820</v>
      </c>
      <c r="P545" s="439">
        <v>7796200</v>
      </c>
      <c r="Q545" s="493">
        <v>779620</v>
      </c>
      <c r="R545" s="493" t="s">
        <v>124</v>
      </c>
      <c r="S545" s="493" t="s">
        <v>382</v>
      </c>
      <c r="T545" s="493" t="s">
        <v>125</v>
      </c>
      <c r="U545" s="493" t="s">
        <v>126</v>
      </c>
      <c r="V545" s="493" t="s">
        <v>127</v>
      </c>
      <c r="W545" s="493" t="s">
        <v>128</v>
      </c>
      <c r="X545" s="493" t="s">
        <v>2783</v>
      </c>
      <c r="Y545" s="493" t="s">
        <v>377</v>
      </c>
      <c r="Z545" s="493" t="s">
        <v>2768</v>
      </c>
      <c r="AA545" s="493" t="s">
        <v>130</v>
      </c>
      <c r="AB545" s="493" t="s">
        <v>377</v>
      </c>
      <c r="AC545" s="493" t="s">
        <v>131</v>
      </c>
      <c r="AD545" s="493" t="s">
        <v>2784</v>
      </c>
      <c r="AE545" s="493">
        <v>7796200</v>
      </c>
      <c r="AF545" s="493">
        <v>779620</v>
      </c>
      <c r="AG545" s="493" t="s">
        <v>2793</v>
      </c>
      <c r="AH545" s="130">
        <f t="shared" si="115"/>
        <v>46203</v>
      </c>
      <c r="AI545" s="495">
        <v>46168</v>
      </c>
      <c r="AJ545" s="439">
        <f>P545*1.1</f>
        <v>8575820</v>
      </c>
      <c r="AK545" s="121">
        <f t="shared" si="116"/>
        <v>0</v>
      </c>
      <c r="AL545" s="440"/>
      <c r="AM545" s="440"/>
      <c r="AN545" s="440"/>
      <c r="AO545" s="440"/>
    </row>
    <row r="546" spans="1:41" ht="16.5" hidden="1" customHeight="1">
      <c r="A546" s="492" t="s">
        <v>2768</v>
      </c>
      <c r="B546" s="493" t="s">
        <v>2785</v>
      </c>
      <c r="C546" s="492" t="s">
        <v>2768</v>
      </c>
      <c r="D546" s="492" t="s">
        <v>2789</v>
      </c>
      <c r="E546" s="493" t="s">
        <v>116</v>
      </c>
      <c r="F546" s="493" t="s">
        <v>377</v>
      </c>
      <c r="G546" s="493" t="s">
        <v>117</v>
      </c>
      <c r="H546" s="493" t="s">
        <v>118</v>
      </c>
      <c r="I546" s="493" t="s">
        <v>119</v>
      </c>
      <c r="J546" s="493" t="s">
        <v>1270</v>
      </c>
      <c r="K546" s="493" t="s">
        <v>377</v>
      </c>
      <c r="L546" s="493" t="s">
        <v>1271</v>
      </c>
      <c r="M546" s="493" t="s">
        <v>1272</v>
      </c>
      <c r="N546" s="493" t="s">
        <v>1273</v>
      </c>
      <c r="O546" s="493">
        <v>3275800</v>
      </c>
      <c r="P546" s="439">
        <v>2978000</v>
      </c>
      <c r="Q546" s="493">
        <v>297800</v>
      </c>
      <c r="R546" s="493" t="s">
        <v>124</v>
      </c>
      <c r="S546" s="493" t="s">
        <v>382</v>
      </c>
      <c r="T546" s="493" t="s">
        <v>125</v>
      </c>
      <c r="U546" s="493" t="s">
        <v>126</v>
      </c>
      <c r="V546" s="493" t="s">
        <v>127</v>
      </c>
      <c r="W546" s="493" t="s">
        <v>128</v>
      </c>
      <c r="X546" s="493" t="s">
        <v>1274</v>
      </c>
      <c r="Y546" s="493" t="s">
        <v>377</v>
      </c>
      <c r="Z546" s="493" t="s">
        <v>2768</v>
      </c>
      <c r="AA546" s="493" t="s">
        <v>130</v>
      </c>
      <c r="AB546" s="493" t="s">
        <v>377</v>
      </c>
      <c r="AC546" s="493" t="s">
        <v>131</v>
      </c>
      <c r="AD546" s="493" t="s">
        <v>2786</v>
      </c>
      <c r="AE546" s="493">
        <v>2978000</v>
      </c>
      <c r="AF546" s="493">
        <v>297800</v>
      </c>
      <c r="AG546" s="493" t="s">
        <v>1817</v>
      </c>
      <c r="AH546" s="130">
        <f t="shared" si="115"/>
        <v>46203</v>
      </c>
      <c r="AI546" s="495"/>
      <c r="AJ546" s="439"/>
      <c r="AK546" s="121">
        <f t="shared" si="116"/>
        <v>3275800.0000000005</v>
      </c>
      <c r="AL546" s="440"/>
      <c r="AM546" s="440"/>
      <c r="AN546" s="440"/>
      <c r="AO546" s="440"/>
    </row>
    <row r="547" spans="1:41" ht="16.5" hidden="1" customHeight="1">
      <c r="A547" s="492" t="s">
        <v>2768</v>
      </c>
      <c r="B547" s="493" t="s">
        <v>2787</v>
      </c>
      <c r="C547" s="492" t="s">
        <v>2768</v>
      </c>
      <c r="D547" s="492" t="s">
        <v>2789</v>
      </c>
      <c r="E547" s="493" t="s">
        <v>116</v>
      </c>
      <c r="F547" s="493" t="s">
        <v>377</v>
      </c>
      <c r="G547" s="493" t="s">
        <v>117</v>
      </c>
      <c r="H547" s="493" t="s">
        <v>118</v>
      </c>
      <c r="I547" s="493" t="s">
        <v>119</v>
      </c>
      <c r="J547" s="493" t="s">
        <v>2291</v>
      </c>
      <c r="K547" s="493" t="s">
        <v>377</v>
      </c>
      <c r="L547" s="493" t="s">
        <v>2292</v>
      </c>
      <c r="M547" s="493" t="s">
        <v>2293</v>
      </c>
      <c r="N547" s="493" t="s">
        <v>2294</v>
      </c>
      <c r="O547" s="493">
        <v>462770</v>
      </c>
      <c r="P547" s="439">
        <v>420700</v>
      </c>
      <c r="Q547" s="493">
        <v>42070</v>
      </c>
      <c r="R547" s="493" t="s">
        <v>124</v>
      </c>
      <c r="S547" s="493" t="s">
        <v>382</v>
      </c>
      <c r="T547" s="493" t="s">
        <v>125</v>
      </c>
      <c r="U547" s="493" t="s">
        <v>445</v>
      </c>
      <c r="V547" s="493" t="s">
        <v>127</v>
      </c>
      <c r="W547" s="493" t="s">
        <v>128</v>
      </c>
      <c r="X547" s="493" t="s">
        <v>2295</v>
      </c>
      <c r="Y547" s="493" t="s">
        <v>377</v>
      </c>
      <c r="Z547" s="493" t="s">
        <v>2768</v>
      </c>
      <c r="AA547" s="493" t="s">
        <v>130</v>
      </c>
      <c r="AB547" s="493" t="s">
        <v>377</v>
      </c>
      <c r="AC547" s="493" t="s">
        <v>131</v>
      </c>
      <c r="AD547" s="493" t="s">
        <v>2788</v>
      </c>
      <c r="AE547" s="493">
        <v>420700</v>
      </c>
      <c r="AF547" s="493">
        <v>42070</v>
      </c>
      <c r="AG547" s="493" t="s">
        <v>2794</v>
      </c>
      <c r="AH547" s="130">
        <f t="shared" si="115"/>
        <v>46203</v>
      </c>
      <c r="AI547" s="495"/>
      <c r="AJ547" s="439"/>
      <c r="AK547" s="121">
        <f t="shared" si="116"/>
        <v>462770.00000000006</v>
      </c>
      <c r="AL547" s="440"/>
      <c r="AM547" s="440"/>
      <c r="AN547" s="440"/>
      <c r="AO547" s="440"/>
    </row>
    <row r="548" spans="1:41" ht="16.5" hidden="1" customHeight="1">
      <c r="A548" s="492" t="s">
        <v>2795</v>
      </c>
      <c r="B548" s="493" t="s">
        <v>2796</v>
      </c>
      <c r="C548" s="492" t="s">
        <v>2795</v>
      </c>
      <c r="D548" s="492" t="s">
        <v>2826</v>
      </c>
      <c r="E548" s="493" t="s">
        <v>116</v>
      </c>
      <c r="F548" s="493" t="s">
        <v>377</v>
      </c>
      <c r="G548" s="493" t="s">
        <v>117</v>
      </c>
      <c r="H548" s="493" t="s">
        <v>118</v>
      </c>
      <c r="I548" s="493" t="s">
        <v>119</v>
      </c>
      <c r="J548" s="493" t="s">
        <v>2574</v>
      </c>
      <c r="K548" s="493" t="s">
        <v>377</v>
      </c>
      <c r="L548" s="493" t="s">
        <v>2575</v>
      </c>
      <c r="M548" s="493" t="s">
        <v>2576</v>
      </c>
      <c r="N548" s="493" t="s">
        <v>2577</v>
      </c>
      <c r="O548" s="493">
        <v>165440</v>
      </c>
      <c r="P548" s="439">
        <v>150400</v>
      </c>
      <c r="Q548" s="493">
        <v>15040</v>
      </c>
      <c r="R548" s="493" t="s">
        <v>124</v>
      </c>
      <c r="S548" s="493" t="s">
        <v>382</v>
      </c>
      <c r="T548" s="493" t="s">
        <v>125</v>
      </c>
      <c r="U548" s="493" t="s">
        <v>126</v>
      </c>
      <c r="V548" s="493" t="s">
        <v>127</v>
      </c>
      <c r="W548" s="493" t="s">
        <v>128</v>
      </c>
      <c r="X548" s="493" t="s">
        <v>2578</v>
      </c>
      <c r="Y548" s="493" t="s">
        <v>377</v>
      </c>
      <c r="Z548" s="493" t="s">
        <v>2795</v>
      </c>
      <c r="AA548" s="493" t="s">
        <v>130</v>
      </c>
      <c r="AB548" s="493" t="s">
        <v>377</v>
      </c>
      <c r="AC548" s="493" t="s">
        <v>131</v>
      </c>
      <c r="AD548" s="493" t="s">
        <v>2797</v>
      </c>
      <c r="AE548" s="493">
        <v>150400</v>
      </c>
      <c r="AF548" s="493">
        <v>15040</v>
      </c>
      <c r="AG548" s="493" t="s">
        <v>2618</v>
      </c>
      <c r="AH548" s="130">
        <f t="shared" si="115"/>
        <v>46204</v>
      </c>
      <c r="AI548" s="495" t="s">
        <v>2902</v>
      </c>
      <c r="AJ548" s="439">
        <f>P548*1.1</f>
        <v>165440</v>
      </c>
      <c r="AK548" s="121">
        <f t="shared" ref="AK548:AK556" si="119">(P548*1.1)-AJ548</f>
        <v>0</v>
      </c>
      <c r="AL548" s="440"/>
      <c r="AM548" s="440"/>
      <c r="AN548" s="440"/>
      <c r="AO548" s="440"/>
    </row>
    <row r="549" spans="1:41" ht="16.5" hidden="1" customHeight="1">
      <c r="A549" s="492" t="s">
        <v>2795</v>
      </c>
      <c r="B549" s="493" t="s">
        <v>2798</v>
      </c>
      <c r="C549" s="492" t="s">
        <v>2795</v>
      </c>
      <c r="D549" s="492" t="s">
        <v>2826</v>
      </c>
      <c r="E549" s="493" t="s">
        <v>116</v>
      </c>
      <c r="F549" s="493" t="s">
        <v>377</v>
      </c>
      <c r="G549" s="493" t="s">
        <v>117</v>
      </c>
      <c r="H549" s="493" t="s">
        <v>118</v>
      </c>
      <c r="I549" s="493" t="s">
        <v>119</v>
      </c>
      <c r="J549" s="493" t="s">
        <v>2799</v>
      </c>
      <c r="K549" s="493" t="s">
        <v>377</v>
      </c>
      <c r="L549" s="493" t="s">
        <v>2800</v>
      </c>
      <c r="M549" s="493" t="s">
        <v>2801</v>
      </c>
      <c r="N549" s="493" t="s">
        <v>2802</v>
      </c>
      <c r="O549" s="493">
        <v>1209450</v>
      </c>
      <c r="P549" s="439">
        <v>1099500</v>
      </c>
      <c r="Q549" s="493">
        <v>109950</v>
      </c>
      <c r="R549" s="493" t="s">
        <v>124</v>
      </c>
      <c r="S549" s="493" t="s">
        <v>382</v>
      </c>
      <c r="T549" s="493" t="s">
        <v>125</v>
      </c>
      <c r="U549" s="493" t="s">
        <v>126</v>
      </c>
      <c r="V549" s="493" t="s">
        <v>127</v>
      </c>
      <c r="W549" s="493" t="s">
        <v>128</v>
      </c>
      <c r="X549" s="493" t="s">
        <v>2803</v>
      </c>
      <c r="Y549" s="493" t="s">
        <v>377</v>
      </c>
      <c r="Z549" s="493" t="s">
        <v>2795</v>
      </c>
      <c r="AA549" s="493" t="s">
        <v>130</v>
      </c>
      <c r="AB549" s="493" t="s">
        <v>377</v>
      </c>
      <c r="AC549" s="493" t="s">
        <v>131</v>
      </c>
      <c r="AD549" s="493" t="s">
        <v>2804</v>
      </c>
      <c r="AE549" s="493">
        <v>1099500</v>
      </c>
      <c r="AF549" s="493">
        <v>109950</v>
      </c>
      <c r="AG549" s="493" t="s">
        <v>2827</v>
      </c>
      <c r="AH549" s="130">
        <f t="shared" si="115"/>
        <v>46204</v>
      </c>
      <c r="AI549" s="495"/>
      <c r="AJ549" s="439"/>
      <c r="AK549" s="121">
        <f t="shared" si="119"/>
        <v>1209450</v>
      </c>
      <c r="AL549" s="440"/>
      <c r="AM549" s="440"/>
      <c r="AN549" s="440"/>
      <c r="AO549" s="440"/>
    </row>
    <row r="550" spans="1:41" ht="16.5" hidden="1" customHeight="1">
      <c r="A550" s="492" t="s">
        <v>2795</v>
      </c>
      <c r="B550" s="493" t="s">
        <v>2805</v>
      </c>
      <c r="C550" s="492" t="s">
        <v>2795</v>
      </c>
      <c r="D550" s="492" t="s">
        <v>2826</v>
      </c>
      <c r="E550" s="493" t="s">
        <v>116</v>
      </c>
      <c r="F550" s="493" t="s">
        <v>377</v>
      </c>
      <c r="G550" s="493" t="s">
        <v>117</v>
      </c>
      <c r="H550" s="493" t="s">
        <v>118</v>
      </c>
      <c r="I550" s="493" t="s">
        <v>119</v>
      </c>
      <c r="J550" s="493" t="s">
        <v>1144</v>
      </c>
      <c r="K550" s="493" t="s">
        <v>377</v>
      </c>
      <c r="L550" s="493" t="s">
        <v>1145</v>
      </c>
      <c r="M550" s="493" t="s">
        <v>1146</v>
      </c>
      <c r="N550" s="493" t="s">
        <v>1147</v>
      </c>
      <c r="O550" s="493">
        <v>2958120</v>
      </c>
      <c r="P550" s="439">
        <v>2689200</v>
      </c>
      <c r="Q550" s="493">
        <v>268920</v>
      </c>
      <c r="R550" s="493" t="s">
        <v>124</v>
      </c>
      <c r="S550" s="493" t="s">
        <v>382</v>
      </c>
      <c r="T550" s="493" t="s">
        <v>125</v>
      </c>
      <c r="U550" s="493" t="s">
        <v>126</v>
      </c>
      <c r="V550" s="493" t="s">
        <v>127</v>
      </c>
      <c r="W550" s="493" t="s">
        <v>128</v>
      </c>
      <c r="X550" s="493" t="s">
        <v>1148</v>
      </c>
      <c r="Y550" s="493" t="s">
        <v>377</v>
      </c>
      <c r="Z550" s="493" t="s">
        <v>2795</v>
      </c>
      <c r="AA550" s="493" t="s">
        <v>130</v>
      </c>
      <c r="AB550" s="493" t="s">
        <v>377</v>
      </c>
      <c r="AC550" s="493" t="s">
        <v>131</v>
      </c>
      <c r="AD550" s="493" t="s">
        <v>2806</v>
      </c>
      <c r="AE550" s="493">
        <v>2689200</v>
      </c>
      <c r="AF550" s="493">
        <v>268920</v>
      </c>
      <c r="AG550" s="493" t="s">
        <v>2486</v>
      </c>
      <c r="AH550" s="130">
        <f t="shared" si="115"/>
        <v>46204</v>
      </c>
      <c r="AI550" s="495"/>
      <c r="AJ550" s="439"/>
      <c r="AK550" s="121">
        <f t="shared" si="119"/>
        <v>2958120.0000000005</v>
      </c>
      <c r="AL550" s="440"/>
      <c r="AM550" s="440"/>
      <c r="AN550" s="440"/>
      <c r="AO550" s="440"/>
    </row>
    <row r="551" spans="1:41" ht="16.5" hidden="1" customHeight="1">
      <c r="A551" s="492" t="s">
        <v>2795</v>
      </c>
      <c r="B551" s="493" t="s">
        <v>2807</v>
      </c>
      <c r="C551" s="492" t="s">
        <v>2795</v>
      </c>
      <c r="D551" s="492" t="s">
        <v>2826</v>
      </c>
      <c r="E551" s="493" t="s">
        <v>116</v>
      </c>
      <c r="F551" s="493" t="s">
        <v>377</v>
      </c>
      <c r="G551" s="493" t="s">
        <v>117</v>
      </c>
      <c r="H551" s="493" t="s">
        <v>118</v>
      </c>
      <c r="I551" s="493" t="s">
        <v>119</v>
      </c>
      <c r="J551" s="493" t="s">
        <v>2808</v>
      </c>
      <c r="K551" s="493" t="s">
        <v>377</v>
      </c>
      <c r="L551" s="493" t="s">
        <v>2809</v>
      </c>
      <c r="M551" s="493" t="s">
        <v>2810</v>
      </c>
      <c r="N551" s="493" t="s">
        <v>2811</v>
      </c>
      <c r="O551" s="493">
        <v>525250</v>
      </c>
      <c r="P551" s="439">
        <v>477500</v>
      </c>
      <c r="Q551" s="493">
        <v>47750</v>
      </c>
      <c r="R551" s="493" t="s">
        <v>124</v>
      </c>
      <c r="S551" s="493" t="s">
        <v>382</v>
      </c>
      <c r="T551" s="493" t="s">
        <v>125</v>
      </c>
      <c r="U551" s="493" t="s">
        <v>126</v>
      </c>
      <c r="V551" s="493" t="s">
        <v>127</v>
      </c>
      <c r="W551" s="493" t="s">
        <v>128</v>
      </c>
      <c r="X551" s="493" t="s">
        <v>2812</v>
      </c>
      <c r="Y551" s="493" t="s">
        <v>377</v>
      </c>
      <c r="Z551" s="493" t="s">
        <v>2795</v>
      </c>
      <c r="AA551" s="493" t="s">
        <v>130</v>
      </c>
      <c r="AB551" s="493" t="s">
        <v>377</v>
      </c>
      <c r="AC551" s="493" t="s">
        <v>131</v>
      </c>
      <c r="AD551" s="493" t="s">
        <v>2813</v>
      </c>
      <c r="AE551" s="493">
        <v>477500</v>
      </c>
      <c r="AF551" s="493">
        <v>47750</v>
      </c>
      <c r="AG551" s="493" t="s">
        <v>2860</v>
      </c>
      <c r="AH551" s="130">
        <f t="shared" si="115"/>
        <v>46204</v>
      </c>
      <c r="AI551" s="495"/>
      <c r="AJ551" s="439"/>
      <c r="AK551" s="121">
        <f t="shared" si="119"/>
        <v>525250</v>
      </c>
      <c r="AL551" s="440"/>
      <c r="AM551" s="440"/>
      <c r="AN551" s="440"/>
      <c r="AO551" s="440"/>
    </row>
    <row r="552" spans="1:41" ht="16.5" hidden="1" customHeight="1">
      <c r="A552" s="492" t="s">
        <v>2795</v>
      </c>
      <c r="B552" s="493" t="s">
        <v>2814</v>
      </c>
      <c r="C552" s="492" t="s">
        <v>2795</v>
      </c>
      <c r="D552" s="492" t="s">
        <v>2826</v>
      </c>
      <c r="E552" s="493" t="s">
        <v>116</v>
      </c>
      <c r="F552" s="493" t="s">
        <v>377</v>
      </c>
      <c r="G552" s="493" t="s">
        <v>117</v>
      </c>
      <c r="H552" s="493" t="s">
        <v>118</v>
      </c>
      <c r="I552" s="493" t="s">
        <v>119</v>
      </c>
      <c r="J552" s="493" t="s">
        <v>710</v>
      </c>
      <c r="K552" s="493" t="s">
        <v>377</v>
      </c>
      <c r="L552" s="493" t="s">
        <v>586</v>
      </c>
      <c r="M552" s="493" t="s">
        <v>711</v>
      </c>
      <c r="N552" s="493" t="s">
        <v>712</v>
      </c>
      <c r="O552" s="493">
        <v>501710</v>
      </c>
      <c r="P552" s="439">
        <v>456100</v>
      </c>
      <c r="Q552" s="493">
        <v>45610</v>
      </c>
      <c r="R552" s="493" t="s">
        <v>124</v>
      </c>
      <c r="S552" s="493" t="s">
        <v>382</v>
      </c>
      <c r="T552" s="493" t="s">
        <v>125</v>
      </c>
      <c r="U552" s="493" t="s">
        <v>126</v>
      </c>
      <c r="V552" s="493" t="s">
        <v>127</v>
      </c>
      <c r="W552" s="493" t="s">
        <v>128</v>
      </c>
      <c r="X552" s="493" t="s">
        <v>713</v>
      </c>
      <c r="Y552" s="493" t="s">
        <v>377</v>
      </c>
      <c r="Z552" s="493" t="s">
        <v>2795</v>
      </c>
      <c r="AA552" s="493" t="s">
        <v>130</v>
      </c>
      <c r="AB552" s="493" t="s">
        <v>377</v>
      </c>
      <c r="AC552" s="493" t="s">
        <v>131</v>
      </c>
      <c r="AD552" s="493" t="s">
        <v>2815</v>
      </c>
      <c r="AE552" s="493">
        <v>456100</v>
      </c>
      <c r="AF552" s="493">
        <v>45610</v>
      </c>
      <c r="AG552" s="493" t="s">
        <v>2618</v>
      </c>
      <c r="AH552" s="130">
        <f t="shared" si="115"/>
        <v>46204</v>
      </c>
      <c r="AI552" s="495"/>
      <c r="AJ552" s="439"/>
      <c r="AK552" s="121">
        <f t="shared" si="119"/>
        <v>501710.00000000006</v>
      </c>
      <c r="AL552" s="440"/>
      <c r="AM552" s="440"/>
      <c r="AN552" s="440"/>
      <c r="AO552" s="440"/>
    </row>
    <row r="553" spans="1:41" ht="16.5" hidden="1" customHeight="1">
      <c r="A553" s="492" t="s">
        <v>2795</v>
      </c>
      <c r="B553" s="493" t="s">
        <v>2816</v>
      </c>
      <c r="C553" s="492" t="s">
        <v>2795</v>
      </c>
      <c r="D553" s="492" t="s">
        <v>2826</v>
      </c>
      <c r="E553" s="493" t="s">
        <v>116</v>
      </c>
      <c r="F553" s="493" t="s">
        <v>377</v>
      </c>
      <c r="G553" s="493" t="s">
        <v>117</v>
      </c>
      <c r="H553" s="493" t="s">
        <v>118</v>
      </c>
      <c r="I553" s="493" t="s">
        <v>119</v>
      </c>
      <c r="J553" s="493" t="s">
        <v>681</v>
      </c>
      <c r="K553" s="493" t="s">
        <v>377</v>
      </c>
      <c r="L553" s="493" t="s">
        <v>682</v>
      </c>
      <c r="M553" s="493" t="s">
        <v>683</v>
      </c>
      <c r="N553" s="493" t="s">
        <v>684</v>
      </c>
      <c r="O553" s="493">
        <v>5062860</v>
      </c>
      <c r="P553" s="439">
        <v>4602600</v>
      </c>
      <c r="Q553" s="493">
        <v>460260</v>
      </c>
      <c r="R553" s="493" t="s">
        <v>124</v>
      </c>
      <c r="S553" s="493" t="s">
        <v>382</v>
      </c>
      <c r="T553" s="493" t="s">
        <v>125</v>
      </c>
      <c r="U553" s="493" t="s">
        <v>126</v>
      </c>
      <c r="V553" s="493" t="s">
        <v>127</v>
      </c>
      <c r="W553" s="493" t="s">
        <v>128</v>
      </c>
      <c r="X553" s="493" t="s">
        <v>685</v>
      </c>
      <c r="Y553" s="493" t="s">
        <v>377</v>
      </c>
      <c r="Z553" s="493" t="s">
        <v>2795</v>
      </c>
      <c r="AA553" s="493" t="s">
        <v>130</v>
      </c>
      <c r="AB553" s="493" t="s">
        <v>377</v>
      </c>
      <c r="AC553" s="493" t="s">
        <v>131</v>
      </c>
      <c r="AD553" s="493" t="s">
        <v>2817</v>
      </c>
      <c r="AE553" s="493">
        <v>4602600</v>
      </c>
      <c r="AF553" s="493">
        <v>460260</v>
      </c>
      <c r="AG553" s="493" t="s">
        <v>2861</v>
      </c>
      <c r="AH553" s="130">
        <f t="shared" si="115"/>
        <v>46204</v>
      </c>
      <c r="AI553" s="495"/>
      <c r="AJ553" s="439"/>
      <c r="AK553" s="121">
        <f t="shared" si="119"/>
        <v>5062860</v>
      </c>
      <c r="AL553" s="440"/>
      <c r="AM553" s="440"/>
      <c r="AN553" s="440"/>
      <c r="AO553" s="440"/>
    </row>
    <row r="554" spans="1:41" ht="16.5" hidden="1" customHeight="1">
      <c r="A554" s="492" t="s">
        <v>2795</v>
      </c>
      <c r="B554" s="493" t="s">
        <v>2818</v>
      </c>
      <c r="C554" s="492" t="s">
        <v>2795</v>
      </c>
      <c r="D554" s="492" t="s">
        <v>2826</v>
      </c>
      <c r="E554" s="493" t="s">
        <v>116</v>
      </c>
      <c r="F554" s="493" t="s">
        <v>377</v>
      </c>
      <c r="G554" s="493" t="s">
        <v>117</v>
      </c>
      <c r="H554" s="493" t="s">
        <v>118</v>
      </c>
      <c r="I554" s="493" t="s">
        <v>119</v>
      </c>
      <c r="J554" s="493" t="s">
        <v>474</v>
      </c>
      <c r="K554" s="493" t="s">
        <v>377</v>
      </c>
      <c r="L554" s="493" t="s">
        <v>475</v>
      </c>
      <c r="M554" s="493" t="s">
        <v>476</v>
      </c>
      <c r="N554" s="493" t="s">
        <v>477</v>
      </c>
      <c r="O554" s="493">
        <v>-1949310</v>
      </c>
      <c r="P554" s="439">
        <v>-1772100</v>
      </c>
      <c r="Q554" s="493">
        <v>-177210</v>
      </c>
      <c r="R554" s="493" t="s">
        <v>124</v>
      </c>
      <c r="S554" s="493" t="s">
        <v>382</v>
      </c>
      <c r="T554" s="493" t="s">
        <v>125</v>
      </c>
      <c r="U554" s="493" t="s">
        <v>126</v>
      </c>
      <c r="V554" s="493" t="s">
        <v>127</v>
      </c>
      <c r="W554" s="493" t="s">
        <v>128</v>
      </c>
      <c r="X554" s="493" t="s">
        <v>478</v>
      </c>
      <c r="Y554" s="493" t="s">
        <v>377</v>
      </c>
      <c r="Z554" s="493" t="s">
        <v>2795</v>
      </c>
      <c r="AA554" s="493" t="s">
        <v>1653</v>
      </c>
      <c r="AB554" s="493" t="s">
        <v>377</v>
      </c>
      <c r="AC554" s="493" t="s">
        <v>1634</v>
      </c>
      <c r="AD554" s="493" t="s">
        <v>2819</v>
      </c>
      <c r="AE554" s="493">
        <v>-1772100</v>
      </c>
      <c r="AF554" s="493">
        <v>-177210</v>
      </c>
      <c r="AG554" s="493" t="s">
        <v>2397</v>
      </c>
      <c r="AH554" s="130">
        <f t="shared" si="115"/>
        <v>46204</v>
      </c>
      <c r="AI554" s="495"/>
      <c r="AJ554" s="439"/>
      <c r="AK554" s="121">
        <f t="shared" si="119"/>
        <v>-1949310.0000000002</v>
      </c>
      <c r="AL554" s="440"/>
      <c r="AM554" s="440"/>
      <c r="AN554" s="440"/>
      <c r="AO554" s="440"/>
    </row>
    <row r="555" spans="1:41" ht="16.5" hidden="1" customHeight="1">
      <c r="A555" s="492" t="s">
        <v>2648</v>
      </c>
      <c r="B555" s="493" t="s">
        <v>2820</v>
      </c>
      <c r="C555" s="492" t="s">
        <v>2795</v>
      </c>
      <c r="D555" s="492" t="s">
        <v>2826</v>
      </c>
      <c r="E555" s="493" t="s">
        <v>116</v>
      </c>
      <c r="F555" s="493" t="s">
        <v>377</v>
      </c>
      <c r="G555" s="493" t="s">
        <v>117</v>
      </c>
      <c r="H555" s="493" t="s">
        <v>118</v>
      </c>
      <c r="I555" s="493" t="s">
        <v>119</v>
      </c>
      <c r="J555" s="493" t="s">
        <v>855</v>
      </c>
      <c r="K555" s="493" t="s">
        <v>377</v>
      </c>
      <c r="L555" s="493" t="s">
        <v>856</v>
      </c>
      <c r="M555" s="493" t="s">
        <v>857</v>
      </c>
      <c r="N555" s="493" t="s">
        <v>858</v>
      </c>
      <c r="O555" s="493">
        <v>1568820</v>
      </c>
      <c r="P555" s="439">
        <v>1426200</v>
      </c>
      <c r="Q555" s="493">
        <v>142620</v>
      </c>
      <c r="R555" s="493" t="s">
        <v>441</v>
      </c>
      <c r="S555" s="493" t="s">
        <v>442</v>
      </c>
      <c r="T555" s="493" t="s">
        <v>125</v>
      </c>
      <c r="U555" s="493" t="s">
        <v>2821</v>
      </c>
      <c r="V555" s="493" t="s">
        <v>127</v>
      </c>
      <c r="W555" s="493" t="s">
        <v>128</v>
      </c>
      <c r="X555" s="493" t="s">
        <v>859</v>
      </c>
      <c r="Y555" s="493" t="s">
        <v>377</v>
      </c>
      <c r="Z555" s="493" t="s">
        <v>2648</v>
      </c>
      <c r="AA555" s="493" t="s">
        <v>130</v>
      </c>
      <c r="AB555" s="493" t="s">
        <v>377</v>
      </c>
      <c r="AC555" s="493" t="s">
        <v>131</v>
      </c>
      <c r="AD555" s="493" t="s">
        <v>2822</v>
      </c>
      <c r="AE555" s="493">
        <v>1426200</v>
      </c>
      <c r="AF555" s="493">
        <v>142620</v>
      </c>
      <c r="AG555" s="493" t="s">
        <v>2721</v>
      </c>
      <c r="AH555" s="130">
        <f t="shared" si="115"/>
        <v>46200</v>
      </c>
      <c r="AI555" s="495"/>
      <c r="AJ555" s="439"/>
      <c r="AK555" s="121">
        <f t="shared" si="119"/>
        <v>1568820.0000000002</v>
      </c>
      <c r="AL555" s="440"/>
      <c r="AM555" s="440"/>
      <c r="AN555" s="440"/>
      <c r="AO555" s="440"/>
    </row>
    <row r="556" spans="1:41" ht="16.5" hidden="1" customHeight="1">
      <c r="A556" s="492" t="s">
        <v>2561</v>
      </c>
      <c r="B556" s="493" t="s">
        <v>2823</v>
      </c>
      <c r="C556" s="492" t="s">
        <v>2795</v>
      </c>
      <c r="D556" s="492" t="s">
        <v>2826</v>
      </c>
      <c r="E556" s="493" t="s">
        <v>116</v>
      </c>
      <c r="F556" s="493" t="s">
        <v>377</v>
      </c>
      <c r="G556" s="493" t="s">
        <v>117</v>
      </c>
      <c r="H556" s="493" t="s">
        <v>118</v>
      </c>
      <c r="I556" s="493" t="s">
        <v>119</v>
      </c>
      <c r="J556" s="493" t="s">
        <v>855</v>
      </c>
      <c r="K556" s="493" t="s">
        <v>377</v>
      </c>
      <c r="L556" s="493" t="s">
        <v>856</v>
      </c>
      <c r="M556" s="493" t="s">
        <v>857</v>
      </c>
      <c r="N556" s="493" t="s">
        <v>858</v>
      </c>
      <c r="O556" s="493">
        <v>25447950</v>
      </c>
      <c r="P556" s="439">
        <v>23134500</v>
      </c>
      <c r="Q556" s="493">
        <v>2313450</v>
      </c>
      <c r="R556" s="493" t="s">
        <v>441</v>
      </c>
      <c r="S556" s="493" t="s">
        <v>442</v>
      </c>
      <c r="T556" s="493" t="s">
        <v>125</v>
      </c>
      <c r="U556" s="493" t="s">
        <v>2824</v>
      </c>
      <c r="V556" s="493" t="s">
        <v>127</v>
      </c>
      <c r="W556" s="493" t="s">
        <v>128</v>
      </c>
      <c r="X556" s="493" t="s">
        <v>859</v>
      </c>
      <c r="Y556" s="493" t="s">
        <v>377</v>
      </c>
      <c r="Z556" s="493" t="s">
        <v>2561</v>
      </c>
      <c r="AA556" s="493" t="s">
        <v>130</v>
      </c>
      <c r="AB556" s="493" t="s">
        <v>377</v>
      </c>
      <c r="AC556" s="493" t="s">
        <v>131</v>
      </c>
      <c r="AD556" s="493" t="s">
        <v>2825</v>
      </c>
      <c r="AE556" s="493">
        <v>23134500</v>
      </c>
      <c r="AF556" s="493">
        <v>2313450</v>
      </c>
      <c r="AG556" s="493" t="s">
        <v>2570</v>
      </c>
      <c r="AH556" s="130">
        <f t="shared" si="115"/>
        <v>46195</v>
      </c>
      <c r="AI556" s="495"/>
      <c r="AJ556" s="439"/>
      <c r="AK556" s="121">
        <f t="shared" si="119"/>
        <v>25447950.000000004</v>
      </c>
      <c r="AL556" s="440"/>
      <c r="AM556" s="440"/>
      <c r="AN556" s="440"/>
      <c r="AO556" s="440"/>
    </row>
    <row r="557" spans="1:41" ht="16.5" hidden="1" customHeight="1">
      <c r="A557" s="492" t="s">
        <v>2833</v>
      </c>
      <c r="B557" s="493" t="s">
        <v>2834</v>
      </c>
      <c r="C557" s="492" t="s">
        <v>2833</v>
      </c>
      <c r="D557" s="492" t="s">
        <v>2856</v>
      </c>
      <c r="E557" s="493" t="s">
        <v>116</v>
      </c>
      <c r="F557" s="493" t="s">
        <v>377</v>
      </c>
      <c r="G557" s="493" t="s">
        <v>117</v>
      </c>
      <c r="H557" s="493" t="s">
        <v>118</v>
      </c>
      <c r="I557" s="493" t="s">
        <v>119</v>
      </c>
      <c r="J557" s="493" t="s">
        <v>2835</v>
      </c>
      <c r="K557" s="493" t="s">
        <v>377</v>
      </c>
      <c r="L557" s="493" t="s">
        <v>528</v>
      </c>
      <c r="M557" s="493" t="s">
        <v>2836</v>
      </c>
      <c r="N557" s="493" t="s">
        <v>2837</v>
      </c>
      <c r="O557" s="493">
        <v>73689000</v>
      </c>
      <c r="P557" s="439">
        <v>66990000</v>
      </c>
      <c r="Q557" s="493">
        <v>6699000</v>
      </c>
      <c r="R557" s="493" t="s">
        <v>124</v>
      </c>
      <c r="S557" s="493" t="s">
        <v>382</v>
      </c>
      <c r="T557" s="493" t="s">
        <v>125</v>
      </c>
      <c r="U557" s="493" t="s">
        <v>126</v>
      </c>
      <c r="V557" s="493" t="s">
        <v>127</v>
      </c>
      <c r="W557" s="493" t="s">
        <v>128</v>
      </c>
      <c r="X557" s="493" t="s">
        <v>2838</v>
      </c>
      <c r="Y557" s="493" t="s">
        <v>377</v>
      </c>
      <c r="Z557" s="493" t="s">
        <v>2833</v>
      </c>
      <c r="AA557" s="493" t="s">
        <v>130</v>
      </c>
      <c r="AB557" s="493" t="s">
        <v>377</v>
      </c>
      <c r="AC557" s="493" t="s">
        <v>131</v>
      </c>
      <c r="AD557" s="493" t="s">
        <v>2839</v>
      </c>
      <c r="AE557" s="493">
        <v>66990000</v>
      </c>
      <c r="AF557" s="493">
        <v>6699000</v>
      </c>
      <c r="AG557" s="493" t="s">
        <v>2862</v>
      </c>
      <c r="AH557" s="130">
        <f t="shared" si="115"/>
        <v>46208</v>
      </c>
      <c r="AI557" s="495"/>
      <c r="AJ557" s="439"/>
      <c r="AK557" s="121">
        <f t="shared" ref="AK557:AK565" si="120">(P557*1.1)-AJ557</f>
        <v>73689000</v>
      </c>
      <c r="AL557" s="440"/>
      <c r="AM557" s="440"/>
      <c r="AN557" s="440"/>
      <c r="AO557" s="440"/>
    </row>
    <row r="558" spans="1:41" ht="16.5" hidden="1" customHeight="1">
      <c r="A558" s="492" t="s">
        <v>2833</v>
      </c>
      <c r="B558" s="493" t="s">
        <v>2840</v>
      </c>
      <c r="C558" s="492" t="s">
        <v>2833</v>
      </c>
      <c r="D558" s="492" t="s">
        <v>2856</v>
      </c>
      <c r="E558" s="493" t="s">
        <v>116</v>
      </c>
      <c r="F558" s="493" t="s">
        <v>377</v>
      </c>
      <c r="G558" s="493" t="s">
        <v>117</v>
      </c>
      <c r="H558" s="493" t="s">
        <v>118</v>
      </c>
      <c r="I558" s="493" t="s">
        <v>119</v>
      </c>
      <c r="J558" s="493" t="s">
        <v>2835</v>
      </c>
      <c r="K558" s="493" t="s">
        <v>377</v>
      </c>
      <c r="L558" s="493" t="s">
        <v>528</v>
      </c>
      <c r="M558" s="493" t="s">
        <v>2836</v>
      </c>
      <c r="N558" s="493" t="s">
        <v>2837</v>
      </c>
      <c r="O558" s="493">
        <v>57486000</v>
      </c>
      <c r="P558" s="439">
        <v>52260000</v>
      </c>
      <c r="Q558" s="493">
        <v>5226000</v>
      </c>
      <c r="R558" s="493" t="s">
        <v>124</v>
      </c>
      <c r="S558" s="493" t="s">
        <v>382</v>
      </c>
      <c r="T558" s="493" t="s">
        <v>125</v>
      </c>
      <c r="U558" s="493" t="s">
        <v>126</v>
      </c>
      <c r="V558" s="493" t="s">
        <v>127</v>
      </c>
      <c r="W558" s="493" t="s">
        <v>128</v>
      </c>
      <c r="X558" s="493" t="s">
        <v>2838</v>
      </c>
      <c r="Y558" s="493" t="s">
        <v>377</v>
      </c>
      <c r="Z558" s="493" t="s">
        <v>2833</v>
      </c>
      <c r="AA558" s="493" t="s">
        <v>130</v>
      </c>
      <c r="AB558" s="493" t="s">
        <v>377</v>
      </c>
      <c r="AC558" s="493" t="s">
        <v>131</v>
      </c>
      <c r="AD558" s="493" t="s">
        <v>2841</v>
      </c>
      <c r="AE558" s="493">
        <v>52260000</v>
      </c>
      <c r="AF558" s="493">
        <v>5226000</v>
      </c>
      <c r="AG558" s="493" t="s">
        <v>2863</v>
      </c>
      <c r="AH558" s="130">
        <f t="shared" si="115"/>
        <v>46208</v>
      </c>
      <c r="AI558" s="495"/>
      <c r="AJ558" s="439"/>
      <c r="AK558" s="121">
        <f t="shared" si="120"/>
        <v>57486000.000000007</v>
      </c>
      <c r="AL558" s="440"/>
      <c r="AM558" s="440"/>
      <c r="AN558" s="440"/>
      <c r="AO558" s="440"/>
    </row>
    <row r="559" spans="1:41" ht="16.5" hidden="1" customHeight="1">
      <c r="A559" s="492" t="s">
        <v>2833</v>
      </c>
      <c r="B559" s="493" t="s">
        <v>2842</v>
      </c>
      <c r="C559" s="492" t="s">
        <v>2833</v>
      </c>
      <c r="D559" s="492" t="s">
        <v>2856</v>
      </c>
      <c r="E559" s="493" t="s">
        <v>116</v>
      </c>
      <c r="F559" s="493" t="s">
        <v>377</v>
      </c>
      <c r="G559" s="493" t="s">
        <v>117</v>
      </c>
      <c r="H559" s="493" t="s">
        <v>118</v>
      </c>
      <c r="I559" s="493" t="s">
        <v>119</v>
      </c>
      <c r="J559" s="493" t="s">
        <v>1847</v>
      </c>
      <c r="K559" s="493" t="s">
        <v>377</v>
      </c>
      <c r="L559" s="493" t="s">
        <v>1848</v>
      </c>
      <c r="M559" s="493" t="s">
        <v>1849</v>
      </c>
      <c r="N559" s="493" t="s">
        <v>1850</v>
      </c>
      <c r="O559" s="493">
        <v>991760</v>
      </c>
      <c r="P559" s="439">
        <v>901600</v>
      </c>
      <c r="Q559" s="493">
        <v>90160</v>
      </c>
      <c r="R559" s="493" t="s">
        <v>124</v>
      </c>
      <c r="S559" s="493" t="s">
        <v>382</v>
      </c>
      <c r="T559" s="493" t="s">
        <v>125</v>
      </c>
      <c r="U559" s="493" t="s">
        <v>445</v>
      </c>
      <c r="V559" s="493" t="s">
        <v>127</v>
      </c>
      <c r="W559" s="493" t="s">
        <v>128</v>
      </c>
      <c r="X559" s="493" t="s">
        <v>1851</v>
      </c>
      <c r="Y559" s="493" t="s">
        <v>377</v>
      </c>
      <c r="Z559" s="493" t="s">
        <v>2833</v>
      </c>
      <c r="AA559" s="493" t="s">
        <v>130</v>
      </c>
      <c r="AB559" s="493" t="s">
        <v>377</v>
      </c>
      <c r="AC559" s="493" t="s">
        <v>131</v>
      </c>
      <c r="AD559" s="493" t="s">
        <v>2843</v>
      </c>
      <c r="AE559" s="493">
        <v>901600</v>
      </c>
      <c r="AF559" s="493">
        <v>90160</v>
      </c>
      <c r="AG559" s="493" t="s">
        <v>2864</v>
      </c>
      <c r="AH559" s="130">
        <f t="shared" si="115"/>
        <v>46208</v>
      </c>
      <c r="AI559" s="495"/>
      <c r="AJ559" s="439"/>
      <c r="AK559" s="121">
        <f t="shared" si="120"/>
        <v>991760.00000000012</v>
      </c>
      <c r="AL559" s="440"/>
      <c r="AM559" s="440"/>
      <c r="AN559" s="440"/>
      <c r="AO559" s="440"/>
    </row>
    <row r="560" spans="1:41" ht="16.5" hidden="1" customHeight="1">
      <c r="A560" s="492" t="s">
        <v>2833</v>
      </c>
      <c r="B560" s="493" t="s">
        <v>2844</v>
      </c>
      <c r="C560" s="492" t="s">
        <v>2833</v>
      </c>
      <c r="D560" s="492" t="s">
        <v>2856</v>
      </c>
      <c r="E560" s="493" t="s">
        <v>116</v>
      </c>
      <c r="F560" s="493" t="s">
        <v>377</v>
      </c>
      <c r="G560" s="493" t="s">
        <v>117</v>
      </c>
      <c r="H560" s="493" t="s">
        <v>118</v>
      </c>
      <c r="I560" s="493" t="s">
        <v>119</v>
      </c>
      <c r="J560" s="493" t="s">
        <v>710</v>
      </c>
      <c r="K560" s="493" t="s">
        <v>377</v>
      </c>
      <c r="L560" s="493" t="s">
        <v>586</v>
      </c>
      <c r="M560" s="493" t="s">
        <v>711</v>
      </c>
      <c r="N560" s="493" t="s">
        <v>712</v>
      </c>
      <c r="O560" s="493">
        <v>631180</v>
      </c>
      <c r="P560" s="439">
        <v>573800</v>
      </c>
      <c r="Q560" s="493">
        <v>57380</v>
      </c>
      <c r="R560" s="493" t="s">
        <v>124</v>
      </c>
      <c r="S560" s="493" t="s">
        <v>382</v>
      </c>
      <c r="T560" s="493" t="s">
        <v>125</v>
      </c>
      <c r="U560" s="493" t="s">
        <v>126</v>
      </c>
      <c r="V560" s="493" t="s">
        <v>127</v>
      </c>
      <c r="W560" s="493" t="s">
        <v>128</v>
      </c>
      <c r="X560" s="493" t="s">
        <v>713</v>
      </c>
      <c r="Y560" s="493" t="s">
        <v>377</v>
      </c>
      <c r="Z560" s="493" t="s">
        <v>2833</v>
      </c>
      <c r="AA560" s="493" t="s">
        <v>130</v>
      </c>
      <c r="AB560" s="493" t="s">
        <v>377</v>
      </c>
      <c r="AC560" s="493" t="s">
        <v>131</v>
      </c>
      <c r="AD560" s="493" t="s">
        <v>2845</v>
      </c>
      <c r="AE560" s="493">
        <v>573800</v>
      </c>
      <c r="AF560" s="493">
        <v>57380</v>
      </c>
      <c r="AG560" s="493" t="s">
        <v>2618</v>
      </c>
      <c r="AH560" s="130">
        <f t="shared" si="115"/>
        <v>46208</v>
      </c>
      <c r="AI560" s="495"/>
      <c r="AJ560" s="439"/>
      <c r="AK560" s="121">
        <f t="shared" si="120"/>
        <v>631180</v>
      </c>
      <c r="AL560" s="440"/>
      <c r="AM560" s="440"/>
      <c r="AN560" s="440"/>
      <c r="AO560" s="440"/>
    </row>
    <row r="561" spans="1:41" ht="16.5" hidden="1" customHeight="1">
      <c r="A561" s="492" t="s">
        <v>2833</v>
      </c>
      <c r="B561" s="493" t="s">
        <v>2846</v>
      </c>
      <c r="C561" s="492" t="s">
        <v>2833</v>
      </c>
      <c r="D561" s="492" t="s">
        <v>2856</v>
      </c>
      <c r="E561" s="493" t="s">
        <v>116</v>
      </c>
      <c r="F561" s="493" t="s">
        <v>377</v>
      </c>
      <c r="G561" s="493" t="s">
        <v>117</v>
      </c>
      <c r="H561" s="493" t="s">
        <v>118</v>
      </c>
      <c r="I561" s="493" t="s">
        <v>119</v>
      </c>
      <c r="J561" s="493" t="s">
        <v>2799</v>
      </c>
      <c r="K561" s="493" t="s">
        <v>377</v>
      </c>
      <c r="L561" s="493" t="s">
        <v>2800</v>
      </c>
      <c r="M561" s="493" t="s">
        <v>2801</v>
      </c>
      <c r="N561" s="493" t="s">
        <v>2802</v>
      </c>
      <c r="O561" s="493">
        <v>10325040</v>
      </c>
      <c r="P561" s="439">
        <v>9386400</v>
      </c>
      <c r="Q561" s="493">
        <v>938640</v>
      </c>
      <c r="R561" s="493" t="s">
        <v>124</v>
      </c>
      <c r="S561" s="493" t="s">
        <v>382</v>
      </c>
      <c r="T561" s="493" t="s">
        <v>125</v>
      </c>
      <c r="U561" s="493" t="s">
        <v>126</v>
      </c>
      <c r="V561" s="493" t="s">
        <v>127</v>
      </c>
      <c r="W561" s="493" t="s">
        <v>128</v>
      </c>
      <c r="X561" s="493" t="s">
        <v>2803</v>
      </c>
      <c r="Y561" s="493" t="s">
        <v>377</v>
      </c>
      <c r="Z561" s="493" t="s">
        <v>2833</v>
      </c>
      <c r="AA561" s="493" t="s">
        <v>130</v>
      </c>
      <c r="AB561" s="493" t="s">
        <v>377</v>
      </c>
      <c r="AC561" s="493" t="s">
        <v>131</v>
      </c>
      <c r="AD561" s="493" t="s">
        <v>2847</v>
      </c>
      <c r="AE561" s="493">
        <v>9386400</v>
      </c>
      <c r="AF561" s="493">
        <v>938640</v>
      </c>
      <c r="AG561" s="493" t="s">
        <v>2827</v>
      </c>
      <c r="AH561" s="130">
        <f t="shared" si="115"/>
        <v>46208</v>
      </c>
      <c r="AI561" s="495"/>
      <c r="AJ561" s="439"/>
      <c r="AK561" s="121">
        <f t="shared" si="120"/>
        <v>10325040</v>
      </c>
      <c r="AL561" s="440"/>
      <c r="AM561" s="440"/>
      <c r="AN561" s="440"/>
      <c r="AO561" s="440"/>
    </row>
    <row r="562" spans="1:41" ht="16.5" hidden="1" customHeight="1">
      <c r="A562" s="492" t="s">
        <v>2833</v>
      </c>
      <c r="B562" s="493" t="s">
        <v>2848</v>
      </c>
      <c r="C562" s="492" t="s">
        <v>2833</v>
      </c>
      <c r="D562" s="492" t="s">
        <v>2856</v>
      </c>
      <c r="E562" s="493" t="s">
        <v>116</v>
      </c>
      <c r="F562" s="493" t="s">
        <v>377</v>
      </c>
      <c r="G562" s="493" t="s">
        <v>117</v>
      </c>
      <c r="H562" s="493" t="s">
        <v>118</v>
      </c>
      <c r="I562" s="493" t="s">
        <v>119</v>
      </c>
      <c r="J562" s="493" t="s">
        <v>2291</v>
      </c>
      <c r="K562" s="493" t="s">
        <v>377</v>
      </c>
      <c r="L562" s="493" t="s">
        <v>2292</v>
      </c>
      <c r="M562" s="493" t="s">
        <v>2293</v>
      </c>
      <c r="N562" s="493" t="s">
        <v>2294</v>
      </c>
      <c r="O562" s="493">
        <v>3724600</v>
      </c>
      <c r="P562" s="439">
        <v>3386000</v>
      </c>
      <c r="Q562" s="493">
        <v>338600</v>
      </c>
      <c r="R562" s="493" t="s">
        <v>124</v>
      </c>
      <c r="S562" s="493" t="s">
        <v>382</v>
      </c>
      <c r="T562" s="493" t="s">
        <v>125</v>
      </c>
      <c r="U562" s="493" t="s">
        <v>445</v>
      </c>
      <c r="V562" s="493" t="s">
        <v>127</v>
      </c>
      <c r="W562" s="493" t="s">
        <v>128</v>
      </c>
      <c r="X562" s="493" t="s">
        <v>2295</v>
      </c>
      <c r="Y562" s="493" t="s">
        <v>377</v>
      </c>
      <c r="Z562" s="493" t="s">
        <v>2833</v>
      </c>
      <c r="AA562" s="493" t="s">
        <v>130</v>
      </c>
      <c r="AB562" s="493" t="s">
        <v>377</v>
      </c>
      <c r="AC562" s="493" t="s">
        <v>131</v>
      </c>
      <c r="AD562" s="493" t="s">
        <v>2849</v>
      </c>
      <c r="AE562" s="493">
        <v>3386000</v>
      </c>
      <c r="AF562" s="493">
        <v>338600</v>
      </c>
      <c r="AG562" s="493" t="s">
        <v>2857</v>
      </c>
      <c r="AH562" s="130">
        <f t="shared" si="115"/>
        <v>46208</v>
      </c>
      <c r="AI562" s="495"/>
      <c r="AJ562" s="439"/>
      <c r="AK562" s="121">
        <f t="shared" si="120"/>
        <v>3724600.0000000005</v>
      </c>
      <c r="AL562" s="440"/>
      <c r="AM562" s="440"/>
      <c r="AN562" s="440"/>
      <c r="AO562" s="440"/>
    </row>
    <row r="563" spans="1:41" ht="16.5" hidden="1" customHeight="1">
      <c r="A563" s="492" t="s">
        <v>2833</v>
      </c>
      <c r="B563" s="493" t="s">
        <v>2850</v>
      </c>
      <c r="C563" s="492" t="s">
        <v>2833</v>
      </c>
      <c r="D563" s="492" t="s">
        <v>2856</v>
      </c>
      <c r="E563" s="493" t="s">
        <v>116</v>
      </c>
      <c r="F563" s="493" t="s">
        <v>377</v>
      </c>
      <c r="G563" s="493" t="s">
        <v>117</v>
      </c>
      <c r="H563" s="493" t="s">
        <v>118</v>
      </c>
      <c r="I563" s="493" t="s">
        <v>119</v>
      </c>
      <c r="J563" s="493" t="s">
        <v>2279</v>
      </c>
      <c r="K563" s="493" t="s">
        <v>377</v>
      </c>
      <c r="L563" s="493" t="s">
        <v>2280</v>
      </c>
      <c r="M563" s="493" t="s">
        <v>2281</v>
      </c>
      <c r="N563" s="493" t="s">
        <v>2282</v>
      </c>
      <c r="O563" s="493">
        <v>1291400</v>
      </c>
      <c r="P563" s="439">
        <v>1174000</v>
      </c>
      <c r="Q563" s="493">
        <v>117400</v>
      </c>
      <c r="R563" s="493" t="s">
        <v>124</v>
      </c>
      <c r="S563" s="493" t="s">
        <v>382</v>
      </c>
      <c r="T563" s="493" t="s">
        <v>125</v>
      </c>
      <c r="U563" s="493" t="s">
        <v>126</v>
      </c>
      <c r="V563" s="493" t="s">
        <v>127</v>
      </c>
      <c r="W563" s="493" t="s">
        <v>128</v>
      </c>
      <c r="X563" s="493" t="s">
        <v>2283</v>
      </c>
      <c r="Y563" s="493" t="s">
        <v>377</v>
      </c>
      <c r="Z563" s="493" t="s">
        <v>2833</v>
      </c>
      <c r="AA563" s="493" t="s">
        <v>130</v>
      </c>
      <c r="AB563" s="493" t="s">
        <v>377</v>
      </c>
      <c r="AC563" s="493" t="s">
        <v>131</v>
      </c>
      <c r="AD563" s="493" t="s">
        <v>2851</v>
      </c>
      <c r="AE563" s="493">
        <v>1174000</v>
      </c>
      <c r="AF563" s="493">
        <v>117400</v>
      </c>
      <c r="AG563" s="493" t="s">
        <v>2865</v>
      </c>
      <c r="AH563" s="130">
        <f t="shared" si="115"/>
        <v>46208</v>
      </c>
      <c r="AI563" s="495">
        <v>46169</v>
      </c>
      <c r="AJ563" s="439">
        <f>P563*1.1</f>
        <v>1291400</v>
      </c>
      <c r="AK563" s="121">
        <f t="shared" si="120"/>
        <v>0</v>
      </c>
      <c r="AL563" s="440"/>
      <c r="AM563" s="440"/>
      <c r="AN563" s="440"/>
      <c r="AO563" s="440"/>
    </row>
    <row r="564" spans="1:41" ht="16.5" hidden="1" customHeight="1">
      <c r="A564" s="492" t="s">
        <v>2833</v>
      </c>
      <c r="B564" s="493" t="s">
        <v>2852</v>
      </c>
      <c r="C564" s="492" t="s">
        <v>2833</v>
      </c>
      <c r="D564" s="492" t="s">
        <v>2856</v>
      </c>
      <c r="E564" s="493" t="s">
        <v>116</v>
      </c>
      <c r="F564" s="493" t="s">
        <v>377</v>
      </c>
      <c r="G564" s="493" t="s">
        <v>117</v>
      </c>
      <c r="H564" s="493" t="s">
        <v>118</v>
      </c>
      <c r="I564" s="493" t="s">
        <v>119</v>
      </c>
      <c r="J564" s="493" t="s">
        <v>146</v>
      </c>
      <c r="K564" s="493" t="s">
        <v>377</v>
      </c>
      <c r="L564" s="493" t="s">
        <v>553</v>
      </c>
      <c r="M564" s="493" t="s">
        <v>148</v>
      </c>
      <c r="N564" s="493" t="s">
        <v>149</v>
      </c>
      <c r="O564" s="493">
        <v>50617600</v>
      </c>
      <c r="P564" s="439">
        <v>46016000</v>
      </c>
      <c r="Q564" s="493">
        <v>4601600</v>
      </c>
      <c r="R564" s="493" t="s">
        <v>124</v>
      </c>
      <c r="S564" s="493" t="s">
        <v>382</v>
      </c>
      <c r="T564" s="493" t="s">
        <v>125</v>
      </c>
      <c r="U564" s="493" t="s">
        <v>126</v>
      </c>
      <c r="V564" s="493" t="s">
        <v>127</v>
      </c>
      <c r="W564" s="493" t="s">
        <v>128</v>
      </c>
      <c r="X564" s="493" t="s">
        <v>150</v>
      </c>
      <c r="Y564" s="493" t="s">
        <v>377</v>
      </c>
      <c r="Z564" s="493" t="s">
        <v>2833</v>
      </c>
      <c r="AA564" s="493" t="s">
        <v>130</v>
      </c>
      <c r="AB564" s="493" t="s">
        <v>377</v>
      </c>
      <c r="AC564" s="493" t="s">
        <v>131</v>
      </c>
      <c r="AD564" s="493" t="s">
        <v>2853</v>
      </c>
      <c r="AE564" s="493">
        <v>46016000</v>
      </c>
      <c r="AF564" s="493">
        <v>4601600</v>
      </c>
      <c r="AG564" s="493" t="s">
        <v>2858</v>
      </c>
      <c r="AH564" s="130">
        <f t="shared" si="115"/>
        <v>46208</v>
      </c>
      <c r="AI564" s="495"/>
      <c r="AJ564" s="439"/>
      <c r="AK564" s="121">
        <f t="shared" si="120"/>
        <v>50617600.000000007</v>
      </c>
      <c r="AL564" s="440"/>
      <c r="AM564" s="440"/>
      <c r="AN564" s="440"/>
      <c r="AO564" s="440"/>
    </row>
    <row r="565" spans="1:41" ht="16.5" hidden="1" customHeight="1">
      <c r="A565" s="492" t="s">
        <v>2833</v>
      </c>
      <c r="B565" s="493" t="s">
        <v>2854</v>
      </c>
      <c r="C565" s="492" t="s">
        <v>2833</v>
      </c>
      <c r="D565" s="492" t="s">
        <v>2856</v>
      </c>
      <c r="E565" s="493" t="s">
        <v>116</v>
      </c>
      <c r="F565" s="493" t="s">
        <v>377</v>
      </c>
      <c r="G565" s="493" t="s">
        <v>117</v>
      </c>
      <c r="H565" s="493" t="s">
        <v>118</v>
      </c>
      <c r="I565" s="493" t="s">
        <v>119</v>
      </c>
      <c r="J565" s="493" t="s">
        <v>1847</v>
      </c>
      <c r="K565" s="493" t="s">
        <v>377</v>
      </c>
      <c r="L565" s="493" t="s">
        <v>1848</v>
      </c>
      <c r="M565" s="493" t="s">
        <v>1849</v>
      </c>
      <c r="N565" s="493" t="s">
        <v>1850</v>
      </c>
      <c r="O565" s="493">
        <v>518650</v>
      </c>
      <c r="P565" s="439">
        <v>471500</v>
      </c>
      <c r="Q565" s="493">
        <v>47150</v>
      </c>
      <c r="R565" s="493" t="s">
        <v>124</v>
      </c>
      <c r="S565" s="493" t="s">
        <v>382</v>
      </c>
      <c r="T565" s="493" t="s">
        <v>125</v>
      </c>
      <c r="U565" s="493" t="s">
        <v>445</v>
      </c>
      <c r="V565" s="493" t="s">
        <v>127</v>
      </c>
      <c r="W565" s="493" t="s">
        <v>128</v>
      </c>
      <c r="X565" s="493" t="s">
        <v>1851</v>
      </c>
      <c r="Y565" s="493" t="s">
        <v>377</v>
      </c>
      <c r="Z565" s="493" t="s">
        <v>2833</v>
      </c>
      <c r="AA565" s="493" t="s">
        <v>130</v>
      </c>
      <c r="AB565" s="493" t="s">
        <v>377</v>
      </c>
      <c r="AC565" s="493" t="s">
        <v>131</v>
      </c>
      <c r="AD565" s="493" t="s">
        <v>2855</v>
      </c>
      <c r="AE565" s="493">
        <v>471500</v>
      </c>
      <c r="AF565" s="493">
        <v>47150</v>
      </c>
      <c r="AG565" s="493" t="s">
        <v>2859</v>
      </c>
      <c r="AH565" s="130">
        <f t="shared" si="115"/>
        <v>46208</v>
      </c>
      <c r="AI565" s="495"/>
      <c r="AJ565" s="439"/>
      <c r="AK565" s="121">
        <f t="shared" si="120"/>
        <v>518650.00000000006</v>
      </c>
      <c r="AL565" s="440"/>
      <c r="AM565" s="440"/>
      <c r="AN565" s="440"/>
      <c r="AO565" s="440"/>
    </row>
    <row r="566" spans="1:41" ht="16.5" hidden="1" customHeight="1">
      <c r="A566" s="492" t="s">
        <v>2868</v>
      </c>
      <c r="B566" s="493" t="s">
        <v>2869</v>
      </c>
      <c r="C566" s="492" t="s">
        <v>2868</v>
      </c>
      <c r="D566" s="492" t="s">
        <v>2898</v>
      </c>
      <c r="E566" s="493" t="s">
        <v>116</v>
      </c>
      <c r="F566" s="493" t="s">
        <v>377</v>
      </c>
      <c r="G566" s="493" t="s">
        <v>117</v>
      </c>
      <c r="H566" s="493" t="s">
        <v>118</v>
      </c>
      <c r="I566" s="493" t="s">
        <v>119</v>
      </c>
      <c r="J566" s="493" t="s">
        <v>628</v>
      </c>
      <c r="K566" s="493" t="s">
        <v>377</v>
      </c>
      <c r="L566" s="493" t="s">
        <v>629</v>
      </c>
      <c r="M566" s="493" t="s">
        <v>630</v>
      </c>
      <c r="N566" s="493" t="s">
        <v>631</v>
      </c>
      <c r="O566" s="493">
        <v>388740</v>
      </c>
      <c r="P566" s="439">
        <v>353400</v>
      </c>
      <c r="Q566" s="493">
        <v>35340</v>
      </c>
      <c r="R566" s="493" t="s">
        <v>124</v>
      </c>
      <c r="S566" s="493" t="s">
        <v>382</v>
      </c>
      <c r="T566" s="493" t="s">
        <v>125</v>
      </c>
      <c r="U566" s="493" t="s">
        <v>126</v>
      </c>
      <c r="V566" s="493" t="s">
        <v>127</v>
      </c>
      <c r="W566" s="493" t="s">
        <v>128</v>
      </c>
      <c r="X566" s="493" t="s">
        <v>632</v>
      </c>
      <c r="Y566" s="493" t="s">
        <v>377</v>
      </c>
      <c r="Z566" s="493" t="s">
        <v>2868</v>
      </c>
      <c r="AA566" s="493" t="s">
        <v>130</v>
      </c>
      <c r="AB566" s="493" t="s">
        <v>377</v>
      </c>
      <c r="AC566" s="493" t="s">
        <v>131</v>
      </c>
      <c r="AD566" s="493" t="s">
        <v>2774</v>
      </c>
      <c r="AE566" s="493">
        <v>353400</v>
      </c>
      <c r="AF566" s="493">
        <v>35340</v>
      </c>
      <c r="AG566" s="493" t="s">
        <v>2275</v>
      </c>
      <c r="AH566" s="130">
        <f t="shared" si="115"/>
        <v>46209</v>
      </c>
      <c r="AI566" s="495"/>
      <c r="AJ566" s="439"/>
      <c r="AK566" s="121">
        <f t="shared" ref="AK566:AK578" si="121">(P566*1.1)-AJ566</f>
        <v>388740.00000000006</v>
      </c>
      <c r="AL566" s="440"/>
      <c r="AM566" s="440"/>
      <c r="AN566" s="440"/>
      <c r="AO566" s="440"/>
    </row>
    <row r="567" spans="1:41" ht="16.5" hidden="1" customHeight="1">
      <c r="A567" s="492" t="s">
        <v>2868</v>
      </c>
      <c r="B567" s="493" t="s">
        <v>2870</v>
      </c>
      <c r="C567" s="492" t="s">
        <v>2868</v>
      </c>
      <c r="D567" s="492" t="s">
        <v>2898</v>
      </c>
      <c r="E567" s="493" t="s">
        <v>116</v>
      </c>
      <c r="F567" s="493" t="s">
        <v>377</v>
      </c>
      <c r="G567" s="493" t="s">
        <v>117</v>
      </c>
      <c r="H567" s="493" t="s">
        <v>118</v>
      </c>
      <c r="I567" s="493" t="s">
        <v>119</v>
      </c>
      <c r="J567" s="493" t="s">
        <v>1270</v>
      </c>
      <c r="K567" s="493" t="s">
        <v>377</v>
      </c>
      <c r="L567" s="493" t="s">
        <v>1271</v>
      </c>
      <c r="M567" s="493" t="s">
        <v>1272</v>
      </c>
      <c r="N567" s="493" t="s">
        <v>1273</v>
      </c>
      <c r="O567" s="493">
        <v>5215870</v>
      </c>
      <c r="P567" s="439">
        <v>4741700</v>
      </c>
      <c r="Q567" s="493">
        <v>474170</v>
      </c>
      <c r="R567" s="493" t="s">
        <v>124</v>
      </c>
      <c r="S567" s="493" t="s">
        <v>382</v>
      </c>
      <c r="T567" s="493" t="s">
        <v>125</v>
      </c>
      <c r="U567" s="493" t="s">
        <v>126</v>
      </c>
      <c r="V567" s="493" t="s">
        <v>127</v>
      </c>
      <c r="W567" s="493" t="s">
        <v>128</v>
      </c>
      <c r="X567" s="493" t="s">
        <v>1274</v>
      </c>
      <c r="Y567" s="493" t="s">
        <v>377</v>
      </c>
      <c r="Z567" s="493" t="s">
        <v>2868</v>
      </c>
      <c r="AA567" s="493" t="s">
        <v>130</v>
      </c>
      <c r="AB567" s="493" t="s">
        <v>377</v>
      </c>
      <c r="AC567" s="493" t="s">
        <v>131</v>
      </c>
      <c r="AD567" s="493" t="s">
        <v>2871</v>
      </c>
      <c r="AE567" s="493">
        <v>4741700</v>
      </c>
      <c r="AF567" s="493">
        <v>474170</v>
      </c>
      <c r="AG567" s="493" t="s">
        <v>2899</v>
      </c>
      <c r="AH567" s="130">
        <f t="shared" si="115"/>
        <v>46209</v>
      </c>
      <c r="AI567" s="495"/>
      <c r="AJ567" s="439"/>
      <c r="AK567" s="121">
        <f t="shared" si="121"/>
        <v>5215870</v>
      </c>
      <c r="AL567" s="440"/>
      <c r="AM567" s="440"/>
      <c r="AN567" s="440"/>
      <c r="AO567" s="440"/>
    </row>
    <row r="568" spans="1:41" ht="16.5" hidden="1" customHeight="1">
      <c r="A568" s="492" t="s">
        <v>2868</v>
      </c>
      <c r="B568" s="493" t="s">
        <v>2872</v>
      </c>
      <c r="C568" s="492" t="s">
        <v>2868</v>
      </c>
      <c r="D568" s="492" t="s">
        <v>2898</v>
      </c>
      <c r="E568" s="493" t="s">
        <v>116</v>
      </c>
      <c r="F568" s="493" t="s">
        <v>377</v>
      </c>
      <c r="G568" s="493" t="s">
        <v>117</v>
      </c>
      <c r="H568" s="493" t="s">
        <v>118</v>
      </c>
      <c r="I568" s="493" t="s">
        <v>119</v>
      </c>
      <c r="J568" s="493" t="s">
        <v>905</v>
      </c>
      <c r="K568" s="493" t="s">
        <v>377</v>
      </c>
      <c r="L568" s="493" t="s">
        <v>340</v>
      </c>
      <c r="M568" s="493" t="s">
        <v>906</v>
      </c>
      <c r="N568" s="493" t="s">
        <v>907</v>
      </c>
      <c r="O568" s="493">
        <v>315700</v>
      </c>
      <c r="P568" s="439">
        <v>287000</v>
      </c>
      <c r="Q568" s="493">
        <v>28700</v>
      </c>
      <c r="R568" s="493" t="s">
        <v>124</v>
      </c>
      <c r="S568" s="493" t="s">
        <v>382</v>
      </c>
      <c r="T568" s="493" t="s">
        <v>125</v>
      </c>
      <c r="U568" s="493" t="s">
        <v>445</v>
      </c>
      <c r="V568" s="493" t="s">
        <v>127</v>
      </c>
      <c r="W568" s="493" t="s">
        <v>128</v>
      </c>
      <c r="X568" s="493" t="s">
        <v>908</v>
      </c>
      <c r="Y568" s="493" t="s">
        <v>377</v>
      </c>
      <c r="Z568" s="493" t="s">
        <v>2868</v>
      </c>
      <c r="AA568" s="493" t="s">
        <v>130</v>
      </c>
      <c r="AB568" s="493" t="s">
        <v>377</v>
      </c>
      <c r="AC568" s="493" t="s">
        <v>131</v>
      </c>
      <c r="AD568" s="493" t="s">
        <v>2873</v>
      </c>
      <c r="AE568" s="493">
        <v>287000</v>
      </c>
      <c r="AF568" s="493">
        <v>28700</v>
      </c>
      <c r="AG568" s="493" t="s">
        <v>2362</v>
      </c>
      <c r="AH568" s="130">
        <f t="shared" si="115"/>
        <v>46209</v>
      </c>
      <c r="AI568" s="495"/>
      <c r="AJ568" s="439"/>
      <c r="AK568" s="121">
        <f t="shared" si="121"/>
        <v>315700</v>
      </c>
      <c r="AL568" s="440"/>
      <c r="AM568" s="440"/>
      <c r="AN568" s="440"/>
      <c r="AO568" s="440"/>
    </row>
    <row r="569" spans="1:41" ht="16.5" hidden="1" customHeight="1">
      <c r="A569" s="492" t="s">
        <v>2868</v>
      </c>
      <c r="B569" s="493" t="s">
        <v>2874</v>
      </c>
      <c r="C569" s="492" t="s">
        <v>2868</v>
      </c>
      <c r="D569" s="492" t="s">
        <v>2898</v>
      </c>
      <c r="E569" s="493" t="s">
        <v>116</v>
      </c>
      <c r="F569" s="493" t="s">
        <v>377</v>
      </c>
      <c r="G569" s="493" t="s">
        <v>117</v>
      </c>
      <c r="H569" s="493" t="s">
        <v>118</v>
      </c>
      <c r="I569" s="493" t="s">
        <v>119</v>
      </c>
      <c r="J569" s="493" t="s">
        <v>710</v>
      </c>
      <c r="K569" s="493" t="s">
        <v>377</v>
      </c>
      <c r="L569" s="493" t="s">
        <v>586</v>
      </c>
      <c r="M569" s="493" t="s">
        <v>711</v>
      </c>
      <c r="N569" s="493" t="s">
        <v>712</v>
      </c>
      <c r="O569" s="493">
        <v>59938450</v>
      </c>
      <c r="P569" s="439">
        <v>54489500</v>
      </c>
      <c r="Q569" s="493">
        <v>5448950</v>
      </c>
      <c r="R569" s="493" t="s">
        <v>124</v>
      </c>
      <c r="S569" s="493" t="s">
        <v>382</v>
      </c>
      <c r="T569" s="493" t="s">
        <v>125</v>
      </c>
      <c r="U569" s="493" t="s">
        <v>126</v>
      </c>
      <c r="V569" s="493" t="s">
        <v>127</v>
      </c>
      <c r="W569" s="493" t="s">
        <v>128</v>
      </c>
      <c r="X569" s="493" t="s">
        <v>713</v>
      </c>
      <c r="Y569" s="493" t="s">
        <v>377</v>
      </c>
      <c r="Z569" s="493" t="s">
        <v>2868</v>
      </c>
      <c r="AA569" s="493" t="s">
        <v>130</v>
      </c>
      <c r="AB569" s="493" t="s">
        <v>377</v>
      </c>
      <c r="AC569" s="493" t="s">
        <v>131</v>
      </c>
      <c r="AD569" s="493" t="s">
        <v>2875</v>
      </c>
      <c r="AE569" s="493">
        <v>54489500</v>
      </c>
      <c r="AF569" s="493">
        <v>5448950</v>
      </c>
      <c r="AG569" s="493" t="s">
        <v>377</v>
      </c>
      <c r="AH569" s="130">
        <f t="shared" si="115"/>
        <v>46209</v>
      </c>
      <c r="AI569" s="495"/>
      <c r="AJ569" s="439"/>
      <c r="AK569" s="121">
        <f t="shared" si="121"/>
        <v>59938450.000000007</v>
      </c>
      <c r="AL569" s="440"/>
      <c r="AM569" s="440"/>
      <c r="AN569" s="440"/>
      <c r="AO569" s="440"/>
    </row>
    <row r="570" spans="1:41" ht="16.5" hidden="1" customHeight="1">
      <c r="A570" s="492" t="s">
        <v>2868</v>
      </c>
      <c r="B570" s="493" t="s">
        <v>2876</v>
      </c>
      <c r="C570" s="492" t="s">
        <v>2868</v>
      </c>
      <c r="D570" s="492" t="s">
        <v>2898</v>
      </c>
      <c r="E570" s="493" t="s">
        <v>116</v>
      </c>
      <c r="F570" s="493" t="s">
        <v>377</v>
      </c>
      <c r="G570" s="493" t="s">
        <v>117</v>
      </c>
      <c r="H570" s="493" t="s">
        <v>118</v>
      </c>
      <c r="I570" s="493" t="s">
        <v>119</v>
      </c>
      <c r="J570" s="493" t="s">
        <v>519</v>
      </c>
      <c r="K570" s="493" t="s">
        <v>377</v>
      </c>
      <c r="L570" s="493" t="s">
        <v>520</v>
      </c>
      <c r="M570" s="493" t="s">
        <v>521</v>
      </c>
      <c r="N570" s="493" t="s">
        <v>522</v>
      </c>
      <c r="O570" s="493">
        <v>590700</v>
      </c>
      <c r="P570" s="439">
        <v>537000</v>
      </c>
      <c r="Q570" s="493">
        <v>53700</v>
      </c>
      <c r="R570" s="493" t="s">
        <v>124</v>
      </c>
      <c r="S570" s="493" t="s">
        <v>382</v>
      </c>
      <c r="T570" s="493" t="s">
        <v>125</v>
      </c>
      <c r="U570" s="493" t="s">
        <v>126</v>
      </c>
      <c r="V570" s="493" t="s">
        <v>127</v>
      </c>
      <c r="W570" s="493" t="s">
        <v>128</v>
      </c>
      <c r="X570" s="493" t="s">
        <v>523</v>
      </c>
      <c r="Y570" s="493" t="s">
        <v>377</v>
      </c>
      <c r="Z570" s="493" t="s">
        <v>2868</v>
      </c>
      <c r="AA570" s="493" t="s">
        <v>130</v>
      </c>
      <c r="AB570" s="493" t="s">
        <v>377</v>
      </c>
      <c r="AC570" s="493" t="s">
        <v>131</v>
      </c>
      <c r="AD570" s="493" t="s">
        <v>2877</v>
      </c>
      <c r="AE570" s="493">
        <v>537000</v>
      </c>
      <c r="AF570" s="493">
        <v>53700</v>
      </c>
      <c r="AG570" s="493" t="s">
        <v>2901</v>
      </c>
      <c r="AH570" s="130">
        <f t="shared" si="115"/>
        <v>46209</v>
      </c>
      <c r="AI570" s="495"/>
      <c r="AJ570" s="439"/>
      <c r="AK570" s="121">
        <f t="shared" si="121"/>
        <v>590700</v>
      </c>
      <c r="AL570" s="440"/>
      <c r="AM570" s="440"/>
      <c r="AN570" s="440"/>
      <c r="AO570" s="440"/>
    </row>
    <row r="571" spans="1:41" ht="16.5" hidden="1" customHeight="1">
      <c r="A571" s="492" t="s">
        <v>2868</v>
      </c>
      <c r="B571" s="493" t="s">
        <v>2878</v>
      </c>
      <c r="C571" s="492" t="s">
        <v>2868</v>
      </c>
      <c r="D571" s="492" t="s">
        <v>2898</v>
      </c>
      <c r="E571" s="493" t="s">
        <v>116</v>
      </c>
      <c r="F571" s="493" t="s">
        <v>377</v>
      </c>
      <c r="G571" s="493" t="s">
        <v>117</v>
      </c>
      <c r="H571" s="493" t="s">
        <v>118</v>
      </c>
      <c r="I571" s="493" t="s">
        <v>119</v>
      </c>
      <c r="J571" s="493" t="s">
        <v>510</v>
      </c>
      <c r="K571" s="493" t="s">
        <v>377</v>
      </c>
      <c r="L571" s="493" t="s">
        <v>511</v>
      </c>
      <c r="M571" s="493" t="s">
        <v>2289</v>
      </c>
      <c r="N571" s="493" t="s">
        <v>513</v>
      </c>
      <c r="O571" s="493">
        <v>3124000</v>
      </c>
      <c r="P571" s="439">
        <v>2840000</v>
      </c>
      <c r="Q571" s="493">
        <v>284000</v>
      </c>
      <c r="R571" s="493" t="s">
        <v>124</v>
      </c>
      <c r="S571" s="493" t="s">
        <v>382</v>
      </c>
      <c r="T571" s="493" t="s">
        <v>125</v>
      </c>
      <c r="U571" s="493" t="s">
        <v>126</v>
      </c>
      <c r="V571" s="493" t="s">
        <v>127</v>
      </c>
      <c r="W571" s="493" t="s">
        <v>128</v>
      </c>
      <c r="X571" s="493" t="s">
        <v>514</v>
      </c>
      <c r="Y571" s="493" t="s">
        <v>377</v>
      </c>
      <c r="Z571" s="493" t="s">
        <v>2868</v>
      </c>
      <c r="AA571" s="493" t="s">
        <v>130</v>
      </c>
      <c r="AB571" s="493" t="s">
        <v>377</v>
      </c>
      <c r="AC571" s="493" t="s">
        <v>131</v>
      </c>
      <c r="AD571" s="493" t="s">
        <v>2879</v>
      </c>
      <c r="AE571" s="493">
        <v>2840000</v>
      </c>
      <c r="AF571" s="493">
        <v>284000</v>
      </c>
      <c r="AG571" s="493" t="s">
        <v>2617</v>
      </c>
      <c r="AH571" s="130">
        <f t="shared" si="115"/>
        <v>46209</v>
      </c>
      <c r="AI571" s="495"/>
      <c r="AJ571" s="439"/>
      <c r="AK571" s="121">
        <f t="shared" si="121"/>
        <v>3124000.0000000005</v>
      </c>
      <c r="AL571" s="440"/>
      <c r="AM571" s="440"/>
      <c r="AN571" s="440"/>
      <c r="AO571" s="440"/>
    </row>
    <row r="572" spans="1:41" ht="16.5" hidden="1" customHeight="1">
      <c r="A572" s="492" t="s">
        <v>2868</v>
      </c>
      <c r="B572" s="493" t="s">
        <v>2880</v>
      </c>
      <c r="C572" s="492" t="s">
        <v>2868</v>
      </c>
      <c r="D572" s="492" t="s">
        <v>2898</v>
      </c>
      <c r="E572" s="493" t="s">
        <v>116</v>
      </c>
      <c r="F572" s="493" t="s">
        <v>377</v>
      </c>
      <c r="G572" s="493" t="s">
        <v>117</v>
      </c>
      <c r="H572" s="493" t="s">
        <v>118</v>
      </c>
      <c r="I572" s="493" t="s">
        <v>119</v>
      </c>
      <c r="J572" s="493" t="s">
        <v>2835</v>
      </c>
      <c r="K572" s="493" t="s">
        <v>377</v>
      </c>
      <c r="L572" s="493" t="s">
        <v>528</v>
      </c>
      <c r="M572" s="493" t="s">
        <v>2836</v>
      </c>
      <c r="N572" s="493" t="s">
        <v>2837</v>
      </c>
      <c r="O572" s="493">
        <v>6098400</v>
      </c>
      <c r="P572" s="439">
        <v>5544000</v>
      </c>
      <c r="Q572" s="493">
        <v>554400</v>
      </c>
      <c r="R572" s="493" t="s">
        <v>124</v>
      </c>
      <c r="S572" s="493" t="s">
        <v>382</v>
      </c>
      <c r="T572" s="493" t="s">
        <v>125</v>
      </c>
      <c r="U572" s="493" t="s">
        <v>126</v>
      </c>
      <c r="V572" s="493" t="s">
        <v>127</v>
      </c>
      <c r="W572" s="493" t="s">
        <v>128</v>
      </c>
      <c r="X572" s="493" t="s">
        <v>2838</v>
      </c>
      <c r="Y572" s="493" t="s">
        <v>377</v>
      </c>
      <c r="Z572" s="493" t="s">
        <v>2868</v>
      </c>
      <c r="AA572" s="493" t="s">
        <v>130</v>
      </c>
      <c r="AB572" s="493" t="s">
        <v>377</v>
      </c>
      <c r="AC572" s="493" t="s">
        <v>131</v>
      </c>
      <c r="AD572" s="493" t="s">
        <v>2881</v>
      </c>
      <c r="AE572" s="493">
        <v>5544000</v>
      </c>
      <c r="AF572" s="493">
        <v>554400</v>
      </c>
      <c r="AG572" s="493" t="s">
        <v>463</v>
      </c>
      <c r="AH572" s="130">
        <f t="shared" si="115"/>
        <v>46209</v>
      </c>
      <c r="AI572" s="495"/>
      <c r="AJ572" s="439"/>
      <c r="AK572" s="121">
        <f t="shared" si="121"/>
        <v>6098400.0000000009</v>
      </c>
      <c r="AL572" s="440"/>
      <c r="AM572" s="440"/>
      <c r="AN572" s="440"/>
      <c r="AO572" s="440"/>
    </row>
    <row r="573" spans="1:41" ht="16.5" hidden="1" customHeight="1">
      <c r="A573" s="492" t="s">
        <v>2868</v>
      </c>
      <c r="B573" s="493" t="s">
        <v>2882</v>
      </c>
      <c r="C573" s="492" t="s">
        <v>2868</v>
      </c>
      <c r="D573" s="492" t="s">
        <v>2898</v>
      </c>
      <c r="E573" s="493" t="s">
        <v>116</v>
      </c>
      <c r="F573" s="493" t="s">
        <v>377</v>
      </c>
      <c r="G573" s="493" t="s">
        <v>117</v>
      </c>
      <c r="H573" s="493" t="s">
        <v>118</v>
      </c>
      <c r="I573" s="493" t="s">
        <v>119</v>
      </c>
      <c r="J573" s="493" t="s">
        <v>2883</v>
      </c>
      <c r="K573" s="493" t="s">
        <v>377</v>
      </c>
      <c r="L573" s="493" t="s">
        <v>2884</v>
      </c>
      <c r="M573" s="493" t="s">
        <v>2885</v>
      </c>
      <c r="N573" s="493" t="s">
        <v>2886</v>
      </c>
      <c r="O573" s="493">
        <v>25692480</v>
      </c>
      <c r="P573" s="439">
        <v>23356800</v>
      </c>
      <c r="Q573" s="493">
        <v>2335680</v>
      </c>
      <c r="R573" s="493" t="s">
        <v>124</v>
      </c>
      <c r="S573" s="493" t="s">
        <v>382</v>
      </c>
      <c r="T573" s="493" t="s">
        <v>125</v>
      </c>
      <c r="U573" s="493" t="s">
        <v>126</v>
      </c>
      <c r="V573" s="493" t="s">
        <v>127</v>
      </c>
      <c r="W573" s="493" t="s">
        <v>128</v>
      </c>
      <c r="X573" s="493" t="s">
        <v>2887</v>
      </c>
      <c r="Y573" s="493" t="s">
        <v>377</v>
      </c>
      <c r="Z573" s="493" t="s">
        <v>2868</v>
      </c>
      <c r="AA573" s="493" t="s">
        <v>130</v>
      </c>
      <c r="AB573" s="493" t="s">
        <v>377</v>
      </c>
      <c r="AC573" s="493" t="s">
        <v>131</v>
      </c>
      <c r="AD573" s="493" t="s">
        <v>2888</v>
      </c>
      <c r="AE573" s="493">
        <v>23356800</v>
      </c>
      <c r="AF573" s="493">
        <v>2335680</v>
      </c>
      <c r="AG573" s="493" t="s">
        <v>2764</v>
      </c>
      <c r="AH573" s="130">
        <f t="shared" si="115"/>
        <v>46209</v>
      </c>
      <c r="AI573" s="495"/>
      <c r="AJ573" s="439"/>
      <c r="AK573" s="121">
        <f t="shared" si="121"/>
        <v>25692480.000000004</v>
      </c>
      <c r="AL573" s="440"/>
      <c r="AM573" s="440"/>
      <c r="AN573" s="440"/>
      <c r="AO573" s="440"/>
    </row>
    <row r="574" spans="1:41" ht="16.5" hidden="1" customHeight="1">
      <c r="A574" s="492" t="s">
        <v>2868</v>
      </c>
      <c r="B574" s="493" t="s">
        <v>2889</v>
      </c>
      <c r="C574" s="492" t="s">
        <v>2868</v>
      </c>
      <c r="D574" s="492" t="s">
        <v>2898</v>
      </c>
      <c r="E574" s="493" t="s">
        <v>116</v>
      </c>
      <c r="F574" s="493" t="s">
        <v>377</v>
      </c>
      <c r="G574" s="493" t="s">
        <v>117</v>
      </c>
      <c r="H574" s="493" t="s">
        <v>118</v>
      </c>
      <c r="I574" s="493" t="s">
        <v>119</v>
      </c>
      <c r="J574" s="493" t="s">
        <v>797</v>
      </c>
      <c r="K574" s="493" t="s">
        <v>377</v>
      </c>
      <c r="L574" s="493" t="s">
        <v>798</v>
      </c>
      <c r="M574" s="493" t="s">
        <v>799</v>
      </c>
      <c r="N574" s="493" t="s">
        <v>800</v>
      </c>
      <c r="O574" s="493">
        <v>12259830</v>
      </c>
      <c r="P574" s="439">
        <v>11145300</v>
      </c>
      <c r="Q574" s="493">
        <v>1114530</v>
      </c>
      <c r="R574" s="493" t="s">
        <v>124</v>
      </c>
      <c r="S574" s="493" t="s">
        <v>382</v>
      </c>
      <c r="T574" s="493" t="s">
        <v>125</v>
      </c>
      <c r="U574" s="493" t="s">
        <v>445</v>
      </c>
      <c r="V574" s="493" t="s">
        <v>127</v>
      </c>
      <c r="W574" s="493" t="s">
        <v>128</v>
      </c>
      <c r="X574" s="493" t="s">
        <v>801</v>
      </c>
      <c r="Y574" s="493" t="s">
        <v>377</v>
      </c>
      <c r="Z574" s="493" t="s">
        <v>2868</v>
      </c>
      <c r="AA574" s="493" t="s">
        <v>130</v>
      </c>
      <c r="AB574" s="493" t="s">
        <v>377</v>
      </c>
      <c r="AC574" s="493" t="s">
        <v>131</v>
      </c>
      <c r="AD574" s="493" t="s">
        <v>2890</v>
      </c>
      <c r="AE574" s="493">
        <v>11145300</v>
      </c>
      <c r="AF574" s="493">
        <v>1114530</v>
      </c>
      <c r="AG574" s="493" t="s">
        <v>1280</v>
      </c>
      <c r="AH574" s="130">
        <f t="shared" si="115"/>
        <v>46209</v>
      </c>
      <c r="AI574" s="495"/>
      <c r="AJ574" s="439"/>
      <c r="AK574" s="121">
        <f t="shared" si="121"/>
        <v>12259830.000000002</v>
      </c>
      <c r="AL574" s="440"/>
      <c r="AM574" s="440"/>
      <c r="AN574" s="440"/>
      <c r="AO574" s="440"/>
    </row>
    <row r="575" spans="1:41" ht="16.5" hidden="1" customHeight="1">
      <c r="A575" s="492" t="s">
        <v>2868</v>
      </c>
      <c r="B575" s="493" t="s">
        <v>2891</v>
      </c>
      <c r="C575" s="492" t="s">
        <v>2868</v>
      </c>
      <c r="D575" s="492" t="s">
        <v>2898</v>
      </c>
      <c r="E575" s="493" t="s">
        <v>116</v>
      </c>
      <c r="F575" s="493" t="s">
        <v>377</v>
      </c>
      <c r="G575" s="493" t="s">
        <v>117</v>
      </c>
      <c r="H575" s="493" t="s">
        <v>118</v>
      </c>
      <c r="I575" s="493" t="s">
        <v>119</v>
      </c>
      <c r="J575" s="493" t="s">
        <v>869</v>
      </c>
      <c r="K575" s="493" t="s">
        <v>377</v>
      </c>
      <c r="L575" s="493" t="s">
        <v>870</v>
      </c>
      <c r="M575" s="493" t="s">
        <v>871</v>
      </c>
      <c r="N575" s="493" t="s">
        <v>872</v>
      </c>
      <c r="O575" s="493">
        <v>3124000</v>
      </c>
      <c r="P575" s="439">
        <v>2840000</v>
      </c>
      <c r="Q575" s="493">
        <v>284000</v>
      </c>
      <c r="R575" s="493" t="s">
        <v>124</v>
      </c>
      <c r="S575" s="493" t="s">
        <v>382</v>
      </c>
      <c r="T575" s="493" t="s">
        <v>125</v>
      </c>
      <c r="U575" s="493" t="s">
        <v>126</v>
      </c>
      <c r="V575" s="493" t="s">
        <v>127</v>
      </c>
      <c r="W575" s="493" t="s">
        <v>128</v>
      </c>
      <c r="X575" s="493" t="s">
        <v>873</v>
      </c>
      <c r="Y575" s="493" t="s">
        <v>377</v>
      </c>
      <c r="Z575" s="493" t="s">
        <v>2868</v>
      </c>
      <c r="AA575" s="493" t="s">
        <v>130</v>
      </c>
      <c r="AB575" s="493" t="s">
        <v>377</v>
      </c>
      <c r="AC575" s="493" t="s">
        <v>131</v>
      </c>
      <c r="AD575" s="493" t="s">
        <v>2879</v>
      </c>
      <c r="AE575" s="493">
        <v>2840000</v>
      </c>
      <c r="AF575" s="493">
        <v>284000</v>
      </c>
      <c r="AG575" s="493" t="s">
        <v>2622</v>
      </c>
      <c r="AH575" s="130">
        <f t="shared" si="115"/>
        <v>46209</v>
      </c>
      <c r="AI575" s="495"/>
      <c r="AJ575" s="439"/>
      <c r="AK575" s="121">
        <f t="shared" si="121"/>
        <v>3124000.0000000005</v>
      </c>
      <c r="AL575" s="440"/>
      <c r="AM575" s="440"/>
      <c r="AN575" s="440"/>
      <c r="AO575" s="440"/>
    </row>
    <row r="576" spans="1:41" ht="16.5" hidden="1" customHeight="1">
      <c r="A576" s="492" t="s">
        <v>2868</v>
      </c>
      <c r="B576" s="493" t="s">
        <v>2892</v>
      </c>
      <c r="C576" s="492" t="s">
        <v>2868</v>
      </c>
      <c r="D576" s="492" t="s">
        <v>2898</v>
      </c>
      <c r="E576" s="493" t="s">
        <v>116</v>
      </c>
      <c r="F576" s="493" t="s">
        <v>377</v>
      </c>
      <c r="G576" s="493" t="s">
        <v>117</v>
      </c>
      <c r="H576" s="493" t="s">
        <v>118</v>
      </c>
      <c r="I576" s="493" t="s">
        <v>119</v>
      </c>
      <c r="J576" s="493" t="s">
        <v>1666</v>
      </c>
      <c r="K576" s="493" t="s">
        <v>377</v>
      </c>
      <c r="L576" s="493" t="s">
        <v>1667</v>
      </c>
      <c r="M576" s="493" t="s">
        <v>1668</v>
      </c>
      <c r="N576" s="493" t="s">
        <v>1669</v>
      </c>
      <c r="O576" s="493">
        <v>1834800</v>
      </c>
      <c r="P576" s="439">
        <v>1668000</v>
      </c>
      <c r="Q576" s="493">
        <v>166800</v>
      </c>
      <c r="R576" s="493" t="s">
        <v>124</v>
      </c>
      <c r="S576" s="493" t="s">
        <v>382</v>
      </c>
      <c r="T576" s="493" t="s">
        <v>125</v>
      </c>
      <c r="U576" s="493" t="s">
        <v>126</v>
      </c>
      <c r="V576" s="493" t="s">
        <v>127</v>
      </c>
      <c r="W576" s="493" t="s">
        <v>128</v>
      </c>
      <c r="X576" s="493" t="s">
        <v>1670</v>
      </c>
      <c r="Y576" s="493" t="s">
        <v>377</v>
      </c>
      <c r="Z576" s="493" t="s">
        <v>2868</v>
      </c>
      <c r="AA576" s="493" t="s">
        <v>130</v>
      </c>
      <c r="AB576" s="493" t="s">
        <v>377</v>
      </c>
      <c r="AC576" s="493" t="s">
        <v>131</v>
      </c>
      <c r="AD576" s="493" t="s">
        <v>2893</v>
      </c>
      <c r="AE576" s="493">
        <v>1668000</v>
      </c>
      <c r="AF576" s="493">
        <v>166800</v>
      </c>
      <c r="AG576" s="493" t="s">
        <v>2900</v>
      </c>
      <c r="AH576" s="130">
        <f t="shared" si="115"/>
        <v>46209</v>
      </c>
      <c r="AI576" s="495">
        <v>46171</v>
      </c>
      <c r="AJ576" s="439">
        <f>P576*1.1</f>
        <v>1834800.0000000002</v>
      </c>
      <c r="AK576" s="121">
        <f t="shared" si="121"/>
        <v>0</v>
      </c>
      <c r="AL576" s="440"/>
      <c r="AM576" s="440"/>
      <c r="AN576" s="440"/>
      <c r="AO576" s="440"/>
    </row>
    <row r="577" spans="1:41" ht="16.5" hidden="1" customHeight="1">
      <c r="A577" s="492" t="s">
        <v>2868</v>
      </c>
      <c r="B577" s="493" t="s">
        <v>2894</v>
      </c>
      <c r="C577" s="492" t="s">
        <v>2868</v>
      </c>
      <c r="D577" s="492" t="s">
        <v>2898</v>
      </c>
      <c r="E577" s="493" t="s">
        <v>116</v>
      </c>
      <c r="F577" s="493" t="s">
        <v>377</v>
      </c>
      <c r="G577" s="493" t="s">
        <v>117</v>
      </c>
      <c r="H577" s="493" t="s">
        <v>118</v>
      </c>
      <c r="I577" s="493" t="s">
        <v>119</v>
      </c>
      <c r="J577" s="493" t="s">
        <v>1681</v>
      </c>
      <c r="K577" s="493" t="s">
        <v>377</v>
      </c>
      <c r="L577" s="493" t="s">
        <v>1682</v>
      </c>
      <c r="M577" s="493" t="s">
        <v>1683</v>
      </c>
      <c r="N577" s="493" t="s">
        <v>1684</v>
      </c>
      <c r="O577" s="493">
        <v>257400</v>
      </c>
      <c r="P577" s="439">
        <v>234000</v>
      </c>
      <c r="Q577" s="493">
        <v>23400</v>
      </c>
      <c r="R577" s="493" t="s">
        <v>124</v>
      </c>
      <c r="S577" s="493" t="s">
        <v>382</v>
      </c>
      <c r="T577" s="493" t="s">
        <v>125</v>
      </c>
      <c r="U577" s="493" t="s">
        <v>126</v>
      </c>
      <c r="V577" s="493" t="s">
        <v>127</v>
      </c>
      <c r="W577" s="493" t="s">
        <v>128</v>
      </c>
      <c r="X577" s="493" t="s">
        <v>1685</v>
      </c>
      <c r="Y577" s="493" t="s">
        <v>377</v>
      </c>
      <c r="Z577" s="493" t="s">
        <v>2868</v>
      </c>
      <c r="AA577" s="493" t="s">
        <v>130</v>
      </c>
      <c r="AB577" s="493" t="s">
        <v>377</v>
      </c>
      <c r="AC577" s="493" t="s">
        <v>131</v>
      </c>
      <c r="AD577" s="493" t="s">
        <v>2895</v>
      </c>
      <c r="AE577" s="493">
        <v>234000</v>
      </c>
      <c r="AF577" s="493">
        <v>23400</v>
      </c>
      <c r="AG577" s="493" t="s">
        <v>1741</v>
      </c>
      <c r="AH577" s="130">
        <f t="shared" si="115"/>
        <v>46209</v>
      </c>
      <c r="AI577" s="495">
        <v>46169</v>
      </c>
      <c r="AJ577" s="439">
        <f>P577*1.1</f>
        <v>257400.00000000003</v>
      </c>
      <c r="AK577" s="121">
        <f t="shared" si="121"/>
        <v>0</v>
      </c>
      <c r="AL577" s="440"/>
      <c r="AM577" s="440"/>
      <c r="AN577" s="440"/>
      <c r="AO577" s="440"/>
    </row>
    <row r="578" spans="1:41" ht="16.5" hidden="1" customHeight="1">
      <c r="A578" s="492" t="s">
        <v>2868</v>
      </c>
      <c r="B578" s="493" t="s">
        <v>2896</v>
      </c>
      <c r="C578" s="492" t="s">
        <v>2868</v>
      </c>
      <c r="D578" s="492" t="s">
        <v>2898</v>
      </c>
      <c r="E578" s="493" t="s">
        <v>116</v>
      </c>
      <c r="F578" s="493" t="s">
        <v>377</v>
      </c>
      <c r="G578" s="493" t="s">
        <v>117</v>
      </c>
      <c r="H578" s="493" t="s">
        <v>118</v>
      </c>
      <c r="I578" s="493" t="s">
        <v>119</v>
      </c>
      <c r="J578" s="493" t="s">
        <v>2291</v>
      </c>
      <c r="K578" s="493" t="s">
        <v>377</v>
      </c>
      <c r="L578" s="493" t="s">
        <v>2292</v>
      </c>
      <c r="M578" s="493" t="s">
        <v>2293</v>
      </c>
      <c r="N578" s="493" t="s">
        <v>2294</v>
      </c>
      <c r="O578" s="493">
        <v>23345300</v>
      </c>
      <c r="P578" s="439">
        <v>21223000</v>
      </c>
      <c r="Q578" s="493">
        <v>2122300</v>
      </c>
      <c r="R578" s="493" t="s">
        <v>124</v>
      </c>
      <c r="S578" s="493" t="s">
        <v>382</v>
      </c>
      <c r="T578" s="493" t="s">
        <v>125</v>
      </c>
      <c r="U578" s="493" t="s">
        <v>445</v>
      </c>
      <c r="V578" s="493" t="s">
        <v>127</v>
      </c>
      <c r="W578" s="493" t="s">
        <v>128</v>
      </c>
      <c r="X578" s="493" t="s">
        <v>2295</v>
      </c>
      <c r="Y578" s="493" t="s">
        <v>377</v>
      </c>
      <c r="Z578" s="493" t="s">
        <v>2868</v>
      </c>
      <c r="AA578" s="493" t="s">
        <v>130</v>
      </c>
      <c r="AB578" s="493" t="s">
        <v>377</v>
      </c>
      <c r="AC578" s="493" t="s">
        <v>131</v>
      </c>
      <c r="AD578" s="493" t="s">
        <v>2897</v>
      </c>
      <c r="AE578" s="493">
        <v>21223000</v>
      </c>
      <c r="AF578" s="493">
        <v>2122300</v>
      </c>
      <c r="AG578" s="493" t="s">
        <v>1023</v>
      </c>
      <c r="AH578" s="130">
        <f t="shared" si="115"/>
        <v>46209</v>
      </c>
      <c r="AI578" s="495"/>
      <c r="AJ578" s="439"/>
      <c r="AK578" s="121">
        <f t="shared" si="121"/>
        <v>23345300.000000004</v>
      </c>
      <c r="AL578" s="440"/>
      <c r="AM578" s="440"/>
      <c r="AN578" s="440"/>
      <c r="AO578" s="440"/>
    </row>
    <row r="579" spans="1:41" ht="16.5" hidden="1" customHeight="1">
      <c r="A579" s="492" t="s">
        <v>2920</v>
      </c>
      <c r="B579" s="493" t="s">
        <v>2962</v>
      </c>
      <c r="C579" s="492" t="s">
        <v>2916</v>
      </c>
      <c r="D579" s="492" t="s">
        <v>2952</v>
      </c>
      <c r="E579" s="493" t="s">
        <v>116</v>
      </c>
      <c r="F579" s="493" t="s">
        <v>377</v>
      </c>
      <c r="G579" s="493" t="s">
        <v>117</v>
      </c>
      <c r="H579" s="493" t="s">
        <v>118</v>
      </c>
      <c r="I579" s="493" t="s">
        <v>119</v>
      </c>
      <c r="J579" s="493" t="s">
        <v>855</v>
      </c>
      <c r="K579" s="493" t="s">
        <v>377</v>
      </c>
      <c r="L579" s="493" t="s">
        <v>856</v>
      </c>
      <c r="M579" s="493" t="s">
        <v>857</v>
      </c>
      <c r="N579" s="493" t="s">
        <v>858</v>
      </c>
      <c r="O579" s="493">
        <v>20116580</v>
      </c>
      <c r="P579" s="439">
        <v>18287800</v>
      </c>
      <c r="Q579" s="493">
        <v>1828780</v>
      </c>
      <c r="R579" s="493" t="s">
        <v>441</v>
      </c>
      <c r="S579" s="493" t="s">
        <v>442</v>
      </c>
      <c r="T579" s="493" t="s">
        <v>125</v>
      </c>
      <c r="U579" s="493" t="s">
        <v>2963</v>
      </c>
      <c r="V579" s="493" t="s">
        <v>127</v>
      </c>
      <c r="W579" s="493" t="s">
        <v>128</v>
      </c>
      <c r="X579" s="493" t="s">
        <v>859</v>
      </c>
      <c r="Y579" s="493" t="s">
        <v>377</v>
      </c>
      <c r="Z579" s="493" t="s">
        <v>2920</v>
      </c>
      <c r="AA579" s="493" t="s">
        <v>130</v>
      </c>
      <c r="AB579" s="493" t="s">
        <v>377</v>
      </c>
      <c r="AC579" s="493" t="s">
        <v>131</v>
      </c>
      <c r="AD579" s="493" t="s">
        <v>2964</v>
      </c>
      <c r="AE579" s="493">
        <v>18287800</v>
      </c>
      <c r="AF579" s="493">
        <v>1828780</v>
      </c>
      <c r="AG579" s="493" t="s">
        <v>2721</v>
      </c>
      <c r="AH579" s="130">
        <f t="shared" si="115"/>
        <v>46210</v>
      </c>
      <c r="AI579" s="495"/>
      <c r="AJ579" s="439"/>
      <c r="AK579" s="121">
        <f t="shared" ref="AK579:AK607" si="122">(P579*1.1)-AJ579</f>
        <v>20116580</v>
      </c>
      <c r="AL579" s="440"/>
      <c r="AM579" s="440"/>
      <c r="AN579" s="440"/>
      <c r="AO579" s="440"/>
    </row>
    <row r="580" spans="1:41" ht="16.5" hidden="1" customHeight="1">
      <c r="A580" s="492" t="s">
        <v>2920</v>
      </c>
      <c r="B580" s="493" t="s">
        <v>2921</v>
      </c>
      <c r="C580" s="492" t="s">
        <v>2920</v>
      </c>
      <c r="D580" s="492" t="s">
        <v>2944</v>
      </c>
      <c r="E580" s="493" t="s">
        <v>116</v>
      </c>
      <c r="F580" s="493" t="s">
        <v>377</v>
      </c>
      <c r="G580" s="493" t="s">
        <v>117</v>
      </c>
      <c r="H580" s="493" t="s">
        <v>118</v>
      </c>
      <c r="I580" s="493" t="s">
        <v>119</v>
      </c>
      <c r="J580" s="493" t="s">
        <v>2779</v>
      </c>
      <c r="K580" s="493" t="s">
        <v>377</v>
      </c>
      <c r="L580" s="493" t="s">
        <v>2780</v>
      </c>
      <c r="M580" s="493" t="s">
        <v>2781</v>
      </c>
      <c r="N580" s="493" t="s">
        <v>2782</v>
      </c>
      <c r="O580" s="493">
        <v>60000000</v>
      </c>
      <c r="P580" s="439">
        <v>54545455</v>
      </c>
      <c r="Q580" s="493">
        <v>5454545</v>
      </c>
      <c r="R580" s="493" t="s">
        <v>124</v>
      </c>
      <c r="S580" s="493" t="s">
        <v>382</v>
      </c>
      <c r="T580" s="493" t="s">
        <v>125</v>
      </c>
      <c r="U580" s="493" t="s">
        <v>126</v>
      </c>
      <c r="V580" s="493" t="s">
        <v>127</v>
      </c>
      <c r="W580" s="493" t="s">
        <v>128</v>
      </c>
      <c r="X580" s="493" t="s">
        <v>2783</v>
      </c>
      <c r="Y580" s="493" t="s">
        <v>377</v>
      </c>
      <c r="Z580" s="493" t="s">
        <v>2920</v>
      </c>
      <c r="AA580" s="493" t="s">
        <v>2922</v>
      </c>
      <c r="AB580" s="493" t="s">
        <v>377</v>
      </c>
      <c r="AC580" s="493" t="s">
        <v>377</v>
      </c>
      <c r="AD580" s="493" t="s">
        <v>377</v>
      </c>
      <c r="AE580" s="493">
        <v>54545455</v>
      </c>
      <c r="AF580" s="493">
        <v>5454545</v>
      </c>
      <c r="AG580" s="493" t="s">
        <v>3002</v>
      </c>
      <c r="AH580" s="130">
        <f t="shared" ref="AH580:AH607" si="123">IF(A580&lt;&gt;"", A580+40, "")</f>
        <v>46210</v>
      </c>
      <c r="AI580" s="495">
        <v>46171</v>
      </c>
      <c r="AJ580" s="439">
        <v>60000000</v>
      </c>
      <c r="AK580" s="121">
        <v>0</v>
      </c>
      <c r="AL580" s="440"/>
      <c r="AM580" s="440"/>
      <c r="AN580" s="440"/>
      <c r="AO580" s="440"/>
    </row>
    <row r="581" spans="1:41" ht="16.5" hidden="1" customHeight="1">
      <c r="A581" s="492" t="s">
        <v>2920</v>
      </c>
      <c r="B581" s="493" t="s">
        <v>2923</v>
      </c>
      <c r="C581" s="492" t="s">
        <v>2920</v>
      </c>
      <c r="D581" s="492" t="s">
        <v>2944</v>
      </c>
      <c r="E581" s="493" t="s">
        <v>116</v>
      </c>
      <c r="F581" s="493" t="s">
        <v>377</v>
      </c>
      <c r="G581" s="493" t="s">
        <v>117</v>
      </c>
      <c r="H581" s="493" t="s">
        <v>118</v>
      </c>
      <c r="I581" s="493" t="s">
        <v>119</v>
      </c>
      <c r="J581" s="493" t="s">
        <v>797</v>
      </c>
      <c r="K581" s="493" t="s">
        <v>377</v>
      </c>
      <c r="L581" s="493" t="s">
        <v>798</v>
      </c>
      <c r="M581" s="493" t="s">
        <v>799</v>
      </c>
      <c r="N581" s="493" t="s">
        <v>800</v>
      </c>
      <c r="O581" s="493">
        <v>10757450</v>
      </c>
      <c r="P581" s="439">
        <v>9779500</v>
      </c>
      <c r="Q581" s="493">
        <v>977950</v>
      </c>
      <c r="R581" s="493" t="s">
        <v>124</v>
      </c>
      <c r="S581" s="493" t="s">
        <v>382</v>
      </c>
      <c r="T581" s="493" t="s">
        <v>125</v>
      </c>
      <c r="U581" s="493" t="s">
        <v>126</v>
      </c>
      <c r="V581" s="493" t="s">
        <v>127</v>
      </c>
      <c r="W581" s="493" t="s">
        <v>128</v>
      </c>
      <c r="X581" s="493" t="s">
        <v>801</v>
      </c>
      <c r="Y581" s="493" t="s">
        <v>377</v>
      </c>
      <c r="Z581" s="493" t="s">
        <v>2920</v>
      </c>
      <c r="AA581" s="493" t="s">
        <v>130</v>
      </c>
      <c r="AB581" s="493" t="s">
        <v>377</v>
      </c>
      <c r="AC581" s="493" t="s">
        <v>131</v>
      </c>
      <c r="AD581" s="493" t="s">
        <v>2924</v>
      </c>
      <c r="AE581" s="493">
        <v>9779500</v>
      </c>
      <c r="AF581" s="493">
        <v>977950</v>
      </c>
      <c r="AG581" s="493" t="s">
        <v>2668</v>
      </c>
      <c r="AH581" s="130">
        <f t="shared" si="123"/>
        <v>46210</v>
      </c>
      <c r="AI581" s="495"/>
      <c r="AJ581" s="439"/>
      <c r="AK581" s="121">
        <f t="shared" si="122"/>
        <v>10757450</v>
      </c>
      <c r="AL581" s="440"/>
      <c r="AM581" s="440"/>
      <c r="AN581" s="440"/>
      <c r="AO581" s="440"/>
    </row>
    <row r="582" spans="1:41" ht="16.5" hidden="1" customHeight="1">
      <c r="A582" s="492" t="s">
        <v>2920</v>
      </c>
      <c r="B582" s="493" t="s">
        <v>2925</v>
      </c>
      <c r="C582" s="492" t="s">
        <v>2920</v>
      </c>
      <c r="D582" s="492" t="s">
        <v>2944</v>
      </c>
      <c r="E582" s="493" t="s">
        <v>116</v>
      </c>
      <c r="F582" s="493" t="s">
        <v>377</v>
      </c>
      <c r="G582" s="493" t="s">
        <v>117</v>
      </c>
      <c r="H582" s="493" t="s">
        <v>118</v>
      </c>
      <c r="I582" s="493" t="s">
        <v>119</v>
      </c>
      <c r="J582" s="493" t="s">
        <v>636</v>
      </c>
      <c r="K582" s="493" t="s">
        <v>377</v>
      </c>
      <c r="L582" s="493" t="s">
        <v>637</v>
      </c>
      <c r="M582" s="493" t="s">
        <v>638</v>
      </c>
      <c r="N582" s="493" t="s">
        <v>639</v>
      </c>
      <c r="O582" s="493">
        <v>1315380</v>
      </c>
      <c r="P582" s="439">
        <v>1195800</v>
      </c>
      <c r="Q582" s="493">
        <v>119580</v>
      </c>
      <c r="R582" s="493" t="s">
        <v>124</v>
      </c>
      <c r="S582" s="493" t="s">
        <v>382</v>
      </c>
      <c r="T582" s="493" t="s">
        <v>125</v>
      </c>
      <c r="U582" s="493" t="s">
        <v>126</v>
      </c>
      <c r="V582" s="493" t="s">
        <v>127</v>
      </c>
      <c r="W582" s="493" t="s">
        <v>128</v>
      </c>
      <c r="X582" s="493" t="s">
        <v>640</v>
      </c>
      <c r="Y582" s="493" t="s">
        <v>377</v>
      </c>
      <c r="Z582" s="493" t="s">
        <v>2920</v>
      </c>
      <c r="AA582" s="493" t="s">
        <v>130</v>
      </c>
      <c r="AB582" s="493" t="s">
        <v>377</v>
      </c>
      <c r="AC582" s="493" t="s">
        <v>131</v>
      </c>
      <c r="AD582" s="493" t="s">
        <v>2926</v>
      </c>
      <c r="AE582" s="493">
        <v>1195800</v>
      </c>
      <c r="AF582" s="493">
        <v>119580</v>
      </c>
      <c r="AG582" s="493" t="s">
        <v>646</v>
      </c>
      <c r="AH582" s="130">
        <f t="shared" si="123"/>
        <v>46210</v>
      </c>
      <c r="AI582" s="495"/>
      <c r="AJ582" s="439"/>
      <c r="AK582" s="121">
        <f t="shared" si="122"/>
        <v>1315380</v>
      </c>
      <c r="AL582" s="440"/>
      <c r="AM582" s="440"/>
      <c r="AN582" s="440"/>
      <c r="AO582" s="440"/>
    </row>
    <row r="583" spans="1:41" ht="16.5" hidden="1" customHeight="1">
      <c r="A583" s="492" t="s">
        <v>2920</v>
      </c>
      <c r="B583" s="493" t="s">
        <v>2927</v>
      </c>
      <c r="C583" s="492" t="s">
        <v>2920</v>
      </c>
      <c r="D583" s="492" t="s">
        <v>2944</v>
      </c>
      <c r="E583" s="493" t="s">
        <v>116</v>
      </c>
      <c r="F583" s="493" t="s">
        <v>377</v>
      </c>
      <c r="G583" s="493" t="s">
        <v>117</v>
      </c>
      <c r="H583" s="493" t="s">
        <v>118</v>
      </c>
      <c r="I583" s="493" t="s">
        <v>119</v>
      </c>
      <c r="J583" s="493" t="s">
        <v>690</v>
      </c>
      <c r="K583" s="493" t="s">
        <v>377</v>
      </c>
      <c r="L583" s="493" t="s">
        <v>691</v>
      </c>
      <c r="M583" s="493" t="s">
        <v>692</v>
      </c>
      <c r="N583" s="493" t="s">
        <v>693</v>
      </c>
      <c r="O583" s="493">
        <v>1493250</v>
      </c>
      <c r="P583" s="439">
        <v>1357500</v>
      </c>
      <c r="Q583" s="493">
        <v>135750</v>
      </c>
      <c r="R583" s="493" t="s">
        <v>124</v>
      </c>
      <c r="S583" s="493" t="s">
        <v>382</v>
      </c>
      <c r="T583" s="493" t="s">
        <v>125</v>
      </c>
      <c r="U583" s="493" t="s">
        <v>445</v>
      </c>
      <c r="V583" s="493" t="s">
        <v>127</v>
      </c>
      <c r="W583" s="493" t="s">
        <v>128</v>
      </c>
      <c r="X583" s="493" t="s">
        <v>694</v>
      </c>
      <c r="Y583" s="493" t="s">
        <v>377</v>
      </c>
      <c r="Z583" s="493" t="s">
        <v>2920</v>
      </c>
      <c r="AA583" s="493" t="s">
        <v>130</v>
      </c>
      <c r="AB583" s="493" t="s">
        <v>377</v>
      </c>
      <c r="AC583" s="493" t="s">
        <v>131</v>
      </c>
      <c r="AD583" s="493" t="s">
        <v>2928</v>
      </c>
      <c r="AE583" s="493">
        <v>1357500</v>
      </c>
      <c r="AF583" s="493">
        <v>135750</v>
      </c>
      <c r="AG583" s="493" t="s">
        <v>2945</v>
      </c>
      <c r="AH583" s="130">
        <f t="shared" si="123"/>
        <v>46210</v>
      </c>
      <c r="AI583" s="495"/>
      <c r="AJ583" s="439"/>
      <c r="AK583" s="121">
        <f t="shared" si="122"/>
        <v>1493250.0000000002</v>
      </c>
      <c r="AL583" s="440"/>
      <c r="AM583" s="440"/>
      <c r="AN583" s="440"/>
      <c r="AO583" s="440"/>
    </row>
    <row r="584" spans="1:41" ht="16.5" hidden="1" customHeight="1">
      <c r="A584" s="492" t="s">
        <v>2920</v>
      </c>
      <c r="B584" s="493" t="s">
        <v>2929</v>
      </c>
      <c r="C584" s="492" t="s">
        <v>2920</v>
      </c>
      <c r="D584" s="492" t="s">
        <v>2944</v>
      </c>
      <c r="E584" s="493" t="s">
        <v>116</v>
      </c>
      <c r="F584" s="493" t="s">
        <v>377</v>
      </c>
      <c r="G584" s="493" t="s">
        <v>117</v>
      </c>
      <c r="H584" s="493" t="s">
        <v>118</v>
      </c>
      <c r="I584" s="493" t="s">
        <v>119</v>
      </c>
      <c r="J584" s="493" t="s">
        <v>1189</v>
      </c>
      <c r="K584" s="493" t="s">
        <v>377</v>
      </c>
      <c r="L584" s="493" t="s">
        <v>1190</v>
      </c>
      <c r="M584" s="493" t="s">
        <v>1191</v>
      </c>
      <c r="N584" s="493" t="s">
        <v>1192</v>
      </c>
      <c r="O584" s="493">
        <v>1496220</v>
      </c>
      <c r="P584" s="439">
        <v>1360200</v>
      </c>
      <c r="Q584" s="493">
        <v>136020</v>
      </c>
      <c r="R584" s="493" t="s">
        <v>124</v>
      </c>
      <c r="S584" s="493" t="s">
        <v>382</v>
      </c>
      <c r="T584" s="493" t="s">
        <v>125</v>
      </c>
      <c r="U584" s="493" t="s">
        <v>126</v>
      </c>
      <c r="V584" s="493" t="s">
        <v>127</v>
      </c>
      <c r="W584" s="493" t="s">
        <v>128</v>
      </c>
      <c r="X584" s="493" t="s">
        <v>1193</v>
      </c>
      <c r="Y584" s="493" t="s">
        <v>377</v>
      </c>
      <c r="Z584" s="493" t="s">
        <v>2920</v>
      </c>
      <c r="AA584" s="493" t="s">
        <v>130</v>
      </c>
      <c r="AB584" s="493" t="s">
        <v>377</v>
      </c>
      <c r="AC584" s="493" t="s">
        <v>131</v>
      </c>
      <c r="AD584" s="493" t="s">
        <v>2930</v>
      </c>
      <c r="AE584" s="493">
        <v>1360200</v>
      </c>
      <c r="AF584" s="493">
        <v>136020</v>
      </c>
      <c r="AG584" s="493" t="s">
        <v>2946</v>
      </c>
      <c r="AH584" s="130">
        <f t="shared" si="123"/>
        <v>46210</v>
      </c>
      <c r="AI584" s="495"/>
      <c r="AJ584" s="439"/>
      <c r="AK584" s="121">
        <f t="shared" si="122"/>
        <v>1496220.0000000002</v>
      </c>
      <c r="AL584" s="440"/>
      <c r="AM584" s="440"/>
      <c r="AN584" s="440"/>
      <c r="AO584" s="440"/>
    </row>
    <row r="585" spans="1:41" ht="16.5" hidden="1" customHeight="1">
      <c r="A585" s="492" t="s">
        <v>2920</v>
      </c>
      <c r="B585" s="493" t="s">
        <v>2931</v>
      </c>
      <c r="C585" s="492" t="s">
        <v>2920</v>
      </c>
      <c r="D585" s="492" t="s">
        <v>2944</v>
      </c>
      <c r="E585" s="493" t="s">
        <v>116</v>
      </c>
      <c r="F585" s="493" t="s">
        <v>377</v>
      </c>
      <c r="G585" s="493" t="s">
        <v>117</v>
      </c>
      <c r="H585" s="493" t="s">
        <v>118</v>
      </c>
      <c r="I585" s="493" t="s">
        <v>119</v>
      </c>
      <c r="J585" s="493" t="s">
        <v>1189</v>
      </c>
      <c r="K585" s="493" t="s">
        <v>377</v>
      </c>
      <c r="L585" s="493" t="s">
        <v>1190</v>
      </c>
      <c r="M585" s="493" t="s">
        <v>1191</v>
      </c>
      <c r="N585" s="493" t="s">
        <v>1192</v>
      </c>
      <c r="O585" s="493">
        <v>12251800</v>
      </c>
      <c r="P585" s="439">
        <v>11138000</v>
      </c>
      <c r="Q585" s="493">
        <v>1113800</v>
      </c>
      <c r="R585" s="493" t="s">
        <v>124</v>
      </c>
      <c r="S585" s="493" t="s">
        <v>382</v>
      </c>
      <c r="T585" s="493" t="s">
        <v>125</v>
      </c>
      <c r="U585" s="493" t="s">
        <v>126</v>
      </c>
      <c r="V585" s="493" t="s">
        <v>127</v>
      </c>
      <c r="W585" s="493" t="s">
        <v>128</v>
      </c>
      <c r="X585" s="493" t="s">
        <v>1193</v>
      </c>
      <c r="Y585" s="493" t="s">
        <v>377</v>
      </c>
      <c r="Z585" s="493" t="s">
        <v>2920</v>
      </c>
      <c r="AA585" s="493" t="s">
        <v>130</v>
      </c>
      <c r="AB585" s="493" t="s">
        <v>377</v>
      </c>
      <c r="AC585" s="493" t="s">
        <v>131</v>
      </c>
      <c r="AD585" s="493" t="s">
        <v>2932</v>
      </c>
      <c r="AE585" s="493">
        <v>11138000</v>
      </c>
      <c r="AF585" s="493">
        <v>1113800</v>
      </c>
      <c r="AG585" s="493" t="s">
        <v>2947</v>
      </c>
      <c r="AH585" s="130">
        <f t="shared" si="123"/>
        <v>46210</v>
      </c>
      <c r="AI585" s="495"/>
      <c r="AJ585" s="439"/>
      <c r="AK585" s="121">
        <f t="shared" si="122"/>
        <v>12251800.000000002</v>
      </c>
      <c r="AL585" s="440"/>
      <c r="AM585" s="440"/>
      <c r="AN585" s="440"/>
      <c r="AO585" s="440"/>
    </row>
    <row r="586" spans="1:41" ht="16.5" hidden="1" customHeight="1">
      <c r="A586" s="492" t="s">
        <v>2920</v>
      </c>
      <c r="B586" s="493" t="s">
        <v>2933</v>
      </c>
      <c r="C586" s="492" t="s">
        <v>2920</v>
      </c>
      <c r="D586" s="492" t="s">
        <v>2944</v>
      </c>
      <c r="E586" s="493" t="s">
        <v>116</v>
      </c>
      <c r="F586" s="493" t="s">
        <v>377</v>
      </c>
      <c r="G586" s="493" t="s">
        <v>117</v>
      </c>
      <c r="H586" s="493" t="s">
        <v>118</v>
      </c>
      <c r="I586" s="493" t="s">
        <v>119</v>
      </c>
      <c r="J586" s="493" t="s">
        <v>703</v>
      </c>
      <c r="K586" s="493" t="s">
        <v>377</v>
      </c>
      <c r="L586" s="493" t="s">
        <v>704</v>
      </c>
      <c r="M586" s="493" t="s">
        <v>705</v>
      </c>
      <c r="N586" s="493" t="s">
        <v>706</v>
      </c>
      <c r="O586" s="493">
        <v>15021600</v>
      </c>
      <c r="P586" s="439">
        <v>13656000</v>
      </c>
      <c r="Q586" s="493">
        <v>1365600</v>
      </c>
      <c r="R586" s="493" t="s">
        <v>124</v>
      </c>
      <c r="S586" s="493" t="s">
        <v>382</v>
      </c>
      <c r="T586" s="493" t="s">
        <v>125</v>
      </c>
      <c r="U586" s="493" t="s">
        <v>126</v>
      </c>
      <c r="V586" s="493" t="s">
        <v>127</v>
      </c>
      <c r="W586" s="493" t="s">
        <v>128</v>
      </c>
      <c r="X586" s="493" t="s">
        <v>707</v>
      </c>
      <c r="Y586" s="493" t="s">
        <v>377</v>
      </c>
      <c r="Z586" s="493" t="s">
        <v>2920</v>
      </c>
      <c r="AA586" s="493" t="s">
        <v>130</v>
      </c>
      <c r="AB586" s="493" t="s">
        <v>377</v>
      </c>
      <c r="AC586" s="493" t="s">
        <v>131</v>
      </c>
      <c r="AD586" s="493" t="s">
        <v>2934</v>
      </c>
      <c r="AE586" s="493">
        <v>13656000</v>
      </c>
      <c r="AF586" s="493">
        <v>1365600</v>
      </c>
      <c r="AG586" s="493" t="s">
        <v>2948</v>
      </c>
      <c r="AH586" s="130">
        <f t="shared" si="123"/>
        <v>46210</v>
      </c>
      <c r="AI586" s="495"/>
      <c r="AJ586" s="439"/>
      <c r="AK586" s="121">
        <f t="shared" si="122"/>
        <v>15021600.000000002</v>
      </c>
      <c r="AL586" s="440"/>
      <c r="AM586" s="440"/>
      <c r="AN586" s="440"/>
      <c r="AO586" s="440"/>
    </row>
    <row r="587" spans="1:41" ht="16.5" hidden="1" customHeight="1">
      <c r="A587" s="492" t="s">
        <v>2920</v>
      </c>
      <c r="B587" s="493" t="s">
        <v>2935</v>
      </c>
      <c r="C587" s="492" t="s">
        <v>2920</v>
      </c>
      <c r="D587" s="492" t="s">
        <v>2944</v>
      </c>
      <c r="E587" s="493" t="s">
        <v>116</v>
      </c>
      <c r="F587" s="493" t="s">
        <v>377</v>
      </c>
      <c r="G587" s="493" t="s">
        <v>117</v>
      </c>
      <c r="H587" s="493" t="s">
        <v>118</v>
      </c>
      <c r="I587" s="493" t="s">
        <v>119</v>
      </c>
      <c r="J587" s="493" t="s">
        <v>836</v>
      </c>
      <c r="K587" s="493" t="s">
        <v>377</v>
      </c>
      <c r="L587" s="493" t="s">
        <v>837</v>
      </c>
      <c r="M587" s="493" t="s">
        <v>838</v>
      </c>
      <c r="N587" s="493" t="s">
        <v>839</v>
      </c>
      <c r="O587" s="493">
        <v>20799350</v>
      </c>
      <c r="P587" s="439">
        <v>18908500</v>
      </c>
      <c r="Q587" s="493">
        <v>1890850</v>
      </c>
      <c r="R587" s="493" t="s">
        <v>124</v>
      </c>
      <c r="S587" s="493" t="s">
        <v>382</v>
      </c>
      <c r="T587" s="493" t="s">
        <v>125</v>
      </c>
      <c r="U587" s="493" t="s">
        <v>126</v>
      </c>
      <c r="V587" s="493" t="s">
        <v>127</v>
      </c>
      <c r="W587" s="493" t="s">
        <v>128</v>
      </c>
      <c r="X587" s="493" t="s">
        <v>840</v>
      </c>
      <c r="Y587" s="493" t="s">
        <v>377</v>
      </c>
      <c r="Z587" s="493" t="s">
        <v>2920</v>
      </c>
      <c r="AA587" s="493" t="s">
        <v>130</v>
      </c>
      <c r="AB587" s="493" t="s">
        <v>377</v>
      </c>
      <c r="AC587" s="493" t="s">
        <v>131</v>
      </c>
      <c r="AD587" s="493" t="s">
        <v>2936</v>
      </c>
      <c r="AE587" s="493">
        <v>18908500</v>
      </c>
      <c r="AF587" s="493">
        <v>1890850</v>
      </c>
      <c r="AG587" s="493" t="s">
        <v>2949</v>
      </c>
      <c r="AH587" s="130">
        <f t="shared" si="123"/>
        <v>46210</v>
      </c>
      <c r="AI587" s="495">
        <v>46171</v>
      </c>
      <c r="AJ587" s="439">
        <f>P587*1.1</f>
        <v>20799350</v>
      </c>
      <c r="AK587" s="121">
        <f t="shared" si="122"/>
        <v>0</v>
      </c>
      <c r="AL587" s="440"/>
      <c r="AM587" s="440"/>
      <c r="AN587" s="440"/>
      <c r="AO587" s="440"/>
    </row>
    <row r="588" spans="1:41" ht="16.5" hidden="1" customHeight="1">
      <c r="A588" s="492" t="s">
        <v>2920</v>
      </c>
      <c r="B588" s="493" t="s">
        <v>2937</v>
      </c>
      <c r="C588" s="492" t="s">
        <v>2920</v>
      </c>
      <c r="D588" s="492" t="s">
        <v>2944</v>
      </c>
      <c r="E588" s="493" t="s">
        <v>116</v>
      </c>
      <c r="F588" s="493" t="s">
        <v>377</v>
      </c>
      <c r="G588" s="493" t="s">
        <v>117</v>
      </c>
      <c r="H588" s="493" t="s">
        <v>118</v>
      </c>
      <c r="I588" s="493" t="s">
        <v>119</v>
      </c>
      <c r="J588" s="493" t="s">
        <v>681</v>
      </c>
      <c r="K588" s="493" t="s">
        <v>377</v>
      </c>
      <c r="L588" s="493" t="s">
        <v>682</v>
      </c>
      <c r="M588" s="493" t="s">
        <v>683</v>
      </c>
      <c r="N588" s="493" t="s">
        <v>684</v>
      </c>
      <c r="O588" s="493">
        <v>5381750</v>
      </c>
      <c r="P588" s="439">
        <v>4892500</v>
      </c>
      <c r="Q588" s="493">
        <v>489250</v>
      </c>
      <c r="R588" s="493" t="s">
        <v>124</v>
      </c>
      <c r="S588" s="493" t="s">
        <v>382</v>
      </c>
      <c r="T588" s="493" t="s">
        <v>125</v>
      </c>
      <c r="U588" s="493" t="s">
        <v>126</v>
      </c>
      <c r="V588" s="493" t="s">
        <v>127</v>
      </c>
      <c r="W588" s="493" t="s">
        <v>128</v>
      </c>
      <c r="X588" s="493" t="s">
        <v>685</v>
      </c>
      <c r="Y588" s="493" t="s">
        <v>377</v>
      </c>
      <c r="Z588" s="493" t="s">
        <v>2920</v>
      </c>
      <c r="AA588" s="493" t="s">
        <v>130</v>
      </c>
      <c r="AB588" s="493" t="s">
        <v>377</v>
      </c>
      <c r="AC588" s="493" t="s">
        <v>131</v>
      </c>
      <c r="AD588" s="493" t="s">
        <v>2663</v>
      </c>
      <c r="AE588" s="493">
        <v>4892500</v>
      </c>
      <c r="AF588" s="493">
        <v>489250</v>
      </c>
      <c r="AG588" s="493" t="s">
        <v>2615</v>
      </c>
      <c r="AH588" s="130">
        <f t="shared" si="123"/>
        <v>46210</v>
      </c>
      <c r="AI588" s="495"/>
      <c r="AJ588" s="439"/>
      <c r="AK588" s="121">
        <f t="shared" si="122"/>
        <v>5381750</v>
      </c>
      <c r="AL588" s="440"/>
      <c r="AM588" s="440"/>
      <c r="AN588" s="440"/>
      <c r="AO588" s="440"/>
    </row>
    <row r="589" spans="1:41" ht="16.5" hidden="1" customHeight="1">
      <c r="A589" s="492" t="s">
        <v>2920</v>
      </c>
      <c r="B589" s="493" t="s">
        <v>2938</v>
      </c>
      <c r="C589" s="492" t="s">
        <v>2920</v>
      </c>
      <c r="D589" s="492" t="s">
        <v>2944</v>
      </c>
      <c r="E589" s="493" t="s">
        <v>116</v>
      </c>
      <c r="F589" s="493" t="s">
        <v>377</v>
      </c>
      <c r="G589" s="493" t="s">
        <v>117</v>
      </c>
      <c r="H589" s="493" t="s">
        <v>118</v>
      </c>
      <c r="I589" s="493" t="s">
        <v>119</v>
      </c>
      <c r="J589" s="493" t="s">
        <v>710</v>
      </c>
      <c r="K589" s="493" t="s">
        <v>377</v>
      </c>
      <c r="L589" s="493" t="s">
        <v>586</v>
      </c>
      <c r="M589" s="493" t="s">
        <v>711</v>
      </c>
      <c r="N589" s="493" t="s">
        <v>712</v>
      </c>
      <c r="O589" s="493">
        <v>2732840</v>
      </c>
      <c r="P589" s="439">
        <v>2484400</v>
      </c>
      <c r="Q589" s="493">
        <v>248440</v>
      </c>
      <c r="R589" s="493" t="s">
        <v>124</v>
      </c>
      <c r="S589" s="493" t="s">
        <v>382</v>
      </c>
      <c r="T589" s="493" t="s">
        <v>125</v>
      </c>
      <c r="U589" s="493" t="s">
        <v>126</v>
      </c>
      <c r="V589" s="493" t="s">
        <v>127</v>
      </c>
      <c r="W589" s="493" t="s">
        <v>128</v>
      </c>
      <c r="X589" s="493" t="s">
        <v>713</v>
      </c>
      <c r="Y589" s="493" t="s">
        <v>377</v>
      </c>
      <c r="Z589" s="493" t="s">
        <v>2920</v>
      </c>
      <c r="AA589" s="493" t="s">
        <v>130</v>
      </c>
      <c r="AB589" s="493" t="s">
        <v>377</v>
      </c>
      <c r="AC589" s="493" t="s">
        <v>131</v>
      </c>
      <c r="AD589" s="493" t="s">
        <v>2939</v>
      </c>
      <c r="AE589" s="493">
        <v>2484400</v>
      </c>
      <c r="AF589" s="493">
        <v>248440</v>
      </c>
      <c r="AG589" s="493" t="s">
        <v>2950</v>
      </c>
      <c r="AH589" s="130">
        <f t="shared" si="123"/>
        <v>46210</v>
      </c>
      <c r="AI589" s="495"/>
      <c r="AJ589" s="439"/>
      <c r="AK589" s="121">
        <f t="shared" si="122"/>
        <v>2732840</v>
      </c>
      <c r="AL589" s="440"/>
      <c r="AM589" s="440"/>
      <c r="AN589" s="440"/>
      <c r="AO589" s="440"/>
    </row>
    <row r="590" spans="1:41" ht="16.5" hidden="1" customHeight="1">
      <c r="A590" s="492" t="s">
        <v>2920</v>
      </c>
      <c r="B590" s="493" t="s">
        <v>2940</v>
      </c>
      <c r="C590" s="492" t="s">
        <v>2920</v>
      </c>
      <c r="D590" s="492" t="s">
        <v>2944</v>
      </c>
      <c r="E590" s="493" t="s">
        <v>116</v>
      </c>
      <c r="F590" s="493" t="s">
        <v>377</v>
      </c>
      <c r="G590" s="493" t="s">
        <v>117</v>
      </c>
      <c r="H590" s="493" t="s">
        <v>118</v>
      </c>
      <c r="I590" s="493" t="s">
        <v>119</v>
      </c>
      <c r="J590" s="493" t="s">
        <v>2808</v>
      </c>
      <c r="K590" s="493" t="s">
        <v>377</v>
      </c>
      <c r="L590" s="493" t="s">
        <v>2809</v>
      </c>
      <c r="M590" s="493" t="s">
        <v>2810</v>
      </c>
      <c r="N590" s="493" t="s">
        <v>2811</v>
      </c>
      <c r="O590" s="493">
        <v>38146680</v>
      </c>
      <c r="P590" s="439">
        <v>34678800</v>
      </c>
      <c r="Q590" s="493">
        <v>3467880</v>
      </c>
      <c r="R590" s="493" t="s">
        <v>124</v>
      </c>
      <c r="S590" s="493" t="s">
        <v>382</v>
      </c>
      <c r="T590" s="493" t="s">
        <v>125</v>
      </c>
      <c r="U590" s="493" t="s">
        <v>126</v>
      </c>
      <c r="V590" s="493" t="s">
        <v>127</v>
      </c>
      <c r="W590" s="493" t="s">
        <v>128</v>
      </c>
      <c r="X590" s="493" t="s">
        <v>2812</v>
      </c>
      <c r="Y590" s="493" t="s">
        <v>377</v>
      </c>
      <c r="Z590" s="493" t="s">
        <v>2920</v>
      </c>
      <c r="AA590" s="493" t="s">
        <v>130</v>
      </c>
      <c r="AB590" s="493" t="s">
        <v>377</v>
      </c>
      <c r="AC590" s="493" t="s">
        <v>131</v>
      </c>
      <c r="AD590" s="493" t="s">
        <v>2941</v>
      </c>
      <c r="AE590" s="493">
        <v>34678800</v>
      </c>
      <c r="AF590" s="493">
        <v>3467880</v>
      </c>
      <c r="AG590" s="493" t="s">
        <v>2951</v>
      </c>
      <c r="AH590" s="130">
        <f t="shared" si="123"/>
        <v>46210</v>
      </c>
      <c r="AI590" s="495"/>
      <c r="AJ590" s="439"/>
      <c r="AK590" s="121">
        <f t="shared" si="122"/>
        <v>38146680</v>
      </c>
      <c r="AL590" s="440"/>
      <c r="AM590" s="440"/>
      <c r="AN590" s="440"/>
      <c r="AO590" s="440"/>
    </row>
    <row r="591" spans="1:41" ht="16.5" hidden="1" customHeight="1">
      <c r="A591" s="492" t="s">
        <v>2920</v>
      </c>
      <c r="B591" s="493" t="s">
        <v>2942</v>
      </c>
      <c r="C591" s="492" t="s">
        <v>2920</v>
      </c>
      <c r="D591" s="492" t="s">
        <v>2944</v>
      </c>
      <c r="E591" s="493" t="s">
        <v>116</v>
      </c>
      <c r="F591" s="493" t="s">
        <v>377</v>
      </c>
      <c r="G591" s="493" t="s">
        <v>117</v>
      </c>
      <c r="H591" s="493" t="s">
        <v>118</v>
      </c>
      <c r="I591" s="493" t="s">
        <v>119</v>
      </c>
      <c r="J591" s="493" t="s">
        <v>2291</v>
      </c>
      <c r="K591" s="493" t="s">
        <v>377</v>
      </c>
      <c r="L591" s="493" t="s">
        <v>2292</v>
      </c>
      <c r="M591" s="493" t="s">
        <v>2293</v>
      </c>
      <c r="N591" s="493" t="s">
        <v>2294</v>
      </c>
      <c r="O591" s="493">
        <v>11672650</v>
      </c>
      <c r="P591" s="439">
        <v>10611500</v>
      </c>
      <c r="Q591" s="493">
        <v>1061150</v>
      </c>
      <c r="R591" s="493" t="s">
        <v>124</v>
      </c>
      <c r="S591" s="493" t="s">
        <v>382</v>
      </c>
      <c r="T591" s="493" t="s">
        <v>125</v>
      </c>
      <c r="U591" s="493" t="s">
        <v>445</v>
      </c>
      <c r="V591" s="493" t="s">
        <v>127</v>
      </c>
      <c r="W591" s="493" t="s">
        <v>128</v>
      </c>
      <c r="X591" s="493" t="s">
        <v>2295</v>
      </c>
      <c r="Y591" s="493" t="s">
        <v>377</v>
      </c>
      <c r="Z591" s="493" t="s">
        <v>2920</v>
      </c>
      <c r="AA591" s="493" t="s">
        <v>130</v>
      </c>
      <c r="AB591" s="493" t="s">
        <v>377</v>
      </c>
      <c r="AC591" s="493" t="s">
        <v>131</v>
      </c>
      <c r="AD591" s="493" t="s">
        <v>2943</v>
      </c>
      <c r="AE591" s="493">
        <v>10611500</v>
      </c>
      <c r="AF591" s="493">
        <v>1061150</v>
      </c>
      <c r="AG591" s="493" t="s">
        <v>2857</v>
      </c>
      <c r="AH591" s="130">
        <f t="shared" si="123"/>
        <v>46210</v>
      </c>
      <c r="AI591" s="495"/>
      <c r="AJ591" s="439"/>
      <c r="AK591" s="121">
        <f t="shared" si="122"/>
        <v>11672650.000000002</v>
      </c>
      <c r="AL591" s="440"/>
      <c r="AM591" s="440"/>
      <c r="AN591" s="440"/>
      <c r="AO591" s="440"/>
    </row>
    <row r="592" spans="1:41" ht="16.5" hidden="1" customHeight="1">
      <c r="A592" s="492" t="s">
        <v>2916</v>
      </c>
      <c r="B592" s="493" t="s">
        <v>2965</v>
      </c>
      <c r="C592" s="492" t="s">
        <v>2916</v>
      </c>
      <c r="D592" s="492" t="s">
        <v>2952</v>
      </c>
      <c r="E592" s="493" t="s">
        <v>116</v>
      </c>
      <c r="F592" s="493" t="s">
        <v>377</v>
      </c>
      <c r="G592" s="493" t="s">
        <v>117</v>
      </c>
      <c r="H592" s="493" t="s">
        <v>118</v>
      </c>
      <c r="I592" s="493" t="s">
        <v>119</v>
      </c>
      <c r="J592" s="493" t="s">
        <v>1144</v>
      </c>
      <c r="K592" s="493" t="s">
        <v>377</v>
      </c>
      <c r="L592" s="493" t="s">
        <v>1145</v>
      </c>
      <c r="M592" s="493" t="s">
        <v>1146</v>
      </c>
      <c r="N592" s="493" t="s">
        <v>1147</v>
      </c>
      <c r="O592" s="493">
        <v>3250610</v>
      </c>
      <c r="P592" s="439">
        <v>2955100</v>
      </c>
      <c r="Q592" s="493">
        <v>295510</v>
      </c>
      <c r="R592" s="493" t="s">
        <v>124</v>
      </c>
      <c r="S592" s="493" t="s">
        <v>382</v>
      </c>
      <c r="T592" s="493" t="s">
        <v>125</v>
      </c>
      <c r="U592" s="493" t="s">
        <v>126</v>
      </c>
      <c r="V592" s="493" t="s">
        <v>127</v>
      </c>
      <c r="W592" s="493" t="s">
        <v>128</v>
      </c>
      <c r="X592" s="493" t="s">
        <v>1148</v>
      </c>
      <c r="Y592" s="493" t="s">
        <v>377</v>
      </c>
      <c r="Z592" s="493" t="s">
        <v>2916</v>
      </c>
      <c r="AA592" s="493" t="s">
        <v>130</v>
      </c>
      <c r="AB592" s="493" t="s">
        <v>377</v>
      </c>
      <c r="AC592" s="493" t="s">
        <v>131</v>
      </c>
      <c r="AD592" s="493" t="s">
        <v>2966</v>
      </c>
      <c r="AE592" s="493">
        <v>2955100</v>
      </c>
      <c r="AF592" s="493">
        <v>295510</v>
      </c>
      <c r="AG592" s="493" t="s">
        <v>2486</v>
      </c>
      <c r="AH592" s="130">
        <f t="shared" si="123"/>
        <v>46211</v>
      </c>
      <c r="AI592" s="495"/>
      <c r="AJ592" s="439"/>
      <c r="AK592" s="121">
        <f t="shared" si="122"/>
        <v>3250610.0000000005</v>
      </c>
      <c r="AL592" s="440"/>
      <c r="AM592" s="440"/>
      <c r="AN592" s="440"/>
      <c r="AO592" s="440"/>
    </row>
    <row r="593" spans="1:41" ht="16.5" hidden="1" customHeight="1">
      <c r="A593" s="492" t="s">
        <v>2916</v>
      </c>
      <c r="B593" s="493" t="s">
        <v>2967</v>
      </c>
      <c r="C593" s="492" t="s">
        <v>2916</v>
      </c>
      <c r="D593" s="492" t="s">
        <v>2952</v>
      </c>
      <c r="E593" s="493" t="s">
        <v>116</v>
      </c>
      <c r="F593" s="493" t="s">
        <v>377</v>
      </c>
      <c r="G593" s="493" t="s">
        <v>117</v>
      </c>
      <c r="H593" s="493" t="s">
        <v>118</v>
      </c>
      <c r="I593" s="493" t="s">
        <v>119</v>
      </c>
      <c r="J593" s="493" t="s">
        <v>2968</v>
      </c>
      <c r="K593" s="493" t="s">
        <v>377</v>
      </c>
      <c r="L593" s="493" t="s">
        <v>2969</v>
      </c>
      <c r="M593" s="493" t="s">
        <v>2970</v>
      </c>
      <c r="N593" s="493" t="s">
        <v>2971</v>
      </c>
      <c r="O593" s="493">
        <v>1206370</v>
      </c>
      <c r="P593" s="439">
        <v>1096700</v>
      </c>
      <c r="Q593" s="493">
        <v>109670</v>
      </c>
      <c r="R593" s="493" t="s">
        <v>124</v>
      </c>
      <c r="S593" s="493" t="s">
        <v>382</v>
      </c>
      <c r="T593" s="493" t="s">
        <v>125</v>
      </c>
      <c r="U593" s="493" t="s">
        <v>126</v>
      </c>
      <c r="V593" s="493" t="s">
        <v>127</v>
      </c>
      <c r="W593" s="493" t="s">
        <v>128</v>
      </c>
      <c r="X593" s="493" t="s">
        <v>2972</v>
      </c>
      <c r="Y593" s="493" t="s">
        <v>377</v>
      </c>
      <c r="Z593" s="493" t="s">
        <v>2916</v>
      </c>
      <c r="AA593" s="493" t="s">
        <v>130</v>
      </c>
      <c r="AB593" s="493" t="s">
        <v>377</v>
      </c>
      <c r="AC593" s="493" t="s">
        <v>131</v>
      </c>
      <c r="AD593" s="493" t="s">
        <v>2973</v>
      </c>
      <c r="AE593" s="493">
        <v>1096700</v>
      </c>
      <c r="AF593" s="493">
        <v>109670</v>
      </c>
      <c r="AG593" s="493" t="s">
        <v>2997</v>
      </c>
      <c r="AH593" s="130">
        <f t="shared" si="123"/>
        <v>46211</v>
      </c>
      <c r="AI593" s="495"/>
      <c r="AJ593" s="439"/>
      <c r="AK593" s="121">
        <f t="shared" si="122"/>
        <v>1206370</v>
      </c>
      <c r="AL593" s="440"/>
      <c r="AM593" s="440"/>
      <c r="AN593" s="440"/>
      <c r="AO593" s="440"/>
    </row>
    <row r="594" spans="1:41" ht="16.5" hidden="1" customHeight="1">
      <c r="A594" s="492" t="s">
        <v>2916</v>
      </c>
      <c r="B594" s="493" t="s">
        <v>2974</v>
      </c>
      <c r="C594" s="492" t="s">
        <v>2916</v>
      </c>
      <c r="D594" s="492" t="s">
        <v>2952</v>
      </c>
      <c r="E594" s="493" t="s">
        <v>116</v>
      </c>
      <c r="F594" s="493" t="s">
        <v>377</v>
      </c>
      <c r="G594" s="493" t="s">
        <v>117</v>
      </c>
      <c r="H594" s="493" t="s">
        <v>118</v>
      </c>
      <c r="I594" s="493" t="s">
        <v>119</v>
      </c>
      <c r="J594" s="493" t="s">
        <v>2835</v>
      </c>
      <c r="K594" s="493" t="s">
        <v>377</v>
      </c>
      <c r="L594" s="493" t="s">
        <v>528</v>
      </c>
      <c r="M594" s="493" t="s">
        <v>2836</v>
      </c>
      <c r="N594" s="493" t="s">
        <v>2837</v>
      </c>
      <c r="O594" s="493">
        <v>3498000</v>
      </c>
      <c r="P594" s="439">
        <v>3180000</v>
      </c>
      <c r="Q594" s="493">
        <v>318000</v>
      </c>
      <c r="R594" s="493" t="s">
        <v>124</v>
      </c>
      <c r="S594" s="493" t="s">
        <v>382</v>
      </c>
      <c r="T594" s="493" t="s">
        <v>125</v>
      </c>
      <c r="U594" s="493" t="s">
        <v>126</v>
      </c>
      <c r="V594" s="493" t="s">
        <v>127</v>
      </c>
      <c r="W594" s="493" t="s">
        <v>128</v>
      </c>
      <c r="X594" s="493" t="s">
        <v>2838</v>
      </c>
      <c r="Y594" s="493" t="s">
        <v>377</v>
      </c>
      <c r="Z594" s="493" t="s">
        <v>2916</v>
      </c>
      <c r="AA594" s="493" t="s">
        <v>130</v>
      </c>
      <c r="AB594" s="493" t="s">
        <v>377</v>
      </c>
      <c r="AC594" s="493" t="s">
        <v>131</v>
      </c>
      <c r="AD594" s="493" t="s">
        <v>1399</v>
      </c>
      <c r="AE594" s="493">
        <v>3180000</v>
      </c>
      <c r="AF594" s="493">
        <v>318000</v>
      </c>
      <c r="AG594" s="493" t="s">
        <v>463</v>
      </c>
      <c r="AH594" s="130">
        <f t="shared" si="123"/>
        <v>46211</v>
      </c>
      <c r="AI594" s="495"/>
      <c r="AJ594" s="439"/>
      <c r="AK594" s="121">
        <f t="shared" si="122"/>
        <v>3498000.0000000005</v>
      </c>
      <c r="AL594" s="440"/>
      <c r="AM594" s="440"/>
      <c r="AN594" s="440"/>
      <c r="AO594" s="440"/>
    </row>
    <row r="595" spans="1:41" ht="16.5" customHeight="1">
      <c r="A595" s="492" t="s">
        <v>2916</v>
      </c>
      <c r="B595" s="493" t="s">
        <v>2975</v>
      </c>
      <c r="C595" s="492" t="s">
        <v>2916</v>
      </c>
      <c r="D595" s="492" t="s">
        <v>2952</v>
      </c>
      <c r="E595" s="493" t="s">
        <v>116</v>
      </c>
      <c r="F595" s="493" t="s">
        <v>377</v>
      </c>
      <c r="G595" s="493" t="s">
        <v>117</v>
      </c>
      <c r="H595" s="493" t="s">
        <v>118</v>
      </c>
      <c r="I595" s="493" t="s">
        <v>119</v>
      </c>
      <c r="J595" s="493" t="s">
        <v>1722</v>
      </c>
      <c r="K595" s="493" t="s">
        <v>377</v>
      </c>
      <c r="L595" s="493" t="s">
        <v>1723</v>
      </c>
      <c r="M595" s="493" t="s">
        <v>1724</v>
      </c>
      <c r="N595" s="493" t="s">
        <v>1725</v>
      </c>
      <c r="O595" s="493">
        <v>223190</v>
      </c>
      <c r="P595" s="439">
        <v>202900</v>
      </c>
      <c r="Q595" s="493">
        <v>20290</v>
      </c>
      <c r="R595" s="493" t="s">
        <v>124</v>
      </c>
      <c r="S595" s="493" t="s">
        <v>382</v>
      </c>
      <c r="T595" s="493" t="s">
        <v>125</v>
      </c>
      <c r="U595" s="493" t="s">
        <v>126</v>
      </c>
      <c r="V595" s="493" t="s">
        <v>127</v>
      </c>
      <c r="W595" s="493" t="s">
        <v>128</v>
      </c>
      <c r="X595" s="493" t="s">
        <v>1726</v>
      </c>
      <c r="Y595" s="493" t="s">
        <v>377</v>
      </c>
      <c r="Z595" s="493" t="s">
        <v>2916</v>
      </c>
      <c r="AA595" s="493" t="s">
        <v>130</v>
      </c>
      <c r="AB595" s="493" t="s">
        <v>377</v>
      </c>
      <c r="AC595" s="493" t="s">
        <v>131</v>
      </c>
      <c r="AD595" s="493" t="s">
        <v>2976</v>
      </c>
      <c r="AE595" s="493">
        <v>202900</v>
      </c>
      <c r="AF595" s="493">
        <v>20290</v>
      </c>
      <c r="AG595" s="493" t="s">
        <v>3000</v>
      </c>
      <c r="AH595" s="130">
        <f t="shared" si="123"/>
        <v>46211</v>
      </c>
      <c r="AI595" s="495">
        <v>46171</v>
      </c>
      <c r="AJ595" s="439">
        <f>P595*1.1</f>
        <v>223190.00000000003</v>
      </c>
      <c r="AK595" s="121">
        <f t="shared" si="122"/>
        <v>0</v>
      </c>
      <c r="AL595" s="440"/>
      <c r="AM595" s="440"/>
      <c r="AN595" s="440"/>
      <c r="AO595" s="440"/>
    </row>
    <row r="596" spans="1:41" ht="16.5" hidden="1" customHeight="1">
      <c r="A596" s="492" t="s">
        <v>2916</v>
      </c>
      <c r="B596" s="493" t="s">
        <v>2977</v>
      </c>
      <c r="C596" s="492" t="s">
        <v>2916</v>
      </c>
      <c r="D596" s="492" t="s">
        <v>2952</v>
      </c>
      <c r="E596" s="493" t="s">
        <v>116</v>
      </c>
      <c r="F596" s="493" t="s">
        <v>377</v>
      </c>
      <c r="G596" s="493" t="s">
        <v>117</v>
      </c>
      <c r="H596" s="493" t="s">
        <v>118</v>
      </c>
      <c r="I596" s="493" t="s">
        <v>119</v>
      </c>
      <c r="J596" s="493" t="s">
        <v>1189</v>
      </c>
      <c r="K596" s="493" t="s">
        <v>377</v>
      </c>
      <c r="L596" s="493" t="s">
        <v>1190</v>
      </c>
      <c r="M596" s="493" t="s">
        <v>1191</v>
      </c>
      <c r="N596" s="493" t="s">
        <v>1192</v>
      </c>
      <c r="O596" s="493">
        <v>3177460</v>
      </c>
      <c r="P596" s="439">
        <v>2888600</v>
      </c>
      <c r="Q596" s="493">
        <v>288860</v>
      </c>
      <c r="R596" s="493" t="s">
        <v>124</v>
      </c>
      <c r="S596" s="493" t="s">
        <v>382</v>
      </c>
      <c r="T596" s="493" t="s">
        <v>125</v>
      </c>
      <c r="U596" s="493" t="s">
        <v>126</v>
      </c>
      <c r="V596" s="493" t="s">
        <v>127</v>
      </c>
      <c r="W596" s="493" t="s">
        <v>128</v>
      </c>
      <c r="X596" s="493" t="s">
        <v>1193</v>
      </c>
      <c r="Y596" s="493" t="s">
        <v>377</v>
      </c>
      <c r="Z596" s="493" t="s">
        <v>2916</v>
      </c>
      <c r="AA596" s="493" t="s">
        <v>130</v>
      </c>
      <c r="AB596" s="493" t="s">
        <v>377</v>
      </c>
      <c r="AC596" s="493" t="s">
        <v>131</v>
      </c>
      <c r="AD596" s="493" t="s">
        <v>2978</v>
      </c>
      <c r="AE596" s="493">
        <v>2888600</v>
      </c>
      <c r="AF596" s="493">
        <v>288860</v>
      </c>
      <c r="AG596" s="493" t="s">
        <v>2946</v>
      </c>
      <c r="AH596" s="130">
        <f t="shared" si="123"/>
        <v>46211</v>
      </c>
      <c r="AI596" s="495"/>
      <c r="AJ596" s="439"/>
      <c r="AK596" s="121">
        <f t="shared" si="122"/>
        <v>3177460.0000000005</v>
      </c>
      <c r="AL596" s="440"/>
      <c r="AM596" s="440"/>
      <c r="AN596" s="440"/>
      <c r="AO596" s="440"/>
    </row>
    <row r="597" spans="1:41" ht="16.5" hidden="1" customHeight="1">
      <c r="A597" s="492" t="s">
        <v>2916</v>
      </c>
      <c r="B597" s="493" t="s">
        <v>2979</v>
      </c>
      <c r="C597" s="492" t="s">
        <v>2916</v>
      </c>
      <c r="D597" s="492" t="s">
        <v>2952</v>
      </c>
      <c r="E597" s="493" t="s">
        <v>116</v>
      </c>
      <c r="F597" s="493" t="s">
        <v>377</v>
      </c>
      <c r="G597" s="493" t="s">
        <v>117</v>
      </c>
      <c r="H597" s="493" t="s">
        <v>118</v>
      </c>
      <c r="I597" s="493" t="s">
        <v>119</v>
      </c>
      <c r="J597" s="493" t="s">
        <v>1189</v>
      </c>
      <c r="K597" s="493" t="s">
        <v>377</v>
      </c>
      <c r="L597" s="493" t="s">
        <v>1190</v>
      </c>
      <c r="M597" s="493" t="s">
        <v>1191</v>
      </c>
      <c r="N597" s="493" t="s">
        <v>1192</v>
      </c>
      <c r="O597" s="493">
        <v>388740</v>
      </c>
      <c r="P597" s="439">
        <v>353400</v>
      </c>
      <c r="Q597" s="493">
        <v>35340</v>
      </c>
      <c r="R597" s="493" t="s">
        <v>124</v>
      </c>
      <c r="S597" s="493" t="s">
        <v>382</v>
      </c>
      <c r="T597" s="493" t="s">
        <v>125</v>
      </c>
      <c r="U597" s="493" t="s">
        <v>126</v>
      </c>
      <c r="V597" s="493" t="s">
        <v>127</v>
      </c>
      <c r="W597" s="493" t="s">
        <v>128</v>
      </c>
      <c r="X597" s="493" t="s">
        <v>1193</v>
      </c>
      <c r="Y597" s="493" t="s">
        <v>377</v>
      </c>
      <c r="Z597" s="493" t="s">
        <v>2916</v>
      </c>
      <c r="AA597" s="493" t="s">
        <v>130</v>
      </c>
      <c r="AB597" s="493" t="s">
        <v>377</v>
      </c>
      <c r="AC597" s="493" t="s">
        <v>131</v>
      </c>
      <c r="AD597" s="493" t="s">
        <v>2774</v>
      </c>
      <c r="AE597" s="493">
        <v>353400</v>
      </c>
      <c r="AF597" s="493">
        <v>35340</v>
      </c>
      <c r="AG597" s="493" t="s">
        <v>2171</v>
      </c>
      <c r="AH597" s="130">
        <f t="shared" si="123"/>
        <v>46211</v>
      </c>
      <c r="AI597" s="495"/>
      <c r="AJ597" s="439"/>
      <c r="AK597" s="121">
        <f t="shared" si="122"/>
        <v>388740.00000000006</v>
      </c>
      <c r="AL597" s="440"/>
      <c r="AM597" s="440"/>
      <c r="AN597" s="440"/>
      <c r="AO597" s="440"/>
    </row>
    <row r="598" spans="1:41" ht="16.5" hidden="1" customHeight="1">
      <c r="A598" s="492" t="s">
        <v>2916</v>
      </c>
      <c r="B598" s="493" t="s">
        <v>2980</v>
      </c>
      <c r="C598" s="492" t="s">
        <v>2916</v>
      </c>
      <c r="D598" s="492" t="s">
        <v>2952</v>
      </c>
      <c r="E598" s="493" t="s">
        <v>116</v>
      </c>
      <c r="F598" s="493" t="s">
        <v>377</v>
      </c>
      <c r="G598" s="493" t="s">
        <v>117</v>
      </c>
      <c r="H598" s="493" t="s">
        <v>118</v>
      </c>
      <c r="I598" s="493" t="s">
        <v>119</v>
      </c>
      <c r="J598" s="493" t="s">
        <v>1189</v>
      </c>
      <c r="K598" s="493" t="s">
        <v>377</v>
      </c>
      <c r="L598" s="493" t="s">
        <v>1190</v>
      </c>
      <c r="M598" s="493" t="s">
        <v>1191</v>
      </c>
      <c r="N598" s="493" t="s">
        <v>1192</v>
      </c>
      <c r="O598" s="493">
        <v>481140</v>
      </c>
      <c r="P598" s="439">
        <v>437400</v>
      </c>
      <c r="Q598" s="493">
        <v>43740</v>
      </c>
      <c r="R598" s="493" t="s">
        <v>124</v>
      </c>
      <c r="S598" s="493" t="s">
        <v>382</v>
      </c>
      <c r="T598" s="493" t="s">
        <v>125</v>
      </c>
      <c r="U598" s="493" t="s">
        <v>126</v>
      </c>
      <c r="V598" s="493" t="s">
        <v>127</v>
      </c>
      <c r="W598" s="493" t="s">
        <v>128</v>
      </c>
      <c r="X598" s="493" t="s">
        <v>1193</v>
      </c>
      <c r="Y598" s="493" t="s">
        <v>377</v>
      </c>
      <c r="Z598" s="493" t="s">
        <v>2916</v>
      </c>
      <c r="AA598" s="493" t="s">
        <v>130</v>
      </c>
      <c r="AB598" s="493" t="s">
        <v>377</v>
      </c>
      <c r="AC598" s="493" t="s">
        <v>131</v>
      </c>
      <c r="AD598" s="493" t="s">
        <v>2981</v>
      </c>
      <c r="AE598" s="493">
        <v>437400</v>
      </c>
      <c r="AF598" s="493">
        <v>43740</v>
      </c>
      <c r="AG598" s="493" t="s">
        <v>2998</v>
      </c>
      <c r="AH598" s="130">
        <f t="shared" si="123"/>
        <v>46211</v>
      </c>
      <c r="AI598" s="495"/>
      <c r="AJ598" s="439"/>
      <c r="AK598" s="121">
        <f t="shared" si="122"/>
        <v>481140.00000000006</v>
      </c>
      <c r="AL598" s="440"/>
      <c r="AM598" s="440"/>
      <c r="AN598" s="440"/>
      <c r="AO598" s="440"/>
    </row>
    <row r="599" spans="1:41" ht="16.5" hidden="1" customHeight="1">
      <c r="A599" s="492" t="s">
        <v>2916</v>
      </c>
      <c r="B599" s="493" t="s">
        <v>2982</v>
      </c>
      <c r="C599" s="492" t="s">
        <v>2916</v>
      </c>
      <c r="D599" s="492" t="s">
        <v>2952</v>
      </c>
      <c r="E599" s="493" t="s">
        <v>116</v>
      </c>
      <c r="F599" s="493" t="s">
        <v>377</v>
      </c>
      <c r="G599" s="493" t="s">
        <v>117</v>
      </c>
      <c r="H599" s="493" t="s">
        <v>118</v>
      </c>
      <c r="I599" s="493" t="s">
        <v>119</v>
      </c>
      <c r="J599" s="493" t="s">
        <v>855</v>
      </c>
      <c r="K599" s="493" t="s">
        <v>377</v>
      </c>
      <c r="L599" s="493" t="s">
        <v>856</v>
      </c>
      <c r="M599" s="493" t="s">
        <v>857</v>
      </c>
      <c r="N599" s="493" t="s">
        <v>858</v>
      </c>
      <c r="O599" s="493">
        <v>2709300</v>
      </c>
      <c r="P599" s="439">
        <v>2463000</v>
      </c>
      <c r="Q599" s="493">
        <v>246300</v>
      </c>
      <c r="R599" s="493" t="s">
        <v>124</v>
      </c>
      <c r="S599" s="493" t="s">
        <v>382</v>
      </c>
      <c r="T599" s="493" t="s">
        <v>125</v>
      </c>
      <c r="U599" s="493" t="s">
        <v>126</v>
      </c>
      <c r="V599" s="493" t="s">
        <v>127</v>
      </c>
      <c r="W599" s="493" t="s">
        <v>128</v>
      </c>
      <c r="X599" s="493" t="s">
        <v>859</v>
      </c>
      <c r="Y599" s="493" t="s">
        <v>377</v>
      </c>
      <c r="Z599" s="493" t="s">
        <v>2916</v>
      </c>
      <c r="AA599" s="493" t="s">
        <v>130</v>
      </c>
      <c r="AB599" s="493" t="s">
        <v>377</v>
      </c>
      <c r="AC599" s="493" t="s">
        <v>131</v>
      </c>
      <c r="AD599" s="493" t="s">
        <v>2983</v>
      </c>
      <c r="AE599" s="493">
        <v>2463000</v>
      </c>
      <c r="AF599" s="493">
        <v>246300</v>
      </c>
      <c r="AG599" s="493" t="s">
        <v>2721</v>
      </c>
      <c r="AH599" s="130">
        <f t="shared" si="123"/>
        <v>46211</v>
      </c>
      <c r="AI599" s="495"/>
      <c r="AJ599" s="439"/>
      <c r="AK599" s="121">
        <f t="shared" si="122"/>
        <v>2709300</v>
      </c>
      <c r="AL599" s="440"/>
      <c r="AM599" s="440"/>
      <c r="AN599" s="440"/>
      <c r="AO599" s="440"/>
    </row>
    <row r="600" spans="1:41" ht="16.5" hidden="1" customHeight="1">
      <c r="A600" s="492" t="s">
        <v>2916</v>
      </c>
      <c r="B600" s="493" t="s">
        <v>2917</v>
      </c>
      <c r="C600" s="492" t="s">
        <v>2916</v>
      </c>
      <c r="D600" s="492" t="s">
        <v>2952</v>
      </c>
      <c r="E600" s="493" t="s">
        <v>116</v>
      </c>
      <c r="F600" s="493" t="s">
        <v>377</v>
      </c>
      <c r="G600" s="493" t="s">
        <v>117</v>
      </c>
      <c r="H600" s="493" t="s">
        <v>118</v>
      </c>
      <c r="I600" s="493" t="s">
        <v>119</v>
      </c>
      <c r="J600" s="493" t="s">
        <v>690</v>
      </c>
      <c r="K600" s="493" t="s">
        <v>377</v>
      </c>
      <c r="L600" s="493" t="s">
        <v>691</v>
      </c>
      <c r="M600" s="493" t="s">
        <v>692</v>
      </c>
      <c r="N600" s="493" t="s">
        <v>693</v>
      </c>
      <c r="O600" s="493">
        <v>7562500</v>
      </c>
      <c r="P600" s="439">
        <v>6875000</v>
      </c>
      <c r="Q600" s="493">
        <v>687500</v>
      </c>
      <c r="R600" s="493" t="s">
        <v>124</v>
      </c>
      <c r="S600" s="493" t="s">
        <v>382</v>
      </c>
      <c r="T600" s="493" t="s">
        <v>125</v>
      </c>
      <c r="U600" s="493" t="s">
        <v>126</v>
      </c>
      <c r="V600" s="493" t="s">
        <v>127</v>
      </c>
      <c r="W600" s="493" t="s">
        <v>128</v>
      </c>
      <c r="X600" s="493" t="s">
        <v>694</v>
      </c>
      <c r="Y600" s="493" t="s">
        <v>377</v>
      </c>
      <c r="Z600" s="493" t="s">
        <v>2916</v>
      </c>
      <c r="AA600" s="493" t="s">
        <v>130</v>
      </c>
      <c r="AB600" s="493" t="s">
        <v>377</v>
      </c>
      <c r="AC600" s="493" t="s">
        <v>131</v>
      </c>
      <c r="AD600" s="493" t="s">
        <v>2402</v>
      </c>
      <c r="AE600" s="493">
        <v>6875000</v>
      </c>
      <c r="AF600" s="493">
        <v>687500</v>
      </c>
      <c r="AG600" s="493" t="s">
        <v>2396</v>
      </c>
      <c r="AH600" s="130">
        <f t="shared" si="123"/>
        <v>46211</v>
      </c>
      <c r="AI600" s="495"/>
      <c r="AJ600" s="439"/>
      <c r="AK600" s="121">
        <f t="shared" si="122"/>
        <v>7562500.0000000009</v>
      </c>
      <c r="AL600" s="440"/>
      <c r="AM600" s="440"/>
      <c r="AN600" s="440"/>
      <c r="AO600" s="440"/>
    </row>
    <row r="601" spans="1:41" ht="16.5" hidden="1" customHeight="1">
      <c r="A601" s="492" t="s">
        <v>2916</v>
      </c>
      <c r="B601" s="493" t="s">
        <v>2918</v>
      </c>
      <c r="C601" s="492" t="s">
        <v>2916</v>
      </c>
      <c r="D601" s="492" t="s">
        <v>2952</v>
      </c>
      <c r="E601" s="493" t="s">
        <v>116</v>
      </c>
      <c r="F601" s="493" t="s">
        <v>377</v>
      </c>
      <c r="G601" s="493" t="s">
        <v>117</v>
      </c>
      <c r="H601" s="493" t="s">
        <v>118</v>
      </c>
      <c r="I601" s="493" t="s">
        <v>119</v>
      </c>
      <c r="J601" s="493" t="s">
        <v>378</v>
      </c>
      <c r="K601" s="493" t="s">
        <v>377</v>
      </c>
      <c r="L601" s="493" t="s">
        <v>379</v>
      </c>
      <c r="M601" s="493" t="s">
        <v>380</v>
      </c>
      <c r="N601" s="493" t="s">
        <v>381</v>
      </c>
      <c r="O601" s="493">
        <v>1267200</v>
      </c>
      <c r="P601" s="439">
        <v>1152000</v>
      </c>
      <c r="Q601" s="493">
        <v>115200</v>
      </c>
      <c r="R601" s="493" t="s">
        <v>124</v>
      </c>
      <c r="S601" s="493" t="s">
        <v>382</v>
      </c>
      <c r="T601" s="493" t="s">
        <v>125</v>
      </c>
      <c r="U601" s="493" t="s">
        <v>126</v>
      </c>
      <c r="V601" s="493" t="s">
        <v>127</v>
      </c>
      <c r="W601" s="493" t="s">
        <v>128</v>
      </c>
      <c r="X601" s="493" t="s">
        <v>383</v>
      </c>
      <c r="Y601" s="493" t="s">
        <v>377</v>
      </c>
      <c r="Z601" s="493" t="s">
        <v>2916</v>
      </c>
      <c r="AA601" s="493" t="s">
        <v>130</v>
      </c>
      <c r="AB601" s="493" t="s">
        <v>377</v>
      </c>
      <c r="AC601" s="493" t="s">
        <v>131</v>
      </c>
      <c r="AD601" s="493" t="s">
        <v>2919</v>
      </c>
      <c r="AE601" s="493">
        <v>1152000</v>
      </c>
      <c r="AF601" s="493">
        <v>115200</v>
      </c>
      <c r="AG601" s="493" t="s">
        <v>2953</v>
      </c>
      <c r="AH601" s="130">
        <f t="shared" si="123"/>
        <v>46211</v>
      </c>
      <c r="AI601" s="495"/>
      <c r="AJ601" s="439"/>
      <c r="AK601" s="121">
        <f t="shared" si="122"/>
        <v>1267200</v>
      </c>
      <c r="AL601" s="440"/>
      <c r="AM601" s="440"/>
      <c r="AN601" s="440"/>
      <c r="AO601" s="440"/>
    </row>
    <row r="602" spans="1:41" ht="16.5" hidden="1" customHeight="1">
      <c r="A602" s="492" t="s">
        <v>2961</v>
      </c>
      <c r="B602" s="493" t="s">
        <v>2984</v>
      </c>
      <c r="C602" s="492" t="s">
        <v>2961</v>
      </c>
      <c r="D602" s="492" t="s">
        <v>2996</v>
      </c>
      <c r="E602" s="493" t="s">
        <v>116</v>
      </c>
      <c r="F602" s="493" t="s">
        <v>377</v>
      </c>
      <c r="G602" s="493" t="s">
        <v>117</v>
      </c>
      <c r="H602" s="493" t="s">
        <v>118</v>
      </c>
      <c r="I602" s="493" t="s">
        <v>119</v>
      </c>
      <c r="J602" s="493" t="s">
        <v>1569</v>
      </c>
      <c r="K602" s="493" t="s">
        <v>377</v>
      </c>
      <c r="L602" s="493" t="s">
        <v>1570</v>
      </c>
      <c r="M602" s="493" t="s">
        <v>1571</v>
      </c>
      <c r="N602" s="493" t="s">
        <v>1572</v>
      </c>
      <c r="O602" s="493">
        <v>2871000</v>
      </c>
      <c r="P602" s="439">
        <v>2610000</v>
      </c>
      <c r="Q602" s="493">
        <v>261000</v>
      </c>
      <c r="R602" s="493" t="s">
        <v>124</v>
      </c>
      <c r="S602" s="493" t="s">
        <v>382</v>
      </c>
      <c r="T602" s="493" t="s">
        <v>125</v>
      </c>
      <c r="U602" s="493" t="s">
        <v>126</v>
      </c>
      <c r="V602" s="493" t="s">
        <v>127</v>
      </c>
      <c r="W602" s="493" t="s">
        <v>128</v>
      </c>
      <c r="X602" s="493" t="s">
        <v>1573</v>
      </c>
      <c r="Y602" s="493" t="s">
        <v>377</v>
      </c>
      <c r="Z602" s="493" t="s">
        <v>2961</v>
      </c>
      <c r="AA602" s="493" t="s">
        <v>130</v>
      </c>
      <c r="AB602" s="493" t="s">
        <v>377</v>
      </c>
      <c r="AC602" s="493" t="s">
        <v>131</v>
      </c>
      <c r="AD602" s="493" t="s">
        <v>2985</v>
      </c>
      <c r="AE602" s="493">
        <v>2610000</v>
      </c>
      <c r="AF602" s="493">
        <v>261000</v>
      </c>
      <c r="AG602" s="493" t="s">
        <v>3001</v>
      </c>
      <c r="AH602" s="130">
        <f t="shared" si="123"/>
        <v>46214</v>
      </c>
      <c r="AI602" s="495"/>
      <c r="AJ602" s="439"/>
      <c r="AK602" s="121">
        <f t="shared" si="122"/>
        <v>2871000</v>
      </c>
      <c r="AL602" s="440"/>
      <c r="AM602" s="440"/>
      <c r="AN602" s="440"/>
      <c r="AO602" s="440"/>
    </row>
    <row r="603" spans="1:41" ht="16.5" hidden="1" customHeight="1">
      <c r="A603" s="492" t="s">
        <v>2961</v>
      </c>
      <c r="B603" s="493" t="s">
        <v>2986</v>
      </c>
      <c r="C603" s="492" t="s">
        <v>2961</v>
      </c>
      <c r="D603" s="492" t="s">
        <v>2996</v>
      </c>
      <c r="E603" s="493" t="s">
        <v>116</v>
      </c>
      <c r="F603" s="493" t="s">
        <v>377</v>
      </c>
      <c r="G603" s="493" t="s">
        <v>117</v>
      </c>
      <c r="H603" s="493" t="s">
        <v>118</v>
      </c>
      <c r="I603" s="493" t="s">
        <v>119</v>
      </c>
      <c r="J603" s="493" t="s">
        <v>1569</v>
      </c>
      <c r="K603" s="493" t="s">
        <v>377</v>
      </c>
      <c r="L603" s="493" t="s">
        <v>1570</v>
      </c>
      <c r="M603" s="493" t="s">
        <v>1571</v>
      </c>
      <c r="N603" s="493" t="s">
        <v>1572</v>
      </c>
      <c r="O603" s="493">
        <v>21483000</v>
      </c>
      <c r="P603" s="439">
        <v>19530000</v>
      </c>
      <c r="Q603" s="493">
        <v>1953000</v>
      </c>
      <c r="R603" s="493" t="s">
        <v>124</v>
      </c>
      <c r="S603" s="493" t="s">
        <v>382</v>
      </c>
      <c r="T603" s="493" t="s">
        <v>125</v>
      </c>
      <c r="U603" s="493" t="s">
        <v>126</v>
      </c>
      <c r="V603" s="493" t="s">
        <v>127</v>
      </c>
      <c r="W603" s="493" t="s">
        <v>128</v>
      </c>
      <c r="X603" s="493" t="s">
        <v>1573</v>
      </c>
      <c r="Y603" s="493" t="s">
        <v>377</v>
      </c>
      <c r="Z603" s="493" t="s">
        <v>2961</v>
      </c>
      <c r="AA603" s="493" t="s">
        <v>130</v>
      </c>
      <c r="AB603" s="493" t="s">
        <v>377</v>
      </c>
      <c r="AC603" s="493" t="s">
        <v>131</v>
      </c>
      <c r="AD603" s="493" t="s">
        <v>2987</v>
      </c>
      <c r="AE603" s="493">
        <v>19530000</v>
      </c>
      <c r="AF603" s="493">
        <v>1953000</v>
      </c>
      <c r="AG603" s="493" t="s">
        <v>2748</v>
      </c>
      <c r="AH603" s="130">
        <f t="shared" si="123"/>
        <v>46214</v>
      </c>
      <c r="AI603" s="495"/>
      <c r="AJ603" s="439"/>
      <c r="AK603" s="121">
        <f t="shared" si="122"/>
        <v>21483000</v>
      </c>
      <c r="AL603" s="440"/>
      <c r="AM603" s="440"/>
      <c r="AN603" s="440"/>
      <c r="AO603" s="440"/>
    </row>
    <row r="604" spans="1:41" ht="16.5" hidden="1" customHeight="1">
      <c r="A604" s="492" t="s">
        <v>2961</v>
      </c>
      <c r="B604" s="493" t="s">
        <v>2988</v>
      </c>
      <c r="C604" s="492" t="s">
        <v>2961</v>
      </c>
      <c r="D604" s="492" t="s">
        <v>2996</v>
      </c>
      <c r="E604" s="493" t="s">
        <v>116</v>
      </c>
      <c r="F604" s="493" t="s">
        <v>377</v>
      </c>
      <c r="G604" s="493" t="s">
        <v>117</v>
      </c>
      <c r="H604" s="493" t="s">
        <v>118</v>
      </c>
      <c r="I604" s="493" t="s">
        <v>119</v>
      </c>
      <c r="J604" s="493" t="s">
        <v>1403</v>
      </c>
      <c r="K604" s="493" t="s">
        <v>377</v>
      </c>
      <c r="L604" s="493" t="s">
        <v>1404</v>
      </c>
      <c r="M604" s="493" t="s">
        <v>1405</v>
      </c>
      <c r="N604" s="493" t="s">
        <v>1406</v>
      </c>
      <c r="O604" s="493">
        <v>10443840</v>
      </c>
      <c r="P604" s="439">
        <v>9494400</v>
      </c>
      <c r="Q604" s="493">
        <v>949440</v>
      </c>
      <c r="R604" s="493" t="s">
        <v>124</v>
      </c>
      <c r="S604" s="493" t="s">
        <v>382</v>
      </c>
      <c r="T604" s="493" t="s">
        <v>125</v>
      </c>
      <c r="U604" s="493" t="s">
        <v>126</v>
      </c>
      <c r="V604" s="493" t="s">
        <v>127</v>
      </c>
      <c r="W604" s="493" t="s">
        <v>128</v>
      </c>
      <c r="X604" s="493" t="s">
        <v>1407</v>
      </c>
      <c r="Y604" s="493" t="s">
        <v>377</v>
      </c>
      <c r="Z604" s="493" t="s">
        <v>2961</v>
      </c>
      <c r="AA604" s="493" t="s">
        <v>130</v>
      </c>
      <c r="AB604" s="493" t="s">
        <v>377</v>
      </c>
      <c r="AC604" s="493" t="s">
        <v>131</v>
      </c>
      <c r="AD604" s="493" t="s">
        <v>2989</v>
      </c>
      <c r="AE604" s="493">
        <v>9494400</v>
      </c>
      <c r="AF604" s="493">
        <v>949440</v>
      </c>
      <c r="AG604" s="493" t="s">
        <v>1749</v>
      </c>
      <c r="AH604" s="130">
        <f t="shared" si="123"/>
        <v>46214</v>
      </c>
      <c r="AI604" s="495"/>
      <c r="AJ604" s="439"/>
      <c r="AK604" s="121">
        <f t="shared" si="122"/>
        <v>10443840</v>
      </c>
      <c r="AL604" s="440"/>
      <c r="AM604" s="440"/>
      <c r="AN604" s="440"/>
      <c r="AO604" s="440"/>
    </row>
    <row r="605" spans="1:41" ht="16.5" hidden="1" customHeight="1">
      <c r="A605" s="492" t="s">
        <v>2961</v>
      </c>
      <c r="B605" s="493" t="s">
        <v>2990</v>
      </c>
      <c r="C605" s="492" t="s">
        <v>2961</v>
      </c>
      <c r="D605" s="492" t="s">
        <v>2996</v>
      </c>
      <c r="E605" s="493" t="s">
        <v>116</v>
      </c>
      <c r="F605" s="493" t="s">
        <v>377</v>
      </c>
      <c r="G605" s="493" t="s">
        <v>117</v>
      </c>
      <c r="H605" s="493" t="s">
        <v>118</v>
      </c>
      <c r="I605" s="493" t="s">
        <v>119</v>
      </c>
      <c r="J605" s="493" t="s">
        <v>636</v>
      </c>
      <c r="K605" s="493" t="s">
        <v>377</v>
      </c>
      <c r="L605" s="493" t="s">
        <v>637</v>
      </c>
      <c r="M605" s="493" t="s">
        <v>638</v>
      </c>
      <c r="N605" s="493" t="s">
        <v>639</v>
      </c>
      <c r="O605" s="493">
        <v>23397660</v>
      </c>
      <c r="P605" s="439">
        <v>21270600</v>
      </c>
      <c r="Q605" s="493">
        <v>2127060</v>
      </c>
      <c r="R605" s="493" t="s">
        <v>124</v>
      </c>
      <c r="S605" s="493" t="s">
        <v>382</v>
      </c>
      <c r="T605" s="493" t="s">
        <v>125</v>
      </c>
      <c r="U605" s="493" t="s">
        <v>126</v>
      </c>
      <c r="V605" s="493" t="s">
        <v>127</v>
      </c>
      <c r="W605" s="493" t="s">
        <v>128</v>
      </c>
      <c r="X605" s="493" t="s">
        <v>640</v>
      </c>
      <c r="Y605" s="493" t="s">
        <v>377</v>
      </c>
      <c r="Z605" s="493" t="s">
        <v>2961</v>
      </c>
      <c r="AA605" s="493" t="s">
        <v>130</v>
      </c>
      <c r="AB605" s="493" t="s">
        <v>377</v>
      </c>
      <c r="AC605" s="493" t="s">
        <v>131</v>
      </c>
      <c r="AD605" s="493" t="s">
        <v>2991</v>
      </c>
      <c r="AE605" s="493">
        <v>21270600</v>
      </c>
      <c r="AF605" s="493">
        <v>2127060</v>
      </c>
      <c r="AG605" s="493" t="s">
        <v>1324</v>
      </c>
      <c r="AH605" s="130">
        <f t="shared" si="123"/>
        <v>46214</v>
      </c>
      <c r="AI605" s="495"/>
      <c r="AJ605" s="439"/>
      <c r="AK605" s="121">
        <f t="shared" si="122"/>
        <v>23397660.000000004</v>
      </c>
      <c r="AL605" s="440"/>
      <c r="AM605" s="440"/>
      <c r="AN605" s="440"/>
      <c r="AO605" s="440"/>
    </row>
    <row r="606" spans="1:41" ht="16.5" hidden="1" customHeight="1">
      <c r="A606" s="492" t="s">
        <v>2961</v>
      </c>
      <c r="B606" s="493" t="s">
        <v>2992</v>
      </c>
      <c r="C606" s="492" t="s">
        <v>2961</v>
      </c>
      <c r="D606" s="492" t="s">
        <v>2996</v>
      </c>
      <c r="E606" s="493" t="s">
        <v>116</v>
      </c>
      <c r="F606" s="493" t="s">
        <v>377</v>
      </c>
      <c r="G606" s="493" t="s">
        <v>117</v>
      </c>
      <c r="H606" s="493" t="s">
        <v>118</v>
      </c>
      <c r="I606" s="493" t="s">
        <v>119</v>
      </c>
      <c r="J606" s="493" t="s">
        <v>681</v>
      </c>
      <c r="K606" s="493" t="s">
        <v>377</v>
      </c>
      <c r="L606" s="493" t="s">
        <v>682</v>
      </c>
      <c r="M606" s="493" t="s">
        <v>683</v>
      </c>
      <c r="N606" s="493" t="s">
        <v>684</v>
      </c>
      <c r="O606" s="493">
        <v>1669250</v>
      </c>
      <c r="P606" s="439">
        <v>1517500</v>
      </c>
      <c r="Q606" s="493">
        <v>151750</v>
      </c>
      <c r="R606" s="493" t="s">
        <v>124</v>
      </c>
      <c r="S606" s="493" t="s">
        <v>382</v>
      </c>
      <c r="T606" s="493" t="s">
        <v>125</v>
      </c>
      <c r="U606" s="493" t="s">
        <v>126</v>
      </c>
      <c r="V606" s="493" t="s">
        <v>127</v>
      </c>
      <c r="W606" s="493" t="s">
        <v>128</v>
      </c>
      <c r="X606" s="493" t="s">
        <v>685</v>
      </c>
      <c r="Y606" s="493" t="s">
        <v>377</v>
      </c>
      <c r="Z606" s="493" t="s">
        <v>2961</v>
      </c>
      <c r="AA606" s="493" t="s">
        <v>130</v>
      </c>
      <c r="AB606" s="493" t="s">
        <v>377</v>
      </c>
      <c r="AC606" s="493" t="s">
        <v>131</v>
      </c>
      <c r="AD606" s="493" t="s">
        <v>2993</v>
      </c>
      <c r="AE606" s="493">
        <v>1517500</v>
      </c>
      <c r="AF606" s="493">
        <v>151750</v>
      </c>
      <c r="AG606" s="493" t="s">
        <v>1741</v>
      </c>
      <c r="AH606" s="130">
        <f t="shared" si="123"/>
        <v>46214</v>
      </c>
      <c r="AI606" s="495"/>
      <c r="AJ606" s="439"/>
      <c r="AK606" s="121">
        <f t="shared" si="122"/>
        <v>1669250.0000000002</v>
      </c>
      <c r="AL606" s="440"/>
      <c r="AM606" s="440"/>
      <c r="AN606" s="440"/>
      <c r="AO606" s="440"/>
    </row>
    <row r="607" spans="1:41" ht="16.5" hidden="1" customHeight="1">
      <c r="A607" s="492" t="s">
        <v>2961</v>
      </c>
      <c r="B607" s="493" t="s">
        <v>2994</v>
      </c>
      <c r="C607" s="492" t="s">
        <v>2961</v>
      </c>
      <c r="D607" s="492" t="s">
        <v>2996</v>
      </c>
      <c r="E607" s="493" t="s">
        <v>116</v>
      </c>
      <c r="F607" s="493" t="s">
        <v>377</v>
      </c>
      <c r="G607" s="493" t="s">
        <v>117</v>
      </c>
      <c r="H607" s="493" t="s">
        <v>118</v>
      </c>
      <c r="I607" s="493" t="s">
        <v>119</v>
      </c>
      <c r="J607" s="493" t="s">
        <v>836</v>
      </c>
      <c r="K607" s="493" t="s">
        <v>377</v>
      </c>
      <c r="L607" s="493" t="s">
        <v>837</v>
      </c>
      <c r="M607" s="493" t="s">
        <v>838</v>
      </c>
      <c r="N607" s="493" t="s">
        <v>839</v>
      </c>
      <c r="O607" s="493">
        <v>22243430</v>
      </c>
      <c r="P607" s="439">
        <v>20221300</v>
      </c>
      <c r="Q607" s="493">
        <v>2022130</v>
      </c>
      <c r="R607" s="493" t="s">
        <v>124</v>
      </c>
      <c r="S607" s="493" t="s">
        <v>382</v>
      </c>
      <c r="T607" s="493" t="s">
        <v>125</v>
      </c>
      <c r="U607" s="493" t="s">
        <v>126</v>
      </c>
      <c r="V607" s="493" t="s">
        <v>127</v>
      </c>
      <c r="W607" s="493" t="s">
        <v>128</v>
      </c>
      <c r="X607" s="493" t="s">
        <v>840</v>
      </c>
      <c r="Y607" s="493" t="s">
        <v>377</v>
      </c>
      <c r="Z607" s="493" t="s">
        <v>2961</v>
      </c>
      <c r="AA607" s="493" t="s">
        <v>130</v>
      </c>
      <c r="AB607" s="493" t="s">
        <v>377</v>
      </c>
      <c r="AC607" s="493" t="s">
        <v>131</v>
      </c>
      <c r="AD607" s="493" t="s">
        <v>2995</v>
      </c>
      <c r="AE607" s="493">
        <v>20221300</v>
      </c>
      <c r="AF607" s="493">
        <v>2022130</v>
      </c>
      <c r="AG607" s="493" t="s">
        <v>2999</v>
      </c>
      <c r="AH607" s="130">
        <f t="shared" si="123"/>
        <v>46214</v>
      </c>
      <c r="AI607" s="495"/>
      <c r="AJ607" s="439"/>
      <c r="AK607" s="121">
        <f t="shared" si="122"/>
        <v>22243430</v>
      </c>
      <c r="AL607" s="440"/>
      <c r="AM607" s="440"/>
      <c r="AN607" s="440"/>
      <c r="AO607" s="440"/>
    </row>
  </sheetData>
  <autoFilter ref="A1:AV607">
    <filterColumn colId="11">
      <filters>
        <filter val="(주)우인건설"/>
      </filters>
    </filterColumn>
  </autoFilter>
  <phoneticPr fontId="46" type="noConversion"/>
  <conditionalFormatting sqref="A19:AF21 A22:AJ22 A35:AG40 AK41 A42:AG43 A14:AG18 A23:AG33 AI42:AK43 A98:AG104 AH14:AJ21 AI35:AK40 AI273:AJ274 AI98:AI102 AM288:AO294 AI294:AJ294 AM273:AO286 AI282:AJ292 AI245:AJ247 AI250:AJ257 AK51:AK98 A51:AG73 AI57:AJ59 A367:AK368 A370:AK374 A369:AI369 AK369 AM367:AO388 AM306:AO332 AM98:AO104 AI60 A2:AL2 A381:AK382 A380:AH380 A332:AH332 AK332 AI278:AJ280 AI276 AI23:AJ33 A269:AG270 AM269:AO270 AI270:AJ270 A184:AG196 AM184:AO196 AI187:AJ193 A379:AI379 AK379:AK380 A330:AK331 A329:AH329 AK329 A377:AK378 A376:AH376 A383:AH383 A375:AI375 AK375:AK376 AI408:AJ419 A408:AG427 AM408:AO427 A3:AJ7 AK2:AK7 AK105:AK256 A204:AG257 AM204:AO257 AI218:AJ224 AK258:AK305 AH23:AH305 A272:AG301 AI299:AJ301 AN2:AO7 AL3:AO7 A306:AK310 AI422:AJ427 AH393:AH428 AH448:AH457 AK448:AL457 AJ99:AK102 AH467 AK467 AL9:AL427 AM9:AO73 AN9:AO399 AK9:AK33 A9:AJ13 A468:AO468 AI420:AI421 A478:AI478 AK478:AO478 A482:AO482 A481:AI481 AK481:AO481 A470:AO477 A469:AI469 AK469:AO469 A458:AO458 AI522 A479:AO480 AK537:AK556 A548:AG556 AI549:AJ556 AL548:AO556 AH483:AH528 AK483:AL528 A515:AG528 AM515:AO528 AI525:AJ528 AI391 A316:AK328 A315:AI315 AK315 A388:AH392 A312:AK314 A311:AH311 AK311 A387:AF387 AH387 AI67:AJ73 A460:AO466 A459:AH459 AK459:AO459 AI548 AI227:AJ228 AI230:AJ232 AI225:AI226 AI65:AI66 AK103 AI104:AK104 A532:AO536 AH537:AH578 AK557:AL578 A579:AO579 AI524 A443:AI443 AK443:AO443 AI61:AJ63 A581:AO586 A580:AI580 AK580:AO580 A587:AI587 AK587:AO587 A385:AK385 A384:AI384 AK383:AK384 A386:AI386 AK386:AK428 A438:AO442 A437:AH437 AK437:AO437 A444:AO444 A446:AO446 A445:AI445 AK445:AO445 AI217 AI515:AJ521 AI248:AI249 A429:AO436 A588:AO607">
    <cfRule type="expression" dxfId="401" priority="511">
      <formula>$J2="잔금"</formula>
    </cfRule>
  </conditionalFormatting>
  <conditionalFormatting sqref="AG20:AG21">
    <cfRule type="expression" dxfId="400" priority="512">
      <formula>$J19="잔금"</formula>
    </cfRule>
  </conditionalFormatting>
  <conditionalFormatting sqref="A34:AG34 AI34:AK34">
    <cfRule type="expression" dxfId="399" priority="504">
      <formula>$J34="잔금"</formula>
    </cfRule>
  </conditionalFormatting>
  <conditionalFormatting sqref="A41:AG41 AI41:AJ41">
    <cfRule type="expression" dxfId="398" priority="490">
      <formula>$J41="잔금"</formula>
    </cfRule>
  </conditionalFormatting>
  <conditionalFormatting sqref="A44:AG50 AI44:AK48 AI50:AK50 AI49 AK49">
    <cfRule type="expression" dxfId="397" priority="485">
      <formula>$J44="잔금"</formula>
    </cfRule>
  </conditionalFormatting>
  <conditionalFormatting sqref="AI51:AJ53 AJ56 AJ53:AJ54">
    <cfRule type="expression" dxfId="396" priority="484">
      <formula>$J51="잔금"</formula>
    </cfRule>
  </conditionalFormatting>
  <conditionalFormatting sqref="AM2:AO2">
    <cfRule type="expression" dxfId="395" priority="477">
      <formula>$J2="잔금"</formula>
    </cfRule>
  </conditionalFormatting>
  <conditionalFormatting sqref="A74:AG77 AI75:AJ75 AM74:AO77 AJ77 AI76 AI74">
    <cfRule type="expression" dxfId="394" priority="463">
      <formula>$J74="잔금"</formula>
    </cfRule>
  </conditionalFormatting>
  <conditionalFormatting sqref="A78:AG90 AI79:AJ79 AM78:AO90 AI81:AJ82 AJ80 AI89 AJ88 AJ90 AI84:AJ87 AI83">
    <cfRule type="expression" dxfId="393" priority="461">
      <formula>$J78="잔금"</formula>
    </cfRule>
  </conditionalFormatting>
  <conditionalFormatting sqref="AJ55">
    <cfRule type="expression" dxfId="392" priority="460">
      <formula>$J55="잔금"</formula>
    </cfRule>
  </conditionalFormatting>
  <conditionalFormatting sqref="AI54">
    <cfRule type="expression" dxfId="391" priority="459">
      <formula>$J54="잔금"</formula>
    </cfRule>
  </conditionalFormatting>
  <conditionalFormatting sqref="AI55">
    <cfRule type="expression" dxfId="390" priority="458">
      <formula>$J55="잔금"</formula>
    </cfRule>
  </conditionalFormatting>
  <conditionalFormatting sqref="AI56">
    <cfRule type="expression" dxfId="389" priority="457">
      <formula>$J56="잔금"</formula>
    </cfRule>
  </conditionalFormatting>
  <conditionalFormatting sqref="AI77">
    <cfRule type="expression" dxfId="388" priority="456">
      <formula>$J77="잔금"</formula>
    </cfRule>
  </conditionalFormatting>
  <conditionalFormatting sqref="AI80">
    <cfRule type="expression" dxfId="387" priority="455">
      <formula>$J80="잔금"</formula>
    </cfRule>
  </conditionalFormatting>
  <conditionalFormatting sqref="AI88">
    <cfRule type="expression" dxfId="386" priority="454">
      <formula>$J88="잔금"</formula>
    </cfRule>
  </conditionalFormatting>
  <conditionalFormatting sqref="AI90">
    <cfRule type="expression" dxfId="385" priority="453">
      <formula>$J90="잔금"</formula>
    </cfRule>
  </conditionalFormatting>
  <conditionalFormatting sqref="A91:AG97 AM91:AO97 AJ91 AJ95:AJ96 AJ93">
    <cfRule type="expression" dxfId="384" priority="451">
      <formula>$J91="잔금"</formula>
    </cfRule>
  </conditionalFormatting>
  <conditionalFormatting sqref="AI91 AI93:AI96">
    <cfRule type="expression" dxfId="383" priority="450">
      <formula>$J91="잔금"</formula>
    </cfRule>
  </conditionalFormatting>
  <conditionalFormatting sqref="AJ98">
    <cfRule type="expression" dxfId="382" priority="446">
      <formula>$J98="잔금"</formula>
    </cfRule>
  </conditionalFormatting>
  <conditionalFormatting sqref="A105:AG111 AI105:AJ107 AI109:AJ110 AI108 AM105:AO111">
    <cfRule type="expression" dxfId="381" priority="445">
      <formula>$J105="잔금"</formula>
    </cfRule>
  </conditionalFormatting>
  <conditionalFormatting sqref="AJ108">
    <cfRule type="expression" dxfId="380" priority="444">
      <formula>$J108="잔금"</formula>
    </cfRule>
  </conditionalFormatting>
  <conditionalFormatting sqref="AJ83">
    <cfRule type="expression" dxfId="379" priority="443">
      <formula>$J83="잔금"</formula>
    </cfRule>
  </conditionalFormatting>
  <conditionalFormatting sqref="A112:AG125 AM112:AO112 AM114:AO125 AI114:AJ114 AI112:AI113 AI120:AJ121 AI117:AI119 AI123:AJ123 AI124:AI125">
    <cfRule type="expression" dxfId="378" priority="441">
      <formula>$J112="잔금"</formula>
    </cfRule>
  </conditionalFormatting>
  <conditionalFormatting sqref="AM113:AO113">
    <cfRule type="expression" dxfId="377" priority="440">
      <formula>$J113="잔금"</formula>
    </cfRule>
  </conditionalFormatting>
  <conditionalFormatting sqref="A126:AG135 AI126:AJ126 AM126:AO135 AI128:AJ129 AI131:AJ131 AI135 AI133:AJ134 AI132">
    <cfRule type="expression" dxfId="376" priority="438">
      <formula>$J126="잔금"</formula>
    </cfRule>
  </conditionalFormatting>
  <conditionalFormatting sqref="A136:AG149 AM136:AO149 AI140:AJ140 AI145:AJ145 AI142:AJ143 AI141">
    <cfRule type="expression" dxfId="375" priority="436">
      <formula>$J136="잔금"</formula>
    </cfRule>
  </conditionalFormatting>
  <conditionalFormatting sqref="A150:AG154 AI150:AJ151 AM150:AO154 AI153:AI154">
    <cfRule type="expression" dxfId="374" priority="434">
      <formula>$J150="잔금"</formula>
    </cfRule>
  </conditionalFormatting>
  <conditionalFormatting sqref="AJ153">
    <cfRule type="expression" dxfId="373" priority="433">
      <formula>$J153="잔금"</formula>
    </cfRule>
  </conditionalFormatting>
  <conditionalFormatting sqref="A155:AG164 AM155:AO164 AI156:AJ156 AI164 AI159:AJ159 AI161:AJ162 AI160">
    <cfRule type="expression" dxfId="372" priority="431">
      <formula>$J155="잔금"</formula>
    </cfRule>
  </conditionalFormatting>
  <conditionalFormatting sqref="A165:AG173 AM165:AO173 AI173:AJ173 AI168:AJ168 AI169">
    <cfRule type="expression" dxfId="371" priority="427">
      <formula>$J165="잔금"</formula>
    </cfRule>
  </conditionalFormatting>
  <conditionalFormatting sqref="A174:AG183 AM174:AO183 AI174:AJ174 AI176:AJ176 AI182:AJ183">
    <cfRule type="expression" dxfId="370" priority="425">
      <formula>$J174="잔금"</formula>
    </cfRule>
  </conditionalFormatting>
  <conditionalFormatting sqref="AI196:AJ196">
    <cfRule type="expression" dxfId="369" priority="423">
      <formula>$J196="잔금"</formula>
    </cfRule>
  </conditionalFormatting>
  <conditionalFormatting sqref="A197:AG201 AM197:AO201 AI198:AJ198 AI201:AJ201">
    <cfRule type="expression" dxfId="368" priority="421">
      <formula>$J197="잔금"</formula>
    </cfRule>
  </conditionalFormatting>
  <conditionalFormatting sqref="A202:AG203 AM202:AO203 AI202:AJ203">
    <cfRule type="expression" dxfId="367" priority="419">
      <formula>$J202="잔금"</formula>
    </cfRule>
  </conditionalFormatting>
  <conditionalFormatting sqref="AI111">
    <cfRule type="expression" dxfId="366" priority="418">
      <formula>$J111="잔금"</formula>
    </cfRule>
  </conditionalFormatting>
  <conditionalFormatting sqref="AI138">
    <cfRule type="expression" dxfId="365" priority="417">
      <formula>$J138="잔금"</formula>
    </cfRule>
  </conditionalFormatting>
  <conditionalFormatting sqref="AI146">
    <cfRule type="expression" dxfId="364" priority="416">
      <formula>$J146="잔금"</formula>
    </cfRule>
  </conditionalFormatting>
  <conditionalFormatting sqref="AJ111">
    <cfRule type="expression" dxfId="363" priority="415">
      <formula>$J111="잔금"</formula>
    </cfRule>
  </conditionalFormatting>
  <conditionalFormatting sqref="AJ138">
    <cfRule type="expression" dxfId="362" priority="414">
      <formula>$J138="잔금"</formula>
    </cfRule>
  </conditionalFormatting>
  <conditionalFormatting sqref="AJ146">
    <cfRule type="expression" dxfId="361" priority="413">
      <formula>$J146="잔금"</formula>
    </cfRule>
  </conditionalFormatting>
  <conditionalFormatting sqref="AI204:AJ209 AI236:AJ242 AI234:AJ234 AI244:AJ244 AI211:AJ215 AI210">
    <cfRule type="expression" dxfId="360" priority="407">
      <formula>$J204="잔금"</formula>
    </cfRule>
  </conditionalFormatting>
  <conditionalFormatting sqref="A258:AG262 AM258:AO268 AI258:AJ258 AI262:AJ262 AI267:AJ267 AI266 AI268 AI260:AJ260 AI259 A264:AG268 A263:AF263 AI264:AJ265">
    <cfRule type="expression" dxfId="359" priority="403">
      <formula>$J258="잔금"</formula>
    </cfRule>
  </conditionalFormatting>
  <conditionalFormatting sqref="AK257">
    <cfRule type="expression" dxfId="358" priority="402">
      <formula>$J257="잔금"</formula>
    </cfRule>
  </conditionalFormatting>
  <conditionalFormatting sqref="A271:AG271 AM271:AO271">
    <cfRule type="expression" dxfId="357" priority="395">
      <formula>$J271="잔금"</formula>
    </cfRule>
  </conditionalFormatting>
  <conditionalFormatting sqref="AJ154">
    <cfRule type="expression" dxfId="356" priority="394">
      <formula>$J154="잔금"</formula>
    </cfRule>
  </conditionalFormatting>
  <conditionalFormatting sqref="AI281">
    <cfRule type="expression" dxfId="355" priority="387">
      <formula>$J281="잔금"</formula>
    </cfRule>
  </conditionalFormatting>
  <conditionalFormatting sqref="AJ281">
    <cfRule type="expression" dxfId="354" priority="386">
      <formula>$J281="잔금"</formula>
    </cfRule>
  </conditionalFormatting>
  <conditionalFormatting sqref="AI148">
    <cfRule type="expression" dxfId="353" priority="385">
      <formula>$J148="잔금"</formula>
    </cfRule>
  </conditionalFormatting>
  <conditionalFormatting sqref="AJ148">
    <cfRule type="expression" dxfId="352" priority="384">
      <formula>$J148="잔금"</formula>
    </cfRule>
  </conditionalFormatting>
  <conditionalFormatting sqref="AI184">
    <cfRule type="expression" dxfId="351" priority="383">
      <formula>$J184="잔금"</formula>
    </cfRule>
  </conditionalFormatting>
  <conditionalFormatting sqref="AJ184">
    <cfRule type="expression" dxfId="350" priority="382">
      <formula>$J184="잔금"</formula>
    </cfRule>
  </conditionalFormatting>
  <conditionalFormatting sqref="AM295:AO301 AI295:AJ295 AI297:AJ297">
    <cfRule type="expression" dxfId="349" priority="380">
      <formula>$J295="잔금"</formula>
    </cfRule>
  </conditionalFormatting>
  <conditionalFormatting sqref="AM287:AO287">
    <cfRule type="expression" dxfId="348" priority="378">
      <formula>$J287="잔금"</formula>
    </cfRule>
  </conditionalFormatting>
  <conditionalFormatting sqref="AM272:AO272">
    <cfRule type="expression" dxfId="347" priority="377">
      <formula>$J272="잔금"</formula>
    </cfRule>
  </conditionalFormatting>
  <conditionalFormatting sqref="AI293">
    <cfRule type="expression" dxfId="346" priority="376">
      <formula>$J293="잔금"</formula>
    </cfRule>
  </conditionalFormatting>
  <conditionalFormatting sqref="AJ293">
    <cfRule type="expression" dxfId="345" priority="375">
      <formula>$J293="잔금"</formula>
    </cfRule>
  </conditionalFormatting>
  <conditionalFormatting sqref="AI171">
    <cfRule type="expression" dxfId="344" priority="374">
      <formula>$J171="잔금"</formula>
    </cfRule>
  </conditionalFormatting>
  <conditionalFormatting sqref="AJ171">
    <cfRule type="expression" dxfId="343" priority="373">
      <formula>$J171="잔금"</formula>
    </cfRule>
  </conditionalFormatting>
  <conditionalFormatting sqref="AI261">
    <cfRule type="expression" dxfId="342" priority="372">
      <formula>$J261="잔금"</formula>
    </cfRule>
  </conditionalFormatting>
  <conditionalFormatting sqref="AJ261">
    <cfRule type="expression" dxfId="341" priority="371">
      <formula>$J261="잔금"</formula>
    </cfRule>
  </conditionalFormatting>
  <conditionalFormatting sqref="AI195">
    <cfRule type="expression" dxfId="340" priority="370">
      <formula>$J195="잔금"</formula>
    </cfRule>
  </conditionalFormatting>
  <conditionalFormatting sqref="AJ195">
    <cfRule type="expression" dxfId="339" priority="369">
      <formula>$J195="잔금"</formula>
    </cfRule>
  </conditionalFormatting>
  <conditionalFormatting sqref="AI163">
    <cfRule type="expression" dxfId="338" priority="368">
      <formula>$J163="잔금"</formula>
    </cfRule>
  </conditionalFormatting>
  <conditionalFormatting sqref="AJ163">
    <cfRule type="expression" dxfId="337" priority="367">
      <formula>$J163="잔금"</formula>
    </cfRule>
  </conditionalFormatting>
  <conditionalFormatting sqref="A302:AG305 AI302:AJ302 AI305:AJ305">
    <cfRule type="expression" dxfId="336" priority="365">
      <formula>$J302="잔금"</formula>
    </cfRule>
  </conditionalFormatting>
  <conditionalFormatting sqref="AM303:AO305 AN302:AO302">
    <cfRule type="expression" dxfId="335" priority="364">
      <formula>$J302="잔금"</formula>
    </cfRule>
  </conditionalFormatting>
  <conditionalFormatting sqref="A333:AK336 AM334:AO335 A345:AI345 A346:AK348 AM337:AO339 AN336:AO336 AM341:AO341 AN340:AO340 AM343:AO345 AN342:AO342 AM347:AO366 AN346:AO346 AN333:AO333 A352:AK353 A351:AH351 AK351 A350:AK350 A349:AI349 AK349 A359:AK360 A358:AI358 AK358 A355:AK355 A354:AI354 AK354 A363:AK366 A362:AI362 A343:AK343 A341:AH341 A340:AK340 A339:AH339 AK339 A344:AH344 AK344:AK345 A361:AH361 AK361:AK362 A338:AK338 A337:AH337 AK337 A357:AK357 A356:AH356 AK356 A342:AI342 AK341:AK342">
    <cfRule type="expression" dxfId="334" priority="343">
      <formula>$J333="잔금"</formula>
    </cfRule>
  </conditionalFormatting>
  <conditionalFormatting sqref="AJ248">
    <cfRule type="expression" dxfId="333" priority="342">
      <formula>$J248="잔금"</formula>
    </cfRule>
  </conditionalFormatting>
  <conditionalFormatting sqref="AJ49">
    <cfRule type="expression" dxfId="332" priority="335">
      <formula>$J49="잔금"</formula>
    </cfRule>
  </conditionalFormatting>
  <conditionalFormatting sqref="AJ266">
    <cfRule type="expression" dxfId="331" priority="336">
      <formula>$J266="잔금"</formula>
    </cfRule>
  </conditionalFormatting>
  <conditionalFormatting sqref="AJ94">
    <cfRule type="expression" dxfId="330" priority="334">
      <formula>$J94="잔금"</formula>
    </cfRule>
  </conditionalFormatting>
  <conditionalFormatting sqref="AJ125">
    <cfRule type="expression" dxfId="329" priority="333">
      <formula>$J125="잔금"</formula>
    </cfRule>
  </conditionalFormatting>
  <conditionalFormatting sqref="AI389:AJ389 AM389:AO392 AI390">
    <cfRule type="expression" dxfId="328" priority="330">
      <formula>$J389="잔금"</formula>
    </cfRule>
  </conditionalFormatting>
  <conditionalFormatting sqref="AJ164">
    <cfRule type="expression" dxfId="327" priority="328">
      <formula>$J164="잔금"</formula>
    </cfRule>
  </conditionalFormatting>
  <conditionalFormatting sqref="AJ369">
    <cfRule type="expression" dxfId="326" priority="327">
      <formula>$J369="잔금"</formula>
    </cfRule>
  </conditionalFormatting>
  <conditionalFormatting sqref="AJ390">
    <cfRule type="expression" dxfId="325" priority="326">
      <formula>$J390="잔금"</formula>
    </cfRule>
  </conditionalFormatting>
  <conditionalFormatting sqref="AJ89">
    <cfRule type="expression" dxfId="324" priority="287">
      <formula>$J89="잔금"</formula>
    </cfRule>
  </conditionalFormatting>
  <conditionalFormatting sqref="A393:AG399 AM393:AO399 AI393:AJ393 AI396:AJ398 AI394:AI395">
    <cfRule type="expression" dxfId="323" priority="324">
      <formula>$J393="잔금"</formula>
    </cfRule>
  </conditionalFormatting>
  <conditionalFormatting sqref="AJ177">
    <cfRule type="expression" dxfId="322" priority="293">
      <formula>$J177="잔금"</formula>
    </cfRule>
  </conditionalFormatting>
  <conditionalFormatting sqref="AI127">
    <cfRule type="expression" dxfId="321" priority="321">
      <formula>$J127="잔금"</formula>
    </cfRule>
  </conditionalFormatting>
  <conditionalFormatting sqref="AI130">
    <cfRule type="expression" dxfId="320" priority="320">
      <formula>$J130="잔금"</formula>
    </cfRule>
  </conditionalFormatting>
  <conditionalFormatting sqref="AI137">
    <cfRule type="expression" dxfId="319" priority="319">
      <formula>$J137="잔금"</formula>
    </cfRule>
  </conditionalFormatting>
  <conditionalFormatting sqref="AI158">
    <cfRule type="expression" dxfId="318" priority="318">
      <formula>$J158="잔금"</formula>
    </cfRule>
  </conditionalFormatting>
  <conditionalFormatting sqref="AI166">
    <cfRule type="expression" dxfId="317" priority="317">
      <formula>$J166="잔금"</formula>
    </cfRule>
  </conditionalFormatting>
  <conditionalFormatting sqref="AI167">
    <cfRule type="expression" dxfId="316" priority="316">
      <formula>$J167="잔금"</formula>
    </cfRule>
  </conditionalFormatting>
  <conditionalFormatting sqref="AI172">
    <cfRule type="expression" dxfId="315" priority="315">
      <formula>$J172="잔금"</formula>
    </cfRule>
  </conditionalFormatting>
  <conditionalFormatting sqref="AI175">
    <cfRule type="expression" dxfId="314" priority="314">
      <formula>$J175="잔금"</formula>
    </cfRule>
  </conditionalFormatting>
  <conditionalFormatting sqref="AI179">
    <cfRule type="expression" dxfId="313" priority="313">
      <formula>$J179="잔금"</formula>
    </cfRule>
  </conditionalFormatting>
  <conditionalFormatting sqref="AI177">
    <cfRule type="expression" dxfId="312" priority="312">
      <formula>$J177="잔금"</formula>
    </cfRule>
  </conditionalFormatting>
  <conditionalFormatting sqref="AI180">
    <cfRule type="expression" dxfId="311" priority="311">
      <formula>$J180="잔금"</formula>
    </cfRule>
  </conditionalFormatting>
  <conditionalFormatting sqref="AI194">
    <cfRule type="expression" dxfId="310" priority="310">
      <formula>$J194="잔금"</formula>
    </cfRule>
  </conditionalFormatting>
  <conditionalFormatting sqref="AI271">
    <cfRule type="expression" dxfId="309" priority="309">
      <formula>$J271="잔금"</formula>
    </cfRule>
  </conditionalFormatting>
  <conditionalFormatting sqref="AJ112">
    <cfRule type="expression" dxfId="308" priority="308">
      <formula>$J112="잔금"</formula>
    </cfRule>
  </conditionalFormatting>
  <conditionalFormatting sqref="AJ113">
    <cfRule type="expression" dxfId="307" priority="307">
      <formula>$J113="잔금"</formula>
    </cfRule>
  </conditionalFormatting>
  <conditionalFormatting sqref="AJ117">
    <cfRule type="expression" dxfId="306" priority="306">
      <formula>$J117="잔금"</formula>
    </cfRule>
  </conditionalFormatting>
  <conditionalFormatting sqref="AJ160">
    <cfRule type="expression" dxfId="305" priority="286">
      <formula>$J160="잔금"</formula>
    </cfRule>
  </conditionalFormatting>
  <conditionalFormatting sqref="AJ118">
    <cfRule type="expression" dxfId="304" priority="303">
      <formula>$J118="잔금"</formula>
    </cfRule>
  </conditionalFormatting>
  <conditionalFormatting sqref="AJ119">
    <cfRule type="expression" dxfId="303" priority="302">
      <formula>$J119="잔금"</formula>
    </cfRule>
  </conditionalFormatting>
  <conditionalFormatting sqref="AJ127">
    <cfRule type="expression" dxfId="302" priority="301">
      <formula>$J127="잔금"</formula>
    </cfRule>
  </conditionalFormatting>
  <conditionalFormatting sqref="AJ130">
    <cfRule type="expression" dxfId="301" priority="300">
      <formula>$J130="잔금"</formula>
    </cfRule>
  </conditionalFormatting>
  <conditionalFormatting sqref="AJ137">
    <cfRule type="expression" dxfId="300" priority="299">
      <formula>$J137="잔금"</formula>
    </cfRule>
  </conditionalFormatting>
  <conditionalFormatting sqref="AJ158">
    <cfRule type="expression" dxfId="299" priority="298">
      <formula>$J158="잔금"</formula>
    </cfRule>
  </conditionalFormatting>
  <conditionalFormatting sqref="AJ166">
    <cfRule type="expression" dxfId="298" priority="297">
      <formula>$J166="잔금"</formula>
    </cfRule>
  </conditionalFormatting>
  <conditionalFormatting sqref="AJ167">
    <cfRule type="expression" dxfId="297" priority="296">
      <formula>$J167="잔금"</formula>
    </cfRule>
  </conditionalFormatting>
  <conditionalFormatting sqref="AJ172">
    <cfRule type="expression" dxfId="296" priority="295">
      <formula>$J172="잔금"</formula>
    </cfRule>
  </conditionalFormatting>
  <conditionalFormatting sqref="AJ175">
    <cfRule type="expression" dxfId="295" priority="294">
      <formula>$J175="잔금"</formula>
    </cfRule>
  </conditionalFormatting>
  <conditionalFormatting sqref="AJ179">
    <cfRule type="expression" dxfId="294" priority="292">
      <formula>$J179="잔금"</formula>
    </cfRule>
  </conditionalFormatting>
  <conditionalFormatting sqref="AJ180">
    <cfRule type="expression" dxfId="293" priority="291">
      <formula>$J180="잔금"</formula>
    </cfRule>
  </conditionalFormatting>
  <conditionalFormatting sqref="AJ194">
    <cfRule type="expression" dxfId="292" priority="290">
      <formula>$J194="잔금"</formula>
    </cfRule>
  </conditionalFormatting>
  <conditionalFormatting sqref="AJ271">
    <cfRule type="expression" dxfId="291" priority="289">
      <formula>$J271="잔금"</formula>
    </cfRule>
  </conditionalFormatting>
  <conditionalFormatting sqref="AJ60">
    <cfRule type="expression" dxfId="290" priority="288">
      <formula>$J60="잔금"</formula>
    </cfRule>
  </conditionalFormatting>
  <conditionalFormatting sqref="AN4">
    <cfRule type="expression" dxfId="289" priority="285">
      <formula>$J4="잔금"</formula>
    </cfRule>
  </conditionalFormatting>
  <conditionalFormatting sqref="AN7">
    <cfRule type="expression" dxfId="288" priority="283">
      <formula>$J7="잔금"</formula>
    </cfRule>
  </conditionalFormatting>
  <conditionalFormatting sqref="AN13">
    <cfRule type="expression" dxfId="287" priority="282">
      <formula>$J13="잔금"</formula>
    </cfRule>
  </conditionalFormatting>
  <conditionalFormatting sqref="AN14">
    <cfRule type="expression" dxfId="286" priority="281">
      <formula>$J14="잔금"</formula>
    </cfRule>
  </conditionalFormatting>
  <conditionalFormatting sqref="AN15">
    <cfRule type="expression" dxfId="285" priority="280">
      <formula>$J15="잔금"</formula>
    </cfRule>
  </conditionalFormatting>
  <conditionalFormatting sqref="AN17">
    <cfRule type="expression" dxfId="284" priority="279">
      <formula>$J17="잔금"</formula>
    </cfRule>
  </conditionalFormatting>
  <conditionalFormatting sqref="AN19">
    <cfRule type="expression" dxfId="283" priority="278">
      <formula>$J19="잔금"</formula>
    </cfRule>
  </conditionalFormatting>
  <conditionalFormatting sqref="AN20">
    <cfRule type="expression" dxfId="282" priority="277">
      <formula>$J20="잔금"</formula>
    </cfRule>
  </conditionalFormatting>
  <conditionalFormatting sqref="AN31">
    <cfRule type="expression" dxfId="281" priority="276">
      <formula>$J31="잔금"</formula>
    </cfRule>
  </conditionalFormatting>
  <conditionalFormatting sqref="AN34">
    <cfRule type="expression" dxfId="280" priority="275">
      <formula>$J34="잔금"</formula>
    </cfRule>
  </conditionalFormatting>
  <conditionalFormatting sqref="AN36">
    <cfRule type="expression" dxfId="279" priority="274">
      <formula>$J36="잔금"</formula>
    </cfRule>
  </conditionalFormatting>
  <conditionalFormatting sqref="AN38">
    <cfRule type="expression" dxfId="278" priority="273">
      <formula>$J38="잔금"</formula>
    </cfRule>
  </conditionalFormatting>
  <conditionalFormatting sqref="AN39">
    <cfRule type="expression" dxfId="277" priority="272">
      <formula>$J39="잔금"</formula>
    </cfRule>
  </conditionalFormatting>
  <conditionalFormatting sqref="AN42">
    <cfRule type="expression" dxfId="276" priority="271">
      <formula>$J42="잔금"</formula>
    </cfRule>
  </conditionalFormatting>
  <conditionalFormatting sqref="AN79">
    <cfRule type="expression" dxfId="275" priority="270">
      <formula>$J79="잔금"</formula>
    </cfRule>
  </conditionalFormatting>
  <conditionalFormatting sqref="AN86">
    <cfRule type="expression" dxfId="274" priority="269">
      <formula>$J86="잔금"</formula>
    </cfRule>
  </conditionalFormatting>
  <conditionalFormatting sqref="AN87">
    <cfRule type="expression" dxfId="273" priority="268">
      <formula>$J87="잔금"</formula>
    </cfRule>
  </conditionalFormatting>
  <conditionalFormatting sqref="AN96">
    <cfRule type="expression" dxfId="272" priority="267">
      <formula>$J96="잔금"</formula>
    </cfRule>
  </conditionalFormatting>
  <conditionalFormatting sqref="AN106">
    <cfRule type="expression" dxfId="271" priority="266">
      <formula>$J106="잔금"</formula>
    </cfRule>
  </conditionalFormatting>
  <conditionalFormatting sqref="AN107">
    <cfRule type="expression" dxfId="270" priority="265">
      <formula>$J107="잔금"</formula>
    </cfRule>
  </conditionalFormatting>
  <conditionalFormatting sqref="AN188">
    <cfRule type="expression" dxfId="269" priority="264">
      <formula>$J188="잔금"</formula>
    </cfRule>
  </conditionalFormatting>
  <conditionalFormatting sqref="AN188">
    <cfRule type="expression" dxfId="268" priority="263">
      <formula>$J188="잔금"</formula>
    </cfRule>
  </conditionalFormatting>
  <conditionalFormatting sqref="AN212">
    <cfRule type="expression" dxfId="267" priority="262">
      <formula>$J212="잔금"</formula>
    </cfRule>
  </conditionalFormatting>
  <conditionalFormatting sqref="AN212">
    <cfRule type="expression" dxfId="266" priority="261">
      <formula>$J212="잔금"</formula>
    </cfRule>
  </conditionalFormatting>
  <conditionalFormatting sqref="AN213">
    <cfRule type="expression" dxfId="265" priority="260">
      <formula>$J213="잔금"</formula>
    </cfRule>
  </conditionalFormatting>
  <conditionalFormatting sqref="AN213">
    <cfRule type="expression" dxfId="264" priority="259">
      <formula>$J213="잔금"</formula>
    </cfRule>
  </conditionalFormatting>
  <conditionalFormatting sqref="AN400:AO407">
    <cfRule type="expression" dxfId="263" priority="258">
      <formula>$J400="잔금"</formula>
    </cfRule>
  </conditionalFormatting>
  <conditionalFormatting sqref="A400:AG407 AM400:AO407 AI401:AJ402 AI404:AJ404 AI406:AI407">
    <cfRule type="expression" dxfId="262" priority="257">
      <formula>$J400="잔금"</formula>
    </cfRule>
  </conditionalFormatting>
  <conditionalFormatting sqref="AI233">
    <cfRule type="expression" dxfId="261" priority="232">
      <formula>$J233="잔금"</formula>
    </cfRule>
  </conditionalFormatting>
  <conditionalFormatting sqref="AJ345">
    <cfRule type="expression" dxfId="260" priority="253">
      <formula>$J345="잔금"</formula>
    </cfRule>
  </conditionalFormatting>
  <conditionalFormatting sqref="AJ233">
    <cfRule type="expression" dxfId="259" priority="230">
      <formula>$J233="잔금"</formula>
    </cfRule>
  </conditionalFormatting>
  <conditionalFormatting sqref="AJ268">
    <cfRule type="expression" dxfId="258" priority="251">
      <formula>$J268="잔금"</formula>
    </cfRule>
  </conditionalFormatting>
  <conditionalFormatting sqref="AI235">
    <cfRule type="expression" dxfId="257" priority="250">
      <formula>$J235="잔금"</formula>
    </cfRule>
  </conditionalFormatting>
  <conditionalFormatting sqref="AJ235">
    <cfRule type="expression" dxfId="256" priority="249">
      <formula>$J235="잔금"</formula>
    </cfRule>
  </conditionalFormatting>
  <conditionalFormatting sqref="AI181">
    <cfRule type="expression" dxfId="255" priority="248">
      <formula>$J181="잔금"</formula>
    </cfRule>
  </conditionalFormatting>
  <conditionalFormatting sqref="AJ181">
    <cfRule type="expression" dxfId="254" priority="247">
      <formula>$J181="잔금"</formula>
    </cfRule>
  </conditionalFormatting>
  <conditionalFormatting sqref="AI216">
    <cfRule type="expression" dxfId="253" priority="246">
      <formula>$J216="잔금"</formula>
    </cfRule>
  </conditionalFormatting>
  <conditionalFormatting sqref="AJ216">
    <cfRule type="expression" dxfId="252" priority="245">
      <formula>$J216="잔금"</formula>
    </cfRule>
  </conditionalFormatting>
  <conditionalFormatting sqref="AI122">
    <cfRule type="expression" dxfId="251" priority="244">
      <formula>$J122="잔금"</formula>
    </cfRule>
  </conditionalFormatting>
  <conditionalFormatting sqref="AJ122">
    <cfRule type="expression" dxfId="250" priority="243">
      <formula>$J122="잔금"</formula>
    </cfRule>
  </conditionalFormatting>
  <conditionalFormatting sqref="AI380">
    <cfRule type="expression" dxfId="249" priority="242">
      <formula>$J380="잔금"</formula>
    </cfRule>
  </conditionalFormatting>
  <conditionalFormatting sqref="AI388">
    <cfRule type="expression" dxfId="248" priority="241">
      <formula>$J388="잔금"</formula>
    </cfRule>
  </conditionalFormatting>
  <conditionalFormatting sqref="AJ380">
    <cfRule type="expression" dxfId="247" priority="240">
      <formula>$J380="잔금"</formula>
    </cfRule>
  </conditionalFormatting>
  <conditionalFormatting sqref="AJ388">
    <cfRule type="expression" dxfId="246" priority="239">
      <formula>$J388="잔금"</formula>
    </cfRule>
  </conditionalFormatting>
  <conditionalFormatting sqref="AJ76">
    <cfRule type="expression" dxfId="245" priority="238">
      <formula>$J76="잔금"</formula>
    </cfRule>
  </conditionalFormatting>
  <conditionalFormatting sqref="AI332">
    <cfRule type="expression" dxfId="244" priority="237">
      <formula>$J332="잔금"</formula>
    </cfRule>
  </conditionalFormatting>
  <conditionalFormatting sqref="AJ332">
    <cfRule type="expression" dxfId="243" priority="236">
      <formula>$J332="잔금"</formula>
    </cfRule>
  </conditionalFormatting>
  <conditionalFormatting sqref="AJ276">
    <cfRule type="expression" dxfId="242" priority="235">
      <formula>$J276="잔금"</formula>
    </cfRule>
  </conditionalFormatting>
  <conditionalFormatting sqref="AJ407">
    <cfRule type="expression" dxfId="241" priority="234">
      <formula>$J407="잔금"</formula>
    </cfRule>
  </conditionalFormatting>
  <conditionalFormatting sqref="AI116">
    <cfRule type="expression" dxfId="240" priority="233">
      <formula>$J116="잔금"</formula>
    </cfRule>
  </conditionalFormatting>
  <conditionalFormatting sqref="AJ116">
    <cfRule type="expression" dxfId="239" priority="231">
      <formula>$J116="잔금"</formula>
    </cfRule>
  </conditionalFormatting>
  <conditionalFormatting sqref="AJ135">
    <cfRule type="expression" dxfId="238" priority="229">
      <formula>$J135="잔금"</formula>
    </cfRule>
  </conditionalFormatting>
  <conditionalFormatting sqref="AI144">
    <cfRule type="expression" dxfId="237" priority="228">
      <formula>$J144="잔금"</formula>
    </cfRule>
  </conditionalFormatting>
  <conditionalFormatting sqref="AJ144">
    <cfRule type="expression" dxfId="236" priority="227">
      <formula>$J144="잔금"</formula>
    </cfRule>
  </conditionalFormatting>
  <conditionalFormatting sqref="AI185">
    <cfRule type="expression" dxfId="235" priority="226">
      <formula>$J185="잔금"</formula>
    </cfRule>
  </conditionalFormatting>
  <conditionalFormatting sqref="AJ185">
    <cfRule type="expression" dxfId="234" priority="225">
      <formula>$J185="잔금"</formula>
    </cfRule>
  </conditionalFormatting>
  <conditionalFormatting sqref="AI269">
    <cfRule type="expression" dxfId="233" priority="224">
      <formula>$J269="잔금"</formula>
    </cfRule>
  </conditionalFormatting>
  <conditionalFormatting sqref="AJ269">
    <cfRule type="expression" dxfId="232" priority="223">
      <formula>$J269="잔금"</formula>
    </cfRule>
  </conditionalFormatting>
  <conditionalFormatting sqref="AJ379">
    <cfRule type="expression" dxfId="231" priority="222">
      <formula>$J379="잔금"</formula>
    </cfRule>
  </conditionalFormatting>
  <conditionalFormatting sqref="AI329">
    <cfRule type="expression" dxfId="230" priority="221">
      <formula>$J329="잔금"</formula>
    </cfRule>
  </conditionalFormatting>
  <conditionalFormatting sqref="AJ329">
    <cfRule type="expression" dxfId="229" priority="220">
      <formula>$J329="잔금"</formula>
    </cfRule>
  </conditionalFormatting>
  <conditionalFormatting sqref="AJ375">
    <cfRule type="expression" dxfId="228" priority="215">
      <formula>$J375="잔금"</formula>
    </cfRule>
  </conditionalFormatting>
  <conditionalFormatting sqref="AI376">
    <cfRule type="expression" dxfId="227" priority="219">
      <formula>$J376="잔금"</formula>
    </cfRule>
  </conditionalFormatting>
  <conditionalFormatting sqref="AJ376">
    <cfRule type="expression" dxfId="226" priority="218">
      <formula>$J376="잔금"</formula>
    </cfRule>
  </conditionalFormatting>
  <conditionalFormatting sqref="AI383">
    <cfRule type="expression" dxfId="225" priority="217">
      <formula>$J383="잔금"</formula>
    </cfRule>
  </conditionalFormatting>
  <conditionalFormatting sqref="AJ383">
    <cfRule type="expression" dxfId="224" priority="216">
      <formula>$J383="잔금"</formula>
    </cfRule>
  </conditionalFormatting>
  <conditionalFormatting sqref="AI178:AJ178">
    <cfRule type="expression" dxfId="223" priority="214">
      <formula>$J178="잔금"</formula>
    </cfRule>
  </conditionalFormatting>
  <conditionalFormatting sqref="AI186:AJ186">
    <cfRule type="expression" dxfId="222" priority="213">
      <formula>$J186="잔금"</formula>
    </cfRule>
  </conditionalFormatting>
  <conditionalFormatting sqref="AM336">
    <cfRule type="expression" dxfId="221" priority="189">
      <formula>$J336="잔금"</formula>
    </cfRule>
  </conditionalFormatting>
  <conditionalFormatting sqref="AM340">
    <cfRule type="expression" dxfId="220" priority="188">
      <formula>$J340="잔금"</formula>
    </cfRule>
  </conditionalFormatting>
  <conditionalFormatting sqref="AM342">
    <cfRule type="expression" dxfId="219" priority="187">
      <formula>$J342="잔금"</formula>
    </cfRule>
  </conditionalFormatting>
  <conditionalFormatting sqref="AM346">
    <cfRule type="expression" dxfId="218" priority="186">
      <formula>$J346="잔금"</formula>
    </cfRule>
  </conditionalFormatting>
  <conditionalFormatting sqref="AM333">
    <cfRule type="expression" dxfId="217" priority="185">
      <formula>$J333="잔금"</formula>
    </cfRule>
  </conditionalFormatting>
  <conditionalFormatting sqref="AM302">
    <cfRule type="expression" dxfId="216" priority="184">
      <formula>$J302="잔금"</formula>
    </cfRule>
  </conditionalFormatting>
  <conditionalFormatting sqref="AJ394">
    <cfRule type="expression" dxfId="215" priority="183">
      <formula>$J394="잔금"</formula>
    </cfRule>
  </conditionalFormatting>
  <conditionalFormatting sqref="AI403">
    <cfRule type="expression" dxfId="214" priority="182">
      <formula>$J403="잔금"</formula>
    </cfRule>
  </conditionalFormatting>
  <conditionalFormatting sqref="AJ403">
    <cfRule type="expression" dxfId="213" priority="181">
      <formula>$J403="잔금"</formula>
    </cfRule>
  </conditionalFormatting>
  <conditionalFormatting sqref="AI351">
    <cfRule type="expression" dxfId="212" priority="180">
      <formula>$J351="잔금"</formula>
    </cfRule>
  </conditionalFormatting>
  <conditionalFormatting sqref="AJ351">
    <cfRule type="expression" dxfId="211" priority="179">
      <formula>$J351="잔금"</formula>
    </cfRule>
  </conditionalFormatting>
  <conditionalFormatting sqref="AJ420">
    <cfRule type="expression" dxfId="210" priority="178">
      <formula>$J420="잔금"</formula>
    </cfRule>
  </conditionalFormatting>
  <conditionalFormatting sqref="AJ139">
    <cfRule type="expression" dxfId="209" priority="176">
      <formula>$J139="잔금"</formula>
    </cfRule>
  </conditionalFormatting>
  <conditionalFormatting sqref="AJ197">
    <cfRule type="expression" dxfId="208" priority="175">
      <formula>$J197="잔금"</formula>
    </cfRule>
  </conditionalFormatting>
  <conditionalFormatting sqref="AJ298">
    <cfRule type="expression" dxfId="207" priority="174">
      <formula>$J298="잔금"</formula>
    </cfRule>
  </conditionalFormatting>
  <conditionalFormatting sqref="AI139">
    <cfRule type="expression" dxfId="206" priority="173">
      <formula>$J139="잔금"</formula>
    </cfRule>
  </conditionalFormatting>
  <conditionalFormatting sqref="AI197">
    <cfRule type="expression" dxfId="205" priority="172">
      <formula>$J197="잔금"</formula>
    </cfRule>
  </conditionalFormatting>
  <conditionalFormatting sqref="AI298">
    <cfRule type="expression" dxfId="204" priority="171">
      <formula>$J298="잔금"</formula>
    </cfRule>
  </conditionalFormatting>
  <conditionalFormatting sqref="A447:AO447">
    <cfRule type="expression" dxfId="203" priority="161">
      <formula>$J447="잔금"</formula>
    </cfRule>
  </conditionalFormatting>
  <conditionalFormatting sqref="A448:AG453 AI449:AJ449 AM448:AO448 AM450:AO453 AN449:AO449 AI448 AI451:AJ451 AI450 AI453:AJ453">
    <cfRule type="expression" dxfId="202" priority="160">
      <formula>$J448="잔금"</formula>
    </cfRule>
  </conditionalFormatting>
  <conditionalFormatting sqref="AM449">
    <cfRule type="expression" dxfId="201" priority="159">
      <formula>$J449="잔금"</formula>
    </cfRule>
  </conditionalFormatting>
  <conditionalFormatting sqref="AJ448">
    <cfRule type="expression" dxfId="200" priority="158">
      <formula>$J448="잔금"</formula>
    </cfRule>
  </conditionalFormatting>
  <conditionalFormatting sqref="A454:AG457 AI454:AJ457 AN454:AO457">
    <cfRule type="expression" dxfId="199" priority="156">
      <formula>$J454="잔금"</formula>
    </cfRule>
  </conditionalFormatting>
  <conditionalFormatting sqref="AM454">
    <cfRule type="expression" dxfId="198" priority="155">
      <formula>$J454="잔금"</formula>
    </cfRule>
  </conditionalFormatting>
  <conditionalFormatting sqref="AM455">
    <cfRule type="expression" dxfId="197" priority="154">
      <formula>$J455="잔금"</formula>
    </cfRule>
  </conditionalFormatting>
  <conditionalFormatting sqref="AM456">
    <cfRule type="expression" dxfId="196" priority="153">
      <formula>$J456="잔금"</formula>
    </cfRule>
  </conditionalFormatting>
  <conditionalFormatting sqref="AM457">
    <cfRule type="expression" dxfId="195" priority="152">
      <formula>$J457="잔금"</formula>
    </cfRule>
  </conditionalFormatting>
  <conditionalFormatting sqref="AJ450">
    <cfRule type="expression" dxfId="194" priority="148">
      <formula>$J450="잔금"</formula>
    </cfRule>
  </conditionalFormatting>
  <conditionalFormatting sqref="AJ349">
    <cfRule type="expression" dxfId="193" priority="147">
      <formula>$J349="잔금"</formula>
    </cfRule>
  </conditionalFormatting>
  <conditionalFormatting sqref="A428:AG428 AI428 AL428:AO428">
    <cfRule type="expression" dxfId="192" priority="146">
      <formula>$J428="잔금"</formula>
    </cfRule>
  </conditionalFormatting>
  <conditionalFormatting sqref="AJ428">
    <cfRule type="expression" dxfId="191" priority="145">
      <formula>$J428="잔금"</formula>
    </cfRule>
  </conditionalFormatting>
  <conditionalFormatting sqref="AJ74">
    <cfRule type="expression" dxfId="190" priority="144">
      <formula>$J74="잔금"</formula>
    </cfRule>
  </conditionalFormatting>
  <conditionalFormatting sqref="A467:AG467 AI467:AJ467 AL467:AO467">
    <cfRule type="expression" dxfId="189" priority="142">
      <formula>$J467="잔금"</formula>
    </cfRule>
  </conditionalFormatting>
  <conditionalFormatting sqref="A8:AO8">
    <cfRule type="expression" dxfId="188" priority="141">
      <formula>$J8="잔금"</formula>
    </cfRule>
  </conditionalFormatting>
  <conditionalFormatting sqref="AN8">
    <cfRule type="expression" dxfId="187" priority="140">
      <formula>$J8="잔금"</formula>
    </cfRule>
  </conditionalFormatting>
  <conditionalFormatting sqref="AJ132">
    <cfRule type="expression" dxfId="186" priority="139">
      <formula>$J132="잔금"</formula>
    </cfRule>
  </conditionalFormatting>
  <conditionalFormatting sqref="AJ259">
    <cfRule type="expression" dxfId="185" priority="135">
      <formula>$J259="잔금"</formula>
    </cfRule>
  </conditionalFormatting>
  <conditionalFormatting sqref="A483:AG504 AI483:AJ487 AM483:AO504 AI489:AJ498 AI488 AI500:AJ504 AI499">
    <cfRule type="expression" dxfId="184" priority="134">
      <formula>$J483="잔금"</formula>
    </cfRule>
  </conditionalFormatting>
  <conditionalFormatting sqref="AJ421">
    <cfRule type="expression" dxfId="183" priority="133">
      <formula>$J421="잔금"</formula>
    </cfRule>
  </conditionalFormatting>
  <conditionalFormatting sqref="AJ478">
    <cfRule type="expression" dxfId="182" priority="132">
      <formula>$J478="잔금"</formula>
    </cfRule>
  </conditionalFormatting>
  <conditionalFormatting sqref="A505:AG514 AI505:AJ505 AM505:AO514 AI507:AJ507 AI506 AI509:AJ511 AI508 AI514:AJ514">
    <cfRule type="expression" dxfId="181" priority="130">
      <formula>$J505="잔금"</formula>
    </cfRule>
  </conditionalFormatting>
  <conditionalFormatting sqref="AJ169">
    <cfRule type="expression" dxfId="180" priority="126">
      <formula>$J169="잔금"</formula>
    </cfRule>
  </conditionalFormatting>
  <conditionalFormatting sqref="AJ506">
    <cfRule type="expression" dxfId="179" priority="128">
      <formula>$J506="잔금"</formula>
    </cfRule>
  </conditionalFormatting>
  <conditionalFormatting sqref="AJ488">
    <cfRule type="expression" dxfId="178" priority="125">
      <formula>$J488="잔금"</formula>
    </cfRule>
  </conditionalFormatting>
  <conditionalFormatting sqref="AJ358">
    <cfRule type="expression" dxfId="177" priority="123">
      <formula>$J358="잔금"</formula>
    </cfRule>
  </conditionalFormatting>
  <conditionalFormatting sqref="AJ481">
    <cfRule type="expression" dxfId="176" priority="122">
      <formula>$J481="잔금"</formula>
    </cfRule>
  </conditionalFormatting>
  <conditionalFormatting sqref="AJ354">
    <cfRule type="expression" dxfId="175" priority="121">
      <formula>$J354="잔금"</formula>
    </cfRule>
  </conditionalFormatting>
  <conditionalFormatting sqref="AJ362">
    <cfRule type="expression" dxfId="174" priority="120">
      <formula>$J362="잔금"</formula>
    </cfRule>
  </conditionalFormatting>
  <conditionalFormatting sqref="AJ469">
    <cfRule type="expression" dxfId="173" priority="119">
      <formula>$J469="잔금"</formula>
    </cfRule>
  </conditionalFormatting>
  <conditionalFormatting sqref="AI115">
    <cfRule type="expression" dxfId="172" priority="118">
      <formula>$J115="잔금"</formula>
    </cfRule>
  </conditionalFormatting>
  <conditionalFormatting sqref="AI152">
    <cfRule type="expression" dxfId="171" priority="117">
      <formula>$J152="잔금"</formula>
    </cfRule>
  </conditionalFormatting>
  <conditionalFormatting sqref="AJ115">
    <cfRule type="expression" dxfId="170" priority="116">
      <formula>$J115="잔금"</formula>
    </cfRule>
  </conditionalFormatting>
  <conditionalFormatting sqref="AJ152">
    <cfRule type="expression" dxfId="169" priority="115">
      <formula>$J152="잔금"</formula>
    </cfRule>
  </conditionalFormatting>
  <conditionalFormatting sqref="AJ499">
    <cfRule type="expression" dxfId="168" priority="112">
      <formula>$J499="잔금"</formula>
    </cfRule>
  </conditionalFormatting>
  <conditionalFormatting sqref="AJ508">
    <cfRule type="expression" dxfId="167" priority="111">
      <formula>$J508="잔금"</formula>
    </cfRule>
  </conditionalFormatting>
  <conditionalFormatting sqref="A529:AI531 AK529:AO531">
    <cfRule type="expression" dxfId="166" priority="110">
      <formula>$J529="잔금"</formula>
    </cfRule>
  </conditionalFormatting>
  <conditionalFormatting sqref="A537:AG539 AI537:AJ539 AL537:AO539">
    <cfRule type="expression" dxfId="165" priority="109">
      <formula>$J537="잔금"</formula>
    </cfRule>
  </conditionalFormatting>
  <conditionalFormatting sqref="AJ531">
    <cfRule type="expression" dxfId="164" priority="107">
      <formula>$J531="잔금"</formula>
    </cfRule>
  </conditionalFormatting>
  <conditionalFormatting sqref="AJ522">
    <cfRule type="expression" dxfId="163" priority="106">
      <formula>$J522="잔금"</formula>
    </cfRule>
  </conditionalFormatting>
  <conditionalFormatting sqref="A540:AG547 AI540:AJ540 AL540:AO547 AI542:AJ547">
    <cfRule type="expression" dxfId="162" priority="105">
      <formula>$J540="잔금"</formula>
    </cfRule>
  </conditionalFormatting>
  <conditionalFormatting sqref="AJ529">
    <cfRule type="expression" dxfId="161" priority="102">
      <formula>$J529="잔금"</formula>
    </cfRule>
  </conditionalFormatting>
  <conditionalFormatting sqref="AJ530">
    <cfRule type="expression" dxfId="160" priority="101">
      <formula>$J530="잔금"</formula>
    </cfRule>
  </conditionalFormatting>
  <conditionalFormatting sqref="AJ391">
    <cfRule type="expression" dxfId="159" priority="100">
      <formula>$J391="잔금"</formula>
    </cfRule>
  </conditionalFormatting>
  <conditionalFormatting sqref="AJ315">
    <cfRule type="expression" dxfId="158" priority="99">
      <formula>$J315="잔금"</formula>
    </cfRule>
  </conditionalFormatting>
  <conditionalFormatting sqref="AI92">
    <cfRule type="expression" dxfId="157" priority="98">
      <formula>$J92="잔금"</formula>
    </cfRule>
  </conditionalFormatting>
  <conditionalFormatting sqref="AJ92">
    <cfRule type="expression" dxfId="156" priority="97">
      <formula>$J92="잔금"</formula>
    </cfRule>
  </conditionalFormatting>
  <conditionalFormatting sqref="AI523:AJ523">
    <cfRule type="expression" dxfId="155" priority="96">
      <formula>$J523="잔금"</formula>
    </cfRule>
  </conditionalFormatting>
  <conditionalFormatting sqref="AI387:AJ387">
    <cfRule type="expression" dxfId="154" priority="95">
      <formula>$J387="잔금"</formula>
    </cfRule>
  </conditionalFormatting>
  <conditionalFormatting sqref="AI311:AJ311">
    <cfRule type="expression" dxfId="153" priority="94">
      <formula>$J311="잔금"</formula>
    </cfRule>
  </conditionalFormatting>
  <conditionalFormatting sqref="AI341:AJ341">
    <cfRule type="expression" dxfId="152" priority="93">
      <formula>$J341="잔금"</formula>
    </cfRule>
  </conditionalFormatting>
  <conditionalFormatting sqref="AG387">
    <cfRule type="expression" dxfId="151" priority="92">
      <formula>$J387="잔금"</formula>
    </cfRule>
  </conditionalFormatting>
  <conditionalFormatting sqref="A557:AG565 AI557:AJ562 AM557:AO565 AI564:AJ565 AI563">
    <cfRule type="expression" dxfId="150" priority="91">
      <formula>$J557="잔금"</formula>
    </cfRule>
  </conditionalFormatting>
  <conditionalFormatting sqref="AJ65">
    <cfRule type="expression" dxfId="149" priority="90">
      <formula>$J65="잔금"</formula>
    </cfRule>
  </conditionalFormatting>
  <conditionalFormatting sqref="A566:AG578 AI566:AJ575 AM566:AO578 AI578:AJ578 AI577">
    <cfRule type="expression" dxfId="148" priority="88">
      <formula>$J566="잔금"</formula>
    </cfRule>
  </conditionalFormatting>
  <conditionalFormatting sqref="AJ577">
    <cfRule type="expression" dxfId="147" priority="87">
      <formula>$J577="잔금"</formula>
    </cfRule>
  </conditionalFormatting>
  <conditionalFormatting sqref="AJ563">
    <cfRule type="expression" dxfId="146" priority="86">
      <formula>$J563="잔금"</formula>
    </cfRule>
  </conditionalFormatting>
  <conditionalFormatting sqref="AI459">
    <cfRule type="expression" dxfId="145" priority="85">
      <formula>$J459="잔금"</formula>
    </cfRule>
  </conditionalFormatting>
  <conditionalFormatting sqref="AJ406">
    <cfRule type="expression" dxfId="144" priority="84">
      <formula>$J406="잔금"</formula>
    </cfRule>
  </conditionalFormatting>
  <conditionalFormatting sqref="AJ459">
    <cfRule type="expression" dxfId="143" priority="83">
      <formula>$J459="잔금"</formula>
    </cfRule>
  </conditionalFormatting>
  <conditionalFormatting sqref="AJ548">
    <cfRule type="expression" dxfId="142" priority="82">
      <formula>$J548="잔금"</formula>
    </cfRule>
  </conditionalFormatting>
  <conditionalFormatting sqref="AJ225">
    <cfRule type="expression" dxfId="141" priority="79">
      <formula>$J225="잔금"</formula>
    </cfRule>
  </conditionalFormatting>
  <conditionalFormatting sqref="AI399 AI361 AI344 AI339 AI303 AI277 AI243 AI229">
    <cfRule type="expression" dxfId="140" priority="78">
      <formula>$J229="잔금"</formula>
    </cfRule>
  </conditionalFormatting>
  <conditionalFormatting sqref="AJ399 AJ361 AJ344 AJ339 AJ303 AJ277 AJ243 AJ229">
    <cfRule type="expression" dxfId="139" priority="77">
      <formula>$J229="잔금"</formula>
    </cfRule>
  </conditionalFormatting>
  <conditionalFormatting sqref="AJ226">
    <cfRule type="expression" dxfId="138" priority="76">
      <formula>$J226="잔금"</formula>
    </cfRule>
  </conditionalFormatting>
  <conditionalFormatting sqref="AJ66">
    <cfRule type="expression" dxfId="137" priority="75">
      <formula>$J66="잔금"</formula>
    </cfRule>
  </conditionalFormatting>
  <conditionalFormatting sqref="AI64">
    <cfRule type="expression" dxfId="136" priority="74">
      <formula>$J64="잔금"</formula>
    </cfRule>
  </conditionalFormatting>
  <conditionalFormatting sqref="AJ64">
    <cfRule type="expression" dxfId="135" priority="73">
      <formula>$J64="잔금"</formula>
    </cfRule>
  </conditionalFormatting>
  <conditionalFormatting sqref="AI78">
    <cfRule type="expression" dxfId="134" priority="72">
      <formula>$J78="잔금"</formula>
    </cfRule>
  </conditionalFormatting>
  <conditionalFormatting sqref="AJ78">
    <cfRule type="expression" dxfId="133" priority="71">
      <formula>$J78="잔금"</formula>
    </cfRule>
  </conditionalFormatting>
  <conditionalFormatting sqref="AI103">
    <cfRule type="expression" dxfId="132" priority="70">
      <formula>$J103="잔금"</formula>
    </cfRule>
  </conditionalFormatting>
  <conditionalFormatting sqref="AJ103">
    <cfRule type="expression" dxfId="131" priority="69">
      <formula>$J103="잔금"</formula>
    </cfRule>
  </conditionalFormatting>
  <conditionalFormatting sqref="AI136">
    <cfRule type="expression" dxfId="130" priority="68">
      <formula>$J136="잔금"</formula>
    </cfRule>
  </conditionalFormatting>
  <conditionalFormatting sqref="AJ136">
    <cfRule type="expression" dxfId="129" priority="67">
      <formula>$J136="잔금"</formula>
    </cfRule>
  </conditionalFormatting>
  <conditionalFormatting sqref="AI147">
    <cfRule type="expression" dxfId="128" priority="66">
      <formula>$J147="잔금"</formula>
    </cfRule>
  </conditionalFormatting>
  <conditionalFormatting sqref="AJ147">
    <cfRule type="expression" dxfId="127" priority="65">
      <formula>$J147="잔금"</formula>
    </cfRule>
  </conditionalFormatting>
  <conditionalFormatting sqref="AI149">
    <cfRule type="expression" dxfId="126" priority="64">
      <formula>$J149="잔금"</formula>
    </cfRule>
  </conditionalFormatting>
  <conditionalFormatting sqref="AJ149">
    <cfRule type="expression" dxfId="125" priority="63">
      <formula>$J149="잔금"</formula>
    </cfRule>
  </conditionalFormatting>
  <conditionalFormatting sqref="AI155">
    <cfRule type="expression" dxfId="124" priority="62">
      <formula>$J155="잔금"</formula>
    </cfRule>
  </conditionalFormatting>
  <conditionalFormatting sqref="AJ155">
    <cfRule type="expression" dxfId="123" priority="61">
      <formula>$J155="잔금"</formula>
    </cfRule>
  </conditionalFormatting>
  <conditionalFormatting sqref="AI170">
    <cfRule type="expression" dxfId="122" priority="60">
      <formula>$J170="잔금"</formula>
    </cfRule>
  </conditionalFormatting>
  <conditionalFormatting sqref="AJ170">
    <cfRule type="expression" dxfId="121" priority="59">
      <formula>$J170="잔금"</formula>
    </cfRule>
  </conditionalFormatting>
  <conditionalFormatting sqref="AI452">
    <cfRule type="expression" dxfId="120" priority="58">
      <formula>$J452="잔금"</formula>
    </cfRule>
  </conditionalFormatting>
  <conditionalFormatting sqref="AJ452">
    <cfRule type="expression" dxfId="119" priority="57">
      <formula>$J452="잔금"</formula>
    </cfRule>
  </conditionalFormatting>
  <conditionalFormatting sqref="AG263">
    <cfRule type="expression" dxfId="118" priority="52">
      <formula>$J263="잔금"</formula>
    </cfRule>
  </conditionalFormatting>
  <conditionalFormatting sqref="AJ524">
    <cfRule type="expression" dxfId="117" priority="51">
      <formula>$J524="잔금"</formula>
    </cfRule>
  </conditionalFormatting>
  <conditionalFormatting sqref="AI541">
    <cfRule type="expression" dxfId="116" priority="50">
      <formula>$J541="잔금"</formula>
    </cfRule>
  </conditionalFormatting>
  <conditionalFormatting sqref="AJ541">
    <cfRule type="expression" dxfId="115" priority="49">
      <formula>$J541="잔금"</formula>
    </cfRule>
  </conditionalFormatting>
  <conditionalFormatting sqref="AJ443">
    <cfRule type="expression" dxfId="114" priority="48">
      <formula>$J443="잔금"</formula>
    </cfRule>
  </conditionalFormatting>
  <conditionalFormatting sqref="AI512">
    <cfRule type="expression" dxfId="113" priority="47">
      <formula>$J512="잔금"</formula>
    </cfRule>
  </conditionalFormatting>
  <conditionalFormatting sqref="AJ512">
    <cfRule type="expression" dxfId="112" priority="46">
      <formula>$J512="잔금"</formula>
    </cfRule>
  </conditionalFormatting>
  <conditionalFormatting sqref="AI513">
    <cfRule type="expression" dxfId="111" priority="45">
      <formula>$J513="잔금"</formula>
    </cfRule>
  </conditionalFormatting>
  <conditionalFormatting sqref="AJ513">
    <cfRule type="expression" dxfId="110" priority="44">
      <formula>$J513="잔금"</formula>
    </cfRule>
  </conditionalFormatting>
  <conditionalFormatting sqref="AI97:AJ97">
    <cfRule type="expression" dxfId="109" priority="43">
      <formula>$J97="잔금"</formula>
    </cfRule>
  </conditionalFormatting>
  <conditionalFormatting sqref="AI157:AJ157">
    <cfRule type="expression" dxfId="108" priority="42">
      <formula>$J157="잔금"</formula>
    </cfRule>
  </conditionalFormatting>
  <conditionalFormatting sqref="AJ124">
    <cfRule type="expression" dxfId="107" priority="41">
      <formula>$J124="잔금"</formula>
    </cfRule>
  </conditionalFormatting>
  <conditionalFormatting sqref="AI165">
    <cfRule type="expression" dxfId="106" priority="40">
      <formula>$J165="잔금"</formula>
    </cfRule>
  </conditionalFormatting>
  <conditionalFormatting sqref="AJ165">
    <cfRule type="expression" dxfId="105" priority="39">
      <formula>$J165="잔금"</formula>
    </cfRule>
  </conditionalFormatting>
  <conditionalFormatting sqref="AI199">
    <cfRule type="expression" dxfId="104" priority="38">
      <formula>$J199="잔금"</formula>
    </cfRule>
  </conditionalFormatting>
  <conditionalFormatting sqref="AJ199">
    <cfRule type="expression" dxfId="103" priority="37">
      <formula>$J199="잔금"</formula>
    </cfRule>
  </conditionalFormatting>
  <conditionalFormatting sqref="AI200">
    <cfRule type="expression" dxfId="102" priority="36">
      <formula>$J200="잔금"</formula>
    </cfRule>
  </conditionalFormatting>
  <conditionalFormatting sqref="AJ200">
    <cfRule type="expression" dxfId="101" priority="35">
      <formula>$J200="잔금"</formula>
    </cfRule>
  </conditionalFormatting>
  <conditionalFormatting sqref="AJ210">
    <cfRule type="expression" dxfId="100" priority="34">
      <formula>$J210="잔금"</formula>
    </cfRule>
  </conditionalFormatting>
  <conditionalFormatting sqref="AI263">
    <cfRule type="expression" dxfId="99" priority="33">
      <formula>$J263="잔금"</formula>
    </cfRule>
  </conditionalFormatting>
  <conditionalFormatting sqref="AJ263">
    <cfRule type="expression" dxfId="98" priority="32">
      <formula>$J263="잔금"</formula>
    </cfRule>
  </conditionalFormatting>
  <conditionalFormatting sqref="AI275">
    <cfRule type="expression" dxfId="97" priority="31">
      <formula>$J275="잔금"</formula>
    </cfRule>
  </conditionalFormatting>
  <conditionalFormatting sqref="AJ275">
    <cfRule type="expression" dxfId="96" priority="30">
      <formula>$J275="잔금"</formula>
    </cfRule>
  </conditionalFormatting>
  <conditionalFormatting sqref="AI392">
    <cfRule type="expression" dxfId="95" priority="29">
      <formula>$J392="잔금"</formula>
    </cfRule>
  </conditionalFormatting>
  <conditionalFormatting sqref="AJ392">
    <cfRule type="expression" dxfId="94" priority="28">
      <formula>$J392="잔금"</formula>
    </cfRule>
  </conditionalFormatting>
  <conditionalFormatting sqref="AI405">
    <cfRule type="expression" dxfId="93" priority="27">
      <formula>$J405="잔금"</formula>
    </cfRule>
  </conditionalFormatting>
  <conditionalFormatting sqref="AJ405">
    <cfRule type="expression" dxfId="92" priority="26">
      <formula>$J405="잔금"</formula>
    </cfRule>
  </conditionalFormatting>
  <conditionalFormatting sqref="AJ141">
    <cfRule type="expression" dxfId="91" priority="25">
      <formula>$J141="잔금"</formula>
    </cfRule>
  </conditionalFormatting>
  <conditionalFormatting sqref="AJ580">
    <cfRule type="expression" dxfId="90" priority="24">
      <formula>$J580="잔금"</formula>
    </cfRule>
  </conditionalFormatting>
  <conditionalFormatting sqref="AJ587">
    <cfRule type="expression" dxfId="89" priority="23">
      <formula>$J587="잔금"</formula>
    </cfRule>
  </conditionalFormatting>
  <conditionalFormatting sqref="AJ384">
    <cfRule type="expression" dxfId="88" priority="22">
      <formula>$J384="잔금"</formula>
    </cfRule>
  </conditionalFormatting>
  <conditionalFormatting sqref="AJ386">
    <cfRule type="expression" dxfId="87" priority="21">
      <formula>$J386="잔금"</formula>
    </cfRule>
  </conditionalFormatting>
  <conditionalFormatting sqref="AI437">
    <cfRule type="expression" dxfId="86" priority="20">
      <formula>$J437="잔금"</formula>
    </cfRule>
  </conditionalFormatting>
  <conditionalFormatting sqref="AJ395">
    <cfRule type="expression" dxfId="85" priority="19">
      <formula>$J395="잔금"</formula>
    </cfRule>
  </conditionalFormatting>
  <conditionalFormatting sqref="AJ437">
    <cfRule type="expression" dxfId="84" priority="18">
      <formula>$J437="잔금"</formula>
    </cfRule>
  </conditionalFormatting>
  <conditionalFormatting sqref="AJ445">
    <cfRule type="expression" dxfId="83" priority="17">
      <formula>$J445="잔금"</formula>
    </cfRule>
  </conditionalFormatting>
  <conditionalFormatting sqref="AJ217">
    <cfRule type="expression" dxfId="82" priority="16">
      <formula>$J217="잔금"</formula>
    </cfRule>
  </conditionalFormatting>
  <conditionalFormatting sqref="AJ400">
    <cfRule type="expression" dxfId="81" priority="15">
      <formula>$J400="잔금"</formula>
    </cfRule>
  </conditionalFormatting>
  <conditionalFormatting sqref="AI400">
    <cfRule type="expression" dxfId="80" priority="14">
      <formula>$J400="잔금"</formula>
    </cfRule>
  </conditionalFormatting>
  <conditionalFormatting sqref="AI576:AJ576">
    <cfRule type="expression" dxfId="79" priority="13">
      <formula>$J576="잔금"</formula>
    </cfRule>
  </conditionalFormatting>
  <conditionalFormatting sqref="AJ249">
    <cfRule type="expression" dxfId="78" priority="12">
      <formula>$J249="잔금"</formula>
    </cfRule>
  </conditionalFormatting>
  <conditionalFormatting sqref="AI272">
    <cfRule type="expression" dxfId="77" priority="11">
      <formula>$J272="잔금"</formula>
    </cfRule>
  </conditionalFormatting>
  <conditionalFormatting sqref="AJ272">
    <cfRule type="expression" dxfId="76" priority="10">
      <formula>$J272="잔금"</formula>
    </cfRule>
  </conditionalFormatting>
  <conditionalFormatting sqref="AI296">
    <cfRule type="expression" dxfId="75" priority="9">
      <formula>$J296="잔금"</formula>
    </cfRule>
  </conditionalFormatting>
  <conditionalFormatting sqref="AJ296">
    <cfRule type="expression" dxfId="74" priority="8">
      <formula>$J296="잔금"</formula>
    </cfRule>
  </conditionalFormatting>
  <conditionalFormatting sqref="AI304">
    <cfRule type="expression" dxfId="73" priority="7">
      <formula>$J304="잔금"</formula>
    </cfRule>
  </conditionalFormatting>
  <conditionalFormatting sqref="AJ304">
    <cfRule type="expression" dxfId="72" priority="6">
      <formula>$J304="잔금"</formula>
    </cfRule>
  </conditionalFormatting>
  <conditionalFormatting sqref="AI337">
    <cfRule type="expression" dxfId="71" priority="5">
      <formula>$J337="잔금"</formula>
    </cfRule>
  </conditionalFormatting>
  <conditionalFormatting sqref="AJ337">
    <cfRule type="expression" dxfId="70" priority="4">
      <formula>$J337="잔금"</formula>
    </cfRule>
  </conditionalFormatting>
  <conditionalFormatting sqref="AI356">
    <cfRule type="expression" dxfId="69" priority="3">
      <formula>$J356="잔금"</formula>
    </cfRule>
  </conditionalFormatting>
  <conditionalFormatting sqref="AJ356">
    <cfRule type="expression" dxfId="68" priority="2">
      <formula>$J356="잔금"</formula>
    </cfRule>
  </conditionalFormatting>
  <conditionalFormatting sqref="AJ342">
    <cfRule type="expression" dxfId="67" priority="1">
      <formula>$J342="잔금"</formula>
    </cfRule>
  </conditionalFormatting>
  <pageMargins left="0.7" right="0.7" top="0.75" bottom="0.75" header="0.511811023622047" footer="0.511811023622047"/>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Y206"/>
  <sheetViews>
    <sheetView showGridLines="0" topLeftCell="A170" zoomScale="80" zoomScaleNormal="80" workbookViewId="0">
      <selection activeCell="F199" sqref="F199:F202"/>
    </sheetView>
  </sheetViews>
  <sheetFormatPr defaultColWidth="8.5" defaultRowHeight="16.5"/>
  <cols>
    <col min="1" max="1" width="16.875" style="4" customWidth="1"/>
    <col min="2" max="2" width="23.375" style="4" customWidth="1"/>
    <col min="3" max="3" width="28.75" style="4" customWidth="1"/>
    <col min="4" max="4" width="45.125" style="4" customWidth="1"/>
    <col min="5" max="5" width="30" style="4" customWidth="1"/>
    <col min="6" max="6" width="28.5" style="4" customWidth="1"/>
    <col min="7" max="7" width="29.75" style="4" customWidth="1"/>
    <col min="8" max="10" width="21.75" style="4" customWidth="1"/>
    <col min="11" max="11" width="54.125" style="4" customWidth="1"/>
    <col min="12" max="12" width="32.5" style="4" customWidth="1"/>
    <col min="13" max="15" width="23.25" style="4" customWidth="1"/>
    <col min="16" max="16" width="36.375" style="4" customWidth="1"/>
    <col min="17" max="17" width="29.75" style="4" customWidth="1"/>
    <col min="18" max="19" width="23.25" style="4" customWidth="1"/>
    <col min="20" max="20" width="26" style="4" customWidth="1"/>
    <col min="21" max="21" width="39.5" style="4" customWidth="1"/>
    <col min="22" max="22" width="40.125" style="4" customWidth="1"/>
    <col min="23" max="23" width="32.5" style="4" customWidth="1"/>
    <col min="24" max="24" width="29.75" style="4" customWidth="1"/>
    <col min="25" max="25" width="33.625" style="4" customWidth="1"/>
    <col min="26" max="26" width="25.125" style="4" customWidth="1"/>
    <col min="27" max="28" width="26" style="4" customWidth="1"/>
    <col min="29" max="29" width="44.25" style="4" customWidth="1"/>
    <col min="30" max="31" width="22.625" style="4" customWidth="1"/>
    <col min="32" max="32" width="25.125" style="4" customWidth="1"/>
    <col min="33" max="33" width="40.375" style="4" customWidth="1"/>
    <col min="34" max="34" width="32.5" style="4" customWidth="1"/>
    <col min="36" max="36" width="31.5" style="4" customWidth="1"/>
    <col min="37" max="37" width="37" style="4" customWidth="1"/>
    <col min="38" max="38" width="32.5" style="4" customWidth="1"/>
    <col min="39" max="39" width="29.75" style="4" customWidth="1"/>
    <col min="40" max="40" width="28.75" style="4" customWidth="1"/>
    <col min="41" max="42" width="26.625" style="4" customWidth="1"/>
    <col min="43" max="44" width="29.75" style="4" customWidth="1"/>
    <col min="49" max="51" width="29.125" style="4" customWidth="1"/>
  </cols>
  <sheetData>
    <row r="1" spans="1:51" ht="93.75" customHeight="1">
      <c r="A1" s="136"/>
      <c r="B1" s="137"/>
      <c r="C1" s="136"/>
      <c r="D1" s="138"/>
      <c r="E1" s="136"/>
      <c r="F1" s="139"/>
      <c r="G1" s="140"/>
      <c r="H1" s="141"/>
      <c r="I1" s="141"/>
      <c r="J1" s="141"/>
      <c r="K1" s="140"/>
      <c r="L1" s="140"/>
      <c r="M1" s="141"/>
      <c r="N1" s="141"/>
      <c r="O1" s="141"/>
      <c r="P1" s="140"/>
      <c r="Q1" s="140"/>
      <c r="R1" s="141"/>
      <c r="S1" s="141"/>
      <c r="T1" s="141"/>
      <c r="U1" s="140"/>
      <c r="V1" s="140"/>
      <c r="W1" s="140"/>
      <c r="X1" s="140"/>
      <c r="Y1" s="142"/>
      <c r="Z1" s="143"/>
      <c r="AA1" s="143"/>
      <c r="AB1" s="143"/>
      <c r="AC1" s="143"/>
      <c r="AD1" s="144"/>
      <c r="AE1" s="144"/>
      <c r="AF1" s="142"/>
      <c r="AG1" s="142"/>
      <c r="AH1" s="142"/>
      <c r="AI1" s="136"/>
      <c r="AJ1" s="136"/>
      <c r="AK1" s="142"/>
      <c r="AL1" s="142"/>
      <c r="AM1" s="142"/>
      <c r="AN1" s="142"/>
      <c r="AO1" s="142"/>
      <c r="AP1" s="142"/>
      <c r="AQ1" s="142"/>
      <c r="AR1" s="142"/>
    </row>
    <row r="2" spans="1:51" ht="93.75" customHeight="1" thickBot="1">
      <c r="A2" s="136"/>
      <c r="B2" s="145"/>
      <c r="C2" s="136"/>
      <c r="D2" s="138"/>
      <c r="E2" s="136"/>
      <c r="F2" s="136"/>
      <c r="G2" s="142"/>
      <c r="H2" s="143"/>
      <c r="I2" s="143"/>
      <c r="J2" s="143"/>
      <c r="K2" s="142"/>
      <c r="L2" s="142"/>
      <c r="M2" s="143"/>
      <c r="N2" s="143"/>
      <c r="O2" s="143"/>
      <c r="P2" s="142"/>
      <c r="Q2" s="142"/>
      <c r="R2" s="143"/>
      <c r="S2" s="143"/>
      <c r="T2" s="143"/>
      <c r="U2" s="142"/>
      <c r="V2" s="142"/>
      <c r="W2" s="142"/>
      <c r="X2" s="142"/>
      <c r="Y2" s="142"/>
      <c r="Z2" s="143"/>
      <c r="AA2" s="143"/>
      <c r="AB2" s="143"/>
      <c r="AC2" s="143"/>
      <c r="AD2" s="144"/>
      <c r="AE2" s="144"/>
      <c r="AF2" s="142"/>
      <c r="AG2" s="142"/>
      <c r="AH2" s="142"/>
      <c r="AI2" s="136"/>
      <c r="AJ2" s="136"/>
      <c r="AK2" s="142"/>
      <c r="AL2" s="142"/>
      <c r="AM2" s="142"/>
      <c r="AN2" s="142"/>
      <c r="AO2" s="142"/>
      <c r="AP2" s="142"/>
      <c r="AQ2" s="142"/>
      <c r="AR2" s="142"/>
    </row>
    <row r="3" spans="1:51" s="147" customFormat="1" ht="24.75" customHeight="1" thickBot="1">
      <c r="A3" s="554" t="s">
        <v>152</v>
      </c>
      <c r="B3" s="554"/>
      <c r="C3" s="554"/>
      <c r="D3" s="554"/>
      <c r="E3" s="554"/>
      <c r="F3" s="554"/>
      <c r="G3" s="558" t="s">
        <v>153</v>
      </c>
      <c r="H3" s="558"/>
      <c r="I3" s="558"/>
      <c r="J3" s="558"/>
      <c r="K3" s="558"/>
      <c r="L3" s="559" t="s">
        <v>154</v>
      </c>
      <c r="M3" s="559"/>
      <c r="N3" s="559"/>
      <c r="O3" s="559"/>
      <c r="P3" s="559"/>
      <c r="Q3" s="560" t="s">
        <v>155</v>
      </c>
      <c r="R3" s="560"/>
      <c r="S3" s="560"/>
      <c r="T3" s="560"/>
      <c r="U3" s="560"/>
      <c r="V3" s="257"/>
      <c r="W3" s="555" t="s">
        <v>71</v>
      </c>
      <c r="X3" s="555"/>
      <c r="Y3" s="555"/>
      <c r="Z3" s="555"/>
      <c r="AA3" s="555"/>
      <c r="AB3" s="555"/>
      <c r="AC3" s="555"/>
      <c r="AD3" s="555"/>
      <c r="AE3" s="254"/>
      <c r="AF3" s="258"/>
      <c r="AG3" s="258"/>
      <c r="AH3" s="259"/>
      <c r="AI3" s="146"/>
      <c r="AJ3" s="550" t="s">
        <v>156</v>
      </c>
      <c r="AK3" s="550"/>
      <c r="AL3" s="550"/>
      <c r="AM3" s="550"/>
      <c r="AN3" s="551" t="s">
        <v>157</v>
      </c>
      <c r="AO3" s="551"/>
      <c r="AP3" s="551"/>
      <c r="AQ3" s="551"/>
      <c r="AR3" s="552" t="s">
        <v>62</v>
      </c>
      <c r="AW3" s="550" t="s">
        <v>158</v>
      </c>
      <c r="AX3" s="550"/>
      <c r="AY3" s="553"/>
    </row>
    <row r="4" spans="1:51" s="147" customFormat="1" ht="24.75" customHeight="1" thickBot="1">
      <c r="A4" s="366" t="s">
        <v>575</v>
      </c>
      <c r="B4" s="148" t="s">
        <v>45</v>
      </c>
      <c r="C4" s="149" t="s">
        <v>38</v>
      </c>
      <c r="D4" s="150" t="s">
        <v>39</v>
      </c>
      <c r="E4" s="149" t="s">
        <v>40</v>
      </c>
      <c r="F4" s="151" t="s">
        <v>160</v>
      </c>
      <c r="G4" s="152" t="s">
        <v>161</v>
      </c>
      <c r="H4" s="153" t="s">
        <v>162</v>
      </c>
      <c r="I4" s="154" t="s">
        <v>163</v>
      </c>
      <c r="J4" s="153" t="s">
        <v>164</v>
      </c>
      <c r="K4" s="155" t="s">
        <v>165</v>
      </c>
      <c r="L4" s="155" t="s">
        <v>166</v>
      </c>
      <c r="M4" s="153" t="s">
        <v>167</v>
      </c>
      <c r="N4" s="153" t="s">
        <v>168</v>
      </c>
      <c r="O4" s="153" t="s">
        <v>169</v>
      </c>
      <c r="P4" s="155" t="s">
        <v>170</v>
      </c>
      <c r="Q4" s="156" t="s">
        <v>171</v>
      </c>
      <c r="R4" s="157" t="s">
        <v>172</v>
      </c>
      <c r="S4" s="157" t="s">
        <v>173</v>
      </c>
      <c r="T4" s="157" t="s">
        <v>174</v>
      </c>
      <c r="U4" s="158" t="s">
        <v>175</v>
      </c>
      <c r="V4" s="159" t="s">
        <v>176</v>
      </c>
      <c r="W4" s="160" t="s">
        <v>177</v>
      </c>
      <c r="X4" s="155" t="s">
        <v>178</v>
      </c>
      <c r="Y4" s="155" t="s">
        <v>179</v>
      </c>
      <c r="Z4" s="154" t="s">
        <v>180</v>
      </c>
      <c r="AA4" s="153" t="s">
        <v>181</v>
      </c>
      <c r="AB4" s="153" t="s">
        <v>182</v>
      </c>
      <c r="AC4" s="154" t="s">
        <v>183</v>
      </c>
      <c r="AD4" s="161" t="s">
        <v>184</v>
      </c>
      <c r="AE4" s="256" t="s">
        <v>374</v>
      </c>
      <c r="AF4" s="162" t="s">
        <v>185</v>
      </c>
      <c r="AG4" s="163" t="s">
        <v>186</v>
      </c>
      <c r="AH4" s="260" t="s">
        <v>187</v>
      </c>
      <c r="AI4" s="146"/>
      <c r="AJ4" s="164" t="s">
        <v>54</v>
      </c>
      <c r="AK4" s="155" t="s">
        <v>55</v>
      </c>
      <c r="AL4" s="155" t="s">
        <v>56</v>
      </c>
      <c r="AM4" s="155" t="s">
        <v>57</v>
      </c>
      <c r="AN4" s="155" t="s">
        <v>58</v>
      </c>
      <c r="AO4" s="155" t="s">
        <v>59</v>
      </c>
      <c r="AP4" s="155" t="s">
        <v>60</v>
      </c>
      <c r="AQ4" s="155" t="s">
        <v>61</v>
      </c>
      <c r="AR4" s="552"/>
      <c r="AW4" s="152" t="s">
        <v>188</v>
      </c>
      <c r="AX4" s="165" t="s">
        <v>65</v>
      </c>
      <c r="AY4" s="166" t="s">
        <v>64</v>
      </c>
    </row>
    <row r="5" spans="1:51" s="331" customFormat="1" ht="24.75" customHeight="1" thickTop="1">
      <c r="A5" s="314">
        <v>1</v>
      </c>
      <c r="B5" s="355">
        <v>45930</v>
      </c>
      <c r="C5" s="315" t="s">
        <v>189</v>
      </c>
      <c r="D5" s="316" t="s">
        <v>403</v>
      </c>
      <c r="E5" s="315">
        <v>239000000</v>
      </c>
      <c r="F5" s="317">
        <f>E5-AL5</f>
        <v>154976000</v>
      </c>
      <c r="G5" s="318">
        <f>F5*20%</f>
        <v>30995200</v>
      </c>
      <c r="H5" s="319">
        <v>45930</v>
      </c>
      <c r="I5" s="320">
        <v>45945</v>
      </c>
      <c r="J5" s="319">
        <v>45959</v>
      </c>
      <c r="K5" s="321">
        <f>IF(COUNT(J5),0,G5)</f>
        <v>0</v>
      </c>
      <c r="L5" s="322">
        <f>F5*40%</f>
        <v>61990400</v>
      </c>
      <c r="M5" s="319">
        <v>45978</v>
      </c>
      <c r="N5" s="320">
        <v>46006</v>
      </c>
      <c r="O5" s="319">
        <v>46000</v>
      </c>
      <c r="P5" s="323">
        <f>IF(COUNT(O5),0,L5)</f>
        <v>0</v>
      </c>
      <c r="Q5" s="318"/>
      <c r="R5" s="319"/>
      <c r="S5" s="319"/>
      <c r="T5" s="319"/>
      <c r="U5" s="324">
        <f>IF(COUNT(T5),0,Q5)</f>
        <v>0</v>
      </c>
      <c r="V5" s="321"/>
      <c r="W5" s="325">
        <f>F5*40%</f>
        <v>61990400</v>
      </c>
      <c r="X5" s="324">
        <f>AR5</f>
        <v>20752000</v>
      </c>
      <c r="Y5" s="324">
        <f>W5-X5</f>
        <v>41238400</v>
      </c>
      <c r="Z5" s="319">
        <v>46000</v>
      </c>
      <c r="AA5" s="319">
        <v>46022</v>
      </c>
      <c r="AB5" s="320">
        <v>46037</v>
      </c>
      <c r="AC5" s="319">
        <v>46035</v>
      </c>
      <c r="AD5" s="326"/>
      <c r="AE5" s="327">
        <f t="shared" ref="AE5:AE21" si="0">IF(COUNT(AC5),0,Y5)</f>
        <v>0</v>
      </c>
      <c r="AF5" s="324">
        <f>표1_3[[#This Row],[금액]]+표1_3[[#This Row],[금액2]]+표1_3[[#This Row],[최종잔금]]</f>
        <v>134224000</v>
      </c>
      <c r="AG5" s="321">
        <f>(K5+P5+표1_3[[#This Row],[미수금액2]])-AH5</f>
        <v>0</v>
      </c>
      <c r="AH5" s="328">
        <f>SUM(IF(COUNTBLANK(H5),G5,0),IF(COUNTBLANK(M5),L5,0),IF(COUNTBLANK(AA5),Y5,0))</f>
        <v>0</v>
      </c>
      <c r="AI5" s="329"/>
      <c r="AJ5" s="330" t="s">
        <v>190</v>
      </c>
      <c r="AK5" s="324">
        <v>12000</v>
      </c>
      <c r="AL5" s="324">
        <v>84024000</v>
      </c>
      <c r="AM5" s="321">
        <v>19252000</v>
      </c>
      <c r="AN5" s="318"/>
      <c r="AO5" s="324"/>
      <c r="AP5" s="324">
        <v>1500000</v>
      </c>
      <c r="AQ5" s="321"/>
      <c r="AR5" s="328">
        <f>SUM(AM5:AQ5)</f>
        <v>20752000</v>
      </c>
      <c r="AW5" s="332">
        <v>120267500</v>
      </c>
      <c r="AX5" s="333">
        <f>표1_3[[#This Row],[총실행가]]-AL5-AR5-AW5</f>
        <v>13956500</v>
      </c>
      <c r="AY5" s="334">
        <f>AX5/표1_3[[#This Row],[총실행가]]</f>
        <v>5.8395397489539751E-2</v>
      </c>
    </row>
    <row r="6" spans="1:51" s="147" customFormat="1" ht="24.75" customHeight="1">
      <c r="A6" s="290">
        <v>2</v>
      </c>
      <c r="B6" s="356">
        <v>45944</v>
      </c>
      <c r="C6" s="167" t="s">
        <v>191</v>
      </c>
      <c r="D6" s="300" t="s">
        <v>192</v>
      </c>
      <c r="E6" s="167">
        <f>189500000+9500000</f>
        <v>199000000</v>
      </c>
      <c r="F6" s="168">
        <f>E6-AL6</f>
        <v>130228000</v>
      </c>
      <c r="G6" s="292">
        <v>36218400</v>
      </c>
      <c r="H6" s="169">
        <v>45945</v>
      </c>
      <c r="I6" s="170">
        <v>45961</v>
      </c>
      <c r="J6" s="169">
        <v>46022</v>
      </c>
      <c r="K6" s="171">
        <f>IF(COUNT(J6),0,G6)</f>
        <v>0</v>
      </c>
      <c r="L6" s="172">
        <v>48291200</v>
      </c>
      <c r="M6" s="169">
        <v>45980</v>
      </c>
      <c r="N6" s="175">
        <v>45989</v>
      </c>
      <c r="O6" s="169">
        <v>46039</v>
      </c>
      <c r="P6" s="173">
        <f>IF(COUNT(O6),0,L6)</f>
        <v>0</v>
      </c>
      <c r="Q6" s="292"/>
      <c r="R6" s="169"/>
      <c r="S6" s="169"/>
      <c r="T6" s="169"/>
      <c r="U6" s="174">
        <f>IF(COUNT(T6),0,Q6)</f>
        <v>0</v>
      </c>
      <c r="V6" s="171">
        <f>표1_3[[#This Row],[금액]]+표1_3[[#This Row],[금액2]]</f>
        <v>84509600</v>
      </c>
      <c r="W6" s="174">
        <f>표1_3[[#This Row],[컨설팅
금액]]-표1_3[[#This Row],[금액]]-표1_3[[#This Row],[금액2]]</f>
        <v>45718400</v>
      </c>
      <c r="X6" s="174">
        <f>AR6</f>
        <v>7479000</v>
      </c>
      <c r="Y6" s="174">
        <f>W6-X6</f>
        <v>38239400</v>
      </c>
      <c r="Z6" s="169">
        <v>46002</v>
      </c>
      <c r="AA6" s="169">
        <v>46015</v>
      </c>
      <c r="AB6" s="175">
        <v>46022</v>
      </c>
      <c r="AC6" s="169"/>
      <c r="AD6" s="294"/>
      <c r="AE6" s="295">
        <f t="shared" si="0"/>
        <v>38239400</v>
      </c>
      <c r="AF6" s="174">
        <f>표1_3[[#This Row],[금액]]+표1_3[[#This Row],[금액2]]+표1_3[[#This Row],[최종잔금]]</f>
        <v>122749000</v>
      </c>
      <c r="AG6" s="171">
        <f>(K6+P6+표1_3[[#This Row],[미수금액2]])-AH6</f>
        <v>38239400</v>
      </c>
      <c r="AH6" s="296">
        <f>SUM(IF(COUNTBLANK(H6),G6,0),IF(COUNTBLANK(M6),L6,0),IF(COUNTBLANK(AA6),Y6,0))</f>
        <v>0</v>
      </c>
      <c r="AI6" s="176"/>
      <c r="AJ6" s="177" t="s">
        <v>193</v>
      </c>
      <c r="AK6" s="174">
        <v>11000</v>
      </c>
      <c r="AL6" s="174">
        <f>6252*AK6</f>
        <v>68772000</v>
      </c>
      <c r="AM6" s="171">
        <v>5199000</v>
      </c>
      <c r="AN6" s="292"/>
      <c r="AO6" s="174"/>
      <c r="AP6" s="174">
        <v>2280000</v>
      </c>
      <c r="AQ6" s="171"/>
      <c r="AR6" s="296">
        <f>SUM(AM6:AQ6)</f>
        <v>7479000</v>
      </c>
      <c r="AW6" s="297">
        <v>102243400</v>
      </c>
      <c r="AX6" s="298">
        <f>표1_3[[#This Row],[총실행가]]-AL6-AR6-AW6</f>
        <v>20505600</v>
      </c>
      <c r="AY6" s="299">
        <f>AX6/표1_3[[#This Row],[총실행가]]</f>
        <v>0.10304321608040201</v>
      </c>
    </row>
    <row r="7" spans="1:51" s="331" customFormat="1" ht="24.75" customHeight="1">
      <c r="A7" s="314">
        <v>3</v>
      </c>
      <c r="B7" s="355">
        <v>45946</v>
      </c>
      <c r="C7" s="315" t="s">
        <v>194</v>
      </c>
      <c r="D7" s="351" t="s">
        <v>195</v>
      </c>
      <c r="E7" s="315">
        <f>131600000+8000000</f>
        <v>139600000</v>
      </c>
      <c r="F7" s="317">
        <f>E7-AL7</f>
        <v>83824000</v>
      </c>
      <c r="G7" s="318">
        <v>15164800</v>
      </c>
      <c r="H7" s="319">
        <v>45954</v>
      </c>
      <c r="I7" s="320">
        <v>45976</v>
      </c>
      <c r="J7" s="319">
        <v>45996</v>
      </c>
      <c r="K7" s="321">
        <f>IF(COUNT(J7),0,G7)</f>
        <v>0</v>
      </c>
      <c r="L7" s="322">
        <v>30329600</v>
      </c>
      <c r="M7" s="319">
        <v>45975</v>
      </c>
      <c r="N7" s="320">
        <v>45989</v>
      </c>
      <c r="O7" s="319">
        <v>45996</v>
      </c>
      <c r="P7" s="323">
        <f>IF(COUNT(O7),0,L7)</f>
        <v>0</v>
      </c>
      <c r="Q7" s="318">
        <v>23731600</v>
      </c>
      <c r="R7" s="319">
        <v>46006</v>
      </c>
      <c r="S7" s="319"/>
      <c r="T7" s="319">
        <v>46015</v>
      </c>
      <c r="U7" s="324">
        <f>IF(COUNT(T7),0,Q7)</f>
        <v>0</v>
      </c>
      <c r="V7" s="321">
        <f>표1_3[[#This Row],[금액]]+표1_3[[#This Row],[금액2]]+표1_3[[#This Row],[금액7]]</f>
        <v>69226000</v>
      </c>
      <c r="W7" s="324">
        <f>표1_3[[#This Row],[컨설팅
금액]]-표1_3[[#This Row],[금액]]-표1_3[[#This Row],[금액2]]</f>
        <v>38329600</v>
      </c>
      <c r="X7" s="324">
        <f>AR7</f>
        <v>8598000</v>
      </c>
      <c r="Y7" s="324">
        <f>W7-X7-표1_3[[#This Row],[금액7]]</f>
        <v>6000000</v>
      </c>
      <c r="Z7" s="319">
        <v>45992</v>
      </c>
      <c r="AA7" s="319">
        <v>46006</v>
      </c>
      <c r="AB7" s="364">
        <v>46022</v>
      </c>
      <c r="AC7" s="319">
        <v>46077</v>
      </c>
      <c r="AD7" s="326"/>
      <c r="AE7" s="327">
        <f t="shared" si="0"/>
        <v>0</v>
      </c>
      <c r="AF7" s="324">
        <f>표1_3[[#This Row],[금액]]+표1_3[[#This Row],[금액2]]+표1_3[[#This Row],[최종잔금]]</f>
        <v>51494400</v>
      </c>
      <c r="AG7" s="321">
        <f>(K7+P7+표1_3[[#This Row],[미수금액2]])-AH7</f>
        <v>0</v>
      </c>
      <c r="AH7" s="328">
        <f>SUM(IF(COUNTBLANK(H7),G7,0),IF(COUNTBLANK(M7),L7,0),IF(COUNTBLANK(AA7),Y7,0))</f>
        <v>0</v>
      </c>
      <c r="AI7" s="347"/>
      <c r="AJ7" s="330" t="s">
        <v>196</v>
      </c>
      <c r="AK7" s="324">
        <v>12000</v>
      </c>
      <c r="AL7" s="324">
        <v>55776000</v>
      </c>
      <c r="AM7" s="321">
        <v>6898000</v>
      </c>
      <c r="AN7" s="318"/>
      <c r="AO7" s="324">
        <v>1000000</v>
      </c>
      <c r="AP7" s="324">
        <v>700000</v>
      </c>
      <c r="AQ7" s="321"/>
      <c r="AR7" s="328">
        <v>8598000</v>
      </c>
      <c r="AW7" s="332">
        <v>48873800</v>
      </c>
      <c r="AX7" s="333">
        <f>표1_3[[#This Row],[총실행가]]-AL7-AR7-AW7</f>
        <v>26352200</v>
      </c>
      <c r="AY7" s="334">
        <f>AX7/표1_3[[#This Row],[총실행가]]</f>
        <v>0.18876934097421202</v>
      </c>
    </row>
    <row r="8" spans="1:51" s="331" customFormat="1" ht="24.75" customHeight="1">
      <c r="A8" s="314">
        <v>4</v>
      </c>
      <c r="B8" s="357">
        <v>45965</v>
      </c>
      <c r="C8" s="335" t="s">
        <v>197</v>
      </c>
      <c r="D8" s="336" t="s">
        <v>415</v>
      </c>
      <c r="E8" s="335">
        <v>93600000</v>
      </c>
      <c r="F8" s="337">
        <f>E8-AL8</f>
        <v>46100000</v>
      </c>
      <c r="G8" s="338">
        <f>F8*20%</f>
        <v>9220000</v>
      </c>
      <c r="H8" s="339">
        <v>45966</v>
      </c>
      <c r="I8" s="340">
        <v>45976</v>
      </c>
      <c r="J8" s="339">
        <v>45975</v>
      </c>
      <c r="K8" s="341">
        <f>IF(COUNT(J8),0,G8)</f>
        <v>0</v>
      </c>
      <c r="L8" s="342">
        <f>F8*40%</f>
        <v>18440000</v>
      </c>
      <c r="M8" s="319">
        <v>45986</v>
      </c>
      <c r="N8" s="320">
        <v>46006</v>
      </c>
      <c r="O8" s="319">
        <v>46006</v>
      </c>
      <c r="P8" s="343">
        <f>IF(COUNT(O8),0,L8)</f>
        <v>0</v>
      </c>
      <c r="Q8" s="338"/>
      <c r="R8" s="339"/>
      <c r="S8" s="339"/>
      <c r="T8" s="339"/>
      <c r="U8" s="325">
        <f>IF(COUNT(T8),0,Q8)</f>
        <v>0</v>
      </c>
      <c r="V8" s="341">
        <f>표1_3[[#This Row],[금액]]+표1_3[[#This Row],[금액2]]</f>
        <v>27660000</v>
      </c>
      <c r="W8" s="325">
        <f>F8*40%</f>
        <v>18440000</v>
      </c>
      <c r="X8" s="325">
        <f>AR8</f>
        <v>4050000</v>
      </c>
      <c r="Y8" s="325">
        <f>W8-X8</f>
        <v>14390000</v>
      </c>
      <c r="Z8" s="339">
        <v>45992</v>
      </c>
      <c r="AA8" s="339">
        <v>46002</v>
      </c>
      <c r="AB8" s="340">
        <v>46022</v>
      </c>
      <c r="AC8" s="339">
        <v>46037</v>
      </c>
      <c r="AD8" s="344"/>
      <c r="AE8" s="345">
        <f t="shared" si="0"/>
        <v>0</v>
      </c>
      <c r="AF8" s="325">
        <f>표1_3[[#This Row],[금액]]+표1_3[[#This Row],[금액2]]+표1_3[[#This Row],[최종잔금]]</f>
        <v>42050000</v>
      </c>
      <c r="AG8" s="321">
        <f>(K8+P8+표1_3[[#This Row],[미수금액2]])-AH8</f>
        <v>0</v>
      </c>
      <c r="AH8" s="346">
        <f>SUM(IF(COUNTBLANK(H8),G8,0),IF(COUNTBLANK(M8),L8,0),IF(COUNTBLANK(AA8),Y8,0))</f>
        <v>0</v>
      </c>
      <c r="AI8" s="347"/>
      <c r="AJ8" s="330" t="s">
        <v>198</v>
      </c>
      <c r="AK8" s="348" t="s">
        <v>199</v>
      </c>
      <c r="AL8" s="324">
        <v>47500000</v>
      </c>
      <c r="AM8" s="321"/>
      <c r="AN8" s="318"/>
      <c r="AO8" s="324">
        <v>1200000</v>
      </c>
      <c r="AP8" s="324">
        <v>2850000</v>
      </c>
      <c r="AQ8" s="321"/>
      <c r="AR8" s="328">
        <v>4050000</v>
      </c>
      <c r="AW8" s="332">
        <v>24030000</v>
      </c>
      <c r="AX8" s="333">
        <f>표1_3[[#This Row],[총실행가]]-AL8-AR8-AW8</f>
        <v>18020000</v>
      </c>
      <c r="AY8" s="334">
        <f>AX8/표1_3[[#This Row],[총실행가]]</f>
        <v>0.19252136752136753</v>
      </c>
    </row>
    <row r="9" spans="1:51" s="331" customFormat="1" ht="24.75" customHeight="1">
      <c r="A9" s="314">
        <v>5</v>
      </c>
      <c r="B9" s="355">
        <v>45973</v>
      </c>
      <c r="C9" s="315" t="s">
        <v>200</v>
      </c>
      <c r="D9" s="351" t="s">
        <v>201</v>
      </c>
      <c r="E9" s="315">
        <v>105000000</v>
      </c>
      <c r="F9" s="317">
        <f>E9-AL9</f>
        <v>56686000</v>
      </c>
      <c r="G9" s="318">
        <v>13387200</v>
      </c>
      <c r="H9" s="319">
        <v>45973</v>
      </c>
      <c r="I9" s="320">
        <v>45989</v>
      </c>
      <c r="J9" s="319">
        <v>46006</v>
      </c>
      <c r="K9" s="321">
        <f>IF(COUNT(J9),0,G9)</f>
        <v>0</v>
      </c>
      <c r="L9" s="342">
        <v>13750000</v>
      </c>
      <c r="M9" s="319">
        <v>46007</v>
      </c>
      <c r="N9" s="364">
        <v>46052</v>
      </c>
      <c r="O9" s="319">
        <v>46063</v>
      </c>
      <c r="P9" s="323">
        <f>IF(COUNT(O9),0,L9)</f>
        <v>0</v>
      </c>
      <c r="Q9" s="318"/>
      <c r="R9" s="319"/>
      <c r="S9" s="319"/>
      <c r="T9" s="319"/>
      <c r="U9" s="324">
        <f>IF(COUNT(T9),0,Q9)</f>
        <v>0</v>
      </c>
      <c r="V9" s="321">
        <f>표1_3[[#This Row],[금액]]</f>
        <v>13387200</v>
      </c>
      <c r="W9" s="324">
        <v>29548800</v>
      </c>
      <c r="X9" s="324">
        <f>AR9</f>
        <v>14950000</v>
      </c>
      <c r="Y9" s="324">
        <f>W9-X9</f>
        <v>14598800</v>
      </c>
      <c r="Z9" s="319">
        <v>46009</v>
      </c>
      <c r="AA9" s="319">
        <v>46015</v>
      </c>
      <c r="AB9" s="364">
        <v>46052</v>
      </c>
      <c r="AC9" s="319">
        <v>46063</v>
      </c>
      <c r="AD9" s="326"/>
      <c r="AE9" s="327">
        <f t="shared" si="0"/>
        <v>0</v>
      </c>
      <c r="AF9" s="324">
        <f>표1_3[[#This Row],[금액]]+표1_3[[#This Row],[금액2]]+표1_3[[#This Row],[최종잔금]]</f>
        <v>41736000</v>
      </c>
      <c r="AG9" s="321">
        <f>(K9+P9+표1_3[[#This Row],[미수금액2]])-AH9</f>
        <v>0</v>
      </c>
      <c r="AH9" s="328">
        <f>SUM(IF(COUNTBLANK(H9),G9,0),IF(COUNTBLANK(M9),L9,0),IF(COUNTBLANK(AA9),Y9,0))</f>
        <v>0</v>
      </c>
      <c r="AI9" s="347"/>
      <c r="AJ9" s="330" t="s">
        <v>202</v>
      </c>
      <c r="AK9" s="324">
        <v>12000</v>
      </c>
      <c r="AL9" s="324">
        <f>38064000+10250000</f>
        <v>48314000</v>
      </c>
      <c r="AM9" s="321"/>
      <c r="AN9" s="318"/>
      <c r="AO9" s="324"/>
      <c r="AP9" s="324">
        <v>950000</v>
      </c>
      <c r="AQ9" s="321">
        <v>14000000</v>
      </c>
      <c r="AR9" s="328">
        <f>SUM(AM9:AQ9)</f>
        <v>14950000</v>
      </c>
      <c r="AW9" s="332">
        <v>48368500</v>
      </c>
      <c r="AX9" s="333">
        <f>표1_3[[#This Row],[총실행가]]-AL9-AR9-AW9</f>
        <v>-6632500</v>
      </c>
      <c r="AY9" s="334">
        <f>AX9/표1_3[[#This Row],[총실행가]]</f>
        <v>-6.3166666666666663E-2</v>
      </c>
    </row>
    <row r="10" spans="1:51" s="331" customFormat="1" ht="24.75" customHeight="1">
      <c r="A10" s="314">
        <v>6</v>
      </c>
      <c r="B10" s="355">
        <v>45980</v>
      </c>
      <c r="C10" s="315" t="s">
        <v>203</v>
      </c>
      <c r="D10" s="316" t="s">
        <v>497</v>
      </c>
      <c r="E10" s="315">
        <v>12200000</v>
      </c>
      <c r="F10" s="317">
        <v>7500000</v>
      </c>
      <c r="G10" s="318"/>
      <c r="H10" s="319"/>
      <c r="I10" s="319"/>
      <c r="J10" s="319"/>
      <c r="K10" s="321">
        <v>0</v>
      </c>
      <c r="L10" s="322"/>
      <c r="M10" s="319"/>
      <c r="N10" s="319"/>
      <c r="O10" s="319"/>
      <c r="P10" s="323">
        <v>0</v>
      </c>
      <c r="Q10" s="318"/>
      <c r="R10" s="319"/>
      <c r="S10" s="319"/>
      <c r="T10" s="319"/>
      <c r="U10" s="324">
        <v>0</v>
      </c>
      <c r="V10" s="321"/>
      <c r="W10" s="324">
        <v>7500000</v>
      </c>
      <c r="X10" s="324">
        <v>1050000</v>
      </c>
      <c r="Y10" s="324">
        <v>6450000</v>
      </c>
      <c r="Z10" s="319">
        <v>45993</v>
      </c>
      <c r="AA10" s="319">
        <v>46006</v>
      </c>
      <c r="AB10" s="320">
        <v>46022</v>
      </c>
      <c r="AC10" s="319">
        <v>46052</v>
      </c>
      <c r="AD10" s="326"/>
      <c r="AE10" s="327">
        <f t="shared" si="0"/>
        <v>0</v>
      </c>
      <c r="AF10" s="324">
        <f>표1_3[[#This Row],[금액]]+표1_3[[#This Row],[금액2]]+표1_3[[#This Row],[최종잔금]]</f>
        <v>6450000</v>
      </c>
      <c r="AG10" s="321">
        <f>(K10+P10+표1_3[[#This Row],[미수금액2]])-AH10</f>
        <v>0</v>
      </c>
      <c r="AH10" s="328">
        <v>0</v>
      </c>
      <c r="AI10" s="329"/>
      <c r="AJ10" s="330" t="s">
        <v>204</v>
      </c>
      <c r="AK10" s="349"/>
      <c r="AL10" s="324">
        <v>4700000</v>
      </c>
      <c r="AM10" s="321">
        <v>1000000</v>
      </c>
      <c r="AN10" s="318"/>
      <c r="AO10" s="324"/>
      <c r="AP10" s="324">
        <v>50000</v>
      </c>
      <c r="AQ10" s="321"/>
      <c r="AR10" s="328">
        <v>1050000</v>
      </c>
      <c r="AW10" s="332">
        <v>3262164</v>
      </c>
      <c r="AX10" s="333">
        <f>표1_3[[#This Row],[총실행가]]-AL10-AR10-AW10</f>
        <v>3187836</v>
      </c>
      <c r="AY10" s="334">
        <f>AX10/표1_3[[#This Row],[총실행가]]</f>
        <v>0.26129803278688524</v>
      </c>
    </row>
    <row r="11" spans="1:51" s="147" customFormat="1" ht="24.75" customHeight="1">
      <c r="A11" s="290">
        <v>7</v>
      </c>
      <c r="B11" s="356">
        <v>45797</v>
      </c>
      <c r="C11" s="167" t="s">
        <v>205</v>
      </c>
      <c r="D11" s="300" t="s">
        <v>206</v>
      </c>
      <c r="E11" s="167">
        <v>184400000</v>
      </c>
      <c r="F11" s="168">
        <f>표1_3[[#This Row],[총실행가]]-AL11</f>
        <v>118854000</v>
      </c>
      <c r="G11" s="292">
        <f>F11*20%</f>
        <v>23770800</v>
      </c>
      <c r="H11" s="169">
        <v>45797</v>
      </c>
      <c r="I11" s="175">
        <v>45838</v>
      </c>
      <c r="J11" s="169"/>
      <c r="K11" s="171">
        <f>IF(COUNT(J11),0,G11)</f>
        <v>23770800</v>
      </c>
      <c r="L11" s="172">
        <f>F11*40%</f>
        <v>47541600</v>
      </c>
      <c r="M11" s="169">
        <v>45817</v>
      </c>
      <c r="N11" s="175">
        <v>45838</v>
      </c>
      <c r="O11" s="169"/>
      <c r="P11" s="173">
        <f>IF(COUNT(O11),0,L11)</f>
        <v>47541600</v>
      </c>
      <c r="Q11" s="292"/>
      <c r="R11" s="169"/>
      <c r="S11" s="169"/>
      <c r="T11" s="169"/>
      <c r="U11" s="174">
        <f>IF(COUNT(T11),0,Q11)</f>
        <v>0</v>
      </c>
      <c r="V11" s="171"/>
      <c r="W11" s="174">
        <f>F11*40%</f>
        <v>47541600</v>
      </c>
      <c r="X11" s="174">
        <f>AR11</f>
        <v>550000</v>
      </c>
      <c r="Y11" s="174">
        <f>W11-X11</f>
        <v>46991600</v>
      </c>
      <c r="Z11" s="169">
        <v>45815</v>
      </c>
      <c r="AA11" s="169">
        <v>45832</v>
      </c>
      <c r="AB11" s="187">
        <v>45853</v>
      </c>
      <c r="AC11" s="169"/>
      <c r="AD11" s="294"/>
      <c r="AE11" s="295">
        <f t="shared" si="0"/>
        <v>46991600</v>
      </c>
      <c r="AF11" s="174">
        <f>표1_3[[#This Row],[금액]]+표1_3[[#This Row],[금액2]]+표1_3[[#This Row],[최종잔금]]</f>
        <v>118304000</v>
      </c>
      <c r="AG11" s="171">
        <f>(K11+P11+표1_3[[#This Row],[미수금액2]])-AH11</f>
        <v>118304000</v>
      </c>
      <c r="AH11" s="296">
        <f>SUM(IF(COUNTBLANK(H11),G11,0),IF(COUNTBLANK(M11),L11,0),IF(COUNTBLANK(AA11),Y11,0))</f>
        <v>0</v>
      </c>
      <c r="AI11" s="146"/>
      <c r="AJ11" s="177" t="s">
        <v>207</v>
      </c>
      <c r="AK11" s="174">
        <v>13000</v>
      </c>
      <c r="AL11" s="174">
        <v>65546000</v>
      </c>
      <c r="AM11" s="171"/>
      <c r="AN11" s="292"/>
      <c r="AO11" s="174"/>
      <c r="AP11" s="174">
        <v>550000</v>
      </c>
      <c r="AQ11" s="171"/>
      <c r="AR11" s="296">
        <v>550000</v>
      </c>
      <c r="AW11" s="297">
        <v>81545500</v>
      </c>
      <c r="AX11" s="298">
        <f>표1_3[[#This Row],[총실행가]]-AL11-AR11-AW11</f>
        <v>36758500</v>
      </c>
      <c r="AY11" s="299">
        <f>AX11/표1_3[[#This Row],[총실행가]]</f>
        <v>0.19934110629067245</v>
      </c>
    </row>
    <row r="12" spans="1:51" s="147" customFormat="1" ht="24.75" customHeight="1" thickBot="1">
      <c r="A12" s="290">
        <v>8</v>
      </c>
      <c r="B12" s="356">
        <v>45853</v>
      </c>
      <c r="C12" s="167" t="s">
        <v>191</v>
      </c>
      <c r="D12" s="300" t="s">
        <v>208</v>
      </c>
      <c r="E12" s="167">
        <v>389400000</v>
      </c>
      <c r="F12" s="168">
        <f>E12-AL12</f>
        <v>233706000</v>
      </c>
      <c r="G12" s="292">
        <f>F12*10%</f>
        <v>23370600</v>
      </c>
      <c r="H12" s="169">
        <v>45855</v>
      </c>
      <c r="I12" s="170">
        <v>45877</v>
      </c>
      <c r="J12" s="169">
        <v>45877</v>
      </c>
      <c r="K12" s="171">
        <f>IF(COUNT(J12),0,G12)</f>
        <v>0</v>
      </c>
      <c r="L12" s="292">
        <f>F12*40%</f>
        <v>93482400</v>
      </c>
      <c r="M12" s="169">
        <v>45915</v>
      </c>
      <c r="N12" s="175">
        <v>45976</v>
      </c>
      <c r="O12" s="169"/>
      <c r="P12" s="173">
        <f>IF(COUNT(O12),0,L12)</f>
        <v>93482400</v>
      </c>
      <c r="Q12" s="292"/>
      <c r="R12" s="169"/>
      <c r="S12" s="169"/>
      <c r="T12" s="169"/>
      <c r="U12" s="174">
        <f>IF(COUNT(T12),0,Q12)</f>
        <v>0</v>
      </c>
      <c r="V12" s="171">
        <f>표1_3[[#This Row],[금액]]</f>
        <v>23370600</v>
      </c>
      <c r="W12" s="174">
        <f>F12*50%</f>
        <v>116853000</v>
      </c>
      <c r="X12" s="174">
        <f>AR12</f>
        <v>2400000</v>
      </c>
      <c r="Y12" s="174">
        <f>W12-X12</f>
        <v>114453000</v>
      </c>
      <c r="Z12" s="169">
        <v>45964</v>
      </c>
      <c r="AA12" s="169">
        <v>45972</v>
      </c>
      <c r="AB12" s="175">
        <v>45989</v>
      </c>
      <c r="AC12" s="169"/>
      <c r="AD12" s="294"/>
      <c r="AE12" s="295">
        <f t="shared" si="0"/>
        <v>114453000</v>
      </c>
      <c r="AF12" s="174">
        <f>표1_3[[#This Row],[금액]]+표1_3[[#This Row],[금액2]]+표1_3[[#This Row],[최종잔금]]</f>
        <v>231306000</v>
      </c>
      <c r="AG12" s="171">
        <f>(K12+P12+표1_3[[#This Row],[미수금액2]])-AH12</f>
        <v>207935400</v>
      </c>
      <c r="AH12" s="296">
        <f>SUM(IF(COUNTBLANK(H12),G12,0),IF(COUNTBLANK(M12),L12,0),IF(COUNTBLANK(AA12),Y12,0))</f>
        <v>0</v>
      </c>
      <c r="AI12" s="146"/>
      <c r="AJ12" s="304" t="s">
        <v>209</v>
      </c>
      <c r="AK12" s="174">
        <v>14000</v>
      </c>
      <c r="AL12" s="174">
        <v>155694000</v>
      </c>
      <c r="AM12" s="171"/>
      <c r="AN12" s="292"/>
      <c r="AO12" s="174"/>
      <c r="AP12" s="174">
        <v>2400000</v>
      </c>
      <c r="AQ12" s="171"/>
      <c r="AR12" s="296">
        <v>2400000</v>
      </c>
      <c r="AW12" s="305">
        <v>188438100</v>
      </c>
      <c r="AX12" s="306">
        <f>표1_3[[#This Row],[총실행가]]-AL12-AR12-AW12</f>
        <v>42867900</v>
      </c>
      <c r="AY12" s="307">
        <f>AX12/표1_3[[#This Row],[총실행가]]</f>
        <v>0.11008705701078582</v>
      </c>
    </row>
    <row r="13" spans="1:51" s="147" customFormat="1" ht="24.75" customHeight="1" thickBot="1">
      <c r="A13" s="308"/>
      <c r="B13" s="374"/>
      <c r="AE13" s="309">
        <f t="shared" si="0"/>
        <v>0</v>
      </c>
      <c r="AF13" s="375">
        <f>표1_3[[#This Row],[금액]]+표1_3[[#This Row],[금액2]]+표1_3[[#This Row],[최종잔금]]</f>
        <v>0</v>
      </c>
      <c r="AG13" s="171">
        <f>(K13+P13+표1_3[[#This Row],[미수금액2]])-AH13</f>
        <v>0</v>
      </c>
      <c r="AH13" s="310"/>
    </row>
    <row r="14" spans="1:51" s="331" customFormat="1" ht="24.75" customHeight="1">
      <c r="A14" s="314">
        <v>1</v>
      </c>
      <c r="B14" s="355">
        <v>45912</v>
      </c>
      <c r="C14" s="315" t="s">
        <v>78</v>
      </c>
      <c r="D14" s="351" t="s">
        <v>210</v>
      </c>
      <c r="E14" s="315">
        <v>430000000</v>
      </c>
      <c r="F14" s="317">
        <f>E14-AL14</f>
        <v>261710000</v>
      </c>
      <c r="G14" s="318">
        <f>F14*20%</f>
        <v>52342000</v>
      </c>
      <c r="H14" s="319">
        <v>45932</v>
      </c>
      <c r="I14" s="320">
        <v>45961</v>
      </c>
      <c r="J14" s="319">
        <v>45945</v>
      </c>
      <c r="K14" s="321">
        <f t="shared" ref="K14:K21" si="1">IF(COUNT(J14),0,G14)</f>
        <v>0</v>
      </c>
      <c r="L14" s="322">
        <f>F14*40%</f>
        <v>104684000</v>
      </c>
      <c r="M14" s="319">
        <v>45975</v>
      </c>
      <c r="N14" s="320">
        <v>46006</v>
      </c>
      <c r="O14" s="320">
        <v>46006</v>
      </c>
      <c r="P14" s="323">
        <f t="shared" ref="P14:P21" si="2">IF(COUNT(O14),0,L14)</f>
        <v>0</v>
      </c>
      <c r="Q14" s="318"/>
      <c r="R14" s="319"/>
      <c r="S14" s="319"/>
      <c r="T14" s="319"/>
      <c r="U14" s="324">
        <f t="shared" ref="U14:U21" si="3">IF(COUNT(T14),0,Q14)</f>
        <v>0</v>
      </c>
      <c r="V14" s="321">
        <f>표1_3[[#This Row],[금액]]+표1_3[[#This Row],[금액2]]</f>
        <v>157026000</v>
      </c>
      <c r="W14" s="324">
        <f>F14*40%</f>
        <v>104684000</v>
      </c>
      <c r="X14" s="324">
        <f t="shared" ref="X14:X21" si="4">AR14</f>
        <v>0</v>
      </c>
      <c r="Y14" s="324">
        <f t="shared" ref="Y14:Y21" si="5">W14-X14</f>
        <v>104684000</v>
      </c>
      <c r="Z14" s="319">
        <v>46010</v>
      </c>
      <c r="AA14" s="319">
        <v>46038</v>
      </c>
      <c r="AB14" s="364">
        <v>46080</v>
      </c>
      <c r="AC14" s="319">
        <v>46072</v>
      </c>
      <c r="AD14" s="326"/>
      <c r="AE14" s="327">
        <f t="shared" si="0"/>
        <v>0</v>
      </c>
      <c r="AF14" s="324">
        <f>표1_3[[#This Row],[금액]]+표1_3[[#This Row],[금액2]]+표1_3[[#This Row],[최종잔금]]</f>
        <v>261710000</v>
      </c>
      <c r="AG14" s="321">
        <f>(K14+P14+표1_3[[#This Row],[미수금액2]])-AH14</f>
        <v>0</v>
      </c>
      <c r="AH14" s="328">
        <f t="shared" ref="AH14:AH21" si="6">SUM(IF(COUNTBLANK(H14),G14,0),IF(COUNTBLANK(M14),L14,0),IF(COUNTBLANK(AA14),Y14,0))</f>
        <v>0</v>
      </c>
      <c r="AI14" s="347"/>
      <c r="AJ14" s="330" t="s">
        <v>211</v>
      </c>
      <c r="AK14" s="324">
        <v>12000</v>
      </c>
      <c r="AL14" s="324">
        <v>168290000</v>
      </c>
      <c r="AM14" s="321"/>
      <c r="AN14" s="318"/>
      <c r="AO14" s="324"/>
      <c r="AP14" s="324"/>
      <c r="AQ14" s="321"/>
      <c r="AR14" s="328">
        <f>SUM(AM14:AQ14)</f>
        <v>0</v>
      </c>
      <c r="AW14" s="367">
        <v>180715300</v>
      </c>
      <c r="AX14" s="368">
        <f>표1_3[[#This Row],[총실행가]]-AL14-AR14-AW14</f>
        <v>80994700</v>
      </c>
      <c r="AY14" s="369">
        <f>AX14/표1_3[[#This Row],[총실행가]]</f>
        <v>0.18835976744186048</v>
      </c>
    </row>
    <row r="15" spans="1:51" s="331" customFormat="1" ht="24.75" customHeight="1">
      <c r="A15" s="314">
        <v>2</v>
      </c>
      <c r="B15" s="355">
        <v>45923</v>
      </c>
      <c r="C15" s="350" t="s">
        <v>532</v>
      </c>
      <c r="D15" s="351" t="s">
        <v>212</v>
      </c>
      <c r="E15" s="315">
        <v>285000000</v>
      </c>
      <c r="F15" s="317">
        <f>E15-AL15</f>
        <v>181233000</v>
      </c>
      <c r="G15" s="318"/>
      <c r="H15" s="319"/>
      <c r="I15" s="319"/>
      <c r="J15" s="319"/>
      <c r="K15" s="321">
        <f t="shared" si="1"/>
        <v>0</v>
      </c>
      <c r="L15" s="322">
        <v>108811800</v>
      </c>
      <c r="M15" s="319">
        <v>45954</v>
      </c>
      <c r="N15" s="320">
        <v>45976</v>
      </c>
      <c r="O15" s="319">
        <v>45978</v>
      </c>
      <c r="P15" s="323">
        <f t="shared" si="2"/>
        <v>0</v>
      </c>
      <c r="Q15" s="318"/>
      <c r="R15" s="319"/>
      <c r="S15" s="319"/>
      <c r="T15" s="319"/>
      <c r="U15" s="324">
        <f t="shared" si="3"/>
        <v>0</v>
      </c>
      <c r="V15" s="321">
        <f>표1_3[[#This Row],[금액2]]</f>
        <v>108811800</v>
      </c>
      <c r="W15" s="324">
        <f>표1_3[[#This Row],[컨설팅
금액]]-표1_3[[#This Row],[금액2]]</f>
        <v>72421200</v>
      </c>
      <c r="X15" s="324">
        <f t="shared" si="4"/>
        <v>75740000</v>
      </c>
      <c r="Y15" s="324">
        <f t="shared" si="5"/>
        <v>-3318800</v>
      </c>
      <c r="Z15" s="319">
        <v>46013</v>
      </c>
      <c r="AA15" s="319">
        <v>46010</v>
      </c>
      <c r="AB15" s="319"/>
      <c r="AC15" s="319">
        <v>46035</v>
      </c>
      <c r="AD15" s="326"/>
      <c r="AE15" s="327">
        <f t="shared" si="0"/>
        <v>0</v>
      </c>
      <c r="AF15" s="324">
        <f>표1_3[[#This Row],[금액]]+표1_3[[#This Row],[금액2]]+표1_3[[#This Row],[최종잔금]]</f>
        <v>105493000</v>
      </c>
      <c r="AG15" s="321">
        <f>(K15+P15+표1_3[[#This Row],[미수금액2]])-AH15</f>
        <v>0</v>
      </c>
      <c r="AH15" s="328">
        <f t="shared" si="6"/>
        <v>0</v>
      </c>
      <c r="AI15" s="347"/>
      <c r="AJ15" s="330" t="s">
        <v>213</v>
      </c>
      <c r="AK15" s="324" t="s">
        <v>214</v>
      </c>
      <c r="AL15" s="324">
        <v>103767000</v>
      </c>
      <c r="AM15" s="321">
        <v>23440000</v>
      </c>
      <c r="AN15" s="318"/>
      <c r="AO15" s="324">
        <v>50300000</v>
      </c>
      <c r="AP15" s="324">
        <v>2000000</v>
      </c>
      <c r="AQ15" s="321"/>
      <c r="AR15" s="328">
        <f>SUM(AM15:AQ15)</f>
        <v>75740000</v>
      </c>
      <c r="AW15" s="332">
        <v>84295700</v>
      </c>
      <c r="AX15" s="333">
        <f>표1_3[[#This Row],[총실행가]]-AL15-AR15-AW15</f>
        <v>21197300</v>
      </c>
      <c r="AY15" s="334">
        <f>AX15/표1_3[[#This Row],[총실행가]]</f>
        <v>7.4376491228070177E-2</v>
      </c>
    </row>
    <row r="16" spans="1:51" s="147" customFormat="1" ht="24.75" customHeight="1">
      <c r="A16" s="290">
        <v>3</v>
      </c>
      <c r="B16" s="356">
        <v>45950</v>
      </c>
      <c r="C16" s="286" t="s">
        <v>533</v>
      </c>
      <c r="D16" s="311" t="s">
        <v>534</v>
      </c>
      <c r="E16" s="167">
        <v>425790000</v>
      </c>
      <c r="F16" s="168">
        <f>E16-AL16</f>
        <v>303876000</v>
      </c>
      <c r="G16" s="292">
        <v>91762800</v>
      </c>
      <c r="H16" s="169">
        <v>45947</v>
      </c>
      <c r="I16" s="175">
        <v>45976</v>
      </c>
      <c r="J16" s="169">
        <v>46091</v>
      </c>
      <c r="K16" s="171">
        <f t="shared" si="1"/>
        <v>0</v>
      </c>
      <c r="L16" s="172">
        <v>91762800</v>
      </c>
      <c r="M16" s="169">
        <v>45965</v>
      </c>
      <c r="N16" s="175">
        <v>45989</v>
      </c>
      <c r="O16" s="169"/>
      <c r="P16" s="173">
        <f t="shared" si="2"/>
        <v>91762800</v>
      </c>
      <c r="Q16" s="292"/>
      <c r="R16" s="169"/>
      <c r="S16" s="169"/>
      <c r="T16" s="169"/>
      <c r="U16" s="174">
        <f t="shared" si="3"/>
        <v>0</v>
      </c>
      <c r="V16" s="171"/>
      <c r="W16" s="174">
        <f>표1_3[[#This Row],[컨설팅
금액]]-표1_3[[#This Row],[금액]]-표1_3[[#This Row],[금액2]]</f>
        <v>120350400</v>
      </c>
      <c r="X16" s="174">
        <f t="shared" si="4"/>
        <v>1300000</v>
      </c>
      <c r="Y16" s="174">
        <f t="shared" si="5"/>
        <v>119050400</v>
      </c>
      <c r="Z16" s="169"/>
      <c r="AA16" s="169"/>
      <c r="AB16" s="169"/>
      <c r="AC16" s="169"/>
      <c r="AD16" s="294"/>
      <c r="AE16" s="295">
        <f t="shared" si="0"/>
        <v>119050400</v>
      </c>
      <c r="AF16" s="174">
        <f>표1_3[[#This Row],[금액]]+표1_3[[#This Row],[금액2]]+표1_3[[#This Row],[최종잔금]]</f>
        <v>302576000</v>
      </c>
      <c r="AG16" s="171">
        <f>(K16+P16+표1_3[[#This Row],[미수금액2]])-AH16</f>
        <v>91762800</v>
      </c>
      <c r="AH16" s="296">
        <f t="shared" si="6"/>
        <v>119050400</v>
      </c>
      <c r="AI16" s="146"/>
      <c r="AJ16" s="365" t="s">
        <v>574</v>
      </c>
      <c r="AK16" s="174">
        <v>13000</v>
      </c>
      <c r="AL16" s="174">
        <v>121914000</v>
      </c>
      <c r="AM16" s="171"/>
      <c r="AN16" s="292"/>
      <c r="AO16" s="174">
        <v>1300000</v>
      </c>
      <c r="AP16" s="174"/>
      <c r="AQ16" s="171"/>
      <c r="AR16" s="296">
        <f t="shared" ref="AR16:AR21" si="7">SUM(AM16:AQ16)</f>
        <v>1300000</v>
      </c>
      <c r="AW16" s="297"/>
      <c r="AX16" s="298">
        <f>표1_3[[#This Row],[총실행가]]-AL16-AR16-AW16</f>
        <v>302576000</v>
      </c>
      <c r="AY16" s="299">
        <f>AX16/표1_3[[#This Row],[총실행가]]</f>
        <v>0.71062260738861882</v>
      </c>
    </row>
    <row r="17" spans="1:51" s="147" customFormat="1" ht="24.75" customHeight="1">
      <c r="A17" s="290">
        <v>4</v>
      </c>
      <c r="B17" s="358">
        <v>45957</v>
      </c>
      <c r="C17" s="203" t="s">
        <v>539</v>
      </c>
      <c r="D17" s="312" t="s">
        <v>538</v>
      </c>
      <c r="E17" s="179">
        <v>450000000</v>
      </c>
      <c r="F17" s="180">
        <f>E17-AL17</f>
        <v>272578000</v>
      </c>
      <c r="G17" s="181">
        <f>F17*20%</f>
        <v>54515600</v>
      </c>
      <c r="H17" s="169">
        <v>45964</v>
      </c>
      <c r="I17" s="170">
        <v>45976</v>
      </c>
      <c r="J17" s="182">
        <v>45970</v>
      </c>
      <c r="K17" s="184">
        <f t="shared" si="1"/>
        <v>0</v>
      </c>
      <c r="L17" s="185">
        <f>F17*40%</f>
        <v>109031200</v>
      </c>
      <c r="M17" s="182"/>
      <c r="N17" s="182"/>
      <c r="O17" s="182"/>
      <c r="P17" s="186">
        <f t="shared" si="2"/>
        <v>109031200</v>
      </c>
      <c r="Q17" s="181"/>
      <c r="R17" s="182"/>
      <c r="S17" s="182"/>
      <c r="T17" s="182"/>
      <c r="U17" s="293">
        <f t="shared" si="3"/>
        <v>0</v>
      </c>
      <c r="V17" s="184">
        <f>표1_3[[#This Row],[금액]]</f>
        <v>54515600</v>
      </c>
      <c r="W17" s="293">
        <f>F17*40%</f>
        <v>109031200</v>
      </c>
      <c r="X17" s="293">
        <f t="shared" si="4"/>
        <v>0</v>
      </c>
      <c r="Y17" s="293">
        <f t="shared" si="5"/>
        <v>109031200</v>
      </c>
      <c r="Z17" s="182"/>
      <c r="AA17" s="182"/>
      <c r="AB17" s="182"/>
      <c r="AC17" s="182"/>
      <c r="AD17" s="302"/>
      <c r="AE17" s="303">
        <f t="shared" si="0"/>
        <v>109031200</v>
      </c>
      <c r="AF17" s="293">
        <f>표1_3[[#This Row],[금액]]+표1_3[[#This Row],[금액2]]+표1_3[[#This Row],[최종잔금]]</f>
        <v>272578000</v>
      </c>
      <c r="AG17" s="171">
        <f>(K17+P17+표1_3[[#This Row],[미수금액2]])-AH17</f>
        <v>0</v>
      </c>
      <c r="AH17" s="296">
        <f t="shared" si="6"/>
        <v>218062400</v>
      </c>
      <c r="AI17" s="146"/>
      <c r="AJ17" s="177" t="s">
        <v>217</v>
      </c>
      <c r="AK17" s="174">
        <v>19000</v>
      </c>
      <c r="AL17" s="174">
        <v>177422000</v>
      </c>
      <c r="AM17" s="171"/>
      <c r="AN17" s="292"/>
      <c r="AO17" s="174"/>
      <c r="AP17" s="174"/>
      <c r="AQ17" s="171"/>
      <c r="AR17" s="296">
        <f t="shared" si="7"/>
        <v>0</v>
      </c>
      <c r="AW17" s="297"/>
      <c r="AX17" s="298">
        <f>표1_3[[#This Row],[총실행가]]-AL17-AR17-AW17</f>
        <v>272578000</v>
      </c>
      <c r="AY17" s="299">
        <f>AX17/표1_3[[#This Row],[총실행가]]</f>
        <v>0.60572888888888887</v>
      </c>
    </row>
    <row r="18" spans="1:51" s="147" customFormat="1" ht="24.75" customHeight="1">
      <c r="A18" s="290">
        <v>5</v>
      </c>
      <c r="B18" s="356">
        <v>45943</v>
      </c>
      <c r="C18" s="167" t="s">
        <v>67</v>
      </c>
      <c r="D18" s="300" t="s">
        <v>68</v>
      </c>
      <c r="E18" s="167"/>
      <c r="F18" s="168">
        <v>133800000</v>
      </c>
      <c r="G18" s="292">
        <f>F18*20%</f>
        <v>26760000</v>
      </c>
      <c r="H18" s="169">
        <v>45967</v>
      </c>
      <c r="I18" s="175">
        <v>45989</v>
      </c>
      <c r="J18" s="169"/>
      <c r="K18" s="171">
        <f t="shared" si="1"/>
        <v>26760000</v>
      </c>
      <c r="L18" s="172">
        <f>F18*40%</f>
        <v>53520000</v>
      </c>
      <c r="M18" s="169">
        <v>46010</v>
      </c>
      <c r="N18" s="175">
        <v>46022</v>
      </c>
      <c r="O18" s="169"/>
      <c r="P18" s="173">
        <f t="shared" si="2"/>
        <v>53520000</v>
      </c>
      <c r="Q18" s="292"/>
      <c r="R18" s="169"/>
      <c r="S18" s="169"/>
      <c r="T18" s="169"/>
      <c r="U18" s="174">
        <f t="shared" si="3"/>
        <v>0</v>
      </c>
      <c r="V18" s="171"/>
      <c r="W18" s="174">
        <f>F18*40%</f>
        <v>53520000</v>
      </c>
      <c r="X18" s="174">
        <f t="shared" si="4"/>
        <v>0</v>
      </c>
      <c r="Y18" s="174">
        <f t="shared" si="5"/>
        <v>53520000</v>
      </c>
      <c r="Z18" s="169"/>
      <c r="AA18" s="169"/>
      <c r="AB18" s="169"/>
      <c r="AC18" s="169"/>
      <c r="AD18" s="294"/>
      <c r="AE18" s="295">
        <f t="shared" si="0"/>
        <v>53520000</v>
      </c>
      <c r="AF18" s="174">
        <f>표1_3[[#This Row],[금액]]+표1_3[[#This Row],[금액2]]+표1_3[[#This Row],[최종잔금]]</f>
        <v>133800000</v>
      </c>
      <c r="AG18" s="171">
        <f>(K18+P18+표1_3[[#This Row],[미수금액2]])-AH18</f>
        <v>80280000</v>
      </c>
      <c r="AH18" s="296">
        <f t="shared" si="6"/>
        <v>53520000</v>
      </c>
      <c r="AI18" s="146"/>
      <c r="AJ18" s="177"/>
      <c r="AK18" s="174"/>
      <c r="AL18" s="174"/>
      <c r="AM18" s="171"/>
      <c r="AN18" s="292"/>
      <c r="AO18" s="174"/>
      <c r="AP18" s="174"/>
      <c r="AQ18" s="171"/>
      <c r="AR18" s="296">
        <f t="shared" si="7"/>
        <v>0</v>
      </c>
      <c r="AW18" s="297"/>
      <c r="AX18" s="298">
        <f>표1_3[[#This Row],[총실행가]]-AL18-AR18-AW18</f>
        <v>0</v>
      </c>
      <c r="AY18" s="299" t="e">
        <f>AX18/표1_3[[#This Row],[총실행가]]</f>
        <v>#DIV/0!</v>
      </c>
    </row>
    <row r="19" spans="1:51" s="147" customFormat="1" ht="24.75" customHeight="1">
      <c r="A19" s="290">
        <v>6</v>
      </c>
      <c r="B19" s="358">
        <v>45979</v>
      </c>
      <c r="C19" s="203" t="s">
        <v>541</v>
      </c>
      <c r="D19" s="301" t="s">
        <v>540</v>
      </c>
      <c r="E19" s="179">
        <v>114700000</v>
      </c>
      <c r="F19" s="180">
        <f>E19-AL19</f>
        <v>59588500</v>
      </c>
      <c r="G19" s="181">
        <f>F19*20%</f>
        <v>11917700</v>
      </c>
      <c r="H19" s="169">
        <v>45979</v>
      </c>
      <c r="I19" s="170">
        <v>45989</v>
      </c>
      <c r="J19" s="182">
        <v>45989</v>
      </c>
      <c r="K19" s="184">
        <f t="shared" si="1"/>
        <v>0</v>
      </c>
      <c r="L19" s="185">
        <f>F19*40%</f>
        <v>23835400</v>
      </c>
      <c r="M19" s="182"/>
      <c r="N19" s="182"/>
      <c r="O19" s="182"/>
      <c r="P19" s="186">
        <f t="shared" si="2"/>
        <v>23835400</v>
      </c>
      <c r="Q19" s="181"/>
      <c r="R19" s="182"/>
      <c r="S19" s="182"/>
      <c r="T19" s="182"/>
      <c r="U19" s="293">
        <f t="shared" si="3"/>
        <v>0</v>
      </c>
      <c r="V19" s="184">
        <f>표1_3[[#This Row],[금액]]</f>
        <v>11917700</v>
      </c>
      <c r="W19" s="293">
        <f>F19*40%</f>
        <v>23835400</v>
      </c>
      <c r="X19" s="293">
        <f t="shared" si="4"/>
        <v>0</v>
      </c>
      <c r="Y19" s="293">
        <f t="shared" si="5"/>
        <v>23835400</v>
      </c>
      <c r="Z19" s="182"/>
      <c r="AA19" s="182"/>
      <c r="AB19" s="182"/>
      <c r="AC19" s="182"/>
      <c r="AD19" s="302"/>
      <c r="AE19" s="303">
        <f t="shared" si="0"/>
        <v>23835400</v>
      </c>
      <c r="AF19" s="293">
        <f>표1_3[[#This Row],[금액]]+표1_3[[#This Row],[금액2]]+표1_3[[#This Row],[최종잔금]]</f>
        <v>59588500</v>
      </c>
      <c r="AG19" s="171">
        <f>(K19+P19+표1_3[[#This Row],[미수금액2]])-AH19</f>
        <v>0</v>
      </c>
      <c r="AH19" s="296">
        <f t="shared" si="6"/>
        <v>47670800</v>
      </c>
      <c r="AI19" s="146"/>
      <c r="AJ19" s="177" t="s">
        <v>218</v>
      </c>
      <c r="AK19" s="174">
        <v>18500</v>
      </c>
      <c r="AL19" s="174">
        <v>55111500</v>
      </c>
      <c r="AM19" s="171"/>
      <c r="AN19" s="292"/>
      <c r="AO19" s="174"/>
      <c r="AP19" s="174"/>
      <c r="AQ19" s="171"/>
      <c r="AR19" s="296">
        <f t="shared" si="7"/>
        <v>0</v>
      </c>
      <c r="AW19" s="297"/>
      <c r="AX19" s="298">
        <f>표1_3[[#This Row],[총실행가]]-AL19-AR19-AW19</f>
        <v>59588500</v>
      </c>
      <c r="AY19" s="299">
        <f>AX19/표1_3[[#This Row],[총실행가]]</f>
        <v>0.51951612903225808</v>
      </c>
    </row>
    <row r="20" spans="1:51" s="147" customFormat="1" ht="24.75" customHeight="1">
      <c r="A20" s="290">
        <v>7</v>
      </c>
      <c r="B20" s="356">
        <v>45987</v>
      </c>
      <c r="C20" s="286" t="s">
        <v>542</v>
      </c>
      <c r="D20" s="291" t="s">
        <v>543</v>
      </c>
      <c r="E20" s="167">
        <v>46890000</v>
      </c>
      <c r="F20" s="168">
        <f>E20-AL20</f>
        <v>36890000</v>
      </c>
      <c r="G20" s="181">
        <f>F20*40%</f>
        <v>14756000</v>
      </c>
      <c r="H20" s="169">
        <v>45988</v>
      </c>
      <c r="I20" s="170">
        <v>46006</v>
      </c>
      <c r="J20" s="182">
        <v>45989</v>
      </c>
      <c r="K20" s="171">
        <f t="shared" si="1"/>
        <v>0</v>
      </c>
      <c r="L20" s="185">
        <f>F20*40%</f>
        <v>14756000</v>
      </c>
      <c r="M20" s="169"/>
      <c r="N20" s="169"/>
      <c r="O20" s="169"/>
      <c r="P20" s="173">
        <f t="shared" si="2"/>
        <v>14756000</v>
      </c>
      <c r="Q20" s="292"/>
      <c r="R20" s="169"/>
      <c r="S20" s="169"/>
      <c r="T20" s="169"/>
      <c r="U20" s="174">
        <f t="shared" si="3"/>
        <v>0</v>
      </c>
      <c r="V20" s="171">
        <f>표1_3[[#This Row],[금액]]</f>
        <v>14756000</v>
      </c>
      <c r="W20" s="174">
        <f>F20*20%</f>
        <v>7378000</v>
      </c>
      <c r="X20" s="174">
        <f t="shared" si="4"/>
        <v>0</v>
      </c>
      <c r="Y20" s="174">
        <f t="shared" si="5"/>
        <v>7378000</v>
      </c>
      <c r="Z20" s="169"/>
      <c r="AA20" s="169"/>
      <c r="AB20" s="169"/>
      <c r="AC20" s="169"/>
      <c r="AD20" s="294"/>
      <c r="AE20" s="295">
        <f t="shared" si="0"/>
        <v>7378000</v>
      </c>
      <c r="AF20" s="174">
        <f>표1_3[[#This Row],[금액]]+표1_3[[#This Row],[금액2]]+표1_3[[#This Row],[최종잔금]]</f>
        <v>36890000</v>
      </c>
      <c r="AG20" s="171">
        <f>(K20+P20+표1_3[[#This Row],[미수금액2]])-AH20</f>
        <v>0</v>
      </c>
      <c r="AH20" s="296">
        <f t="shared" si="6"/>
        <v>22134000</v>
      </c>
      <c r="AI20" s="146"/>
      <c r="AJ20" s="177" t="s">
        <v>219</v>
      </c>
      <c r="AK20" s="174">
        <v>14000</v>
      </c>
      <c r="AL20" s="174">
        <v>10000000</v>
      </c>
      <c r="AM20" s="171"/>
      <c r="AN20" s="292"/>
      <c r="AO20" s="174"/>
      <c r="AP20" s="174"/>
      <c r="AQ20" s="171"/>
      <c r="AR20" s="296">
        <f t="shared" si="7"/>
        <v>0</v>
      </c>
      <c r="AW20" s="297"/>
      <c r="AX20" s="298">
        <f>표1_3[[#This Row],[총실행가]]-AL20-AR20-AW20</f>
        <v>36890000</v>
      </c>
      <c r="AY20" s="299">
        <f>AX20/표1_3[[#This Row],[총실행가]]</f>
        <v>0.78673491149498831</v>
      </c>
    </row>
    <row r="21" spans="1:51" s="331" customFormat="1" ht="24.75" customHeight="1" thickBot="1">
      <c r="A21" s="421">
        <v>8</v>
      </c>
      <c r="B21" s="422">
        <v>46000</v>
      </c>
      <c r="C21" s="423" t="s">
        <v>545</v>
      </c>
      <c r="D21" s="424" t="s">
        <v>544</v>
      </c>
      <c r="E21" s="425">
        <v>14500000</v>
      </c>
      <c r="F21" s="426">
        <f>E21-AL21</f>
        <v>10336000</v>
      </c>
      <c r="G21" s="427"/>
      <c r="H21" s="428"/>
      <c r="I21" s="428"/>
      <c r="J21" s="428"/>
      <c r="K21" s="429">
        <f t="shared" si="1"/>
        <v>0</v>
      </c>
      <c r="L21" s="430"/>
      <c r="M21" s="428"/>
      <c r="N21" s="428"/>
      <c r="O21" s="428"/>
      <c r="P21" s="431">
        <f t="shared" si="2"/>
        <v>0</v>
      </c>
      <c r="Q21" s="427"/>
      <c r="R21" s="428"/>
      <c r="S21" s="428"/>
      <c r="T21" s="428"/>
      <c r="U21" s="432">
        <f t="shared" si="3"/>
        <v>0</v>
      </c>
      <c r="V21" s="429"/>
      <c r="W21" s="432">
        <f>F21</f>
        <v>10336000</v>
      </c>
      <c r="X21" s="432">
        <f t="shared" si="4"/>
        <v>0</v>
      </c>
      <c r="Y21" s="432">
        <f t="shared" si="5"/>
        <v>10336000</v>
      </c>
      <c r="Z21" s="428">
        <v>46003</v>
      </c>
      <c r="AA21" s="428"/>
      <c r="AB21" s="428"/>
      <c r="AC21" s="428"/>
      <c r="AD21" s="433"/>
      <c r="AE21" s="434">
        <f t="shared" si="0"/>
        <v>10336000</v>
      </c>
      <c r="AF21" s="432">
        <f>표1_3[[#This Row],[금액]]+표1_3[[#This Row],[금액2]]+표1_3[[#This Row],[최종잔금]]</f>
        <v>10336000</v>
      </c>
      <c r="AG21" s="429">
        <f>(K21+P21+표1_3[[#This Row],[미수금액2]])-AH21</f>
        <v>0</v>
      </c>
      <c r="AH21" s="435">
        <f t="shared" si="6"/>
        <v>10336000</v>
      </c>
      <c r="AI21" s="347"/>
      <c r="AJ21" s="330" t="s">
        <v>221</v>
      </c>
      <c r="AK21" s="324">
        <v>12000</v>
      </c>
      <c r="AL21" s="324">
        <v>4164000</v>
      </c>
      <c r="AM21" s="321"/>
      <c r="AN21" s="318"/>
      <c r="AO21" s="324"/>
      <c r="AP21" s="324"/>
      <c r="AQ21" s="321"/>
      <c r="AR21" s="328">
        <f t="shared" si="7"/>
        <v>0</v>
      </c>
      <c r="AW21" s="436"/>
      <c r="AX21" s="437">
        <f>표1_3[[#This Row],[총실행가]]-AL21-AR21-AW21</f>
        <v>10336000</v>
      </c>
      <c r="AY21" s="438">
        <f>AX21/표1_3[[#This Row],[총실행가]]</f>
        <v>0.71282758620689657</v>
      </c>
    </row>
    <row r="23" spans="1:51" ht="17.25" thickBot="1">
      <c r="J23" s="268">
        <f>IF(COUNT(I57),0,F57)</f>
        <v>0</v>
      </c>
    </row>
    <row r="24" spans="1:51" s="146" customFormat="1" ht="24.75" customHeight="1" thickBot="1">
      <c r="A24" s="554" t="s">
        <v>222</v>
      </c>
      <c r="B24" s="554"/>
      <c r="C24" s="554"/>
      <c r="D24" s="554"/>
      <c r="E24" s="554"/>
      <c r="F24" s="555" t="s">
        <v>223</v>
      </c>
      <c r="G24" s="555"/>
      <c r="H24" s="555"/>
      <c r="I24" s="555"/>
      <c r="J24" s="555"/>
      <c r="K24" s="556" t="s">
        <v>224</v>
      </c>
      <c r="L24" s="556"/>
      <c r="M24" s="556"/>
      <c r="N24" s="556"/>
      <c r="O24" s="556"/>
      <c r="P24" s="556" t="s">
        <v>225</v>
      </c>
      <c r="Q24" s="556"/>
      <c r="R24" s="557" t="s">
        <v>102</v>
      </c>
      <c r="S24" s="557"/>
      <c r="T24" s="557"/>
      <c r="U24" s="557"/>
      <c r="V24" s="557"/>
    </row>
    <row r="25" spans="1:51" s="146" customFormat="1" ht="36.75" thickBot="1">
      <c r="A25" s="190" t="s">
        <v>159</v>
      </c>
      <c r="B25" s="191" t="s">
        <v>226</v>
      </c>
      <c r="C25" s="149" t="s">
        <v>38</v>
      </c>
      <c r="D25" s="150" t="s">
        <v>39</v>
      </c>
      <c r="E25" s="150" t="s">
        <v>227</v>
      </c>
      <c r="F25" s="192" t="s">
        <v>161</v>
      </c>
      <c r="G25" s="153" t="s">
        <v>162</v>
      </c>
      <c r="H25" s="154" t="s">
        <v>163</v>
      </c>
      <c r="I25" s="153" t="s">
        <v>164</v>
      </c>
      <c r="J25" s="192" t="s">
        <v>165</v>
      </c>
      <c r="K25" s="192" t="s">
        <v>166</v>
      </c>
      <c r="L25" s="153" t="s">
        <v>167</v>
      </c>
      <c r="M25" s="153" t="s">
        <v>168</v>
      </c>
      <c r="N25" s="153" t="s">
        <v>169</v>
      </c>
      <c r="O25" s="192" t="s">
        <v>170</v>
      </c>
      <c r="P25" s="192" t="s">
        <v>228</v>
      </c>
      <c r="Q25" s="193" t="s">
        <v>229</v>
      </c>
      <c r="R25" s="557"/>
      <c r="S25" s="557"/>
      <c r="T25" s="557"/>
      <c r="U25" s="557"/>
      <c r="V25" s="557"/>
    </row>
    <row r="26" spans="1:51" s="176" customFormat="1" ht="24.75" hidden="1" customHeight="1" thickTop="1">
      <c r="A26" s="194">
        <v>1</v>
      </c>
      <c r="B26" s="360">
        <v>45597</v>
      </c>
      <c r="C26" s="195" t="s">
        <v>220</v>
      </c>
      <c r="D26" s="195" t="s">
        <v>230</v>
      </c>
      <c r="E26" s="196">
        <v>136000000</v>
      </c>
      <c r="F26" s="197">
        <f>E26*1%</f>
        <v>1360000</v>
      </c>
      <c r="G26" s="169">
        <v>45597</v>
      </c>
      <c r="H26" s="169">
        <v>45688</v>
      </c>
      <c r="I26" s="169">
        <v>45664</v>
      </c>
      <c r="J26" s="171">
        <f t="shared" ref="J26:J63" si="8">IF(COUNT(I26),0,F26)</f>
        <v>0</v>
      </c>
      <c r="K26" s="172"/>
      <c r="L26" s="169"/>
      <c r="M26" s="169"/>
      <c r="N26" s="169"/>
      <c r="O26" s="173">
        <f t="shared" ref="O26:O63" si="9">IF(COUNT(N26),0,K26)</f>
        <v>0</v>
      </c>
      <c r="P26" s="198">
        <f>F26</f>
        <v>1360000</v>
      </c>
      <c r="Q26" s="186">
        <f>IF(COUNT(O26),0,L26)</f>
        <v>0</v>
      </c>
      <c r="R26" s="549"/>
      <c r="S26" s="549"/>
      <c r="T26" s="549"/>
      <c r="U26" s="549"/>
      <c r="V26" s="549"/>
    </row>
    <row r="27" spans="1:51" s="176" customFormat="1" ht="24.75" hidden="1" customHeight="1" thickTop="1">
      <c r="A27" s="177">
        <f t="shared" ref="A27:A46" si="10">A26+1</f>
        <v>2</v>
      </c>
      <c r="B27" s="356">
        <v>45665</v>
      </c>
      <c r="C27" s="167" t="s">
        <v>231</v>
      </c>
      <c r="D27" s="167" t="s">
        <v>232</v>
      </c>
      <c r="E27" s="168">
        <v>226400000</v>
      </c>
      <c r="F27" s="178"/>
      <c r="G27" s="169"/>
      <c r="H27" s="169"/>
      <c r="I27" s="169"/>
      <c r="J27" s="171">
        <f t="shared" si="8"/>
        <v>0</v>
      </c>
      <c r="K27" s="172">
        <f>E27*0.5%</f>
        <v>1132000</v>
      </c>
      <c r="L27" s="169">
        <v>45665</v>
      </c>
      <c r="M27" s="169">
        <v>45665</v>
      </c>
      <c r="N27" s="169">
        <v>45665</v>
      </c>
      <c r="O27" s="173">
        <f t="shared" si="9"/>
        <v>0</v>
      </c>
      <c r="P27" s="198">
        <f>K27</f>
        <v>1132000</v>
      </c>
      <c r="Q27" s="173"/>
      <c r="R27" s="544"/>
      <c r="S27" s="544"/>
      <c r="T27" s="544"/>
      <c r="U27" s="544"/>
      <c r="V27" s="544"/>
    </row>
    <row r="28" spans="1:51" s="176" customFormat="1" ht="24.75" hidden="1" customHeight="1">
      <c r="A28" s="177">
        <f t="shared" si="10"/>
        <v>3</v>
      </c>
      <c r="B28" s="356">
        <v>45665</v>
      </c>
      <c r="C28" s="167" t="s">
        <v>233</v>
      </c>
      <c r="D28" s="167" t="s">
        <v>234</v>
      </c>
      <c r="E28" s="168">
        <v>215200000</v>
      </c>
      <c r="F28" s="178"/>
      <c r="G28" s="169"/>
      <c r="H28" s="169"/>
      <c r="I28" s="169"/>
      <c r="J28" s="171">
        <f t="shared" si="8"/>
        <v>0</v>
      </c>
      <c r="K28" s="172">
        <f>E28*0.5%</f>
        <v>1076000</v>
      </c>
      <c r="L28" s="169">
        <v>45665</v>
      </c>
      <c r="M28" s="169">
        <v>45666</v>
      </c>
      <c r="N28" s="169">
        <v>45666</v>
      </c>
      <c r="O28" s="173">
        <f t="shared" si="9"/>
        <v>0</v>
      </c>
      <c r="P28" s="198">
        <f>K28</f>
        <v>1076000</v>
      </c>
      <c r="Q28" s="173"/>
      <c r="R28" s="544"/>
      <c r="S28" s="544"/>
      <c r="T28" s="544"/>
      <c r="U28" s="544"/>
      <c r="V28" s="544"/>
    </row>
    <row r="29" spans="1:51" s="176" customFormat="1" ht="24.75" hidden="1" customHeight="1">
      <c r="A29" s="177">
        <f t="shared" si="10"/>
        <v>4</v>
      </c>
      <c r="B29" s="358">
        <v>45667</v>
      </c>
      <c r="C29" s="179" t="s">
        <v>235</v>
      </c>
      <c r="D29" s="179" t="s">
        <v>236</v>
      </c>
      <c r="E29" s="199">
        <v>87800000</v>
      </c>
      <c r="F29" s="200">
        <f>(E29*1%)-295000</f>
        <v>583000</v>
      </c>
      <c r="G29" s="182">
        <v>45670</v>
      </c>
      <c r="H29" s="182"/>
      <c r="I29" s="182">
        <v>45671</v>
      </c>
      <c r="J29" s="184">
        <f t="shared" si="8"/>
        <v>0</v>
      </c>
      <c r="K29" s="181"/>
      <c r="L29" s="182"/>
      <c r="M29" s="182"/>
      <c r="N29" s="182"/>
      <c r="O29" s="186">
        <f t="shared" si="9"/>
        <v>0</v>
      </c>
      <c r="P29" s="198">
        <f>표6[[#This Row],[금액]]</f>
        <v>583000</v>
      </c>
      <c r="Q29" s="186">
        <f>IF(COUNT(O29),0,L29)</f>
        <v>0</v>
      </c>
      <c r="R29" s="543" t="s">
        <v>237</v>
      </c>
      <c r="S29" s="543"/>
      <c r="T29" s="543"/>
      <c r="U29" s="543"/>
      <c r="V29" s="543"/>
    </row>
    <row r="30" spans="1:51" s="176" customFormat="1" ht="24.75" hidden="1" customHeight="1">
      <c r="A30" s="177">
        <f t="shared" si="10"/>
        <v>5</v>
      </c>
      <c r="B30" s="356">
        <v>45670</v>
      </c>
      <c r="C30" s="167" t="s">
        <v>238</v>
      </c>
      <c r="D30" s="167" t="s">
        <v>239</v>
      </c>
      <c r="E30" s="168">
        <v>214800000</v>
      </c>
      <c r="F30" s="200"/>
      <c r="G30" s="169"/>
      <c r="H30" s="169"/>
      <c r="I30" s="169"/>
      <c r="J30" s="171">
        <f t="shared" si="8"/>
        <v>0</v>
      </c>
      <c r="K30" s="172">
        <f>E30*0.5%</f>
        <v>1074000</v>
      </c>
      <c r="L30" s="169">
        <v>45670</v>
      </c>
      <c r="M30" s="169">
        <v>45672</v>
      </c>
      <c r="N30" s="169">
        <v>45672</v>
      </c>
      <c r="O30" s="173">
        <f t="shared" si="9"/>
        <v>0</v>
      </c>
      <c r="P30" s="198">
        <f>표6[[#This Row],[금액2]]</f>
        <v>1074000</v>
      </c>
      <c r="Q30" s="173"/>
      <c r="R30" s="544"/>
      <c r="S30" s="544"/>
      <c r="T30" s="544"/>
      <c r="U30" s="544"/>
      <c r="V30" s="544"/>
    </row>
    <row r="31" spans="1:51" s="176" customFormat="1" ht="24.75" hidden="1" customHeight="1">
      <c r="A31" s="177">
        <f t="shared" si="10"/>
        <v>6</v>
      </c>
      <c r="B31" s="356">
        <v>45667</v>
      </c>
      <c r="C31" s="167" t="s">
        <v>238</v>
      </c>
      <c r="D31" s="167" t="s">
        <v>240</v>
      </c>
      <c r="E31" s="168">
        <v>40000000</v>
      </c>
      <c r="F31" s="200">
        <f>(E31*1%)</f>
        <v>400000</v>
      </c>
      <c r="G31" s="169">
        <v>45671</v>
      </c>
      <c r="H31" s="169"/>
      <c r="I31" s="169">
        <v>45672</v>
      </c>
      <c r="J31" s="171">
        <f t="shared" si="8"/>
        <v>0</v>
      </c>
      <c r="K31" s="172"/>
      <c r="L31" s="169"/>
      <c r="M31" s="169"/>
      <c r="N31" s="169"/>
      <c r="O31" s="173">
        <f t="shared" si="9"/>
        <v>0</v>
      </c>
      <c r="P31" s="198">
        <f>F31</f>
        <v>400000</v>
      </c>
      <c r="Q31" s="186">
        <f t="shared" ref="Q31:Q34" si="11">IF(COUNT(O31),0,L31)</f>
        <v>0</v>
      </c>
      <c r="R31" s="544"/>
      <c r="S31" s="544"/>
      <c r="T31" s="544"/>
      <c r="U31" s="544"/>
      <c r="V31" s="544"/>
    </row>
    <row r="32" spans="1:51" s="176" customFormat="1" ht="24.75" hidden="1" customHeight="1">
      <c r="A32" s="177">
        <f t="shared" si="10"/>
        <v>7</v>
      </c>
      <c r="B32" s="356">
        <v>45668</v>
      </c>
      <c r="C32" s="167" t="s">
        <v>238</v>
      </c>
      <c r="D32" s="167" t="s">
        <v>241</v>
      </c>
      <c r="E32" s="168">
        <v>429800000</v>
      </c>
      <c r="F32" s="201">
        <f>(E32*1%)-3461000</f>
        <v>837000</v>
      </c>
      <c r="G32" s="169">
        <v>45671</v>
      </c>
      <c r="H32" s="169"/>
      <c r="I32" s="169">
        <v>45672</v>
      </c>
      <c r="J32" s="171">
        <f t="shared" si="8"/>
        <v>0</v>
      </c>
      <c r="K32" s="172"/>
      <c r="L32" s="169"/>
      <c r="M32" s="169"/>
      <c r="N32" s="169"/>
      <c r="O32" s="173">
        <f t="shared" si="9"/>
        <v>0</v>
      </c>
      <c r="P32" s="198">
        <f>F32</f>
        <v>837000</v>
      </c>
      <c r="Q32" s="186">
        <f t="shared" si="11"/>
        <v>0</v>
      </c>
      <c r="R32" s="543" t="s">
        <v>242</v>
      </c>
      <c r="S32" s="543"/>
      <c r="T32" s="543"/>
      <c r="U32" s="543"/>
      <c r="V32" s="543"/>
    </row>
    <row r="33" spans="1:22" s="176" customFormat="1" ht="24.75" hidden="1" customHeight="1">
      <c r="A33" s="177">
        <f t="shared" si="10"/>
        <v>8</v>
      </c>
      <c r="B33" s="356">
        <v>45669</v>
      </c>
      <c r="C33" s="167" t="s">
        <v>238</v>
      </c>
      <c r="D33" s="167" t="s">
        <v>243</v>
      </c>
      <c r="E33" s="168">
        <v>26000000</v>
      </c>
      <c r="F33" s="201">
        <f>(E33*1%)-116500</f>
        <v>143500</v>
      </c>
      <c r="G33" s="169">
        <v>45671</v>
      </c>
      <c r="H33" s="169"/>
      <c r="I33" s="169">
        <v>45672</v>
      </c>
      <c r="J33" s="171">
        <f t="shared" si="8"/>
        <v>0</v>
      </c>
      <c r="K33" s="172"/>
      <c r="L33" s="169"/>
      <c r="M33" s="169"/>
      <c r="N33" s="169"/>
      <c r="O33" s="173">
        <f t="shared" si="9"/>
        <v>0</v>
      </c>
      <c r="P33" s="198">
        <f>F33</f>
        <v>143500</v>
      </c>
      <c r="Q33" s="186">
        <f t="shared" si="11"/>
        <v>0</v>
      </c>
      <c r="R33" s="543" t="s">
        <v>244</v>
      </c>
      <c r="S33" s="543"/>
      <c r="T33" s="543"/>
      <c r="U33" s="543"/>
      <c r="V33" s="543"/>
    </row>
    <row r="34" spans="1:22" s="146" customFormat="1" ht="24.75" hidden="1" customHeight="1">
      <c r="A34" s="177">
        <f t="shared" si="10"/>
        <v>9</v>
      </c>
      <c r="B34" s="356">
        <v>45671</v>
      </c>
      <c r="C34" s="167" t="s">
        <v>245</v>
      </c>
      <c r="D34" s="167" t="s">
        <v>246</v>
      </c>
      <c r="E34" s="168">
        <v>425000000</v>
      </c>
      <c r="F34" s="200">
        <f>(E34*1%)-2550000</f>
        <v>1700000</v>
      </c>
      <c r="G34" s="169">
        <v>45671</v>
      </c>
      <c r="H34" s="169">
        <v>45698</v>
      </c>
      <c r="I34" s="169">
        <v>45698</v>
      </c>
      <c r="J34" s="171">
        <f t="shared" si="8"/>
        <v>0</v>
      </c>
      <c r="K34" s="172"/>
      <c r="L34" s="169"/>
      <c r="M34" s="169"/>
      <c r="N34" s="169"/>
      <c r="O34" s="173">
        <f t="shared" si="9"/>
        <v>0</v>
      </c>
      <c r="P34" s="198">
        <f>표6[[#This Row],[금액]]</f>
        <v>1700000</v>
      </c>
      <c r="Q34" s="186">
        <f t="shared" si="11"/>
        <v>0</v>
      </c>
      <c r="R34" s="543" t="s">
        <v>247</v>
      </c>
      <c r="S34" s="543"/>
      <c r="T34" s="543"/>
      <c r="U34" s="543"/>
      <c r="V34" s="543"/>
    </row>
    <row r="35" spans="1:22" s="146" customFormat="1" ht="24.75" hidden="1" customHeight="1">
      <c r="A35" s="177">
        <f t="shared" si="10"/>
        <v>10</v>
      </c>
      <c r="B35" s="356">
        <v>45604</v>
      </c>
      <c r="C35" s="179" t="s">
        <v>194</v>
      </c>
      <c r="D35" s="167" t="s">
        <v>248</v>
      </c>
      <c r="E35" s="168">
        <v>199800000</v>
      </c>
      <c r="F35" s="200"/>
      <c r="G35" s="169"/>
      <c r="H35" s="169"/>
      <c r="I35" s="169"/>
      <c r="J35" s="171">
        <f t="shared" si="8"/>
        <v>0</v>
      </c>
      <c r="K35" s="172">
        <f>(E35*0.5%)</f>
        <v>999000</v>
      </c>
      <c r="L35" s="169">
        <v>45671</v>
      </c>
      <c r="M35" s="169">
        <v>45716</v>
      </c>
      <c r="N35" s="169">
        <v>45693</v>
      </c>
      <c r="O35" s="173">
        <f t="shared" si="9"/>
        <v>0</v>
      </c>
      <c r="P35" s="198">
        <f>표6[[#This Row],[금액2]]</f>
        <v>999000</v>
      </c>
      <c r="Q35" s="173"/>
      <c r="R35" s="544"/>
      <c r="S35" s="544"/>
      <c r="T35" s="544"/>
      <c r="U35" s="544"/>
      <c r="V35" s="544"/>
    </row>
    <row r="36" spans="1:22" s="176" customFormat="1" ht="24.75" hidden="1" customHeight="1">
      <c r="A36" s="177">
        <f t="shared" si="10"/>
        <v>11</v>
      </c>
      <c r="B36" s="356">
        <v>45671</v>
      </c>
      <c r="C36" s="167" t="s">
        <v>249</v>
      </c>
      <c r="D36" s="167" t="s">
        <v>250</v>
      </c>
      <c r="E36" s="168">
        <v>329500000</v>
      </c>
      <c r="F36" s="200">
        <f>(E36*1%)</f>
        <v>3295000</v>
      </c>
      <c r="G36" s="169">
        <v>45671</v>
      </c>
      <c r="H36" s="169">
        <v>45716</v>
      </c>
      <c r="I36" s="169">
        <v>45681</v>
      </c>
      <c r="J36" s="171">
        <f t="shared" si="8"/>
        <v>0</v>
      </c>
      <c r="K36" s="172"/>
      <c r="L36" s="169"/>
      <c r="M36" s="169"/>
      <c r="N36" s="169"/>
      <c r="O36" s="173">
        <f t="shared" si="9"/>
        <v>0</v>
      </c>
      <c r="P36" s="198">
        <f>표6[[#This Row],[금액]]</f>
        <v>3295000</v>
      </c>
      <c r="Q36" s="186">
        <f t="shared" ref="Q36:Q39" si="12">IF(COUNT(O36),0,L36)</f>
        <v>0</v>
      </c>
      <c r="R36" s="544"/>
      <c r="S36" s="544"/>
      <c r="T36" s="544"/>
      <c r="U36" s="544"/>
      <c r="V36" s="544"/>
    </row>
    <row r="37" spans="1:22" s="176" customFormat="1" ht="24.75" hidden="1" customHeight="1">
      <c r="A37" s="177">
        <f t="shared" si="10"/>
        <v>12</v>
      </c>
      <c r="B37" s="356">
        <v>45671</v>
      </c>
      <c r="C37" s="167" t="s">
        <v>249</v>
      </c>
      <c r="D37" s="167" t="s">
        <v>251</v>
      </c>
      <c r="E37" s="168">
        <v>98800000</v>
      </c>
      <c r="F37" s="200">
        <f>(E37*1%)-193150</f>
        <v>794850</v>
      </c>
      <c r="G37" s="169">
        <v>45671</v>
      </c>
      <c r="H37" s="169">
        <v>45716</v>
      </c>
      <c r="I37" s="169">
        <v>45681</v>
      </c>
      <c r="J37" s="171">
        <f t="shared" si="8"/>
        <v>0</v>
      </c>
      <c r="K37" s="172"/>
      <c r="L37" s="169"/>
      <c r="M37" s="169"/>
      <c r="N37" s="169"/>
      <c r="O37" s="173">
        <f t="shared" si="9"/>
        <v>0</v>
      </c>
      <c r="P37" s="198">
        <f>표6[[#This Row],[금액]]</f>
        <v>794850</v>
      </c>
      <c r="Q37" s="186">
        <f t="shared" si="12"/>
        <v>0</v>
      </c>
      <c r="R37" s="543" t="s">
        <v>252</v>
      </c>
      <c r="S37" s="543"/>
      <c r="T37" s="543"/>
      <c r="U37" s="543"/>
      <c r="V37" s="543"/>
    </row>
    <row r="38" spans="1:22" s="176" customFormat="1" ht="24.75" hidden="1" customHeight="1">
      <c r="A38" s="177">
        <f t="shared" si="10"/>
        <v>13</v>
      </c>
      <c r="B38" s="356">
        <v>45667</v>
      </c>
      <c r="C38" s="167" t="s">
        <v>253</v>
      </c>
      <c r="D38" s="167" t="s">
        <v>254</v>
      </c>
      <c r="E38" s="168">
        <v>21100000</v>
      </c>
      <c r="F38" s="200">
        <f>(E38*1%)</f>
        <v>211000</v>
      </c>
      <c r="G38" s="169">
        <v>45671</v>
      </c>
      <c r="H38" s="169">
        <v>45681</v>
      </c>
      <c r="I38" s="169">
        <v>45681</v>
      </c>
      <c r="J38" s="171">
        <f t="shared" si="8"/>
        <v>0</v>
      </c>
      <c r="K38" s="172"/>
      <c r="L38" s="169"/>
      <c r="M38" s="169"/>
      <c r="N38" s="169"/>
      <c r="O38" s="173">
        <f t="shared" si="9"/>
        <v>0</v>
      </c>
      <c r="P38" s="202">
        <f>표6[[#This Row],[금액]]</f>
        <v>211000</v>
      </c>
      <c r="Q38" s="186">
        <f t="shared" si="12"/>
        <v>0</v>
      </c>
      <c r="R38" s="544"/>
      <c r="S38" s="544"/>
      <c r="T38" s="544"/>
      <c r="U38" s="544"/>
      <c r="V38" s="544"/>
    </row>
    <row r="39" spans="1:22" s="176" customFormat="1" ht="24.75" hidden="1" customHeight="1">
      <c r="A39" s="177">
        <f t="shared" si="10"/>
        <v>14</v>
      </c>
      <c r="B39" s="358">
        <v>45671</v>
      </c>
      <c r="C39" s="179" t="s">
        <v>233</v>
      </c>
      <c r="D39" s="179" t="s">
        <v>255</v>
      </c>
      <c r="E39" s="180">
        <v>84900000</v>
      </c>
      <c r="F39" s="200">
        <f>(E39*1%)-675000</f>
        <v>174000</v>
      </c>
      <c r="G39" s="182">
        <v>45672</v>
      </c>
      <c r="H39" s="182"/>
      <c r="I39" s="182">
        <v>45672</v>
      </c>
      <c r="J39" s="184">
        <f t="shared" si="8"/>
        <v>0</v>
      </c>
      <c r="K39" s="185"/>
      <c r="L39" s="182"/>
      <c r="M39" s="182"/>
      <c r="N39" s="182"/>
      <c r="O39" s="186">
        <f t="shared" si="9"/>
        <v>0</v>
      </c>
      <c r="P39" s="202">
        <f>표6[[#This Row],[금액]]</f>
        <v>174000</v>
      </c>
      <c r="Q39" s="186">
        <f t="shared" si="12"/>
        <v>0</v>
      </c>
      <c r="R39" s="543" t="s">
        <v>256</v>
      </c>
      <c r="S39" s="543"/>
      <c r="T39" s="543"/>
      <c r="U39" s="543"/>
      <c r="V39" s="543"/>
    </row>
    <row r="40" spans="1:22" s="176" customFormat="1" ht="24.75" hidden="1" customHeight="1">
      <c r="A40" s="177">
        <f t="shared" si="10"/>
        <v>15</v>
      </c>
      <c r="B40" s="358">
        <v>45672</v>
      </c>
      <c r="C40" s="179" t="s">
        <v>194</v>
      </c>
      <c r="D40" s="179" t="s">
        <v>257</v>
      </c>
      <c r="E40" s="180">
        <v>194900000</v>
      </c>
      <c r="F40" s="200"/>
      <c r="G40" s="182"/>
      <c r="H40" s="182"/>
      <c r="I40" s="182"/>
      <c r="J40" s="184">
        <f t="shared" si="8"/>
        <v>0</v>
      </c>
      <c r="K40" s="185">
        <f>표6[[#This Row],[낙찰 금액]]*0.5%</f>
        <v>974500</v>
      </c>
      <c r="L40" s="182">
        <v>45674</v>
      </c>
      <c r="M40" s="182">
        <v>45747</v>
      </c>
      <c r="N40" s="182">
        <v>45693</v>
      </c>
      <c r="O40" s="186">
        <f t="shared" si="9"/>
        <v>0</v>
      </c>
      <c r="P40" s="202">
        <f>표6[[#This Row],[금액2]]</f>
        <v>974500</v>
      </c>
      <c r="Q40" s="186">
        <f>IF(COUNT(O40),0,L40)</f>
        <v>0</v>
      </c>
      <c r="R40" s="544"/>
      <c r="S40" s="544"/>
      <c r="T40" s="544"/>
      <c r="U40" s="544"/>
      <c r="V40" s="544"/>
    </row>
    <row r="41" spans="1:22" s="176" customFormat="1" ht="24.75" hidden="1" customHeight="1">
      <c r="A41" s="177">
        <f t="shared" si="10"/>
        <v>16</v>
      </c>
      <c r="B41" s="358">
        <v>45672</v>
      </c>
      <c r="C41" s="179" t="s">
        <v>194</v>
      </c>
      <c r="D41" s="203" t="s">
        <v>258</v>
      </c>
      <c r="E41" s="180">
        <v>618000000</v>
      </c>
      <c r="F41" s="200"/>
      <c r="G41" s="182"/>
      <c r="H41" s="182"/>
      <c r="I41" s="182"/>
      <c r="J41" s="184">
        <f t="shared" si="8"/>
        <v>0</v>
      </c>
      <c r="K41" s="185">
        <f>E41*0.5%</f>
        <v>3090000</v>
      </c>
      <c r="L41" s="182">
        <v>45674</v>
      </c>
      <c r="M41" s="182">
        <v>45747</v>
      </c>
      <c r="N41" s="182">
        <v>45693</v>
      </c>
      <c r="O41" s="186">
        <f t="shared" si="9"/>
        <v>0</v>
      </c>
      <c r="P41" s="202">
        <f>표6[[#This Row],[금액2]]</f>
        <v>3090000</v>
      </c>
      <c r="Q41" s="186">
        <f>IF(COUNT(O41),0,L41)</f>
        <v>0</v>
      </c>
      <c r="R41" s="544"/>
      <c r="S41" s="544"/>
      <c r="T41" s="544"/>
      <c r="U41" s="544"/>
      <c r="V41" s="544"/>
    </row>
    <row r="42" spans="1:22" s="176" customFormat="1" ht="24.75" hidden="1" customHeight="1">
      <c r="A42" s="177">
        <f t="shared" si="10"/>
        <v>17</v>
      </c>
      <c r="B42" s="356">
        <v>45681</v>
      </c>
      <c r="C42" s="167" t="s">
        <v>259</v>
      </c>
      <c r="D42" s="167" t="s">
        <v>260</v>
      </c>
      <c r="E42" s="168">
        <v>472000000</v>
      </c>
      <c r="F42" s="200">
        <f>(E42*1%)-224000</f>
        <v>4496000</v>
      </c>
      <c r="G42" s="169">
        <v>45681</v>
      </c>
      <c r="H42" s="169">
        <v>45747</v>
      </c>
      <c r="I42" s="169">
        <v>45694</v>
      </c>
      <c r="J42" s="171">
        <f t="shared" si="8"/>
        <v>0</v>
      </c>
      <c r="K42" s="172"/>
      <c r="L42" s="169"/>
      <c r="M42" s="169"/>
      <c r="N42" s="169"/>
      <c r="O42" s="173">
        <f t="shared" si="9"/>
        <v>0</v>
      </c>
      <c r="P42" s="198">
        <f>표6[[#This Row],[금액]]</f>
        <v>4496000</v>
      </c>
      <c r="Q42" s="186">
        <f t="shared" ref="Q42:Q43" si="13">IF(COUNT(O42),0,L42)</f>
        <v>0</v>
      </c>
      <c r="R42" s="543" t="s">
        <v>261</v>
      </c>
      <c r="S42" s="543"/>
      <c r="T42" s="543"/>
      <c r="U42" s="543"/>
      <c r="V42" s="543"/>
    </row>
    <row r="43" spans="1:22" s="176" customFormat="1" ht="24.75" hidden="1" customHeight="1">
      <c r="A43" s="177">
        <f t="shared" si="10"/>
        <v>18</v>
      </c>
      <c r="B43" s="358">
        <v>45681</v>
      </c>
      <c r="C43" s="179" t="s">
        <v>74</v>
      </c>
      <c r="D43" s="179" t="s">
        <v>262</v>
      </c>
      <c r="E43" s="180">
        <v>71500000</v>
      </c>
      <c r="F43" s="200">
        <f>(E43*1%)-233700</f>
        <v>481300</v>
      </c>
      <c r="G43" s="182">
        <v>45681</v>
      </c>
      <c r="H43" s="182">
        <v>45716</v>
      </c>
      <c r="I43" s="182">
        <v>45705</v>
      </c>
      <c r="J43" s="184">
        <f t="shared" si="8"/>
        <v>0</v>
      </c>
      <c r="K43" s="185"/>
      <c r="L43" s="182"/>
      <c r="M43" s="182"/>
      <c r="N43" s="182"/>
      <c r="O43" s="186">
        <f t="shared" si="9"/>
        <v>0</v>
      </c>
      <c r="P43" s="202">
        <f>표6[[#This Row],[금액]]</f>
        <v>481300</v>
      </c>
      <c r="Q43" s="186">
        <f t="shared" si="13"/>
        <v>0</v>
      </c>
      <c r="R43" s="543" t="s">
        <v>263</v>
      </c>
      <c r="S43" s="543"/>
      <c r="T43" s="543"/>
      <c r="U43" s="543"/>
      <c r="V43" s="543"/>
    </row>
    <row r="44" spans="1:22" s="176" customFormat="1" ht="24.75" hidden="1" customHeight="1">
      <c r="A44" s="177">
        <f t="shared" si="10"/>
        <v>19</v>
      </c>
      <c r="B44" s="358">
        <v>45692</v>
      </c>
      <c r="C44" s="179" t="s">
        <v>203</v>
      </c>
      <c r="D44" s="179" t="s">
        <v>264</v>
      </c>
      <c r="E44" s="180">
        <v>357900000</v>
      </c>
      <c r="F44" s="200"/>
      <c r="G44" s="182"/>
      <c r="H44" s="182"/>
      <c r="I44" s="182"/>
      <c r="J44" s="184">
        <f t="shared" si="8"/>
        <v>0</v>
      </c>
      <c r="K44" s="185">
        <f>E44*0.5%</f>
        <v>1789500</v>
      </c>
      <c r="L44" s="182">
        <v>45692</v>
      </c>
      <c r="M44" s="182">
        <v>45716</v>
      </c>
      <c r="N44" s="182">
        <v>45716</v>
      </c>
      <c r="O44" s="186">
        <f t="shared" si="9"/>
        <v>0</v>
      </c>
      <c r="P44" s="202">
        <f>표6[[#This Row],[금액2]]</f>
        <v>1789500</v>
      </c>
      <c r="Q44" s="186"/>
      <c r="R44" s="544"/>
      <c r="S44" s="544"/>
      <c r="T44" s="544"/>
      <c r="U44" s="544"/>
      <c r="V44" s="544"/>
    </row>
    <row r="45" spans="1:22" s="176" customFormat="1" ht="24.75" hidden="1" customHeight="1">
      <c r="A45" s="177">
        <f t="shared" si="10"/>
        <v>20</v>
      </c>
      <c r="B45" s="358">
        <v>45702</v>
      </c>
      <c r="C45" s="179" t="s">
        <v>265</v>
      </c>
      <c r="D45" s="179" t="s">
        <v>266</v>
      </c>
      <c r="E45" s="180">
        <v>366000000</v>
      </c>
      <c r="F45" s="200">
        <f>(E45*1%)-1234500</f>
        <v>2425500</v>
      </c>
      <c r="G45" s="182">
        <v>45702</v>
      </c>
      <c r="H45" s="182">
        <v>45716</v>
      </c>
      <c r="I45" s="182">
        <v>45716</v>
      </c>
      <c r="J45" s="184">
        <f t="shared" si="8"/>
        <v>0</v>
      </c>
      <c r="K45" s="185"/>
      <c r="L45" s="182"/>
      <c r="M45" s="182"/>
      <c r="N45" s="182"/>
      <c r="O45" s="186">
        <f t="shared" si="9"/>
        <v>0</v>
      </c>
      <c r="P45" s="202">
        <f>F45</f>
        <v>2425500</v>
      </c>
      <c r="Q45" s="186">
        <f>IF(COUNT(O45),0,L45)</f>
        <v>0</v>
      </c>
      <c r="R45" s="543" t="s">
        <v>267</v>
      </c>
      <c r="S45" s="543"/>
      <c r="T45" s="543"/>
      <c r="U45" s="543"/>
      <c r="V45" s="543"/>
    </row>
    <row r="46" spans="1:22" s="146" customFormat="1" ht="21" hidden="1" thickTop="1">
      <c r="A46" s="177">
        <f t="shared" si="10"/>
        <v>21</v>
      </c>
      <c r="B46" s="358">
        <v>45705</v>
      </c>
      <c r="C46" s="179" t="s">
        <v>205</v>
      </c>
      <c r="D46" s="179" t="s">
        <v>268</v>
      </c>
      <c r="E46" s="180">
        <v>635000000</v>
      </c>
      <c r="F46" s="200">
        <f>(E46*1%)-1320800</f>
        <v>5029200</v>
      </c>
      <c r="G46" s="182">
        <v>45705</v>
      </c>
      <c r="H46" s="182">
        <v>45705</v>
      </c>
      <c r="I46" s="182">
        <v>45705</v>
      </c>
      <c r="J46" s="184">
        <f t="shared" si="8"/>
        <v>0</v>
      </c>
      <c r="K46" s="185"/>
      <c r="L46" s="182"/>
      <c r="M46" s="182"/>
      <c r="N46" s="182"/>
      <c r="O46" s="186">
        <f t="shared" si="9"/>
        <v>0</v>
      </c>
      <c r="P46" s="202">
        <f>F46</f>
        <v>5029200</v>
      </c>
      <c r="Q46" s="186">
        <f>IF(COUNT(O46),0,L46)</f>
        <v>0</v>
      </c>
      <c r="R46" s="543" t="s">
        <v>269</v>
      </c>
      <c r="S46" s="543"/>
      <c r="T46" s="543"/>
      <c r="U46" s="543"/>
      <c r="V46" s="543"/>
    </row>
    <row r="47" spans="1:22" s="146" customFormat="1" ht="24.75" customHeight="1" thickTop="1">
      <c r="A47" s="177">
        <v>1</v>
      </c>
      <c r="B47" s="358">
        <v>45705</v>
      </c>
      <c r="C47" s="179" t="s">
        <v>270</v>
      </c>
      <c r="D47" s="179" t="s">
        <v>271</v>
      </c>
      <c r="E47" s="180">
        <v>398000000</v>
      </c>
      <c r="F47" s="200">
        <f>(E47*1%)-2348000</f>
        <v>1632000</v>
      </c>
      <c r="G47" s="182">
        <v>45705</v>
      </c>
      <c r="H47" s="187">
        <v>45823</v>
      </c>
      <c r="I47" s="182"/>
      <c r="J47" s="184">
        <f>IF(COUNT(I47),0,F47)</f>
        <v>1632000</v>
      </c>
      <c r="K47" s="185"/>
      <c r="L47" s="182"/>
      <c r="M47" s="182"/>
      <c r="N47" s="182"/>
      <c r="O47" s="186">
        <f t="shared" si="9"/>
        <v>0</v>
      </c>
      <c r="P47" s="202">
        <f>IF(COUNT(N47),0,K47)-O47</f>
        <v>0</v>
      </c>
      <c r="Q47" s="186">
        <f>J47-P47</f>
        <v>1632000</v>
      </c>
      <c r="R47" s="543" t="s">
        <v>272</v>
      </c>
      <c r="S47" s="543"/>
      <c r="T47" s="543"/>
      <c r="U47" s="543"/>
      <c r="V47" s="543"/>
    </row>
    <row r="48" spans="1:22" s="176" customFormat="1" ht="24.75" customHeight="1">
      <c r="A48" s="177">
        <v>2</v>
      </c>
      <c r="B48" s="356">
        <v>45840</v>
      </c>
      <c r="C48" s="167" t="s">
        <v>270</v>
      </c>
      <c r="D48" s="167" t="s">
        <v>273</v>
      </c>
      <c r="E48" s="168">
        <v>628000000</v>
      </c>
      <c r="F48" s="178">
        <f>(E48*1%)-900000</f>
        <v>5380000</v>
      </c>
      <c r="G48" s="169">
        <v>45840</v>
      </c>
      <c r="H48" s="175">
        <v>45853</v>
      </c>
      <c r="I48" s="169"/>
      <c r="J48" s="171">
        <f t="shared" si="8"/>
        <v>5380000</v>
      </c>
      <c r="K48" s="172"/>
      <c r="L48" s="169"/>
      <c r="M48" s="169"/>
      <c r="N48" s="169"/>
      <c r="O48" s="173">
        <f t="shared" si="9"/>
        <v>0</v>
      </c>
      <c r="P48" s="198">
        <f>IF(COUNT(N48),0,K48)-O48</f>
        <v>0</v>
      </c>
      <c r="Q48" s="173">
        <f>J48-P48</f>
        <v>5380000</v>
      </c>
      <c r="R48" s="543" t="s">
        <v>274</v>
      </c>
      <c r="S48" s="543"/>
      <c r="T48" s="543"/>
      <c r="U48" s="543"/>
      <c r="V48" s="543"/>
    </row>
    <row r="49" spans="1:22" s="176" customFormat="1" ht="24.75" customHeight="1">
      <c r="A49" s="177">
        <v>3</v>
      </c>
      <c r="B49" s="358">
        <v>45855</v>
      </c>
      <c r="C49" s="179" t="s">
        <v>270</v>
      </c>
      <c r="D49" s="179" t="s">
        <v>275</v>
      </c>
      <c r="E49" s="180">
        <v>78900000</v>
      </c>
      <c r="F49" s="200">
        <f>(E49*1%)-24000</f>
        <v>765000</v>
      </c>
      <c r="G49" s="182">
        <v>45840</v>
      </c>
      <c r="H49" s="187">
        <v>45853</v>
      </c>
      <c r="I49" s="182"/>
      <c r="J49" s="184">
        <f t="shared" si="8"/>
        <v>765000</v>
      </c>
      <c r="K49" s="185"/>
      <c r="L49" s="182"/>
      <c r="M49" s="182"/>
      <c r="N49" s="182"/>
      <c r="O49" s="186">
        <f t="shared" si="9"/>
        <v>0</v>
      </c>
      <c r="P49" s="202">
        <f>IF(COUNT(N49),0,K49)-O49</f>
        <v>0</v>
      </c>
      <c r="Q49" s="186">
        <f>J49-P49</f>
        <v>765000</v>
      </c>
      <c r="R49" s="543" t="s">
        <v>276</v>
      </c>
      <c r="S49" s="543"/>
      <c r="T49" s="543"/>
      <c r="U49" s="543"/>
      <c r="V49" s="543"/>
    </row>
    <row r="50" spans="1:22" s="146" customFormat="1" ht="24.75" customHeight="1">
      <c r="A50" s="177">
        <v>4</v>
      </c>
      <c r="B50" s="356">
        <v>45868</v>
      </c>
      <c r="C50" s="167" t="s">
        <v>270</v>
      </c>
      <c r="D50" s="167" t="s">
        <v>277</v>
      </c>
      <c r="E50" s="168">
        <v>378000000</v>
      </c>
      <c r="F50" s="200">
        <f>(E50*1%)-1041100</f>
        <v>2738900</v>
      </c>
      <c r="G50" s="169">
        <v>45889</v>
      </c>
      <c r="H50" s="187">
        <v>45898</v>
      </c>
      <c r="I50" s="169"/>
      <c r="J50" s="171">
        <f t="shared" si="8"/>
        <v>2738900</v>
      </c>
      <c r="K50" s="172"/>
      <c r="L50" s="169"/>
      <c r="M50" s="169"/>
      <c r="N50" s="169"/>
      <c r="O50" s="173">
        <f t="shared" si="9"/>
        <v>0</v>
      </c>
      <c r="P50" s="198">
        <f>IF(COUNT(N50),0,K50)-O50</f>
        <v>0</v>
      </c>
      <c r="Q50" s="173">
        <f>J50-P50</f>
        <v>2738900</v>
      </c>
      <c r="R50" s="543" t="s">
        <v>278</v>
      </c>
      <c r="S50" s="543"/>
      <c r="T50" s="543"/>
      <c r="U50" s="543"/>
      <c r="V50" s="543"/>
    </row>
    <row r="51" spans="1:22" s="146" customFormat="1" ht="24.75" hidden="1" customHeight="1">
      <c r="A51" s="177">
        <v>5</v>
      </c>
      <c r="B51" s="356">
        <v>45916</v>
      </c>
      <c r="C51" s="167" t="s">
        <v>245</v>
      </c>
      <c r="D51" s="286" t="s">
        <v>493</v>
      </c>
      <c r="E51" s="168">
        <v>290340000</v>
      </c>
      <c r="F51" s="200">
        <f>((E51*2%)-2760000)/2</f>
        <v>1523400</v>
      </c>
      <c r="G51" s="182">
        <v>45930</v>
      </c>
      <c r="H51" s="183">
        <v>46021</v>
      </c>
      <c r="I51" s="182"/>
      <c r="J51" s="184"/>
      <c r="K51" s="172">
        <v>-883400</v>
      </c>
      <c r="L51" s="182">
        <v>46049</v>
      </c>
      <c r="M51" s="187">
        <v>46052</v>
      </c>
      <c r="N51" s="182">
        <v>46052</v>
      </c>
      <c r="O51" s="186"/>
      <c r="P51" s="202">
        <v>640000</v>
      </c>
      <c r="Q51" s="186">
        <f>표6[[#This Row],[미수금액6]]</f>
        <v>0</v>
      </c>
      <c r="R51" s="543" t="s">
        <v>464</v>
      </c>
      <c r="S51" s="543"/>
      <c r="T51" s="543"/>
      <c r="U51" s="543"/>
      <c r="V51" s="543"/>
    </row>
    <row r="52" spans="1:22" s="146" customFormat="1" ht="24.75" hidden="1" customHeight="1">
      <c r="A52" s="177">
        <v>6</v>
      </c>
      <c r="B52" s="356">
        <v>45964</v>
      </c>
      <c r="C52" s="167" t="s">
        <v>259</v>
      </c>
      <c r="D52" s="167" t="s">
        <v>279</v>
      </c>
      <c r="E52" s="168">
        <v>177000000</v>
      </c>
      <c r="F52" s="200">
        <f>((E52*2%)-243000)/2</f>
        <v>1648500</v>
      </c>
      <c r="G52" s="169">
        <v>46006</v>
      </c>
      <c r="H52" s="175">
        <v>46076</v>
      </c>
      <c r="I52" s="169">
        <v>46066</v>
      </c>
      <c r="J52" s="171">
        <f t="shared" si="8"/>
        <v>0</v>
      </c>
      <c r="K52" s="172"/>
      <c r="L52" s="169"/>
      <c r="M52" s="169"/>
      <c r="N52" s="169"/>
      <c r="O52" s="173">
        <f t="shared" si="9"/>
        <v>0</v>
      </c>
      <c r="P52" s="198">
        <f t="shared" ref="P52:P56" si="14">IF(COUNT(N52),0,K52)-O52</f>
        <v>0</v>
      </c>
      <c r="Q52" s="173">
        <f t="shared" ref="Q52:Q56" si="15">J52-P52</f>
        <v>0</v>
      </c>
      <c r="R52" s="543" t="s">
        <v>280</v>
      </c>
      <c r="S52" s="543"/>
      <c r="T52" s="543"/>
      <c r="U52" s="543"/>
      <c r="V52" s="543"/>
    </row>
    <row r="53" spans="1:22" s="146" customFormat="1" ht="24.75" hidden="1" customHeight="1">
      <c r="A53" s="177">
        <v>7</v>
      </c>
      <c r="B53" s="356">
        <v>45999</v>
      </c>
      <c r="C53" s="167" t="s">
        <v>259</v>
      </c>
      <c r="D53" s="167" t="s">
        <v>281</v>
      </c>
      <c r="E53" s="168">
        <v>262500000</v>
      </c>
      <c r="F53" s="200">
        <f>E53*1%</f>
        <v>2625000</v>
      </c>
      <c r="G53" s="169">
        <v>46006</v>
      </c>
      <c r="H53" s="175">
        <v>46076</v>
      </c>
      <c r="I53" s="169">
        <v>46066</v>
      </c>
      <c r="J53" s="171">
        <f t="shared" si="8"/>
        <v>0</v>
      </c>
      <c r="K53" s="172"/>
      <c r="L53" s="169"/>
      <c r="M53" s="169"/>
      <c r="N53" s="169"/>
      <c r="O53" s="173">
        <f t="shared" si="9"/>
        <v>0</v>
      </c>
      <c r="P53" s="198">
        <f t="shared" si="14"/>
        <v>0</v>
      </c>
      <c r="Q53" s="173">
        <f t="shared" si="15"/>
        <v>0</v>
      </c>
      <c r="R53" s="544"/>
      <c r="S53" s="544"/>
      <c r="T53" s="544"/>
      <c r="U53" s="544"/>
      <c r="V53" s="544"/>
    </row>
    <row r="54" spans="1:22" s="146" customFormat="1" ht="24.75" hidden="1" customHeight="1">
      <c r="A54" s="177">
        <v>8</v>
      </c>
      <c r="B54" s="358">
        <v>45999</v>
      </c>
      <c r="C54" s="179" t="s">
        <v>282</v>
      </c>
      <c r="D54" s="285" t="s">
        <v>469</v>
      </c>
      <c r="E54" s="180">
        <v>12500000</v>
      </c>
      <c r="F54" s="200">
        <f>E54*1%</f>
        <v>125000</v>
      </c>
      <c r="G54" s="169">
        <v>46006</v>
      </c>
      <c r="H54" s="170">
        <v>46022</v>
      </c>
      <c r="I54" s="182">
        <v>46050</v>
      </c>
      <c r="J54" s="184">
        <f t="shared" si="8"/>
        <v>0</v>
      </c>
      <c r="K54" s="185"/>
      <c r="L54" s="182"/>
      <c r="M54" s="182"/>
      <c r="N54" s="182"/>
      <c r="O54" s="186">
        <f t="shared" si="9"/>
        <v>0</v>
      </c>
      <c r="P54" s="202">
        <f>표6[[#This Row],[금액]]</f>
        <v>125000</v>
      </c>
      <c r="Q54" s="186">
        <f>IF(COUNT(O54),0,L54)</f>
        <v>0</v>
      </c>
      <c r="R54" s="544"/>
      <c r="S54" s="544"/>
      <c r="T54" s="544"/>
      <c r="U54" s="544"/>
      <c r="V54" s="544"/>
    </row>
    <row r="55" spans="1:22" s="146" customFormat="1" ht="24.75" hidden="1" customHeight="1">
      <c r="A55" s="177">
        <v>9</v>
      </c>
      <c r="B55" s="356">
        <v>45999</v>
      </c>
      <c r="C55" s="167" t="s">
        <v>283</v>
      </c>
      <c r="D55" s="167" t="s">
        <v>284</v>
      </c>
      <c r="E55" s="168">
        <v>49500000</v>
      </c>
      <c r="F55" s="178">
        <f>E55*1%</f>
        <v>495000</v>
      </c>
      <c r="G55" s="169">
        <v>46006</v>
      </c>
      <c r="H55" s="175">
        <v>46087</v>
      </c>
      <c r="I55" s="169">
        <v>46085</v>
      </c>
      <c r="J55" s="171">
        <f t="shared" si="8"/>
        <v>0</v>
      </c>
      <c r="K55" s="172"/>
      <c r="L55" s="169"/>
      <c r="M55" s="169"/>
      <c r="N55" s="169"/>
      <c r="O55" s="173">
        <f t="shared" si="9"/>
        <v>0</v>
      </c>
      <c r="P55" s="198">
        <f t="shared" si="14"/>
        <v>0</v>
      </c>
      <c r="Q55" s="173">
        <f t="shared" si="15"/>
        <v>0</v>
      </c>
      <c r="R55" s="544"/>
      <c r="S55" s="544"/>
      <c r="T55" s="544"/>
      <c r="U55" s="544"/>
      <c r="V55" s="544"/>
    </row>
    <row r="56" spans="1:22" s="146" customFormat="1" ht="24.75" hidden="1" customHeight="1">
      <c r="A56" s="177">
        <v>10</v>
      </c>
      <c r="B56" s="356">
        <v>45974</v>
      </c>
      <c r="C56" s="167" t="s">
        <v>283</v>
      </c>
      <c r="D56" s="167" t="s">
        <v>285</v>
      </c>
      <c r="E56" s="168">
        <v>160000000</v>
      </c>
      <c r="F56" s="200">
        <f>((E56*2%)-2230000)/2</f>
        <v>485000</v>
      </c>
      <c r="G56" s="169">
        <v>46006</v>
      </c>
      <c r="H56" s="175">
        <v>46087</v>
      </c>
      <c r="I56" s="169">
        <v>46085</v>
      </c>
      <c r="J56" s="171">
        <f t="shared" si="8"/>
        <v>0</v>
      </c>
      <c r="K56" s="172"/>
      <c r="L56" s="169"/>
      <c r="M56" s="169"/>
      <c r="N56" s="169"/>
      <c r="O56" s="173">
        <f t="shared" si="9"/>
        <v>0</v>
      </c>
      <c r="P56" s="198">
        <f t="shared" si="14"/>
        <v>0</v>
      </c>
      <c r="Q56" s="173">
        <f t="shared" si="15"/>
        <v>0</v>
      </c>
      <c r="R56" s="543" t="s">
        <v>286</v>
      </c>
      <c r="S56" s="543"/>
      <c r="T56" s="543"/>
      <c r="U56" s="543"/>
      <c r="V56" s="543"/>
    </row>
    <row r="57" spans="1:22" s="146" customFormat="1" ht="24.75" hidden="1" customHeight="1">
      <c r="A57" s="177">
        <v>11</v>
      </c>
      <c r="B57" s="356">
        <v>46007</v>
      </c>
      <c r="C57" s="167" t="s">
        <v>287</v>
      </c>
      <c r="D57" s="167" t="s">
        <v>288</v>
      </c>
      <c r="E57" s="168">
        <v>163600000</v>
      </c>
      <c r="F57" s="200">
        <f>((E57*2%)-1947000)/2</f>
        <v>662500</v>
      </c>
      <c r="G57" s="169">
        <v>46009</v>
      </c>
      <c r="H57" s="175">
        <v>46052</v>
      </c>
      <c r="I57" s="169">
        <v>46064</v>
      </c>
      <c r="J57" s="171">
        <f>IF(COUNT(I57),0,F57)</f>
        <v>0</v>
      </c>
      <c r="K57" s="172"/>
      <c r="L57" s="169"/>
      <c r="M57" s="169"/>
      <c r="N57" s="169"/>
      <c r="O57" s="173">
        <f t="shared" si="9"/>
        <v>0</v>
      </c>
      <c r="P57" s="202">
        <f>표6[[#This Row],[금액]]</f>
        <v>662500</v>
      </c>
      <c r="Q57" s="186">
        <f t="shared" ref="Q57:Q58" si="16">IF(COUNT(O57),0,L57)</f>
        <v>0</v>
      </c>
      <c r="R57" s="543" t="s">
        <v>289</v>
      </c>
      <c r="S57" s="543"/>
      <c r="T57" s="543"/>
      <c r="U57" s="543"/>
      <c r="V57" s="543"/>
    </row>
    <row r="58" spans="1:22" s="146" customFormat="1" ht="24.75" hidden="1" customHeight="1">
      <c r="A58" s="177">
        <v>12</v>
      </c>
      <c r="B58" s="356">
        <v>45999</v>
      </c>
      <c r="C58" s="167" t="s">
        <v>290</v>
      </c>
      <c r="D58" s="269" t="s">
        <v>418</v>
      </c>
      <c r="E58" s="168">
        <f>20740000+30700000</f>
        <v>51440000</v>
      </c>
      <c r="F58" s="200">
        <f>((E58*2%)-944100)/2</f>
        <v>42350</v>
      </c>
      <c r="G58" s="169">
        <v>46009</v>
      </c>
      <c r="H58" s="170">
        <v>46052</v>
      </c>
      <c r="I58" s="169">
        <v>46037</v>
      </c>
      <c r="J58" s="171">
        <f t="shared" si="8"/>
        <v>0</v>
      </c>
      <c r="K58" s="172"/>
      <c r="L58" s="169"/>
      <c r="M58" s="169"/>
      <c r="N58" s="169"/>
      <c r="O58" s="173">
        <f t="shared" si="9"/>
        <v>0</v>
      </c>
      <c r="P58" s="198">
        <f>표6[[#This Row],[금액]]</f>
        <v>42350</v>
      </c>
      <c r="Q58" s="186">
        <f t="shared" si="16"/>
        <v>0</v>
      </c>
      <c r="R58" s="543" t="s">
        <v>291</v>
      </c>
      <c r="S58" s="543"/>
      <c r="T58" s="543"/>
      <c r="U58" s="543"/>
      <c r="V58" s="543"/>
    </row>
    <row r="59" spans="1:22" s="146" customFormat="1" ht="24.75" hidden="1" customHeight="1">
      <c r="A59" s="397">
        <v>13</v>
      </c>
      <c r="B59" s="398">
        <v>45945</v>
      </c>
      <c r="C59" s="399" t="s">
        <v>292</v>
      </c>
      <c r="D59" s="399" t="s">
        <v>293</v>
      </c>
      <c r="E59" s="400">
        <v>705000000</v>
      </c>
      <c r="F59" s="401">
        <f>((E59*2%)-7024600)/2</f>
        <v>3537700</v>
      </c>
      <c r="G59" s="402">
        <v>46009</v>
      </c>
      <c r="H59" s="403">
        <v>46068</v>
      </c>
      <c r="I59" s="402">
        <v>46118</v>
      </c>
      <c r="J59" s="171">
        <f t="shared" si="8"/>
        <v>0</v>
      </c>
      <c r="K59" s="172"/>
      <c r="L59" s="169"/>
      <c r="M59" s="169"/>
      <c r="N59" s="169"/>
      <c r="O59" s="173">
        <f t="shared" si="9"/>
        <v>0</v>
      </c>
      <c r="P59" s="198">
        <f>표6[[#This Row],[금액]]*1.1</f>
        <v>3891470.0000000005</v>
      </c>
      <c r="Q59" s="173">
        <f>IF(COUNT(O63),0,L63)</f>
        <v>0</v>
      </c>
      <c r="R59" s="543" t="s">
        <v>294</v>
      </c>
      <c r="S59" s="543"/>
      <c r="T59" s="543"/>
      <c r="U59" s="543"/>
      <c r="V59" s="543"/>
    </row>
    <row r="60" spans="1:22" s="146" customFormat="1" ht="24.75" hidden="1" customHeight="1">
      <c r="A60" s="177">
        <v>14</v>
      </c>
      <c r="B60" s="358">
        <v>45916</v>
      </c>
      <c r="C60" s="179" t="s">
        <v>235</v>
      </c>
      <c r="D60" s="203" t="s">
        <v>498</v>
      </c>
      <c r="E60" s="180">
        <v>418000000</v>
      </c>
      <c r="F60" s="200">
        <f>((E60*2%)-3960000)/2</f>
        <v>2200000</v>
      </c>
      <c r="G60" s="182">
        <v>46009</v>
      </c>
      <c r="H60" s="170">
        <v>46052</v>
      </c>
      <c r="I60" s="182">
        <v>46052</v>
      </c>
      <c r="J60" s="184">
        <f t="shared" si="8"/>
        <v>0</v>
      </c>
      <c r="K60" s="185"/>
      <c r="L60" s="182"/>
      <c r="M60" s="182"/>
      <c r="N60" s="182"/>
      <c r="O60" s="186">
        <f t="shared" si="9"/>
        <v>0</v>
      </c>
      <c r="P60" s="202">
        <f>표6[[#This Row],[금액]]</f>
        <v>2200000</v>
      </c>
      <c r="Q60" s="186">
        <f t="shared" ref="Q60:Q61" si="17">IF(COUNT(O60),0,L60)</f>
        <v>0</v>
      </c>
      <c r="R60" s="543" t="s">
        <v>295</v>
      </c>
      <c r="S60" s="543"/>
      <c r="T60" s="543"/>
      <c r="U60" s="543"/>
      <c r="V60" s="543"/>
    </row>
    <row r="61" spans="1:22" s="146" customFormat="1" ht="24.75" hidden="1" customHeight="1">
      <c r="A61" s="177">
        <v>15</v>
      </c>
      <c r="B61" s="356">
        <v>46010</v>
      </c>
      <c r="C61" s="167" t="s">
        <v>233</v>
      </c>
      <c r="D61" s="269" t="s">
        <v>499</v>
      </c>
      <c r="E61" s="168">
        <v>128000000</v>
      </c>
      <c r="F61" s="178">
        <f>((E61*2%)-1350000)/2</f>
        <v>605000</v>
      </c>
      <c r="G61" s="169">
        <v>46015</v>
      </c>
      <c r="H61" s="170">
        <v>46052</v>
      </c>
      <c r="I61" s="169">
        <v>46052</v>
      </c>
      <c r="J61" s="171">
        <f t="shared" si="8"/>
        <v>0</v>
      </c>
      <c r="K61" s="172"/>
      <c r="L61" s="169"/>
      <c r="M61" s="169"/>
      <c r="N61" s="169"/>
      <c r="O61" s="173">
        <f t="shared" si="9"/>
        <v>0</v>
      </c>
      <c r="P61" s="202">
        <f>표6[[#This Row],[금액]]</f>
        <v>605000</v>
      </c>
      <c r="Q61" s="186">
        <f t="shared" si="17"/>
        <v>0</v>
      </c>
      <c r="R61" s="543" t="s">
        <v>296</v>
      </c>
      <c r="S61" s="543"/>
      <c r="T61" s="543"/>
      <c r="U61" s="543"/>
      <c r="V61" s="543"/>
    </row>
    <row r="62" spans="1:22" s="146" customFormat="1" ht="24.75" hidden="1" customHeight="1">
      <c r="A62" s="177">
        <v>16</v>
      </c>
      <c r="B62" s="358">
        <v>46020</v>
      </c>
      <c r="C62" s="179" t="s">
        <v>249</v>
      </c>
      <c r="D62" s="203" t="s">
        <v>402</v>
      </c>
      <c r="E62" s="180">
        <v>1079500000</v>
      </c>
      <c r="F62" s="200">
        <f>((E62*2%)-7024600)/2</f>
        <v>7282700</v>
      </c>
      <c r="G62" s="182"/>
      <c r="H62" s="182"/>
      <c r="I62" s="182"/>
      <c r="J62" s="184">
        <f t="shared" si="8"/>
        <v>7282700</v>
      </c>
      <c r="K62" s="185">
        <f>E62*0.5%</f>
        <v>5397500</v>
      </c>
      <c r="L62" s="182">
        <v>46015</v>
      </c>
      <c r="M62" s="170">
        <v>46052</v>
      </c>
      <c r="N62" s="182">
        <v>46034</v>
      </c>
      <c r="O62" s="186">
        <f t="shared" si="9"/>
        <v>0</v>
      </c>
      <c r="P62" s="202">
        <f>표6[[#This Row],[금액]]</f>
        <v>7282700</v>
      </c>
      <c r="Q62" s="186"/>
      <c r="R62" s="544"/>
      <c r="S62" s="544"/>
      <c r="T62" s="544"/>
      <c r="U62" s="544"/>
      <c r="V62" s="544"/>
    </row>
    <row r="63" spans="1:22" s="146" customFormat="1" ht="24.75" customHeight="1" thickBot="1">
      <c r="A63" s="204">
        <f>A62+1</f>
        <v>17</v>
      </c>
      <c r="B63" s="359">
        <v>46020</v>
      </c>
      <c r="C63" s="205" t="s">
        <v>297</v>
      </c>
      <c r="D63" s="205" t="s">
        <v>298</v>
      </c>
      <c r="E63" s="206">
        <v>63000000</v>
      </c>
      <c r="F63" s="188">
        <f>E63*1%</f>
        <v>630000</v>
      </c>
      <c r="G63" s="207">
        <v>46021</v>
      </c>
      <c r="H63" s="207">
        <v>46021</v>
      </c>
      <c r="I63" s="207">
        <v>46024</v>
      </c>
      <c r="J63" s="208">
        <f t="shared" si="8"/>
        <v>0</v>
      </c>
      <c r="K63" s="209"/>
      <c r="L63" s="207"/>
      <c r="M63" s="207"/>
      <c r="N63" s="207"/>
      <c r="O63" s="210">
        <f t="shared" si="9"/>
        <v>0</v>
      </c>
      <c r="P63" s="211">
        <f>F63*1.1</f>
        <v>693000</v>
      </c>
      <c r="Q63" s="210">
        <f>IF(COUNT(O63),0,L63)</f>
        <v>0</v>
      </c>
      <c r="R63" s="545"/>
      <c r="S63" s="545"/>
      <c r="T63" s="545"/>
      <c r="U63" s="545"/>
      <c r="V63" s="545"/>
    </row>
    <row r="64" spans="1:22" s="147" customFormat="1" ht="24.75" customHeight="1"/>
    <row r="65" spans="1:31" s="147" customFormat="1" ht="24.75" customHeight="1" thickBot="1"/>
    <row r="66" spans="1:31" s="146" customFormat="1" ht="24.75" customHeight="1" thickBot="1">
      <c r="A66" s="546" t="s">
        <v>299</v>
      </c>
      <c r="B66" s="546"/>
      <c r="C66" s="546"/>
      <c r="D66" s="546"/>
      <c r="E66" s="546"/>
      <c r="F66" s="546"/>
      <c r="G66" s="547" t="s">
        <v>300</v>
      </c>
      <c r="H66" s="547"/>
      <c r="I66" s="547"/>
      <c r="J66" s="547"/>
      <c r="K66" s="547"/>
      <c r="L66" s="548" t="s">
        <v>301</v>
      </c>
      <c r="M66" s="548"/>
      <c r="N66" s="548"/>
      <c r="O66" s="548"/>
      <c r="P66" s="548"/>
      <c r="Q66" s="548"/>
      <c r="R66" s="548"/>
      <c r="S66" s="548"/>
      <c r="T66" s="548"/>
      <c r="U66" s="548"/>
      <c r="V66" s="548"/>
      <c r="W66" s="539" t="s">
        <v>302</v>
      </c>
      <c r="X66" s="539"/>
      <c r="Y66" s="539"/>
      <c r="Z66" s="539"/>
      <c r="AA66" s="539"/>
      <c r="AB66" s="539"/>
      <c r="AC66" s="212"/>
      <c r="AD66" s="212"/>
      <c r="AE66" s="212"/>
    </row>
    <row r="67" spans="1:31" s="146" customFormat="1" ht="24.75" customHeight="1" thickBot="1">
      <c r="A67" s="190" t="s">
        <v>613</v>
      </c>
      <c r="B67" s="149" t="s">
        <v>38</v>
      </c>
      <c r="C67" s="150" t="s">
        <v>39</v>
      </c>
      <c r="D67" s="150" t="s">
        <v>303</v>
      </c>
      <c r="E67" s="149" t="s">
        <v>227</v>
      </c>
      <c r="F67" s="151" t="s">
        <v>304</v>
      </c>
      <c r="G67" s="540" t="s">
        <v>305</v>
      </c>
      <c r="H67" s="540"/>
      <c r="I67" s="541" t="s">
        <v>306</v>
      </c>
      <c r="J67" s="541"/>
      <c r="K67" s="149" t="s">
        <v>307</v>
      </c>
      <c r="L67" s="542" t="s">
        <v>308</v>
      </c>
      <c r="M67" s="542"/>
      <c r="N67" s="542" t="s">
        <v>309</v>
      </c>
      <c r="O67" s="542"/>
      <c r="P67" s="149" t="s">
        <v>310</v>
      </c>
      <c r="Q67" s="149" t="s">
        <v>311</v>
      </c>
      <c r="R67" s="214" t="s">
        <v>58</v>
      </c>
      <c r="S67" s="214" t="s">
        <v>59</v>
      </c>
      <c r="T67" s="214" t="s">
        <v>60</v>
      </c>
      <c r="U67" s="149" t="s">
        <v>61</v>
      </c>
      <c r="V67" s="149" t="s">
        <v>312</v>
      </c>
      <c r="W67" s="150" t="s">
        <v>313</v>
      </c>
      <c r="X67" s="213" t="s">
        <v>314</v>
      </c>
      <c r="Y67" s="214" t="s">
        <v>162</v>
      </c>
      <c r="Z67" s="214" t="s">
        <v>163</v>
      </c>
      <c r="AA67" s="213" t="s">
        <v>164</v>
      </c>
      <c r="AB67" s="189" t="s">
        <v>315</v>
      </c>
      <c r="AC67" s="215" t="s">
        <v>316</v>
      </c>
      <c r="AD67" s="216" t="s">
        <v>187</v>
      </c>
      <c r="AE67" s="255"/>
    </row>
    <row r="68" spans="1:31" s="176" customFormat="1" ht="24.75" customHeight="1" thickTop="1" thickBot="1">
      <c r="A68" s="534">
        <v>1</v>
      </c>
      <c r="B68" s="535" t="s">
        <v>317</v>
      </c>
      <c r="C68" s="536" t="s">
        <v>2675</v>
      </c>
      <c r="D68" s="537" t="s">
        <v>318</v>
      </c>
      <c r="E68" s="538">
        <f>SUM(F68:F69)</f>
        <v>179900000</v>
      </c>
      <c r="F68" s="217">
        <v>108900000</v>
      </c>
      <c r="G68" s="530">
        <v>0.12</v>
      </c>
      <c r="H68" s="530"/>
      <c r="I68" s="531">
        <f>F68*G68</f>
        <v>13068000</v>
      </c>
      <c r="J68" s="531"/>
      <c r="K68" s="532">
        <f>SUM(I68:J70)</f>
        <v>20168000</v>
      </c>
      <c r="L68" s="533">
        <v>107480000</v>
      </c>
      <c r="M68" s="533"/>
      <c r="N68" s="524">
        <v>10000000</v>
      </c>
      <c r="O68" s="524"/>
      <c r="P68" s="524">
        <v>94680</v>
      </c>
      <c r="Q68" s="524">
        <v>0</v>
      </c>
      <c r="R68" s="524">
        <v>0</v>
      </c>
      <c r="S68" s="524">
        <v>0</v>
      </c>
      <c r="T68" s="524">
        <v>200000</v>
      </c>
      <c r="U68" s="524">
        <v>0</v>
      </c>
      <c r="V68" s="525">
        <f>SUM(L68:U69)</f>
        <v>117774680</v>
      </c>
      <c r="W68" s="526">
        <f>E68-K68-V68</f>
        <v>41957320</v>
      </c>
      <c r="X68" s="218">
        <f>W68*70%</f>
        <v>29370124</v>
      </c>
      <c r="Y68" s="219">
        <v>45649</v>
      </c>
      <c r="Z68" s="219"/>
      <c r="AA68" s="219">
        <v>45667</v>
      </c>
      <c r="AB68" s="218">
        <f>IF(COUNT(AA68),0,X68)</f>
        <v>0</v>
      </c>
      <c r="AC68" s="218"/>
      <c r="AD68" s="220">
        <f>SUM(IF(COUNTBLANK(X68),V68,0))</f>
        <v>0</v>
      </c>
      <c r="AE68" s="226"/>
    </row>
    <row r="69" spans="1:31" s="176" customFormat="1" ht="24.75" customHeight="1" thickTop="1" thickBot="1">
      <c r="A69" s="534"/>
      <c r="B69" s="535"/>
      <c r="C69" s="535"/>
      <c r="D69" s="537"/>
      <c r="E69" s="538"/>
      <c r="F69" s="527">
        <v>71000000</v>
      </c>
      <c r="G69" s="528">
        <v>0.1</v>
      </c>
      <c r="H69" s="528"/>
      <c r="I69" s="529">
        <f>F69*G69</f>
        <v>7100000</v>
      </c>
      <c r="J69" s="529"/>
      <c r="K69" s="532"/>
      <c r="L69" s="533"/>
      <c r="M69" s="533"/>
      <c r="N69" s="524"/>
      <c r="O69" s="524"/>
      <c r="P69" s="524"/>
      <c r="Q69" s="524"/>
      <c r="R69" s="524"/>
      <c r="S69" s="524"/>
      <c r="T69" s="524"/>
      <c r="U69" s="524"/>
      <c r="V69" s="525"/>
      <c r="W69" s="526"/>
      <c r="X69" s="174">
        <f>(W68-X68)-X70</f>
        <v>7587196</v>
      </c>
      <c r="Y69" s="523">
        <v>45657</v>
      </c>
      <c r="Z69" s="169"/>
      <c r="AA69" s="169">
        <v>45667</v>
      </c>
      <c r="AB69" s="174">
        <f>IF(COUNT(AA69),0,X69)</f>
        <v>0</v>
      </c>
      <c r="AC69" s="174"/>
      <c r="AD69" s="222">
        <f>SUM(IF(COUNTBLANK(X69),V68,0))</f>
        <v>0</v>
      </c>
      <c r="AE69" s="226"/>
    </row>
    <row r="70" spans="1:31" s="176" customFormat="1" ht="24.75" customHeight="1" thickTop="1" thickBot="1">
      <c r="A70" s="534"/>
      <c r="B70" s="535"/>
      <c r="C70" s="535"/>
      <c r="D70" s="537"/>
      <c r="E70" s="538"/>
      <c r="F70" s="527"/>
      <c r="G70" s="528"/>
      <c r="H70" s="528"/>
      <c r="I70" s="529"/>
      <c r="J70" s="529"/>
      <c r="K70" s="532"/>
      <c r="L70" s="533"/>
      <c r="M70" s="533"/>
      <c r="N70" s="524"/>
      <c r="O70" s="524"/>
      <c r="P70" s="524"/>
      <c r="Q70" s="524"/>
      <c r="R70" s="524"/>
      <c r="S70" s="524"/>
      <c r="T70" s="524"/>
      <c r="U70" s="524"/>
      <c r="V70" s="525"/>
      <c r="W70" s="526"/>
      <c r="X70" s="221">
        <v>5000000</v>
      </c>
      <c r="Y70" s="523"/>
      <c r="Z70" s="207"/>
      <c r="AA70" s="207">
        <v>46157</v>
      </c>
      <c r="AB70" s="221">
        <f>IF(COUNT(AA70),0,X70)</f>
        <v>0</v>
      </c>
      <c r="AC70" s="221"/>
      <c r="AD70" s="223">
        <f>SUM(IF(COUNTBLANK(X70),V70,0))</f>
        <v>0</v>
      </c>
      <c r="AE70" s="226"/>
    </row>
    <row r="71" spans="1:31" s="176" customFormat="1" ht="24.75" customHeight="1">
      <c r="B71" s="224"/>
      <c r="G71" s="225"/>
      <c r="H71" s="225"/>
      <c r="I71" s="226"/>
      <c r="J71" s="226"/>
      <c r="L71" s="226"/>
      <c r="M71" s="226"/>
      <c r="N71" s="226"/>
      <c r="O71" s="226"/>
      <c r="P71" s="226"/>
      <c r="Q71" s="226"/>
      <c r="R71" s="226"/>
      <c r="S71" s="226"/>
      <c r="T71" s="226"/>
      <c r="U71" s="226"/>
      <c r="V71" s="226"/>
      <c r="X71" s="226"/>
      <c r="Y71" s="227"/>
      <c r="Z71" s="227"/>
      <c r="AA71" s="227"/>
      <c r="AB71" s="226"/>
      <c r="AC71" s="226"/>
      <c r="AD71" s="226"/>
      <c r="AE71" s="226"/>
    </row>
    <row r="72" spans="1:31">
      <c r="H72" s="473"/>
    </row>
    <row r="73" spans="1:31" ht="24.75" customHeight="1">
      <c r="A73" s="228" t="s">
        <v>319</v>
      </c>
      <c r="I73" s="473"/>
      <c r="J73" s="132"/>
      <c r="K73" s="132"/>
    </row>
    <row r="74" spans="1:31" ht="34.5" customHeight="1">
      <c r="A74" s="229" t="s">
        <v>320</v>
      </c>
      <c r="B74" s="230" t="s">
        <v>38</v>
      </c>
      <c r="C74" s="230" t="s">
        <v>39</v>
      </c>
      <c r="D74" s="230" t="s">
        <v>321</v>
      </c>
      <c r="E74" s="230" t="s">
        <v>99</v>
      </c>
      <c r="F74" s="230" t="s">
        <v>322</v>
      </c>
      <c r="G74" s="231" t="s">
        <v>48</v>
      </c>
      <c r="H74" s="230" t="s">
        <v>228</v>
      </c>
      <c r="I74" s="232" t="s">
        <v>165</v>
      </c>
      <c r="J74" s="233" t="s">
        <v>47</v>
      </c>
      <c r="K74" s="234" t="s">
        <v>323</v>
      </c>
    </row>
    <row r="75" spans="1:31" ht="24.75" hidden="1" customHeight="1">
      <c r="A75" s="361">
        <v>45237</v>
      </c>
      <c r="B75" s="235" t="s">
        <v>270</v>
      </c>
      <c r="C75" s="236" t="s">
        <v>324</v>
      </c>
      <c r="D75" s="237">
        <v>1265000</v>
      </c>
      <c r="E75" s="237">
        <f t="shared" ref="E75:E108" si="18">D75*10%</f>
        <v>126500</v>
      </c>
      <c r="F75" s="237">
        <f t="shared" ref="F75:F108" si="19">SUM(D75:E75)</f>
        <v>1391500</v>
      </c>
      <c r="G75" s="238"/>
      <c r="H75" s="237">
        <v>1391500</v>
      </c>
      <c r="I75" s="239">
        <f>F75-H75</f>
        <v>0</v>
      </c>
      <c r="J75" s="363"/>
      <c r="K75" s="240" t="s">
        <v>325</v>
      </c>
    </row>
    <row r="76" spans="1:31" ht="24.75" customHeight="1">
      <c r="A76" s="361">
        <v>45433</v>
      </c>
      <c r="B76" s="235" t="s">
        <v>270</v>
      </c>
      <c r="C76" s="236" t="s">
        <v>326</v>
      </c>
      <c r="D76" s="237">
        <v>48041200</v>
      </c>
      <c r="E76" s="237">
        <f t="shared" si="18"/>
        <v>4804120</v>
      </c>
      <c r="F76" s="237">
        <f t="shared" si="19"/>
        <v>52845320</v>
      </c>
      <c r="G76" s="238"/>
      <c r="H76" s="237"/>
      <c r="I76" s="239">
        <v>5967278</v>
      </c>
      <c r="J76" s="363"/>
      <c r="K76" s="240" t="s">
        <v>325</v>
      </c>
    </row>
    <row r="77" spans="1:31" ht="24.75" customHeight="1">
      <c r="A77" s="361">
        <v>45593</v>
      </c>
      <c r="B77" s="235" t="s">
        <v>270</v>
      </c>
      <c r="C77" s="236" t="s">
        <v>326</v>
      </c>
      <c r="D77" s="237">
        <v>8096900</v>
      </c>
      <c r="E77" s="237">
        <f t="shared" si="18"/>
        <v>809690</v>
      </c>
      <c r="F77" s="237">
        <f t="shared" si="19"/>
        <v>8906590</v>
      </c>
      <c r="G77" s="238"/>
      <c r="H77" s="237"/>
      <c r="I77" s="239">
        <f>F77-H77</f>
        <v>8906590</v>
      </c>
      <c r="J77" s="363"/>
      <c r="K77" s="240" t="s">
        <v>325</v>
      </c>
    </row>
    <row r="78" spans="1:31" ht="24.75" customHeight="1">
      <c r="A78" s="361">
        <v>45455</v>
      </c>
      <c r="B78" s="235" t="s">
        <v>270</v>
      </c>
      <c r="C78" s="236" t="s">
        <v>327</v>
      </c>
      <c r="D78" s="237">
        <v>486000</v>
      </c>
      <c r="E78" s="237">
        <f t="shared" si="18"/>
        <v>48600</v>
      </c>
      <c r="F78" s="237">
        <f t="shared" si="19"/>
        <v>534600</v>
      </c>
      <c r="G78" s="238"/>
      <c r="H78" s="237"/>
      <c r="I78" s="239">
        <f>F78-H78</f>
        <v>534600</v>
      </c>
      <c r="J78" s="363"/>
      <c r="K78" s="240" t="s">
        <v>325</v>
      </c>
    </row>
    <row r="79" spans="1:31" ht="24.75" customHeight="1">
      <c r="A79" s="361">
        <v>45456</v>
      </c>
      <c r="B79" s="235" t="s">
        <v>270</v>
      </c>
      <c r="C79" s="236" t="s">
        <v>328</v>
      </c>
      <c r="D79" s="237">
        <v>54866200</v>
      </c>
      <c r="E79" s="237">
        <f t="shared" si="18"/>
        <v>5486620</v>
      </c>
      <c r="F79" s="237">
        <f t="shared" si="19"/>
        <v>60352820</v>
      </c>
      <c r="G79" s="238"/>
      <c r="H79" s="237"/>
      <c r="I79" s="239">
        <f>F79-H79</f>
        <v>60352820</v>
      </c>
      <c r="J79" s="363"/>
      <c r="K79" s="240" t="s">
        <v>325</v>
      </c>
    </row>
    <row r="80" spans="1:31" ht="24.75" hidden="1" customHeight="1">
      <c r="A80" s="362">
        <v>45364</v>
      </c>
      <c r="B80" s="235" t="s">
        <v>329</v>
      </c>
      <c r="C80" s="236" t="s">
        <v>330</v>
      </c>
      <c r="D80" s="237">
        <v>48032100</v>
      </c>
      <c r="E80" s="237">
        <f t="shared" si="18"/>
        <v>4803210</v>
      </c>
      <c r="F80" s="237">
        <f t="shared" si="19"/>
        <v>52835310</v>
      </c>
      <c r="G80" s="241" t="s">
        <v>331</v>
      </c>
      <c r="H80" s="242">
        <f>20000000+12835310+10000000+10000000</f>
        <v>52835310</v>
      </c>
      <c r="I80" s="239">
        <f>표5_3[[#This Row],[합 계]]-표5_3[[#This Row],[수금액]]</f>
        <v>0</v>
      </c>
      <c r="J80" s="363">
        <v>46112</v>
      </c>
      <c r="K80" s="243" t="s">
        <v>3006</v>
      </c>
    </row>
    <row r="81" spans="1:11" ht="24.75" customHeight="1">
      <c r="A81" s="361">
        <v>45722</v>
      </c>
      <c r="B81" s="235" t="s">
        <v>332</v>
      </c>
      <c r="C81" s="236" t="s">
        <v>333</v>
      </c>
      <c r="D81" s="237">
        <v>3479000</v>
      </c>
      <c r="E81" s="237">
        <f t="shared" si="18"/>
        <v>347900</v>
      </c>
      <c r="F81" s="237">
        <f t="shared" si="19"/>
        <v>3826900</v>
      </c>
      <c r="G81" s="238"/>
      <c r="H81" s="237"/>
      <c r="I81" s="239">
        <f t="shared" ref="I81:I113" si="20">SUM(F81)-SUM(H81)</f>
        <v>3826900</v>
      </c>
      <c r="J81" s="363"/>
      <c r="K81" s="243" t="s">
        <v>572</v>
      </c>
    </row>
    <row r="82" spans="1:11" ht="24.75" customHeight="1">
      <c r="A82" s="361">
        <v>45727</v>
      </c>
      <c r="B82" s="235" t="s">
        <v>332</v>
      </c>
      <c r="C82" s="236" t="s">
        <v>334</v>
      </c>
      <c r="D82" s="237">
        <v>5080000</v>
      </c>
      <c r="E82" s="237">
        <f t="shared" si="18"/>
        <v>508000</v>
      </c>
      <c r="F82" s="237">
        <f t="shared" si="19"/>
        <v>5588000</v>
      </c>
      <c r="G82" s="238"/>
      <c r="H82" s="237"/>
      <c r="I82" s="239">
        <f t="shared" si="20"/>
        <v>5588000</v>
      </c>
      <c r="J82" s="363"/>
      <c r="K82" s="243" t="s">
        <v>572</v>
      </c>
    </row>
    <row r="83" spans="1:11" ht="24.75" customHeight="1">
      <c r="A83" s="361">
        <v>45737</v>
      </c>
      <c r="B83" s="235" t="s">
        <v>332</v>
      </c>
      <c r="C83" s="236" t="s">
        <v>333</v>
      </c>
      <c r="D83" s="237">
        <v>775500</v>
      </c>
      <c r="E83" s="237">
        <f t="shared" si="18"/>
        <v>77550</v>
      </c>
      <c r="F83" s="237">
        <f t="shared" si="19"/>
        <v>853050</v>
      </c>
      <c r="G83" s="238"/>
      <c r="H83" s="237"/>
      <c r="I83" s="239">
        <f t="shared" si="20"/>
        <v>853050</v>
      </c>
      <c r="J83" s="363"/>
      <c r="K83" s="243" t="s">
        <v>572</v>
      </c>
    </row>
    <row r="84" spans="1:11" ht="24.75" customHeight="1">
      <c r="A84" s="362">
        <v>45743</v>
      </c>
      <c r="B84" s="244" t="s">
        <v>332</v>
      </c>
      <c r="C84" s="245" t="s">
        <v>334</v>
      </c>
      <c r="D84" s="246">
        <v>658000</v>
      </c>
      <c r="E84" s="246">
        <f t="shared" si="18"/>
        <v>65800</v>
      </c>
      <c r="F84" s="246">
        <f t="shared" si="19"/>
        <v>723800</v>
      </c>
      <c r="G84" s="247"/>
      <c r="H84" s="246"/>
      <c r="I84" s="248">
        <f t="shared" si="20"/>
        <v>723800</v>
      </c>
      <c r="J84" s="363"/>
      <c r="K84" s="243" t="s">
        <v>572</v>
      </c>
    </row>
    <row r="85" spans="1:11" ht="24.75" customHeight="1">
      <c r="A85" s="361">
        <v>45747</v>
      </c>
      <c r="B85" s="235" t="s">
        <v>332</v>
      </c>
      <c r="C85" s="236" t="s">
        <v>333</v>
      </c>
      <c r="D85" s="237">
        <v>3126000</v>
      </c>
      <c r="E85" s="237">
        <f t="shared" si="18"/>
        <v>312600</v>
      </c>
      <c r="F85" s="237">
        <f t="shared" si="19"/>
        <v>3438600</v>
      </c>
      <c r="G85" s="238"/>
      <c r="H85" s="237"/>
      <c r="I85" s="239">
        <f t="shared" si="20"/>
        <v>3438600</v>
      </c>
      <c r="J85" s="363"/>
      <c r="K85" s="243" t="s">
        <v>572</v>
      </c>
    </row>
    <row r="86" spans="1:11" ht="24.75" customHeight="1">
      <c r="A86" s="362">
        <v>45747</v>
      </c>
      <c r="B86" s="244" t="s">
        <v>332</v>
      </c>
      <c r="C86" s="245" t="s">
        <v>335</v>
      </c>
      <c r="D86" s="246">
        <v>329000</v>
      </c>
      <c r="E86" s="246">
        <f t="shared" si="18"/>
        <v>32900</v>
      </c>
      <c r="F86" s="246">
        <f t="shared" si="19"/>
        <v>361900</v>
      </c>
      <c r="G86" s="247"/>
      <c r="H86" s="246"/>
      <c r="I86" s="248">
        <f t="shared" si="20"/>
        <v>361900</v>
      </c>
      <c r="J86" s="363"/>
      <c r="K86" s="243" t="s">
        <v>572</v>
      </c>
    </row>
    <row r="87" spans="1:11" ht="24.75" customHeight="1">
      <c r="A87" s="361">
        <v>45748</v>
      </c>
      <c r="B87" s="235" t="s">
        <v>332</v>
      </c>
      <c r="C87" s="236" t="s">
        <v>335</v>
      </c>
      <c r="D87" s="237">
        <v>3066000</v>
      </c>
      <c r="E87" s="237">
        <f t="shared" si="18"/>
        <v>306600</v>
      </c>
      <c r="F87" s="237">
        <f t="shared" si="19"/>
        <v>3372600</v>
      </c>
      <c r="G87" s="238"/>
      <c r="H87" s="237"/>
      <c r="I87" s="239">
        <f t="shared" si="20"/>
        <v>3372600</v>
      </c>
      <c r="J87" s="363"/>
      <c r="K87" s="243" t="s">
        <v>572</v>
      </c>
    </row>
    <row r="88" spans="1:11" ht="24.75" customHeight="1">
      <c r="A88" s="362">
        <v>45750</v>
      </c>
      <c r="B88" s="244" t="s">
        <v>332</v>
      </c>
      <c r="C88" s="245" t="s">
        <v>333</v>
      </c>
      <c r="D88" s="246">
        <v>474000</v>
      </c>
      <c r="E88" s="246">
        <f t="shared" si="18"/>
        <v>47400</v>
      </c>
      <c r="F88" s="246">
        <f t="shared" si="19"/>
        <v>521400</v>
      </c>
      <c r="G88" s="247"/>
      <c r="H88" s="246"/>
      <c r="I88" s="248">
        <f t="shared" si="20"/>
        <v>521400</v>
      </c>
      <c r="J88" s="363"/>
      <c r="K88" s="243" t="s">
        <v>572</v>
      </c>
    </row>
    <row r="89" spans="1:11" ht="24.75" customHeight="1">
      <c r="A89" s="361">
        <v>45771</v>
      </c>
      <c r="B89" s="235" t="s">
        <v>332</v>
      </c>
      <c r="C89" s="236" t="s">
        <v>335</v>
      </c>
      <c r="D89" s="237">
        <v>4867000</v>
      </c>
      <c r="E89" s="237">
        <f t="shared" si="18"/>
        <v>486700</v>
      </c>
      <c r="F89" s="237">
        <f t="shared" si="19"/>
        <v>5353700</v>
      </c>
      <c r="G89" s="238"/>
      <c r="H89" s="237"/>
      <c r="I89" s="239">
        <f t="shared" si="20"/>
        <v>5353700</v>
      </c>
      <c r="J89" s="363"/>
      <c r="K89" s="243" t="s">
        <v>572</v>
      </c>
    </row>
    <row r="90" spans="1:11" ht="24.75" customHeight="1">
      <c r="A90" s="361">
        <v>45785</v>
      </c>
      <c r="B90" s="244" t="s">
        <v>332</v>
      </c>
      <c r="C90" s="245" t="s">
        <v>335</v>
      </c>
      <c r="D90" s="246">
        <v>607500</v>
      </c>
      <c r="E90" s="246">
        <f t="shared" si="18"/>
        <v>60750</v>
      </c>
      <c r="F90" s="246">
        <f t="shared" si="19"/>
        <v>668250</v>
      </c>
      <c r="G90" s="247"/>
      <c r="H90" s="246"/>
      <c r="I90" s="248">
        <f t="shared" si="20"/>
        <v>668250</v>
      </c>
      <c r="J90" s="363"/>
      <c r="K90" s="243" t="s">
        <v>572</v>
      </c>
    </row>
    <row r="91" spans="1:11" ht="24.75" customHeight="1">
      <c r="A91" s="384">
        <v>45799</v>
      </c>
      <c r="B91" s="244" t="s">
        <v>467</v>
      </c>
      <c r="C91" s="386" t="s">
        <v>468</v>
      </c>
      <c r="D91" s="387">
        <v>12280800</v>
      </c>
      <c r="E91" s="387">
        <f t="shared" si="18"/>
        <v>1228080</v>
      </c>
      <c r="F91" s="387">
        <f t="shared" si="19"/>
        <v>13508880</v>
      </c>
      <c r="G91" s="388">
        <v>45821</v>
      </c>
      <c r="H91" s="387">
        <v>13508080</v>
      </c>
      <c r="I91" s="389">
        <f t="shared" si="20"/>
        <v>800</v>
      </c>
      <c r="J91" s="390"/>
      <c r="K91" s="391"/>
    </row>
    <row r="92" spans="1:11" ht="24.75" customHeight="1">
      <c r="A92" s="361">
        <v>45806</v>
      </c>
      <c r="B92" s="235" t="s">
        <v>332</v>
      </c>
      <c r="C92" s="236" t="s">
        <v>333</v>
      </c>
      <c r="D92" s="237">
        <v>3253400</v>
      </c>
      <c r="E92" s="246">
        <f t="shared" si="18"/>
        <v>325340</v>
      </c>
      <c r="F92" s="246">
        <f t="shared" si="19"/>
        <v>3578740</v>
      </c>
      <c r="G92" s="238"/>
      <c r="H92" s="237"/>
      <c r="I92" s="248">
        <f t="shared" si="20"/>
        <v>3578740</v>
      </c>
      <c r="J92" s="363"/>
      <c r="K92" s="243" t="s">
        <v>572</v>
      </c>
    </row>
    <row r="93" spans="1:11" ht="24.75" customHeight="1">
      <c r="A93" s="361">
        <v>45818</v>
      </c>
      <c r="B93" s="244" t="s">
        <v>332</v>
      </c>
      <c r="C93" s="245" t="s">
        <v>333</v>
      </c>
      <c r="D93" s="246">
        <v>2426000</v>
      </c>
      <c r="E93" s="246">
        <f t="shared" si="18"/>
        <v>242600</v>
      </c>
      <c r="F93" s="246">
        <f t="shared" si="19"/>
        <v>2668600</v>
      </c>
      <c r="G93" s="247"/>
      <c r="H93" s="246"/>
      <c r="I93" s="248">
        <f t="shared" si="20"/>
        <v>2668600</v>
      </c>
      <c r="J93" s="363"/>
      <c r="K93" s="243" t="s">
        <v>572</v>
      </c>
    </row>
    <row r="94" spans="1:11" ht="24.75" customHeight="1">
      <c r="A94" s="361">
        <v>45848</v>
      </c>
      <c r="B94" s="235" t="s">
        <v>332</v>
      </c>
      <c r="C94" s="236" t="s">
        <v>333</v>
      </c>
      <c r="D94" s="237">
        <v>2390000</v>
      </c>
      <c r="E94" s="237">
        <f t="shared" si="18"/>
        <v>239000</v>
      </c>
      <c r="F94" s="237">
        <f t="shared" si="19"/>
        <v>2629000</v>
      </c>
      <c r="G94" s="238"/>
      <c r="H94" s="237"/>
      <c r="I94" s="239">
        <f t="shared" si="20"/>
        <v>2629000</v>
      </c>
      <c r="J94" s="363"/>
      <c r="K94" s="243" t="s">
        <v>572</v>
      </c>
    </row>
    <row r="95" spans="1:11" ht="24.75" customHeight="1">
      <c r="A95" s="361">
        <v>45870</v>
      </c>
      <c r="B95" s="235" t="s">
        <v>332</v>
      </c>
      <c r="C95" s="236" t="s">
        <v>333</v>
      </c>
      <c r="D95" s="237">
        <v>432000</v>
      </c>
      <c r="E95" s="237">
        <f t="shared" si="18"/>
        <v>43200</v>
      </c>
      <c r="F95" s="237">
        <f t="shared" si="19"/>
        <v>475200</v>
      </c>
      <c r="G95" s="238"/>
      <c r="H95" s="237"/>
      <c r="I95" s="239">
        <f t="shared" si="20"/>
        <v>475200</v>
      </c>
      <c r="J95" s="363"/>
      <c r="K95" s="243" t="s">
        <v>572</v>
      </c>
    </row>
    <row r="96" spans="1:11" ht="24.75" customHeight="1">
      <c r="A96" s="361">
        <v>45875</v>
      </c>
      <c r="B96" s="244" t="s">
        <v>215</v>
      </c>
      <c r="C96" s="236" t="s">
        <v>337</v>
      </c>
      <c r="D96" s="237">
        <v>37830200</v>
      </c>
      <c r="E96" s="237">
        <f t="shared" si="18"/>
        <v>3783020</v>
      </c>
      <c r="F96" s="237">
        <f t="shared" si="19"/>
        <v>41613220</v>
      </c>
      <c r="G96" s="238"/>
      <c r="H96" s="237"/>
      <c r="I96" s="239">
        <f t="shared" si="20"/>
        <v>41613220</v>
      </c>
      <c r="J96" s="363"/>
      <c r="K96" s="243" t="s">
        <v>570</v>
      </c>
    </row>
    <row r="97" spans="1:48" ht="24.75" customHeight="1">
      <c r="A97" s="384">
        <v>45897</v>
      </c>
      <c r="B97" s="392" t="s">
        <v>338</v>
      </c>
      <c r="C97" s="393" t="s">
        <v>339</v>
      </c>
      <c r="D97" s="394">
        <v>69788300</v>
      </c>
      <c r="E97" s="394">
        <f t="shared" si="18"/>
        <v>6978830</v>
      </c>
      <c r="F97" s="394">
        <f t="shared" si="19"/>
        <v>76767130</v>
      </c>
      <c r="G97" s="395" t="s">
        <v>1387</v>
      </c>
      <c r="H97" s="394">
        <f>11000000+16000000+20000000+10000000</f>
        <v>57000000</v>
      </c>
      <c r="I97" s="396">
        <f t="shared" si="20"/>
        <v>19767130</v>
      </c>
      <c r="J97" s="390">
        <v>46112</v>
      </c>
      <c r="K97" s="391" t="s">
        <v>1369</v>
      </c>
    </row>
    <row r="98" spans="1:48" ht="24.75" customHeight="1">
      <c r="A98" s="384">
        <v>45902</v>
      </c>
      <c r="B98" s="392" t="s">
        <v>338</v>
      </c>
      <c r="C98" s="393" t="s">
        <v>339</v>
      </c>
      <c r="D98" s="394">
        <v>2331400</v>
      </c>
      <c r="E98" s="394">
        <f t="shared" si="18"/>
        <v>233140</v>
      </c>
      <c r="F98" s="394">
        <f t="shared" si="19"/>
        <v>2564540</v>
      </c>
      <c r="G98" s="395"/>
      <c r="H98" s="394"/>
      <c r="I98" s="396">
        <f t="shared" si="20"/>
        <v>2564540</v>
      </c>
      <c r="J98" s="390">
        <v>46112</v>
      </c>
      <c r="K98" s="391" t="s">
        <v>1369</v>
      </c>
    </row>
    <row r="99" spans="1:48" ht="24.75" hidden="1" customHeight="1">
      <c r="A99" s="361">
        <v>45903</v>
      </c>
      <c r="B99" s="235" t="s">
        <v>245</v>
      </c>
      <c r="C99" s="262" t="s">
        <v>491</v>
      </c>
      <c r="D99" s="373">
        <v>2290000</v>
      </c>
      <c r="E99" s="237">
        <f t="shared" si="18"/>
        <v>229000</v>
      </c>
      <c r="F99" s="237">
        <f t="shared" si="19"/>
        <v>2519000</v>
      </c>
      <c r="G99" s="238">
        <v>46052</v>
      </c>
      <c r="H99" s="237">
        <f>표5_3[[#This Row],[합 계]]</f>
        <v>2519000</v>
      </c>
      <c r="I99" s="239">
        <f t="shared" si="20"/>
        <v>0</v>
      </c>
      <c r="J99" s="363"/>
      <c r="K99" s="243"/>
    </row>
    <row r="100" spans="1:48" ht="24.75" hidden="1" customHeight="1">
      <c r="A100" s="361">
        <v>45916</v>
      </c>
      <c r="B100" s="235" t="s">
        <v>340</v>
      </c>
      <c r="C100" s="236" t="s">
        <v>341</v>
      </c>
      <c r="D100" s="237">
        <v>981900</v>
      </c>
      <c r="E100" s="237">
        <f t="shared" si="18"/>
        <v>98190</v>
      </c>
      <c r="F100" s="237">
        <f t="shared" si="19"/>
        <v>1080090</v>
      </c>
      <c r="G100" s="238">
        <v>46105</v>
      </c>
      <c r="H100" s="237">
        <f>표5_3[[#This Row],[공급가]]*1.1</f>
        <v>1080090</v>
      </c>
      <c r="I100" s="239">
        <f t="shared" si="20"/>
        <v>0</v>
      </c>
      <c r="J100" s="363">
        <v>46091</v>
      </c>
      <c r="K100" s="243"/>
    </row>
    <row r="101" spans="1:48" s="283" customFormat="1" ht="24.75" hidden="1" customHeight="1">
      <c r="A101" s="406">
        <v>45944</v>
      </c>
      <c r="B101" s="407" t="s">
        <v>465</v>
      </c>
      <c r="C101" s="408" t="s">
        <v>466</v>
      </c>
      <c r="D101" s="409">
        <v>13860000</v>
      </c>
      <c r="E101" s="409">
        <f>D101*10%</f>
        <v>1386000</v>
      </c>
      <c r="F101" s="409">
        <f>SUM(D101:E101)</f>
        <v>15246000</v>
      </c>
      <c r="G101" s="410">
        <v>46051</v>
      </c>
      <c r="H101" s="409">
        <f>표5_3[[#This Row],[합 계]]</f>
        <v>15246000</v>
      </c>
      <c r="I101" s="411">
        <f>SUM(F101)-SUM(H101)</f>
        <v>0</v>
      </c>
      <c r="J101" s="412"/>
      <c r="K101" s="413"/>
      <c r="AI101" s="284"/>
      <c r="AS101" s="284"/>
      <c r="AT101" s="284"/>
      <c r="AU101" s="284"/>
      <c r="AV101" s="284"/>
    </row>
    <row r="102" spans="1:48" ht="24.75" hidden="1" customHeight="1">
      <c r="A102" s="361">
        <v>45945</v>
      </c>
      <c r="B102" s="244" t="s">
        <v>215</v>
      </c>
      <c r="C102" s="245" t="s">
        <v>337</v>
      </c>
      <c r="D102" s="246">
        <v>15846200</v>
      </c>
      <c r="E102" s="246">
        <f t="shared" si="18"/>
        <v>1584620</v>
      </c>
      <c r="F102" s="246">
        <f t="shared" si="19"/>
        <v>17430820</v>
      </c>
      <c r="G102" s="247">
        <v>46150</v>
      </c>
      <c r="H102" s="246">
        <f>표5_3[[#This Row],[합 계]]</f>
        <v>17430820</v>
      </c>
      <c r="I102" s="248">
        <f t="shared" si="20"/>
        <v>0</v>
      </c>
      <c r="J102" s="363"/>
      <c r="K102" s="243" t="s">
        <v>572</v>
      </c>
    </row>
    <row r="103" spans="1:48" ht="24.75" hidden="1" customHeight="1">
      <c r="A103" s="361">
        <v>45946</v>
      </c>
      <c r="B103" s="235" t="s">
        <v>342</v>
      </c>
      <c r="C103" s="262" t="s">
        <v>405</v>
      </c>
      <c r="D103" s="237">
        <v>6761500</v>
      </c>
      <c r="E103" s="237">
        <f t="shared" si="18"/>
        <v>676150</v>
      </c>
      <c r="F103" s="237">
        <f t="shared" si="19"/>
        <v>7437650</v>
      </c>
      <c r="G103" s="238">
        <v>46036</v>
      </c>
      <c r="H103" s="237">
        <f>표5_3[[#This Row],[합 계]]</f>
        <v>7437650</v>
      </c>
      <c r="I103" s="239">
        <f t="shared" si="20"/>
        <v>0</v>
      </c>
      <c r="J103" s="363"/>
      <c r="K103" s="243"/>
    </row>
    <row r="104" spans="1:48" ht="24.75" customHeight="1">
      <c r="A104" s="384">
        <v>45947</v>
      </c>
      <c r="B104" s="392" t="s">
        <v>338</v>
      </c>
      <c r="C104" s="393" t="s">
        <v>339</v>
      </c>
      <c r="D104" s="394">
        <v>6300000</v>
      </c>
      <c r="E104" s="394">
        <f t="shared" si="18"/>
        <v>630000</v>
      </c>
      <c r="F104" s="394">
        <f t="shared" si="19"/>
        <v>6930000</v>
      </c>
      <c r="G104" s="395"/>
      <c r="H104" s="394"/>
      <c r="I104" s="396">
        <f t="shared" si="20"/>
        <v>6930000</v>
      </c>
      <c r="J104" s="390">
        <v>46112</v>
      </c>
      <c r="K104" s="391" t="s">
        <v>1369</v>
      </c>
    </row>
    <row r="105" spans="1:48" ht="24.75" hidden="1" customHeight="1">
      <c r="A105" s="384">
        <v>45950</v>
      </c>
      <c r="B105" s="392" t="s">
        <v>245</v>
      </c>
      <c r="C105" s="393" t="s">
        <v>344</v>
      </c>
      <c r="D105" s="394">
        <v>8929200</v>
      </c>
      <c r="E105" s="394">
        <f t="shared" si="18"/>
        <v>892920</v>
      </c>
      <c r="F105" s="394">
        <f t="shared" si="19"/>
        <v>9822120</v>
      </c>
      <c r="G105" s="395">
        <v>46052</v>
      </c>
      <c r="H105" s="394">
        <f>표5_3[[#This Row],[합 계]]</f>
        <v>9822120</v>
      </c>
      <c r="I105" s="396">
        <f t="shared" si="20"/>
        <v>0</v>
      </c>
      <c r="J105" s="390"/>
      <c r="K105" s="391"/>
    </row>
    <row r="106" spans="1:48" ht="24.75" hidden="1" customHeight="1">
      <c r="A106" s="384">
        <v>45952</v>
      </c>
      <c r="B106" s="392" t="s">
        <v>194</v>
      </c>
      <c r="C106" s="393" t="s">
        <v>345</v>
      </c>
      <c r="D106" s="394">
        <v>7276000</v>
      </c>
      <c r="E106" s="394">
        <f t="shared" si="18"/>
        <v>727600</v>
      </c>
      <c r="F106" s="394">
        <f t="shared" si="19"/>
        <v>8003600</v>
      </c>
      <c r="G106" s="395">
        <v>46064</v>
      </c>
      <c r="H106" s="394">
        <f>3332520*1.1</f>
        <v>3665772.0000000005</v>
      </c>
      <c r="I106" s="396">
        <f t="shared" si="20"/>
        <v>4337828</v>
      </c>
      <c r="J106" s="390"/>
      <c r="K106" s="391" t="s">
        <v>583</v>
      </c>
    </row>
    <row r="107" spans="1:48" ht="24.75" hidden="1" customHeight="1">
      <c r="A107" s="384">
        <v>45953</v>
      </c>
      <c r="B107" s="392" t="s">
        <v>245</v>
      </c>
      <c r="C107" s="419" t="s">
        <v>492</v>
      </c>
      <c r="D107" s="394">
        <v>8929200</v>
      </c>
      <c r="E107" s="394">
        <f t="shared" si="18"/>
        <v>892920</v>
      </c>
      <c r="F107" s="394">
        <f t="shared" si="19"/>
        <v>9822120</v>
      </c>
      <c r="G107" s="395">
        <v>46052</v>
      </c>
      <c r="H107" s="394">
        <f>표5_3[[#This Row],[합 계]]</f>
        <v>9822120</v>
      </c>
      <c r="I107" s="396">
        <f t="shared" si="20"/>
        <v>0</v>
      </c>
      <c r="J107" s="390"/>
      <c r="K107" s="391"/>
    </row>
    <row r="108" spans="1:48" ht="24.75" hidden="1" customHeight="1">
      <c r="A108" s="384">
        <v>45954</v>
      </c>
      <c r="B108" s="392" t="s">
        <v>342</v>
      </c>
      <c r="C108" s="393" t="s">
        <v>343</v>
      </c>
      <c r="D108" s="394">
        <v>7700000</v>
      </c>
      <c r="E108" s="394">
        <f t="shared" si="18"/>
        <v>770000</v>
      </c>
      <c r="F108" s="394">
        <f t="shared" si="19"/>
        <v>8470000</v>
      </c>
      <c r="G108" s="395">
        <v>46036</v>
      </c>
      <c r="H108" s="394">
        <f>표5_3[[#This Row],[합 계]]</f>
        <v>8470000</v>
      </c>
      <c r="I108" s="396">
        <f t="shared" si="20"/>
        <v>0</v>
      </c>
      <c r="J108" s="390"/>
      <c r="K108" s="391"/>
    </row>
    <row r="109" spans="1:48" ht="24.75" customHeight="1">
      <c r="A109" s="384">
        <v>45958</v>
      </c>
      <c r="B109" s="385" t="s">
        <v>338</v>
      </c>
      <c r="C109" s="386" t="s">
        <v>347</v>
      </c>
      <c r="D109" s="387">
        <v>-9744900</v>
      </c>
      <c r="E109" s="387">
        <f t="shared" ref="E109:E140" si="21">D109*10%</f>
        <v>-974490</v>
      </c>
      <c r="F109" s="387">
        <f t="shared" ref="F109:F140" si="22">SUM(D109:E109)</f>
        <v>-10719390</v>
      </c>
      <c r="G109" s="388"/>
      <c r="H109" s="387"/>
      <c r="I109" s="389">
        <f t="shared" si="20"/>
        <v>-10719390</v>
      </c>
      <c r="J109" s="390">
        <v>46112</v>
      </c>
      <c r="K109" s="391" t="s">
        <v>1369</v>
      </c>
    </row>
    <row r="110" spans="1:48" ht="24.75" hidden="1" customHeight="1">
      <c r="A110" s="361">
        <v>45961</v>
      </c>
      <c r="B110" s="235" t="s">
        <v>245</v>
      </c>
      <c r="C110" s="236" t="s">
        <v>346</v>
      </c>
      <c r="D110" s="237">
        <v>4530000</v>
      </c>
      <c r="E110" s="237">
        <f t="shared" si="21"/>
        <v>453000</v>
      </c>
      <c r="F110" s="237">
        <f t="shared" si="22"/>
        <v>4983000</v>
      </c>
      <c r="G110" s="238">
        <v>46052</v>
      </c>
      <c r="H110" s="237">
        <f>표5_3[[#This Row],[합 계]]</f>
        <v>4983000</v>
      </c>
      <c r="I110" s="239">
        <f t="shared" si="20"/>
        <v>0</v>
      </c>
      <c r="J110" s="363"/>
      <c r="K110" s="243"/>
    </row>
    <row r="111" spans="1:48" ht="24.75" hidden="1" customHeight="1">
      <c r="A111" s="361">
        <v>45964</v>
      </c>
      <c r="B111" s="235" t="s">
        <v>245</v>
      </c>
      <c r="C111" s="236" t="s">
        <v>346</v>
      </c>
      <c r="D111" s="237">
        <v>4530000</v>
      </c>
      <c r="E111" s="237">
        <f t="shared" si="21"/>
        <v>453000</v>
      </c>
      <c r="F111" s="237">
        <f t="shared" si="22"/>
        <v>4983000</v>
      </c>
      <c r="G111" s="238">
        <v>46052</v>
      </c>
      <c r="H111" s="237">
        <f>표5_3[[#This Row],[합 계]]</f>
        <v>4983000</v>
      </c>
      <c r="I111" s="239">
        <f t="shared" si="20"/>
        <v>0</v>
      </c>
      <c r="J111" s="363"/>
      <c r="K111" s="243"/>
    </row>
    <row r="112" spans="1:48" ht="24.75" hidden="1" customHeight="1">
      <c r="A112" s="361">
        <v>45964</v>
      </c>
      <c r="B112" s="235" t="s">
        <v>342</v>
      </c>
      <c r="C112" s="236" t="s">
        <v>343</v>
      </c>
      <c r="D112" s="237">
        <v>3380000</v>
      </c>
      <c r="E112" s="237">
        <f t="shared" si="21"/>
        <v>338000</v>
      </c>
      <c r="F112" s="237">
        <f t="shared" si="22"/>
        <v>3718000</v>
      </c>
      <c r="G112" s="238">
        <v>46092</v>
      </c>
      <c r="H112" s="237">
        <f>표5_3[[#This Row],[합 계]]</f>
        <v>3718000</v>
      </c>
      <c r="I112" s="239">
        <f t="shared" si="20"/>
        <v>0</v>
      </c>
      <c r="J112" s="363">
        <v>46066</v>
      </c>
      <c r="K112" s="243"/>
    </row>
    <row r="113" spans="1:11" ht="24.75" hidden="1" customHeight="1">
      <c r="A113" s="361">
        <v>45965</v>
      </c>
      <c r="B113" s="414" t="s">
        <v>462</v>
      </c>
      <c r="C113" s="262" t="s">
        <v>461</v>
      </c>
      <c r="D113" s="237">
        <v>330100</v>
      </c>
      <c r="E113" s="237">
        <f t="shared" si="21"/>
        <v>33010</v>
      </c>
      <c r="F113" s="237">
        <f t="shared" si="22"/>
        <v>363110</v>
      </c>
      <c r="G113" s="238">
        <v>46045</v>
      </c>
      <c r="H113" s="237">
        <f>표5_3[[#This Row],[합 계]]</f>
        <v>363110</v>
      </c>
      <c r="I113" s="239">
        <f t="shared" si="20"/>
        <v>0</v>
      </c>
      <c r="J113" s="363"/>
      <c r="K113" s="243"/>
    </row>
    <row r="114" spans="1:11" ht="24.75" hidden="1" customHeight="1">
      <c r="A114" s="361">
        <v>45965</v>
      </c>
      <c r="B114" s="235" t="s">
        <v>67</v>
      </c>
      <c r="C114" s="263" t="s">
        <v>488</v>
      </c>
      <c r="D114" s="237">
        <v>6168000</v>
      </c>
      <c r="E114" s="237">
        <f t="shared" si="21"/>
        <v>616800</v>
      </c>
      <c r="F114" s="237">
        <f t="shared" si="22"/>
        <v>6784800</v>
      </c>
      <c r="G114" s="238">
        <v>46052</v>
      </c>
      <c r="H114" s="237">
        <f>표5_3[[#This Row],[합 계]]</f>
        <v>6784800</v>
      </c>
      <c r="I114" s="239">
        <f t="shared" ref="I114:I146" si="23">SUM(F114)-SUM(H114)</f>
        <v>0</v>
      </c>
      <c r="J114" s="363"/>
      <c r="K114" s="243"/>
    </row>
    <row r="115" spans="1:11" ht="24.75" hidden="1" customHeight="1">
      <c r="A115" s="361">
        <v>45966</v>
      </c>
      <c r="B115" s="235" t="s">
        <v>349</v>
      </c>
      <c r="C115" s="236" t="s">
        <v>350</v>
      </c>
      <c r="D115" s="237">
        <v>28755000</v>
      </c>
      <c r="E115" s="237">
        <f t="shared" si="21"/>
        <v>2875500</v>
      </c>
      <c r="F115" s="237">
        <f t="shared" si="22"/>
        <v>31630500</v>
      </c>
      <c r="G115" s="238">
        <v>46034</v>
      </c>
      <c r="H115" s="237">
        <f>표5_3[[#This Row],[합 계]]</f>
        <v>31630500</v>
      </c>
      <c r="I115" s="239">
        <f t="shared" si="23"/>
        <v>0</v>
      </c>
      <c r="J115" s="363"/>
      <c r="K115" s="243"/>
    </row>
    <row r="116" spans="1:11" ht="24.75" hidden="1" customHeight="1">
      <c r="A116" s="361">
        <v>45967</v>
      </c>
      <c r="B116" s="235" t="s">
        <v>342</v>
      </c>
      <c r="C116" s="236" t="s">
        <v>343</v>
      </c>
      <c r="D116" s="237">
        <v>1180000</v>
      </c>
      <c r="E116" s="237">
        <f t="shared" si="21"/>
        <v>118000</v>
      </c>
      <c r="F116" s="237">
        <f t="shared" si="22"/>
        <v>1298000</v>
      </c>
      <c r="G116" s="238">
        <v>46092</v>
      </c>
      <c r="H116" s="237">
        <f>표5_3[[#This Row],[합 계]]</f>
        <v>1298000</v>
      </c>
      <c r="I116" s="239">
        <f t="shared" si="23"/>
        <v>0</v>
      </c>
      <c r="J116" s="363">
        <v>46066</v>
      </c>
      <c r="K116" s="243"/>
    </row>
    <row r="117" spans="1:11" ht="24.75" hidden="1" customHeight="1">
      <c r="A117" s="361">
        <v>45967</v>
      </c>
      <c r="B117" s="235" t="s">
        <v>245</v>
      </c>
      <c r="C117" s="236" t="s">
        <v>346</v>
      </c>
      <c r="D117" s="237">
        <v>2880000</v>
      </c>
      <c r="E117" s="237">
        <f t="shared" si="21"/>
        <v>288000</v>
      </c>
      <c r="F117" s="237">
        <f t="shared" si="22"/>
        <v>3168000</v>
      </c>
      <c r="G117" s="238">
        <v>46052</v>
      </c>
      <c r="H117" s="237">
        <f>표5_3[[#This Row],[합 계]]</f>
        <v>3168000</v>
      </c>
      <c r="I117" s="239">
        <f t="shared" si="23"/>
        <v>0</v>
      </c>
      <c r="J117" s="363"/>
      <c r="K117" s="243"/>
    </row>
    <row r="118" spans="1:11" ht="24.75" hidden="1" customHeight="1">
      <c r="A118" s="361">
        <v>45967</v>
      </c>
      <c r="B118" s="235" t="s">
        <v>67</v>
      </c>
      <c r="C118" s="262" t="s">
        <v>489</v>
      </c>
      <c r="D118" s="237">
        <v>18380000</v>
      </c>
      <c r="E118" s="237">
        <f t="shared" si="21"/>
        <v>1838000</v>
      </c>
      <c r="F118" s="237">
        <f t="shared" si="22"/>
        <v>20218000</v>
      </c>
      <c r="G118" s="238">
        <v>46052</v>
      </c>
      <c r="H118" s="237">
        <f>표5_3[[#This Row],[합 계]]</f>
        <v>20218000</v>
      </c>
      <c r="I118" s="239">
        <f t="shared" si="23"/>
        <v>0</v>
      </c>
      <c r="J118" s="363"/>
      <c r="K118" s="243"/>
    </row>
    <row r="119" spans="1:11" ht="24.75" hidden="1" customHeight="1">
      <c r="A119" s="361">
        <v>45968</v>
      </c>
      <c r="B119" s="235" t="s">
        <v>340</v>
      </c>
      <c r="C119" s="236" t="s">
        <v>351</v>
      </c>
      <c r="D119" s="237">
        <v>801700</v>
      </c>
      <c r="E119" s="237">
        <f t="shared" si="21"/>
        <v>80170</v>
      </c>
      <c r="F119" s="237">
        <f t="shared" si="22"/>
        <v>881870</v>
      </c>
      <c r="G119" s="238">
        <v>46105</v>
      </c>
      <c r="H119" s="237">
        <f>표5_3[[#This Row],[공급가]]*1.1</f>
        <v>881870.00000000012</v>
      </c>
      <c r="I119" s="239">
        <f t="shared" si="23"/>
        <v>0</v>
      </c>
      <c r="J119" s="363">
        <v>46091</v>
      </c>
      <c r="K119" s="243"/>
    </row>
    <row r="120" spans="1:11" ht="24.75" hidden="1" customHeight="1">
      <c r="A120" s="361">
        <v>45971</v>
      </c>
      <c r="B120" s="235" t="s">
        <v>245</v>
      </c>
      <c r="C120" s="236" t="s">
        <v>346</v>
      </c>
      <c r="D120" s="237">
        <v>1780000</v>
      </c>
      <c r="E120" s="237">
        <f t="shared" si="21"/>
        <v>178000</v>
      </c>
      <c r="F120" s="237">
        <f t="shared" si="22"/>
        <v>1958000</v>
      </c>
      <c r="G120" s="238">
        <v>46052</v>
      </c>
      <c r="H120" s="237">
        <f>표5_3[[#This Row],[합 계]]</f>
        <v>1958000</v>
      </c>
      <c r="I120" s="239">
        <f t="shared" si="23"/>
        <v>0</v>
      </c>
      <c r="J120" s="363"/>
      <c r="K120" s="243"/>
    </row>
    <row r="121" spans="1:11" ht="24.75" hidden="1" customHeight="1">
      <c r="A121" s="361">
        <v>45971</v>
      </c>
      <c r="B121" s="235" t="s">
        <v>352</v>
      </c>
      <c r="C121" s="262" t="s">
        <v>485</v>
      </c>
      <c r="D121" s="237">
        <v>4348000</v>
      </c>
      <c r="E121" s="237">
        <f t="shared" si="21"/>
        <v>434800</v>
      </c>
      <c r="F121" s="237">
        <f t="shared" si="22"/>
        <v>4782800</v>
      </c>
      <c r="G121" s="410">
        <v>46051</v>
      </c>
      <c r="H121" s="237">
        <f>표5_3[[#This Row],[합 계]]</f>
        <v>4782800</v>
      </c>
      <c r="I121" s="239">
        <f t="shared" si="23"/>
        <v>0</v>
      </c>
      <c r="J121" s="363"/>
      <c r="K121" s="243"/>
    </row>
    <row r="122" spans="1:11" ht="24.75" hidden="1" customHeight="1">
      <c r="A122" s="361">
        <v>45971</v>
      </c>
      <c r="B122" s="235" t="s">
        <v>245</v>
      </c>
      <c r="C122" s="236" t="s">
        <v>346</v>
      </c>
      <c r="D122" s="237">
        <v>657500</v>
      </c>
      <c r="E122" s="237">
        <f t="shared" si="21"/>
        <v>65750</v>
      </c>
      <c r="F122" s="237">
        <f t="shared" si="22"/>
        <v>723250</v>
      </c>
      <c r="G122" s="238">
        <v>46052</v>
      </c>
      <c r="H122" s="237">
        <f>표5_3[[#This Row],[합 계]]</f>
        <v>723250</v>
      </c>
      <c r="I122" s="239">
        <f t="shared" si="23"/>
        <v>0</v>
      </c>
      <c r="J122" s="363"/>
      <c r="K122" s="243"/>
    </row>
    <row r="123" spans="1:11" ht="24.75" hidden="1" customHeight="1">
      <c r="A123" s="361">
        <v>45971</v>
      </c>
      <c r="B123" s="235" t="s">
        <v>340</v>
      </c>
      <c r="C123" s="236" t="s">
        <v>353</v>
      </c>
      <c r="D123" s="237">
        <v>556000</v>
      </c>
      <c r="E123" s="237">
        <f t="shared" si="21"/>
        <v>55600</v>
      </c>
      <c r="F123" s="237">
        <f t="shared" si="22"/>
        <v>611600</v>
      </c>
      <c r="G123" s="238">
        <v>46105</v>
      </c>
      <c r="H123" s="237">
        <f>표5_3[[#This Row],[공급가]]*1.1</f>
        <v>611600</v>
      </c>
      <c r="I123" s="415">
        <f t="shared" si="23"/>
        <v>0</v>
      </c>
      <c r="J123" s="363">
        <v>46091</v>
      </c>
      <c r="K123" s="243"/>
    </row>
    <row r="124" spans="1:11" ht="24.75" hidden="1" customHeight="1">
      <c r="A124" s="361">
        <v>45972</v>
      </c>
      <c r="B124" s="235" t="s">
        <v>67</v>
      </c>
      <c r="C124" s="236" t="s">
        <v>348</v>
      </c>
      <c r="D124" s="237">
        <v>19000000</v>
      </c>
      <c r="E124" s="237">
        <f t="shared" si="21"/>
        <v>1900000</v>
      </c>
      <c r="F124" s="237">
        <f t="shared" si="22"/>
        <v>20900000</v>
      </c>
      <c r="G124" s="238">
        <v>46052</v>
      </c>
      <c r="H124" s="237">
        <f>표5_3[[#This Row],[합 계]]</f>
        <v>20900000</v>
      </c>
      <c r="I124" s="239">
        <f t="shared" si="23"/>
        <v>0</v>
      </c>
      <c r="J124" s="363"/>
      <c r="K124" s="243"/>
    </row>
    <row r="125" spans="1:11" ht="24.75" hidden="1" customHeight="1">
      <c r="A125" s="361">
        <v>45972</v>
      </c>
      <c r="B125" s="244" t="s">
        <v>336</v>
      </c>
      <c r="C125" s="245" t="s">
        <v>354</v>
      </c>
      <c r="D125" s="246">
        <v>37160000</v>
      </c>
      <c r="E125" s="246">
        <f t="shared" si="21"/>
        <v>3716000</v>
      </c>
      <c r="F125" s="246">
        <f t="shared" si="22"/>
        <v>40876000</v>
      </c>
      <c r="G125" s="247">
        <v>46048</v>
      </c>
      <c r="H125" s="246">
        <f>표5_3[[#This Row],[합 계]]</f>
        <v>40876000</v>
      </c>
      <c r="I125" s="248">
        <f t="shared" si="23"/>
        <v>0</v>
      </c>
      <c r="J125" s="363"/>
      <c r="K125" s="243"/>
    </row>
    <row r="126" spans="1:11" ht="24.75" hidden="1" customHeight="1">
      <c r="A126" s="361">
        <v>45973</v>
      </c>
      <c r="B126" s="235" t="s">
        <v>349</v>
      </c>
      <c r="C126" s="236" t="s">
        <v>350</v>
      </c>
      <c r="D126" s="237">
        <v>11319000</v>
      </c>
      <c r="E126" s="237">
        <f t="shared" si="21"/>
        <v>1131900</v>
      </c>
      <c r="F126" s="237">
        <f t="shared" si="22"/>
        <v>12450900</v>
      </c>
      <c r="G126" s="238">
        <v>46034</v>
      </c>
      <c r="H126" s="237">
        <f>표5_3[[#This Row],[합 계]]</f>
        <v>12450900</v>
      </c>
      <c r="I126" s="239">
        <f t="shared" si="23"/>
        <v>0</v>
      </c>
      <c r="J126" s="363"/>
      <c r="K126" s="243"/>
    </row>
    <row r="127" spans="1:11" ht="24.75" hidden="1" customHeight="1">
      <c r="A127" s="361">
        <v>45973</v>
      </c>
      <c r="B127" s="244" t="s">
        <v>355</v>
      </c>
      <c r="C127" s="245" t="s">
        <v>356</v>
      </c>
      <c r="D127" s="246">
        <v>176900</v>
      </c>
      <c r="E127" s="246">
        <f t="shared" si="21"/>
        <v>17690</v>
      </c>
      <c r="F127" s="246">
        <f t="shared" si="22"/>
        <v>194590</v>
      </c>
      <c r="G127" s="247">
        <v>46037</v>
      </c>
      <c r="H127" s="246">
        <f>표5_3[[#This Row],[합 계]]</f>
        <v>194590</v>
      </c>
      <c r="I127" s="248">
        <f t="shared" si="23"/>
        <v>0</v>
      </c>
      <c r="J127" s="363"/>
      <c r="K127" s="243"/>
    </row>
    <row r="128" spans="1:11" ht="24.75" hidden="1" customHeight="1">
      <c r="A128" s="361">
        <v>45975</v>
      </c>
      <c r="B128" s="235" t="s">
        <v>336</v>
      </c>
      <c r="C128" s="236" t="s">
        <v>354</v>
      </c>
      <c r="D128" s="237">
        <v>5189500</v>
      </c>
      <c r="E128" s="237">
        <f t="shared" si="21"/>
        <v>518950</v>
      </c>
      <c r="F128" s="237">
        <f t="shared" si="22"/>
        <v>5708450</v>
      </c>
      <c r="G128" s="247">
        <v>46048</v>
      </c>
      <c r="H128" s="237">
        <f>표5_3[[#This Row],[합 계]]</f>
        <v>5708450</v>
      </c>
      <c r="I128" s="239">
        <f t="shared" si="23"/>
        <v>0</v>
      </c>
      <c r="J128" s="363"/>
      <c r="K128" s="243"/>
    </row>
    <row r="129" spans="1:11" ht="24.75" hidden="1" customHeight="1">
      <c r="A129" s="361">
        <v>45975</v>
      </c>
      <c r="B129" s="235" t="s">
        <v>336</v>
      </c>
      <c r="C129" s="236" t="s">
        <v>354</v>
      </c>
      <c r="D129" s="237">
        <v>22450000</v>
      </c>
      <c r="E129" s="237">
        <f t="shared" si="21"/>
        <v>2245000</v>
      </c>
      <c r="F129" s="237">
        <f t="shared" si="22"/>
        <v>24695000</v>
      </c>
      <c r="G129" s="247">
        <v>46048</v>
      </c>
      <c r="H129" s="237">
        <f>표5_3[[#This Row],[합 계]]</f>
        <v>24695000</v>
      </c>
      <c r="I129" s="239">
        <f t="shared" si="23"/>
        <v>0</v>
      </c>
      <c r="J129" s="363"/>
      <c r="K129" s="243"/>
    </row>
    <row r="130" spans="1:11" ht="24.75" hidden="1" customHeight="1">
      <c r="A130" s="361">
        <v>45975</v>
      </c>
      <c r="B130" s="235" t="s">
        <v>357</v>
      </c>
      <c r="C130" s="262" t="s">
        <v>417</v>
      </c>
      <c r="D130" s="237">
        <v>1389300</v>
      </c>
      <c r="E130" s="237">
        <f t="shared" si="21"/>
        <v>138930</v>
      </c>
      <c r="F130" s="237">
        <f t="shared" si="22"/>
        <v>1528230</v>
      </c>
      <c r="G130" s="238">
        <v>46037</v>
      </c>
      <c r="H130" s="237">
        <f>표5_3[[#This Row],[합 계]]</f>
        <v>1528230</v>
      </c>
      <c r="I130" s="239">
        <f t="shared" si="23"/>
        <v>0</v>
      </c>
      <c r="J130" s="363"/>
      <c r="K130" s="243"/>
    </row>
    <row r="131" spans="1:11" ht="24.75" hidden="1" customHeight="1">
      <c r="A131" s="361">
        <v>45978</v>
      </c>
      <c r="B131" s="235" t="s">
        <v>336</v>
      </c>
      <c r="C131" s="236" t="s">
        <v>354</v>
      </c>
      <c r="D131" s="237">
        <v>5750000</v>
      </c>
      <c r="E131" s="237">
        <f t="shared" si="21"/>
        <v>575000</v>
      </c>
      <c r="F131" s="237">
        <f t="shared" si="22"/>
        <v>6325000</v>
      </c>
      <c r="G131" s="247">
        <v>46048</v>
      </c>
      <c r="H131" s="237">
        <f>표5_3[[#This Row],[합 계]]</f>
        <v>6325000</v>
      </c>
      <c r="I131" s="239">
        <f t="shared" si="23"/>
        <v>0</v>
      </c>
      <c r="J131" s="363"/>
      <c r="K131" s="243"/>
    </row>
    <row r="132" spans="1:11" ht="24.75" hidden="1" customHeight="1">
      <c r="A132" s="361">
        <v>45979</v>
      </c>
      <c r="B132" s="244" t="s">
        <v>358</v>
      </c>
      <c r="C132" s="270" t="s">
        <v>496</v>
      </c>
      <c r="D132" s="246">
        <v>1716500</v>
      </c>
      <c r="E132" s="246">
        <f t="shared" si="21"/>
        <v>171650</v>
      </c>
      <c r="F132" s="246">
        <f t="shared" si="22"/>
        <v>1888150</v>
      </c>
      <c r="G132" s="247" t="s">
        <v>494</v>
      </c>
      <c r="H132" s="246">
        <f>표5_3[[#This Row],[합 계]]</f>
        <v>1888150</v>
      </c>
      <c r="I132" s="248">
        <f t="shared" si="23"/>
        <v>0</v>
      </c>
      <c r="J132" s="363"/>
      <c r="K132" s="287" t="s">
        <v>495</v>
      </c>
    </row>
    <row r="133" spans="1:11" ht="24.75" hidden="1" customHeight="1">
      <c r="A133" s="361">
        <v>45980</v>
      </c>
      <c r="B133" s="244" t="s">
        <v>349</v>
      </c>
      <c r="C133" s="245" t="s">
        <v>350</v>
      </c>
      <c r="D133" s="246">
        <v>3025000</v>
      </c>
      <c r="E133" s="246">
        <f t="shared" si="21"/>
        <v>302500</v>
      </c>
      <c r="F133" s="246">
        <f t="shared" si="22"/>
        <v>3327500</v>
      </c>
      <c r="G133" s="238">
        <v>46034</v>
      </c>
      <c r="H133" s="246">
        <f>표5_3[[#This Row],[합 계]]</f>
        <v>3327500</v>
      </c>
      <c r="I133" s="248">
        <f t="shared" si="23"/>
        <v>0</v>
      </c>
      <c r="J133" s="363"/>
      <c r="K133" s="243"/>
    </row>
    <row r="134" spans="1:11" ht="24.75" hidden="1" customHeight="1">
      <c r="A134" s="361">
        <v>45980</v>
      </c>
      <c r="B134" s="244" t="s">
        <v>611</v>
      </c>
      <c r="C134" s="245" t="s">
        <v>612</v>
      </c>
      <c r="D134" s="246">
        <v>645000</v>
      </c>
      <c r="E134" s="246">
        <f t="shared" si="21"/>
        <v>64500</v>
      </c>
      <c r="F134" s="246">
        <f t="shared" si="22"/>
        <v>709500</v>
      </c>
      <c r="G134" s="247">
        <v>46092</v>
      </c>
      <c r="H134" s="246">
        <f>표5_3[[#This Row],[합 계]]</f>
        <v>709500</v>
      </c>
      <c r="I134" s="248">
        <f t="shared" si="23"/>
        <v>0</v>
      </c>
      <c r="J134" s="363"/>
      <c r="K134" s="243"/>
    </row>
    <row r="135" spans="1:11" ht="24.75" hidden="1" customHeight="1">
      <c r="A135" s="361">
        <v>45980</v>
      </c>
      <c r="B135" s="235" t="s">
        <v>336</v>
      </c>
      <c r="C135" s="236" t="s">
        <v>354</v>
      </c>
      <c r="D135" s="246">
        <v>2200000</v>
      </c>
      <c r="E135" s="246">
        <f>표5_3[[#This Row],[공급가]]*0.1</f>
        <v>220000</v>
      </c>
      <c r="F135" s="246">
        <f>표5_3[[#This Row],[공급가]]+표5_3[[#This Row],[세액]]</f>
        <v>2420000</v>
      </c>
      <c r="G135" s="247">
        <v>46045</v>
      </c>
      <c r="H135" s="246">
        <f>표5_3[[#This Row],[합 계]]</f>
        <v>2420000</v>
      </c>
      <c r="I135" s="248">
        <f>표5_3[[#This Row],[합 계]]-표5_3[[#This Row],[수금액]]</f>
        <v>0</v>
      </c>
      <c r="J135" s="363"/>
      <c r="K135" s="243"/>
    </row>
    <row r="136" spans="1:11" ht="24.75" hidden="1" customHeight="1">
      <c r="A136" s="361">
        <v>45986</v>
      </c>
      <c r="B136" s="235" t="s">
        <v>359</v>
      </c>
      <c r="C136" s="262" t="s">
        <v>435</v>
      </c>
      <c r="D136" s="237">
        <v>4855900</v>
      </c>
      <c r="E136" s="237">
        <f t="shared" si="21"/>
        <v>485590</v>
      </c>
      <c r="F136" s="237">
        <f t="shared" si="22"/>
        <v>5341490</v>
      </c>
      <c r="G136" s="247">
        <v>46038</v>
      </c>
      <c r="H136" s="237">
        <f>표5_3[[#This Row],[합 계]]</f>
        <v>5341490</v>
      </c>
      <c r="I136" s="239">
        <f t="shared" si="23"/>
        <v>0</v>
      </c>
      <c r="J136" s="363"/>
      <c r="K136" s="243" t="s">
        <v>436</v>
      </c>
    </row>
    <row r="137" spans="1:11" ht="24.75" hidden="1" customHeight="1">
      <c r="A137" s="361">
        <v>45987</v>
      </c>
      <c r="B137" s="235" t="s">
        <v>67</v>
      </c>
      <c r="C137" s="262" t="s">
        <v>489</v>
      </c>
      <c r="D137" s="237">
        <v>7920000</v>
      </c>
      <c r="E137" s="237">
        <f t="shared" si="21"/>
        <v>792000</v>
      </c>
      <c r="F137" s="237">
        <f t="shared" si="22"/>
        <v>8712000</v>
      </c>
      <c r="G137" s="238">
        <v>46052</v>
      </c>
      <c r="H137" s="237">
        <f>표5_3[[#This Row],[합 계]]</f>
        <v>8712000</v>
      </c>
      <c r="I137" s="239">
        <f t="shared" si="23"/>
        <v>0</v>
      </c>
      <c r="J137" s="363"/>
      <c r="K137" s="243"/>
    </row>
    <row r="138" spans="1:11" ht="24.75" hidden="1" customHeight="1">
      <c r="A138" s="361">
        <v>45988</v>
      </c>
      <c r="B138" s="244" t="s">
        <v>349</v>
      </c>
      <c r="C138" s="245" t="s">
        <v>350</v>
      </c>
      <c r="D138" s="246">
        <v>5115000</v>
      </c>
      <c r="E138" s="246">
        <f t="shared" si="21"/>
        <v>511500</v>
      </c>
      <c r="F138" s="246">
        <f t="shared" si="22"/>
        <v>5626500</v>
      </c>
      <c r="G138" s="238">
        <v>46034</v>
      </c>
      <c r="H138" s="246">
        <f>표5_3[[#This Row],[합 계]]</f>
        <v>5626500</v>
      </c>
      <c r="I138" s="248">
        <f t="shared" si="23"/>
        <v>0</v>
      </c>
      <c r="J138" s="363"/>
      <c r="K138" s="243"/>
    </row>
    <row r="139" spans="1:11" ht="24.75" hidden="1" customHeight="1">
      <c r="A139" s="361">
        <v>45989</v>
      </c>
      <c r="B139" s="235" t="s">
        <v>336</v>
      </c>
      <c r="C139" s="236" t="s">
        <v>360</v>
      </c>
      <c r="D139" s="237">
        <v>37328000</v>
      </c>
      <c r="E139" s="237">
        <f t="shared" si="21"/>
        <v>3732800</v>
      </c>
      <c r="F139" s="237">
        <f t="shared" si="22"/>
        <v>41060800</v>
      </c>
      <c r="G139" s="247">
        <v>46048</v>
      </c>
      <c r="H139" s="237">
        <f>표5_3[[#This Row],[합 계]]</f>
        <v>41060800</v>
      </c>
      <c r="I139" s="239">
        <f t="shared" si="23"/>
        <v>0</v>
      </c>
      <c r="J139" s="363"/>
      <c r="K139" s="243"/>
    </row>
    <row r="140" spans="1:11" ht="24.75" hidden="1" customHeight="1">
      <c r="A140" s="361">
        <v>45992</v>
      </c>
      <c r="B140" s="235" t="s">
        <v>233</v>
      </c>
      <c r="C140" s="263" t="s">
        <v>500</v>
      </c>
      <c r="D140" s="237">
        <v>1350000</v>
      </c>
      <c r="E140" s="237">
        <f t="shared" si="21"/>
        <v>135000</v>
      </c>
      <c r="F140" s="237">
        <f t="shared" si="22"/>
        <v>1485000</v>
      </c>
      <c r="G140" s="238">
        <v>46052</v>
      </c>
      <c r="H140" s="237">
        <f>표5_3[[#This Row],[합 계]]</f>
        <v>1485000</v>
      </c>
      <c r="I140" s="239">
        <f t="shared" si="23"/>
        <v>0</v>
      </c>
      <c r="J140" s="363"/>
      <c r="K140" s="243"/>
    </row>
    <row r="141" spans="1:11" ht="24.75" hidden="1" customHeight="1">
      <c r="A141" s="362">
        <v>45993</v>
      </c>
      <c r="B141" s="235" t="s">
        <v>67</v>
      </c>
      <c r="C141" s="262" t="s">
        <v>489</v>
      </c>
      <c r="D141" s="237">
        <v>7920000</v>
      </c>
      <c r="E141" s="237">
        <f t="shared" ref="E141:E162" si="24">D141*10%</f>
        <v>792000</v>
      </c>
      <c r="F141" s="237">
        <f t="shared" ref="F141:F162" si="25">SUM(D141:E141)</f>
        <v>8712000</v>
      </c>
      <c r="G141" s="238">
        <v>46080</v>
      </c>
      <c r="H141" s="237">
        <f>표5_3[[#This Row],[공급가]]*1.1</f>
        <v>8712000</v>
      </c>
      <c r="I141" s="239">
        <f t="shared" si="23"/>
        <v>0</v>
      </c>
      <c r="J141" s="363">
        <v>46080</v>
      </c>
      <c r="K141" s="243"/>
    </row>
    <row r="142" spans="1:11" ht="24.75" hidden="1" customHeight="1">
      <c r="A142" s="362">
        <v>45993</v>
      </c>
      <c r="B142" s="244" t="s">
        <v>359</v>
      </c>
      <c r="C142" s="270" t="s">
        <v>434</v>
      </c>
      <c r="D142" s="246">
        <v>31000</v>
      </c>
      <c r="E142" s="246">
        <f t="shared" si="24"/>
        <v>3100</v>
      </c>
      <c r="F142" s="246">
        <f t="shared" si="25"/>
        <v>34100</v>
      </c>
      <c r="G142" s="247">
        <v>46038</v>
      </c>
      <c r="H142" s="246">
        <f>표5_3[[#This Row],[합 계]]</f>
        <v>34100</v>
      </c>
      <c r="I142" s="248">
        <f t="shared" si="23"/>
        <v>0</v>
      </c>
      <c r="J142" s="363"/>
      <c r="K142" s="243"/>
    </row>
    <row r="143" spans="1:11" ht="24.75" hidden="1" customHeight="1">
      <c r="A143" s="362">
        <v>45994</v>
      </c>
      <c r="B143" s="244" t="s">
        <v>336</v>
      </c>
      <c r="C143" s="245" t="s">
        <v>360</v>
      </c>
      <c r="D143" s="246">
        <v>5200000</v>
      </c>
      <c r="E143" s="246">
        <f t="shared" si="24"/>
        <v>520000</v>
      </c>
      <c r="F143" s="246">
        <f t="shared" si="25"/>
        <v>5720000</v>
      </c>
      <c r="G143" s="247">
        <v>46048</v>
      </c>
      <c r="H143" s="246">
        <f>표5_3[[#This Row],[합 계]]</f>
        <v>5720000</v>
      </c>
      <c r="I143" s="248">
        <f t="shared" si="23"/>
        <v>0</v>
      </c>
      <c r="J143" s="363"/>
      <c r="K143" s="243"/>
    </row>
    <row r="144" spans="1:11" ht="24.75" hidden="1" customHeight="1">
      <c r="A144" s="362">
        <v>45995</v>
      </c>
      <c r="B144" s="244" t="s">
        <v>336</v>
      </c>
      <c r="C144" s="245" t="s">
        <v>360</v>
      </c>
      <c r="D144" s="246">
        <v>5500000</v>
      </c>
      <c r="E144" s="246">
        <f t="shared" si="24"/>
        <v>550000</v>
      </c>
      <c r="F144" s="246">
        <f t="shared" si="25"/>
        <v>6050000</v>
      </c>
      <c r="G144" s="247">
        <v>46048</v>
      </c>
      <c r="H144" s="246">
        <f>표5_3[[#This Row],[합 계]]</f>
        <v>6050000</v>
      </c>
      <c r="I144" s="248">
        <f t="shared" si="23"/>
        <v>0</v>
      </c>
      <c r="J144" s="363"/>
      <c r="K144" s="243"/>
    </row>
    <row r="145" spans="1:11" ht="24.75" hidden="1" customHeight="1">
      <c r="A145" s="361">
        <v>45996</v>
      </c>
      <c r="B145" s="235" t="s">
        <v>336</v>
      </c>
      <c r="C145" s="236" t="s">
        <v>360</v>
      </c>
      <c r="D145" s="237">
        <v>1548000</v>
      </c>
      <c r="E145" s="237">
        <f t="shared" si="24"/>
        <v>154800</v>
      </c>
      <c r="F145" s="237">
        <f t="shared" si="25"/>
        <v>1702800</v>
      </c>
      <c r="G145" s="247">
        <v>46048</v>
      </c>
      <c r="H145" s="237">
        <f>표5_3[[#This Row],[합 계]]</f>
        <v>1702800</v>
      </c>
      <c r="I145" s="239">
        <f t="shared" si="23"/>
        <v>0</v>
      </c>
      <c r="J145" s="363"/>
      <c r="K145" s="243"/>
    </row>
    <row r="146" spans="1:11" ht="24.75" hidden="1" customHeight="1">
      <c r="A146" s="361">
        <v>45996</v>
      </c>
      <c r="B146" s="244" t="s">
        <v>336</v>
      </c>
      <c r="C146" s="245" t="s">
        <v>360</v>
      </c>
      <c r="D146" s="246">
        <v>5750000</v>
      </c>
      <c r="E146" s="246">
        <f t="shared" si="24"/>
        <v>575000</v>
      </c>
      <c r="F146" s="246">
        <f t="shared" si="25"/>
        <v>6325000</v>
      </c>
      <c r="G146" s="247">
        <v>46048</v>
      </c>
      <c r="H146" s="246">
        <f>표5_3[[#This Row],[합 계]]</f>
        <v>6325000</v>
      </c>
      <c r="I146" s="248">
        <f t="shared" si="23"/>
        <v>0</v>
      </c>
      <c r="J146" s="363"/>
      <c r="K146" s="243"/>
    </row>
    <row r="147" spans="1:11" ht="24.75" hidden="1" customHeight="1">
      <c r="A147" s="361">
        <v>45999</v>
      </c>
      <c r="B147" s="235" t="s">
        <v>361</v>
      </c>
      <c r="C147" s="262" t="s">
        <v>571</v>
      </c>
      <c r="D147" s="237">
        <v>5253000</v>
      </c>
      <c r="E147" s="237">
        <f t="shared" si="24"/>
        <v>525300</v>
      </c>
      <c r="F147" s="237">
        <f t="shared" si="25"/>
        <v>5778300</v>
      </c>
      <c r="G147" s="238">
        <v>46078</v>
      </c>
      <c r="H147" s="237">
        <f>표5_3[[#This Row],[합 계]]</f>
        <v>5778300</v>
      </c>
      <c r="I147" s="239">
        <f t="shared" ref="I147:I162" si="26">SUM(F147)-SUM(H147)</f>
        <v>0</v>
      </c>
      <c r="J147" s="363">
        <v>46080</v>
      </c>
      <c r="K147" s="243"/>
    </row>
    <row r="148" spans="1:11" ht="24.75" hidden="1" customHeight="1">
      <c r="A148" s="361">
        <v>46002</v>
      </c>
      <c r="B148" s="235" t="s">
        <v>359</v>
      </c>
      <c r="C148" s="236" t="s">
        <v>362</v>
      </c>
      <c r="D148" s="237">
        <v>-145000</v>
      </c>
      <c r="E148" s="237">
        <f t="shared" si="24"/>
        <v>-14500</v>
      </c>
      <c r="F148" s="237">
        <f t="shared" si="25"/>
        <v>-159500</v>
      </c>
      <c r="G148" s="247">
        <v>46038</v>
      </c>
      <c r="H148" s="237">
        <f>표5_3[[#This Row],[합 계]]</f>
        <v>-159500</v>
      </c>
      <c r="I148" s="239">
        <f t="shared" si="26"/>
        <v>0</v>
      </c>
      <c r="J148" s="363"/>
      <c r="K148" s="243" t="s">
        <v>437</v>
      </c>
    </row>
    <row r="149" spans="1:11" ht="24.75" hidden="1" customHeight="1">
      <c r="A149" s="361">
        <v>46002</v>
      </c>
      <c r="B149" s="244" t="s">
        <v>349</v>
      </c>
      <c r="C149" s="245" t="s">
        <v>363</v>
      </c>
      <c r="D149" s="246">
        <v>-11081000</v>
      </c>
      <c r="E149" s="246">
        <f t="shared" si="24"/>
        <v>-1108100</v>
      </c>
      <c r="F149" s="246">
        <f t="shared" si="25"/>
        <v>-12189100</v>
      </c>
      <c r="G149" s="238">
        <v>46034</v>
      </c>
      <c r="H149" s="246">
        <f>표5_3[[#This Row],[합 계]]</f>
        <v>-12189100</v>
      </c>
      <c r="I149" s="248">
        <f t="shared" si="26"/>
        <v>0</v>
      </c>
      <c r="J149" s="363"/>
      <c r="K149" s="243" t="s">
        <v>404</v>
      </c>
    </row>
    <row r="150" spans="1:11" ht="24.75" hidden="1" customHeight="1">
      <c r="A150" s="361">
        <v>46006</v>
      </c>
      <c r="B150" s="235" t="s">
        <v>336</v>
      </c>
      <c r="C150" s="236" t="s">
        <v>364</v>
      </c>
      <c r="D150" s="237">
        <v>187000</v>
      </c>
      <c r="E150" s="237">
        <f t="shared" si="24"/>
        <v>18700</v>
      </c>
      <c r="F150" s="237">
        <f t="shared" si="25"/>
        <v>205700</v>
      </c>
      <c r="G150" s="247">
        <v>46048</v>
      </c>
      <c r="H150" s="237">
        <f>표5_3[[#This Row],[합 계]]</f>
        <v>205700</v>
      </c>
      <c r="I150" s="239">
        <f t="shared" si="26"/>
        <v>0</v>
      </c>
      <c r="J150" s="363"/>
      <c r="K150" s="243"/>
    </row>
    <row r="151" spans="1:11" ht="24.75" hidden="1" customHeight="1">
      <c r="A151" s="361">
        <v>46006</v>
      </c>
      <c r="B151" s="235" t="s">
        <v>365</v>
      </c>
      <c r="C151" s="236" t="s">
        <v>366</v>
      </c>
      <c r="D151" s="237">
        <v>281300</v>
      </c>
      <c r="E151" s="237">
        <f t="shared" si="24"/>
        <v>28130</v>
      </c>
      <c r="F151" s="237">
        <f t="shared" si="25"/>
        <v>309430</v>
      </c>
      <c r="G151" s="238">
        <v>46034</v>
      </c>
      <c r="H151" s="237">
        <f>표5_3[[#This Row],[합 계]]</f>
        <v>309430</v>
      </c>
      <c r="I151" s="239">
        <f t="shared" si="26"/>
        <v>0</v>
      </c>
      <c r="J151" s="363"/>
      <c r="K151" s="243"/>
    </row>
    <row r="152" spans="1:11" ht="24.75" hidden="1" customHeight="1">
      <c r="A152" s="361">
        <v>46006</v>
      </c>
      <c r="B152" s="235" t="s">
        <v>361</v>
      </c>
      <c r="C152" s="262" t="s">
        <v>571</v>
      </c>
      <c r="D152" s="237">
        <v>1120000</v>
      </c>
      <c r="E152" s="237">
        <f t="shared" si="24"/>
        <v>112000</v>
      </c>
      <c r="F152" s="237">
        <f t="shared" si="25"/>
        <v>1232000</v>
      </c>
      <c r="G152" s="238">
        <v>46078</v>
      </c>
      <c r="H152" s="237">
        <f>표5_3[[#This Row],[합 계]]</f>
        <v>1232000</v>
      </c>
      <c r="I152" s="239">
        <f t="shared" si="26"/>
        <v>0</v>
      </c>
      <c r="J152" s="363">
        <v>46080</v>
      </c>
      <c r="K152" s="243"/>
    </row>
    <row r="153" spans="1:11" ht="24.75" hidden="1" customHeight="1">
      <c r="A153" s="361">
        <v>46006</v>
      </c>
      <c r="B153" s="235" t="s">
        <v>367</v>
      </c>
      <c r="C153" s="262" t="s">
        <v>386</v>
      </c>
      <c r="D153" s="237">
        <v>377800</v>
      </c>
      <c r="E153" s="237">
        <f t="shared" si="24"/>
        <v>37780</v>
      </c>
      <c r="F153" s="237">
        <f t="shared" si="25"/>
        <v>415580</v>
      </c>
      <c r="G153" s="238">
        <v>46031</v>
      </c>
      <c r="H153" s="237">
        <f>표5_3[[#This Row],[합 계]]</f>
        <v>415580</v>
      </c>
      <c r="I153" s="239">
        <f t="shared" si="26"/>
        <v>0</v>
      </c>
      <c r="J153" s="363"/>
      <c r="K153" s="243" t="s">
        <v>387</v>
      </c>
    </row>
    <row r="154" spans="1:11" ht="24.75" hidden="1" customHeight="1">
      <c r="A154" s="361">
        <v>46006</v>
      </c>
      <c r="B154" s="244" t="s">
        <v>367</v>
      </c>
      <c r="C154" s="245" t="s">
        <v>368</v>
      </c>
      <c r="D154" s="246">
        <v>243000</v>
      </c>
      <c r="E154" s="246">
        <f t="shared" si="24"/>
        <v>24300</v>
      </c>
      <c r="F154" s="246">
        <f t="shared" si="25"/>
        <v>267300</v>
      </c>
      <c r="G154" s="238">
        <v>46031</v>
      </c>
      <c r="H154" s="246">
        <f>표5_3[[#This Row],[합 계]]</f>
        <v>267300</v>
      </c>
      <c r="I154" s="248">
        <f t="shared" si="26"/>
        <v>0</v>
      </c>
      <c r="J154" s="363"/>
      <c r="K154" s="243" t="s">
        <v>387</v>
      </c>
    </row>
    <row r="155" spans="1:11" ht="24.75" hidden="1" customHeight="1">
      <c r="A155" s="361">
        <v>46007</v>
      </c>
      <c r="B155" s="244" t="s">
        <v>67</v>
      </c>
      <c r="C155" s="245" t="s">
        <v>369</v>
      </c>
      <c r="D155" s="246">
        <v>1969400</v>
      </c>
      <c r="E155" s="246">
        <f t="shared" si="24"/>
        <v>196940</v>
      </c>
      <c r="F155" s="246">
        <f t="shared" si="25"/>
        <v>2166340</v>
      </c>
      <c r="G155" s="247">
        <v>46080</v>
      </c>
      <c r="H155" s="237">
        <f>표5_3[[#This Row],[공급가]]*1.1</f>
        <v>2166340</v>
      </c>
      <c r="I155" s="248">
        <f t="shared" si="26"/>
        <v>0</v>
      </c>
      <c r="J155" s="363">
        <v>46080</v>
      </c>
      <c r="K155" s="243"/>
    </row>
    <row r="156" spans="1:11" ht="24.75" hidden="1" customHeight="1">
      <c r="A156" s="361">
        <v>46008</v>
      </c>
      <c r="B156" s="235" t="s">
        <v>533</v>
      </c>
      <c r="C156" s="262" t="s">
        <v>463</v>
      </c>
      <c r="D156" s="237">
        <v>54744000</v>
      </c>
      <c r="E156" s="237">
        <f t="shared" si="24"/>
        <v>5474400</v>
      </c>
      <c r="F156" s="237">
        <f t="shared" si="25"/>
        <v>60218400</v>
      </c>
      <c r="G156" s="238">
        <v>46092</v>
      </c>
      <c r="H156" s="237">
        <f>표5_3[[#This Row],[합 계]]</f>
        <v>60218400</v>
      </c>
      <c r="I156" s="239">
        <f t="shared" si="26"/>
        <v>0</v>
      </c>
      <c r="J156" s="363"/>
      <c r="K156" s="243" t="s">
        <v>570</v>
      </c>
    </row>
    <row r="157" spans="1:11" ht="24.75" hidden="1" customHeight="1">
      <c r="A157" s="361">
        <v>46008</v>
      </c>
      <c r="B157" s="244" t="s">
        <v>370</v>
      </c>
      <c r="C157" s="245" t="s">
        <v>371</v>
      </c>
      <c r="D157" s="246">
        <v>321000</v>
      </c>
      <c r="E157" s="246">
        <f t="shared" si="24"/>
        <v>32100</v>
      </c>
      <c r="F157" s="246">
        <f t="shared" si="25"/>
        <v>353100</v>
      </c>
      <c r="G157" s="247">
        <v>46063</v>
      </c>
      <c r="H157" s="246">
        <f>표5_3[[#This Row],[합 계]]</f>
        <v>353100</v>
      </c>
      <c r="I157" s="248">
        <f t="shared" si="26"/>
        <v>0</v>
      </c>
      <c r="J157" s="363">
        <v>46053</v>
      </c>
      <c r="K157" s="243"/>
    </row>
    <row r="158" spans="1:11" ht="24.75" hidden="1" customHeight="1">
      <c r="A158" s="361">
        <v>46013</v>
      </c>
      <c r="B158" s="235" t="s">
        <v>67</v>
      </c>
      <c r="C158" s="262" t="s">
        <v>489</v>
      </c>
      <c r="D158" s="237">
        <v>15840000</v>
      </c>
      <c r="E158" s="237">
        <f t="shared" si="24"/>
        <v>1584000</v>
      </c>
      <c r="F158" s="237">
        <f t="shared" si="25"/>
        <v>17424000</v>
      </c>
      <c r="G158" s="238">
        <v>46080</v>
      </c>
      <c r="H158" s="237">
        <f>표5_3[[#This Row],[공급가]]*1.1</f>
        <v>17424000</v>
      </c>
      <c r="I158" s="239">
        <f t="shared" si="26"/>
        <v>0</v>
      </c>
      <c r="J158" s="363">
        <v>46080</v>
      </c>
      <c r="K158" s="243"/>
    </row>
    <row r="159" spans="1:11" ht="24.75" hidden="1" customHeight="1">
      <c r="A159" s="361">
        <v>46014</v>
      </c>
      <c r="B159" s="235" t="s">
        <v>365</v>
      </c>
      <c r="C159" s="236" t="s">
        <v>366</v>
      </c>
      <c r="D159" s="237">
        <v>70600</v>
      </c>
      <c r="E159" s="237">
        <f t="shared" si="24"/>
        <v>7060</v>
      </c>
      <c r="F159" s="237">
        <f t="shared" si="25"/>
        <v>77660</v>
      </c>
      <c r="G159" s="238">
        <v>46034</v>
      </c>
      <c r="H159" s="237">
        <f>표5_3[[#This Row],[합 계]]</f>
        <v>77660</v>
      </c>
      <c r="I159" s="239">
        <f t="shared" si="26"/>
        <v>0</v>
      </c>
      <c r="J159" s="363">
        <v>46053</v>
      </c>
      <c r="K159" s="243"/>
    </row>
    <row r="160" spans="1:11" ht="24.75" hidden="1" customHeight="1">
      <c r="A160" s="361">
        <v>46014</v>
      </c>
      <c r="B160" s="244" t="s">
        <v>336</v>
      </c>
      <c r="C160" s="245" t="s">
        <v>360</v>
      </c>
      <c r="D160" s="246">
        <v>1560000</v>
      </c>
      <c r="E160" s="246">
        <f t="shared" si="24"/>
        <v>156000</v>
      </c>
      <c r="F160" s="246">
        <f t="shared" si="25"/>
        <v>1716000</v>
      </c>
      <c r="G160" s="247">
        <v>46045</v>
      </c>
      <c r="H160" s="246">
        <f>표5_3[[#This Row],[합 계]]</f>
        <v>1716000</v>
      </c>
      <c r="I160" s="248">
        <f t="shared" si="26"/>
        <v>0</v>
      </c>
      <c r="J160" s="363">
        <v>46053</v>
      </c>
      <c r="K160" s="243"/>
    </row>
    <row r="161" spans="1:17" ht="24.75" hidden="1" customHeight="1">
      <c r="A161" s="361">
        <v>46017</v>
      </c>
      <c r="B161" s="235" t="s">
        <v>372</v>
      </c>
      <c r="C161" s="263" t="s">
        <v>388</v>
      </c>
      <c r="D161" s="237">
        <v>1360000</v>
      </c>
      <c r="E161" s="237">
        <f t="shared" si="24"/>
        <v>136000</v>
      </c>
      <c r="F161" s="237">
        <f t="shared" si="25"/>
        <v>1496000</v>
      </c>
      <c r="G161" s="238">
        <v>46034</v>
      </c>
      <c r="H161" s="237">
        <f>표5_3[[#This Row],[합 계]]</f>
        <v>1496000</v>
      </c>
      <c r="I161" s="239">
        <f t="shared" si="26"/>
        <v>0</v>
      </c>
      <c r="J161" s="363">
        <v>46053</v>
      </c>
      <c r="K161" s="243"/>
    </row>
    <row r="162" spans="1:17" ht="24.75" hidden="1" customHeight="1">
      <c r="A162" s="362">
        <v>46020</v>
      </c>
      <c r="B162" s="244" t="s">
        <v>216</v>
      </c>
      <c r="C162" s="245" t="s">
        <v>373</v>
      </c>
      <c r="D162" s="246">
        <v>1475600</v>
      </c>
      <c r="E162" s="246">
        <f t="shared" si="24"/>
        <v>147560</v>
      </c>
      <c r="F162" s="246">
        <f t="shared" si="25"/>
        <v>1623160</v>
      </c>
      <c r="G162" s="247">
        <v>46029</v>
      </c>
      <c r="H162" s="246">
        <f>표5_3[[#This Row],[합 계]]</f>
        <v>1623160</v>
      </c>
      <c r="I162" s="248">
        <f t="shared" si="26"/>
        <v>0</v>
      </c>
      <c r="J162" s="363">
        <v>46053</v>
      </c>
      <c r="K162" s="243"/>
    </row>
    <row r="163" spans="1:17" ht="24.75" hidden="1" customHeight="1">
      <c r="A163" s="361">
        <v>46022</v>
      </c>
      <c r="B163" s="235" t="s">
        <v>385</v>
      </c>
      <c r="C163" s="236" t="s">
        <v>130</v>
      </c>
      <c r="D163" s="237">
        <v>475300</v>
      </c>
      <c r="E163" s="237">
        <f t="shared" ref="E163" si="27">D163*10%</f>
        <v>47530</v>
      </c>
      <c r="F163" s="237">
        <f t="shared" ref="F163" si="28">SUM(D163:E163)</f>
        <v>522830</v>
      </c>
      <c r="G163" s="238">
        <v>46052</v>
      </c>
      <c r="H163" s="237">
        <f>표5_3[[#This Row],[합 계]]</f>
        <v>522830</v>
      </c>
      <c r="I163" s="239">
        <f t="shared" ref="I163" si="29">SUM(F163)-SUM(H163)</f>
        <v>0</v>
      </c>
      <c r="J163" s="363">
        <v>46053</v>
      </c>
      <c r="K163" s="243"/>
    </row>
    <row r="164" spans="1:17">
      <c r="A164" s="265"/>
    </row>
    <row r="165" spans="1:17">
      <c r="I165" s="268"/>
    </row>
    <row r="166" spans="1:17">
      <c r="I166" s="268"/>
    </row>
    <row r="167" spans="1:17">
      <c r="I167" s="268"/>
    </row>
    <row r="168" spans="1:17" ht="20.25">
      <c r="A168" s="487" t="s">
        <v>2255</v>
      </c>
      <c r="F168" s="502"/>
      <c r="H168" s="473"/>
      <c r="I168" s="268"/>
    </row>
    <row r="169" spans="1:17" ht="6" customHeight="1">
      <c r="H169" s="473"/>
      <c r="I169" s="268"/>
    </row>
    <row r="170" spans="1:17">
      <c r="A170" s="488" t="s">
        <v>2219</v>
      </c>
      <c r="B170" s="489" t="s">
        <v>2220</v>
      </c>
      <c r="C170" s="489" t="s">
        <v>38</v>
      </c>
      <c r="D170" s="489" t="s">
        <v>39</v>
      </c>
      <c r="E170" s="489" t="s">
        <v>43</v>
      </c>
      <c r="F170" s="490" t="s">
        <v>2221</v>
      </c>
      <c r="G170" s="489" t="s">
        <v>2222</v>
      </c>
      <c r="H170" s="489" t="s">
        <v>2223</v>
      </c>
      <c r="I170" s="488" t="s">
        <v>2224</v>
      </c>
      <c r="J170" s="488" t="s">
        <v>48</v>
      </c>
      <c r="K170" s="489" t="s">
        <v>2225</v>
      </c>
      <c r="L170" s="489" t="s">
        <v>2226</v>
      </c>
      <c r="M170" s="489" t="s">
        <v>2227</v>
      </c>
      <c r="N170" s="489" t="s">
        <v>2228</v>
      </c>
      <c r="O170" s="488" t="s">
        <v>2229</v>
      </c>
      <c r="P170" s="488" t="s">
        <v>2230</v>
      </c>
      <c r="Q170" s="489" t="s">
        <v>102</v>
      </c>
    </row>
    <row r="171" spans="1:17">
      <c r="A171" s="481">
        <v>45797</v>
      </c>
      <c r="B171" s="482" t="s">
        <v>2253</v>
      </c>
      <c r="C171" s="483" t="s">
        <v>912</v>
      </c>
      <c r="D171" s="483" t="s">
        <v>206</v>
      </c>
      <c r="E171" s="483" t="s">
        <v>153</v>
      </c>
      <c r="F171" s="480">
        <v>23770800</v>
      </c>
      <c r="G171" s="484">
        <f t="shared" ref="G171:G206" ca="1" si="30">IF(A171="","",IF(J171="",TODAY()-A171,J171-A171))</f>
        <v>377</v>
      </c>
      <c r="H171" s="485" t="str">
        <f t="shared" ref="H171:H206" ca="1" si="31">IF(G171="","",
 IF(E171="선급금",
   IF(G171&lt;=20,"정상",IF(G171&lt;=90,"관리","장기미수")),
 IF(E171="자재",
   IF(G171&lt;=40,"정상",IF(G171&lt;=90,"관리","장기미수")),
   IF(G171&lt;=30,"정상",IF(G171&lt;=90,"관리","장기미수"))
  )
 )
)</f>
        <v>장기미수</v>
      </c>
      <c r="I171" s="481">
        <v>46203</v>
      </c>
      <c r="J171" s="481"/>
      <c r="K171" s="482" t="s">
        <v>2231</v>
      </c>
      <c r="L171" s="482" t="s">
        <v>2232</v>
      </c>
      <c r="M171" s="483" t="s">
        <v>2233</v>
      </c>
      <c r="N171" s="483" t="s">
        <v>2234</v>
      </c>
      <c r="O171" s="486"/>
      <c r="P171" s="486">
        <v>46233</v>
      </c>
      <c r="Q171" s="482" t="s">
        <v>2235</v>
      </c>
    </row>
    <row r="172" spans="1:17">
      <c r="A172" s="481">
        <v>45817</v>
      </c>
      <c r="B172" s="482" t="s">
        <v>2253</v>
      </c>
      <c r="C172" s="483" t="s">
        <v>912</v>
      </c>
      <c r="D172" s="483" t="s">
        <v>206</v>
      </c>
      <c r="E172" s="483" t="s">
        <v>70</v>
      </c>
      <c r="F172" s="480">
        <v>47541600</v>
      </c>
      <c r="G172" s="484">
        <f t="shared" ca="1" si="30"/>
        <v>357</v>
      </c>
      <c r="H172" s="485" t="str">
        <f t="shared" ca="1" si="31"/>
        <v>장기미수</v>
      </c>
      <c r="I172" s="481">
        <v>46203</v>
      </c>
      <c r="J172" s="481"/>
      <c r="K172" s="482" t="s">
        <v>2231</v>
      </c>
      <c r="L172" s="482" t="s">
        <v>2232</v>
      </c>
      <c r="M172" s="483" t="s">
        <v>2233</v>
      </c>
      <c r="N172" s="483" t="s">
        <v>2234</v>
      </c>
      <c r="O172" s="486"/>
      <c r="P172" s="486">
        <v>46233</v>
      </c>
      <c r="Q172" s="482" t="s">
        <v>2235</v>
      </c>
    </row>
    <row r="173" spans="1:17">
      <c r="A173" s="481">
        <v>45832</v>
      </c>
      <c r="B173" s="482" t="s">
        <v>2253</v>
      </c>
      <c r="C173" s="483" t="s">
        <v>912</v>
      </c>
      <c r="D173" s="483" t="s">
        <v>206</v>
      </c>
      <c r="E173" s="483" t="s">
        <v>71</v>
      </c>
      <c r="F173" s="480">
        <v>46991600</v>
      </c>
      <c r="G173" s="484">
        <f t="shared" ca="1" si="30"/>
        <v>342</v>
      </c>
      <c r="H173" s="485" t="str">
        <f t="shared" ca="1" si="31"/>
        <v>장기미수</v>
      </c>
      <c r="I173" s="481">
        <v>46203</v>
      </c>
      <c r="J173" s="481"/>
      <c r="K173" s="482" t="s">
        <v>2231</v>
      </c>
      <c r="L173" s="482" t="s">
        <v>2232</v>
      </c>
      <c r="M173" s="483" t="s">
        <v>2233</v>
      </c>
      <c r="N173" s="483" t="s">
        <v>2234</v>
      </c>
      <c r="O173" s="486"/>
      <c r="P173" s="486">
        <v>46111</v>
      </c>
      <c r="Q173" s="482" t="s">
        <v>2235</v>
      </c>
    </row>
    <row r="174" spans="1:17">
      <c r="A174" s="481">
        <v>45915</v>
      </c>
      <c r="B174" s="482" t="s">
        <v>2253</v>
      </c>
      <c r="C174" s="483" t="s">
        <v>2238</v>
      </c>
      <c r="D174" s="483" t="s">
        <v>208</v>
      </c>
      <c r="E174" s="483" t="s">
        <v>70</v>
      </c>
      <c r="F174" s="480">
        <v>93482400</v>
      </c>
      <c r="G174" s="484">
        <f t="shared" ca="1" si="30"/>
        <v>259</v>
      </c>
      <c r="H174" s="485" t="str">
        <f t="shared" ca="1" si="31"/>
        <v>장기미수</v>
      </c>
      <c r="I174" s="481"/>
      <c r="J174" s="481"/>
      <c r="K174" s="482" t="s">
        <v>2231</v>
      </c>
      <c r="L174" s="482" t="s">
        <v>2232</v>
      </c>
      <c r="M174" s="483" t="s">
        <v>2239</v>
      </c>
      <c r="N174" s="483" t="s">
        <v>2240</v>
      </c>
      <c r="O174" s="486"/>
      <c r="P174" s="486">
        <v>46052</v>
      </c>
      <c r="Q174" s="482"/>
    </row>
    <row r="175" spans="1:17">
      <c r="A175" s="481">
        <v>45972</v>
      </c>
      <c r="B175" s="482" t="s">
        <v>2253</v>
      </c>
      <c r="C175" s="483" t="s">
        <v>2238</v>
      </c>
      <c r="D175" s="483" t="s">
        <v>208</v>
      </c>
      <c r="E175" s="483" t="s">
        <v>71</v>
      </c>
      <c r="F175" s="480">
        <v>114453000</v>
      </c>
      <c r="G175" s="484">
        <f t="shared" ca="1" si="30"/>
        <v>202</v>
      </c>
      <c r="H175" s="485" t="str">
        <f t="shared" ca="1" si="31"/>
        <v>장기미수</v>
      </c>
      <c r="I175" s="481"/>
      <c r="J175" s="481"/>
      <c r="K175" s="482" t="s">
        <v>2231</v>
      </c>
      <c r="L175" s="482" t="s">
        <v>2232</v>
      </c>
      <c r="M175" s="483" t="s">
        <v>2239</v>
      </c>
      <c r="N175" s="483" t="s">
        <v>2240</v>
      </c>
      <c r="O175" s="486"/>
      <c r="P175" s="486">
        <v>46052</v>
      </c>
      <c r="Q175" s="482"/>
    </row>
    <row r="176" spans="1:17">
      <c r="A176" s="481">
        <v>46010</v>
      </c>
      <c r="B176" s="482" t="s">
        <v>2253</v>
      </c>
      <c r="C176" s="483" t="s">
        <v>579</v>
      </c>
      <c r="D176" s="483" t="s">
        <v>68</v>
      </c>
      <c r="E176" s="483" t="s">
        <v>70</v>
      </c>
      <c r="F176" s="480">
        <v>53520000</v>
      </c>
      <c r="G176" s="484">
        <f t="shared" ca="1" si="30"/>
        <v>164</v>
      </c>
      <c r="H176" s="485" t="str">
        <f t="shared" ca="1" si="31"/>
        <v>장기미수</v>
      </c>
      <c r="I176" s="481">
        <v>46111</v>
      </c>
      <c r="J176" s="481"/>
      <c r="K176" s="482"/>
      <c r="L176" s="482" t="s">
        <v>2232</v>
      </c>
      <c r="M176" s="483" t="s">
        <v>2236</v>
      </c>
      <c r="N176" s="483" t="s">
        <v>2237</v>
      </c>
      <c r="O176" s="486"/>
      <c r="P176" s="486">
        <v>46111</v>
      </c>
      <c r="Q176" s="482"/>
    </row>
    <row r="177" spans="1:17">
      <c r="A177" s="481">
        <v>46015</v>
      </c>
      <c r="B177" s="482" t="s">
        <v>2253</v>
      </c>
      <c r="C177" s="483" t="s">
        <v>2238</v>
      </c>
      <c r="D177" s="483" t="s">
        <v>192</v>
      </c>
      <c r="E177" s="483" t="s">
        <v>71</v>
      </c>
      <c r="F177" s="480">
        <v>38239400</v>
      </c>
      <c r="G177" s="484">
        <f t="shared" ca="1" si="30"/>
        <v>159</v>
      </c>
      <c r="H177" s="485" t="str">
        <f t="shared" ca="1" si="31"/>
        <v>장기미수</v>
      </c>
      <c r="I177" s="481"/>
      <c r="J177" s="481"/>
      <c r="K177" s="482" t="s">
        <v>2231</v>
      </c>
      <c r="L177" s="482" t="s">
        <v>2232</v>
      </c>
      <c r="M177" s="483" t="s">
        <v>2239</v>
      </c>
      <c r="N177" s="483"/>
      <c r="O177" s="486"/>
      <c r="P177" s="486"/>
      <c r="Q177" s="482"/>
    </row>
    <row r="178" spans="1:17">
      <c r="A178" s="481">
        <v>45237</v>
      </c>
      <c r="B178" s="482" t="s">
        <v>2254</v>
      </c>
      <c r="C178" s="483" t="s">
        <v>2242</v>
      </c>
      <c r="D178" s="483" t="s">
        <v>324</v>
      </c>
      <c r="E178" s="483" t="s">
        <v>309</v>
      </c>
      <c r="F178" s="480">
        <v>1265000</v>
      </c>
      <c r="G178" s="484">
        <f t="shared" ca="1" si="30"/>
        <v>937</v>
      </c>
      <c r="H178" s="485" t="str">
        <f t="shared" ca="1" si="31"/>
        <v>장기미수</v>
      </c>
      <c r="I178" s="481"/>
      <c r="J178" s="481"/>
      <c r="K178" s="482" t="s">
        <v>2231</v>
      </c>
      <c r="L178" s="482" t="s">
        <v>2232</v>
      </c>
      <c r="M178" s="483" t="s">
        <v>2239</v>
      </c>
      <c r="N178" s="483"/>
      <c r="O178" s="486"/>
      <c r="P178" s="486"/>
      <c r="Q178" s="482"/>
    </row>
    <row r="179" spans="1:17">
      <c r="A179" s="481">
        <v>45433</v>
      </c>
      <c r="B179" s="482" t="s">
        <v>2254</v>
      </c>
      <c r="C179" s="483" t="s">
        <v>2242</v>
      </c>
      <c r="D179" s="483" t="s">
        <v>326</v>
      </c>
      <c r="E179" s="483" t="s">
        <v>309</v>
      </c>
      <c r="F179" s="480">
        <f>48041200-15423595-28457807</f>
        <v>4159798</v>
      </c>
      <c r="G179" s="484">
        <f t="shared" ca="1" si="30"/>
        <v>741</v>
      </c>
      <c r="H179" s="485" t="str">
        <f t="shared" ca="1" si="31"/>
        <v>장기미수</v>
      </c>
      <c r="I179" s="481"/>
      <c r="J179" s="481"/>
      <c r="K179" s="482" t="s">
        <v>2231</v>
      </c>
      <c r="L179" s="482" t="s">
        <v>2232</v>
      </c>
      <c r="M179" s="483" t="s">
        <v>2239</v>
      </c>
      <c r="N179" s="483"/>
      <c r="O179" s="486"/>
      <c r="P179" s="486"/>
      <c r="Q179" s="482"/>
    </row>
    <row r="180" spans="1:17">
      <c r="A180" s="481">
        <v>45593</v>
      </c>
      <c r="B180" s="482" t="s">
        <v>2254</v>
      </c>
      <c r="C180" s="483" t="s">
        <v>2242</v>
      </c>
      <c r="D180" s="483" t="s">
        <v>326</v>
      </c>
      <c r="E180" s="483" t="s">
        <v>309</v>
      </c>
      <c r="F180" s="480">
        <v>8096900</v>
      </c>
      <c r="G180" s="484">
        <f t="shared" ca="1" si="30"/>
        <v>581</v>
      </c>
      <c r="H180" s="485" t="str">
        <f t="shared" ca="1" si="31"/>
        <v>장기미수</v>
      </c>
      <c r="I180" s="481"/>
      <c r="J180" s="481"/>
      <c r="K180" s="482" t="s">
        <v>2231</v>
      </c>
      <c r="L180" s="482" t="s">
        <v>2232</v>
      </c>
      <c r="M180" s="483" t="s">
        <v>2239</v>
      </c>
      <c r="N180" s="483"/>
      <c r="O180" s="486"/>
      <c r="P180" s="486"/>
      <c r="Q180" s="482"/>
    </row>
    <row r="181" spans="1:17">
      <c r="A181" s="481">
        <v>45455</v>
      </c>
      <c r="B181" s="482" t="s">
        <v>2254</v>
      </c>
      <c r="C181" s="483" t="s">
        <v>2242</v>
      </c>
      <c r="D181" s="483" t="s">
        <v>327</v>
      </c>
      <c r="E181" s="483" t="s">
        <v>309</v>
      </c>
      <c r="F181" s="480">
        <v>486000</v>
      </c>
      <c r="G181" s="484">
        <f t="shared" ca="1" si="30"/>
        <v>719</v>
      </c>
      <c r="H181" s="485" t="str">
        <f t="shared" ca="1" si="31"/>
        <v>장기미수</v>
      </c>
      <c r="I181" s="481"/>
      <c r="J181" s="481"/>
      <c r="K181" s="482" t="s">
        <v>2231</v>
      </c>
      <c r="L181" s="482" t="s">
        <v>2232</v>
      </c>
      <c r="M181" s="483" t="s">
        <v>2239</v>
      </c>
      <c r="N181" s="483"/>
      <c r="O181" s="486"/>
      <c r="P181" s="486"/>
      <c r="Q181" s="482"/>
    </row>
    <row r="182" spans="1:17">
      <c r="A182" s="481">
        <v>45456</v>
      </c>
      <c r="B182" s="482" t="s">
        <v>2254</v>
      </c>
      <c r="C182" s="483" t="s">
        <v>2242</v>
      </c>
      <c r="D182" s="483" t="s">
        <v>328</v>
      </c>
      <c r="E182" s="483" t="s">
        <v>309</v>
      </c>
      <c r="F182" s="480">
        <v>54866200</v>
      </c>
      <c r="G182" s="484">
        <f t="shared" ca="1" si="30"/>
        <v>718</v>
      </c>
      <c r="H182" s="485" t="str">
        <f t="shared" ca="1" si="31"/>
        <v>장기미수</v>
      </c>
      <c r="I182" s="481"/>
      <c r="J182" s="481"/>
      <c r="K182" s="482" t="s">
        <v>2231</v>
      </c>
      <c r="L182" s="482" t="s">
        <v>2232</v>
      </c>
      <c r="M182" s="483" t="s">
        <v>2239</v>
      </c>
      <c r="N182" s="483"/>
      <c r="O182" s="486"/>
      <c r="P182" s="486"/>
      <c r="Q182" s="482"/>
    </row>
    <row r="183" spans="1:17">
      <c r="A183" s="481">
        <v>45722</v>
      </c>
      <c r="B183" s="482" t="s">
        <v>2254</v>
      </c>
      <c r="C183" s="483" t="s">
        <v>856</v>
      </c>
      <c r="D183" s="483" t="s">
        <v>333</v>
      </c>
      <c r="E183" s="483" t="s">
        <v>309</v>
      </c>
      <c r="F183" s="480">
        <v>3479000</v>
      </c>
      <c r="G183" s="484">
        <f t="shared" ca="1" si="30"/>
        <v>452</v>
      </c>
      <c r="H183" s="485" t="str">
        <f t="shared" ca="1" si="31"/>
        <v>장기미수</v>
      </c>
      <c r="I183" s="481"/>
      <c r="J183" s="481"/>
      <c r="K183" s="482" t="s">
        <v>2231</v>
      </c>
      <c r="L183" s="482" t="s">
        <v>2232</v>
      </c>
      <c r="M183" s="483" t="s">
        <v>2243</v>
      </c>
      <c r="N183" s="483"/>
      <c r="O183" s="486"/>
      <c r="P183" s="486"/>
      <c r="Q183" s="482" t="s">
        <v>2244</v>
      </c>
    </row>
    <row r="184" spans="1:17">
      <c r="A184" s="481">
        <v>45727</v>
      </c>
      <c r="B184" s="482" t="s">
        <v>2254</v>
      </c>
      <c r="C184" s="483" t="s">
        <v>856</v>
      </c>
      <c r="D184" s="483" t="s">
        <v>334</v>
      </c>
      <c r="E184" s="483" t="s">
        <v>309</v>
      </c>
      <c r="F184" s="480">
        <v>5080000</v>
      </c>
      <c r="G184" s="484">
        <f t="shared" ca="1" si="30"/>
        <v>447</v>
      </c>
      <c r="H184" s="485" t="str">
        <f t="shared" ca="1" si="31"/>
        <v>장기미수</v>
      </c>
      <c r="I184" s="481"/>
      <c r="J184" s="481"/>
      <c r="K184" s="482" t="s">
        <v>2231</v>
      </c>
      <c r="L184" s="482" t="s">
        <v>2232</v>
      </c>
      <c r="M184" s="483" t="s">
        <v>2243</v>
      </c>
      <c r="N184" s="483"/>
      <c r="O184" s="486"/>
      <c r="P184" s="486"/>
      <c r="Q184" s="482" t="s">
        <v>2244</v>
      </c>
    </row>
    <row r="185" spans="1:17">
      <c r="A185" s="481">
        <v>45737</v>
      </c>
      <c r="B185" s="482" t="s">
        <v>2254</v>
      </c>
      <c r="C185" s="483" t="s">
        <v>856</v>
      </c>
      <c r="D185" s="483" t="s">
        <v>333</v>
      </c>
      <c r="E185" s="483" t="s">
        <v>309</v>
      </c>
      <c r="F185" s="480">
        <v>775500</v>
      </c>
      <c r="G185" s="484">
        <f t="shared" ca="1" si="30"/>
        <v>437</v>
      </c>
      <c r="H185" s="485" t="str">
        <f t="shared" ca="1" si="31"/>
        <v>장기미수</v>
      </c>
      <c r="I185" s="481"/>
      <c r="J185" s="481"/>
      <c r="K185" s="482" t="s">
        <v>2231</v>
      </c>
      <c r="L185" s="482" t="s">
        <v>2232</v>
      </c>
      <c r="M185" s="483" t="s">
        <v>2243</v>
      </c>
      <c r="N185" s="483"/>
      <c r="O185" s="486"/>
      <c r="P185" s="486"/>
      <c r="Q185" s="482" t="s">
        <v>2244</v>
      </c>
    </row>
    <row r="186" spans="1:17">
      <c r="A186" s="481">
        <v>45743</v>
      </c>
      <c r="B186" s="482" t="s">
        <v>2254</v>
      </c>
      <c r="C186" s="483" t="s">
        <v>856</v>
      </c>
      <c r="D186" s="483" t="s">
        <v>334</v>
      </c>
      <c r="E186" s="483" t="s">
        <v>309</v>
      </c>
      <c r="F186" s="480">
        <v>658000</v>
      </c>
      <c r="G186" s="484">
        <f t="shared" ca="1" si="30"/>
        <v>431</v>
      </c>
      <c r="H186" s="485" t="str">
        <f t="shared" ca="1" si="31"/>
        <v>장기미수</v>
      </c>
      <c r="I186" s="481"/>
      <c r="J186" s="481"/>
      <c r="K186" s="482" t="s">
        <v>2231</v>
      </c>
      <c r="L186" s="482" t="s">
        <v>2232</v>
      </c>
      <c r="M186" s="483" t="s">
        <v>2243</v>
      </c>
      <c r="N186" s="483"/>
      <c r="O186" s="486"/>
      <c r="P186" s="486"/>
      <c r="Q186" s="482" t="s">
        <v>2244</v>
      </c>
    </row>
    <row r="187" spans="1:17">
      <c r="A187" s="481">
        <v>45747</v>
      </c>
      <c r="B187" s="482" t="s">
        <v>2254</v>
      </c>
      <c r="C187" s="483" t="s">
        <v>856</v>
      </c>
      <c r="D187" s="483" t="s">
        <v>333</v>
      </c>
      <c r="E187" s="483" t="s">
        <v>309</v>
      </c>
      <c r="F187" s="480">
        <v>3126000</v>
      </c>
      <c r="G187" s="484">
        <f t="shared" ca="1" si="30"/>
        <v>427</v>
      </c>
      <c r="H187" s="485" t="str">
        <f t="shared" ca="1" si="31"/>
        <v>장기미수</v>
      </c>
      <c r="I187" s="481"/>
      <c r="J187" s="481"/>
      <c r="K187" s="482" t="s">
        <v>2231</v>
      </c>
      <c r="L187" s="482" t="s">
        <v>2232</v>
      </c>
      <c r="M187" s="483" t="s">
        <v>2243</v>
      </c>
      <c r="N187" s="483"/>
      <c r="O187" s="486"/>
      <c r="P187" s="486"/>
      <c r="Q187" s="482" t="s">
        <v>2244</v>
      </c>
    </row>
    <row r="188" spans="1:17">
      <c r="A188" s="481">
        <v>45747</v>
      </c>
      <c r="B188" s="482" t="s">
        <v>2254</v>
      </c>
      <c r="C188" s="483" t="s">
        <v>856</v>
      </c>
      <c r="D188" s="483" t="s">
        <v>335</v>
      </c>
      <c r="E188" s="483" t="s">
        <v>309</v>
      </c>
      <c r="F188" s="480">
        <v>329000</v>
      </c>
      <c r="G188" s="484">
        <f t="shared" ca="1" si="30"/>
        <v>427</v>
      </c>
      <c r="H188" s="485" t="str">
        <f t="shared" ca="1" si="31"/>
        <v>장기미수</v>
      </c>
      <c r="I188" s="481"/>
      <c r="J188" s="481"/>
      <c r="K188" s="482" t="s">
        <v>2231</v>
      </c>
      <c r="L188" s="482" t="s">
        <v>2232</v>
      </c>
      <c r="M188" s="483" t="s">
        <v>2243</v>
      </c>
      <c r="N188" s="483"/>
      <c r="O188" s="486"/>
      <c r="P188" s="486"/>
      <c r="Q188" s="482" t="s">
        <v>2244</v>
      </c>
    </row>
    <row r="189" spans="1:17">
      <c r="A189" s="481">
        <v>45748</v>
      </c>
      <c r="B189" s="482" t="s">
        <v>2254</v>
      </c>
      <c r="C189" s="483" t="s">
        <v>856</v>
      </c>
      <c r="D189" s="483" t="s">
        <v>335</v>
      </c>
      <c r="E189" s="483" t="s">
        <v>309</v>
      </c>
      <c r="F189" s="480">
        <v>3066000</v>
      </c>
      <c r="G189" s="484">
        <f t="shared" ca="1" si="30"/>
        <v>426</v>
      </c>
      <c r="H189" s="485" t="str">
        <f t="shared" ca="1" si="31"/>
        <v>장기미수</v>
      </c>
      <c r="I189" s="481"/>
      <c r="J189" s="481"/>
      <c r="K189" s="482" t="s">
        <v>2231</v>
      </c>
      <c r="L189" s="482" t="s">
        <v>2232</v>
      </c>
      <c r="M189" s="483" t="s">
        <v>2243</v>
      </c>
      <c r="N189" s="483"/>
      <c r="O189" s="486"/>
      <c r="P189" s="486"/>
      <c r="Q189" s="482" t="s">
        <v>2244</v>
      </c>
    </row>
    <row r="190" spans="1:17">
      <c r="A190" s="481">
        <v>45750</v>
      </c>
      <c r="B190" s="482" t="s">
        <v>2254</v>
      </c>
      <c r="C190" s="483" t="s">
        <v>856</v>
      </c>
      <c r="D190" s="483" t="s">
        <v>333</v>
      </c>
      <c r="E190" s="483" t="s">
        <v>309</v>
      </c>
      <c r="F190" s="480">
        <v>474000</v>
      </c>
      <c r="G190" s="484">
        <f t="shared" ca="1" si="30"/>
        <v>424</v>
      </c>
      <c r="H190" s="485" t="str">
        <f t="shared" ca="1" si="31"/>
        <v>장기미수</v>
      </c>
      <c r="I190" s="481"/>
      <c r="J190" s="481"/>
      <c r="K190" s="482" t="s">
        <v>2231</v>
      </c>
      <c r="L190" s="482" t="s">
        <v>2232</v>
      </c>
      <c r="M190" s="483" t="s">
        <v>2243</v>
      </c>
      <c r="N190" s="483"/>
      <c r="O190" s="486"/>
      <c r="P190" s="486"/>
      <c r="Q190" s="482" t="s">
        <v>2244</v>
      </c>
    </row>
    <row r="191" spans="1:17">
      <c r="A191" s="481">
        <v>45771</v>
      </c>
      <c r="B191" s="482" t="s">
        <v>2254</v>
      </c>
      <c r="C191" s="483" t="s">
        <v>856</v>
      </c>
      <c r="D191" s="483" t="s">
        <v>335</v>
      </c>
      <c r="E191" s="483" t="s">
        <v>309</v>
      </c>
      <c r="F191" s="480">
        <v>4867000</v>
      </c>
      <c r="G191" s="484">
        <f t="shared" ca="1" si="30"/>
        <v>403</v>
      </c>
      <c r="H191" s="485" t="str">
        <f t="shared" ca="1" si="31"/>
        <v>장기미수</v>
      </c>
      <c r="I191" s="481"/>
      <c r="J191" s="481"/>
      <c r="K191" s="482" t="s">
        <v>2231</v>
      </c>
      <c r="L191" s="482" t="s">
        <v>2232</v>
      </c>
      <c r="M191" s="483" t="s">
        <v>2243</v>
      </c>
      <c r="N191" s="483"/>
      <c r="O191" s="486"/>
      <c r="P191" s="486"/>
      <c r="Q191" s="482" t="s">
        <v>2244</v>
      </c>
    </row>
    <row r="192" spans="1:17">
      <c r="A192" s="481">
        <v>45785</v>
      </c>
      <c r="B192" s="482" t="s">
        <v>2254</v>
      </c>
      <c r="C192" s="483" t="s">
        <v>856</v>
      </c>
      <c r="D192" s="483" t="s">
        <v>335</v>
      </c>
      <c r="E192" s="483" t="s">
        <v>309</v>
      </c>
      <c r="F192" s="480">
        <v>607500</v>
      </c>
      <c r="G192" s="484">
        <f t="shared" ca="1" si="30"/>
        <v>389</v>
      </c>
      <c r="H192" s="485" t="str">
        <f t="shared" ca="1" si="31"/>
        <v>장기미수</v>
      </c>
      <c r="I192" s="481"/>
      <c r="J192" s="481"/>
      <c r="K192" s="482" t="s">
        <v>2231</v>
      </c>
      <c r="L192" s="482" t="s">
        <v>2232</v>
      </c>
      <c r="M192" s="483" t="s">
        <v>2243</v>
      </c>
      <c r="N192" s="483"/>
      <c r="O192" s="486"/>
      <c r="P192" s="486"/>
      <c r="Q192" s="482" t="s">
        <v>2244</v>
      </c>
    </row>
    <row r="193" spans="1:17">
      <c r="A193" s="481">
        <v>45806</v>
      </c>
      <c r="B193" s="482" t="s">
        <v>2254</v>
      </c>
      <c r="C193" s="483" t="s">
        <v>856</v>
      </c>
      <c r="D193" s="483" t="s">
        <v>333</v>
      </c>
      <c r="E193" s="483" t="s">
        <v>309</v>
      </c>
      <c r="F193" s="480">
        <v>3253400</v>
      </c>
      <c r="G193" s="484">
        <f t="shared" ca="1" si="30"/>
        <v>368</v>
      </c>
      <c r="H193" s="485" t="str">
        <f t="shared" ca="1" si="31"/>
        <v>장기미수</v>
      </c>
      <c r="I193" s="481"/>
      <c r="J193" s="481"/>
      <c r="K193" s="482" t="s">
        <v>2231</v>
      </c>
      <c r="L193" s="482" t="s">
        <v>2232</v>
      </c>
      <c r="M193" s="483" t="s">
        <v>2243</v>
      </c>
      <c r="N193" s="483"/>
      <c r="O193" s="486"/>
      <c r="P193" s="486"/>
      <c r="Q193" s="482" t="s">
        <v>2244</v>
      </c>
    </row>
    <row r="194" spans="1:17">
      <c r="A194" s="481">
        <v>45818</v>
      </c>
      <c r="B194" s="482" t="s">
        <v>2254</v>
      </c>
      <c r="C194" s="483" t="s">
        <v>856</v>
      </c>
      <c r="D194" s="483" t="s">
        <v>333</v>
      </c>
      <c r="E194" s="483" t="s">
        <v>309</v>
      </c>
      <c r="F194" s="480">
        <v>2426000</v>
      </c>
      <c r="G194" s="484">
        <f t="shared" ca="1" si="30"/>
        <v>356</v>
      </c>
      <c r="H194" s="485" t="str">
        <f t="shared" ca="1" si="31"/>
        <v>장기미수</v>
      </c>
      <c r="I194" s="481"/>
      <c r="J194" s="481"/>
      <c r="K194" s="482" t="s">
        <v>2231</v>
      </c>
      <c r="L194" s="482" t="s">
        <v>2232</v>
      </c>
      <c r="M194" s="483" t="s">
        <v>2243</v>
      </c>
      <c r="N194" s="483"/>
      <c r="O194" s="486"/>
      <c r="P194" s="486"/>
      <c r="Q194" s="482" t="s">
        <v>2244</v>
      </c>
    </row>
    <row r="195" spans="1:17">
      <c r="A195" s="481">
        <v>45848</v>
      </c>
      <c r="B195" s="482" t="s">
        <v>2254</v>
      </c>
      <c r="C195" s="483" t="s">
        <v>856</v>
      </c>
      <c r="D195" s="483" t="s">
        <v>333</v>
      </c>
      <c r="E195" s="483" t="s">
        <v>309</v>
      </c>
      <c r="F195" s="480">
        <v>2390000</v>
      </c>
      <c r="G195" s="484">
        <f t="shared" ca="1" si="30"/>
        <v>326</v>
      </c>
      <c r="H195" s="485" t="str">
        <f t="shared" ca="1" si="31"/>
        <v>장기미수</v>
      </c>
      <c r="I195" s="481"/>
      <c r="J195" s="481"/>
      <c r="K195" s="482" t="s">
        <v>2231</v>
      </c>
      <c r="L195" s="482" t="s">
        <v>2232</v>
      </c>
      <c r="M195" s="483" t="s">
        <v>2243</v>
      </c>
      <c r="N195" s="483"/>
      <c r="O195" s="486"/>
      <c r="P195" s="486"/>
      <c r="Q195" s="482" t="s">
        <v>2244</v>
      </c>
    </row>
    <row r="196" spans="1:17">
      <c r="A196" s="481">
        <v>45870</v>
      </c>
      <c r="B196" s="482" t="s">
        <v>2254</v>
      </c>
      <c r="C196" s="483" t="s">
        <v>856</v>
      </c>
      <c r="D196" s="483" t="s">
        <v>333</v>
      </c>
      <c r="E196" s="483" t="s">
        <v>309</v>
      </c>
      <c r="F196" s="480">
        <v>432000</v>
      </c>
      <c r="G196" s="484">
        <f t="shared" ca="1" si="30"/>
        <v>304</v>
      </c>
      <c r="H196" s="485" t="str">
        <f t="shared" ca="1" si="31"/>
        <v>장기미수</v>
      </c>
      <c r="I196" s="481"/>
      <c r="J196" s="481"/>
      <c r="K196" s="482" t="s">
        <v>2231</v>
      </c>
      <c r="L196" s="482" t="s">
        <v>2232</v>
      </c>
      <c r="M196" s="483" t="s">
        <v>2243</v>
      </c>
      <c r="N196" s="483"/>
      <c r="O196" s="486"/>
      <c r="P196" s="486"/>
      <c r="Q196" s="482" t="s">
        <v>2244</v>
      </c>
    </row>
    <row r="197" spans="1:17">
      <c r="A197" s="481">
        <v>45799</v>
      </c>
      <c r="B197" s="482" t="s">
        <v>2254</v>
      </c>
      <c r="C197" s="483" t="s">
        <v>870</v>
      </c>
      <c r="D197" s="483" t="s">
        <v>2245</v>
      </c>
      <c r="E197" s="483" t="s">
        <v>309</v>
      </c>
      <c r="F197" s="480">
        <v>727</v>
      </c>
      <c r="G197" s="484">
        <f t="shared" ca="1" si="30"/>
        <v>375</v>
      </c>
      <c r="H197" s="485" t="str">
        <f t="shared" ca="1" si="31"/>
        <v>장기미수</v>
      </c>
      <c r="I197" s="481"/>
      <c r="J197" s="481"/>
      <c r="K197" s="482"/>
      <c r="L197" s="482" t="s">
        <v>2232</v>
      </c>
      <c r="M197" s="483"/>
      <c r="N197" s="483" t="s">
        <v>2246</v>
      </c>
      <c r="O197" s="486"/>
      <c r="P197" s="486"/>
      <c r="Q197" s="482"/>
    </row>
    <row r="198" spans="1:17">
      <c r="A198" s="481">
        <v>45875</v>
      </c>
      <c r="B198" s="482" t="s">
        <v>2254</v>
      </c>
      <c r="C198" s="483" t="s">
        <v>390</v>
      </c>
      <c r="D198" s="483" t="s">
        <v>337</v>
      </c>
      <c r="E198" s="483" t="s">
        <v>309</v>
      </c>
      <c r="F198" s="480">
        <v>37830200</v>
      </c>
      <c r="G198" s="484">
        <f t="shared" ca="1" si="30"/>
        <v>299</v>
      </c>
      <c r="H198" s="485" t="str">
        <f t="shared" ca="1" si="31"/>
        <v>장기미수</v>
      </c>
      <c r="I198" s="481">
        <v>46112</v>
      </c>
      <c r="J198" s="481"/>
      <c r="K198" s="482" t="s">
        <v>2231</v>
      </c>
      <c r="L198" s="482" t="s">
        <v>2232</v>
      </c>
      <c r="M198" s="483" t="s">
        <v>2247</v>
      </c>
      <c r="N198" s="483" t="s">
        <v>2248</v>
      </c>
      <c r="O198" s="481">
        <v>46062</v>
      </c>
      <c r="P198" s="482" t="s">
        <v>2244</v>
      </c>
      <c r="Q198" s="482"/>
    </row>
    <row r="199" spans="1:17">
      <c r="A199" s="481">
        <v>45897</v>
      </c>
      <c r="B199" s="482" t="s">
        <v>2254</v>
      </c>
      <c r="C199" s="483" t="s">
        <v>2249</v>
      </c>
      <c r="D199" s="483" t="s">
        <v>339</v>
      </c>
      <c r="E199" s="483" t="s">
        <v>309</v>
      </c>
      <c r="F199" s="480">
        <v>17970118</v>
      </c>
      <c r="G199" s="484">
        <f t="shared" ca="1" si="30"/>
        <v>277</v>
      </c>
      <c r="H199" s="485" t="str">
        <f t="shared" ca="1" si="31"/>
        <v>장기미수</v>
      </c>
      <c r="I199" s="481">
        <v>46081</v>
      </c>
      <c r="J199" s="481"/>
      <c r="K199" s="482" t="s">
        <v>2231</v>
      </c>
      <c r="L199" s="482" t="s">
        <v>2232</v>
      </c>
      <c r="M199" s="483" t="s">
        <v>2250</v>
      </c>
      <c r="N199" s="483" t="s">
        <v>2251</v>
      </c>
      <c r="O199" s="481">
        <v>46029</v>
      </c>
      <c r="P199" s="481">
        <v>46081</v>
      </c>
      <c r="Q199" s="482"/>
    </row>
    <row r="200" spans="1:17">
      <c r="A200" s="481">
        <v>45902</v>
      </c>
      <c r="B200" s="482" t="s">
        <v>2254</v>
      </c>
      <c r="C200" s="483" t="s">
        <v>2249</v>
      </c>
      <c r="D200" s="483" t="s">
        <v>339</v>
      </c>
      <c r="E200" s="483" t="s">
        <v>309</v>
      </c>
      <c r="F200" s="480">
        <v>2331400</v>
      </c>
      <c r="G200" s="484">
        <f t="shared" ca="1" si="30"/>
        <v>272</v>
      </c>
      <c r="H200" s="485" t="str">
        <f t="shared" ca="1" si="31"/>
        <v>장기미수</v>
      </c>
      <c r="I200" s="481">
        <v>46081</v>
      </c>
      <c r="J200" s="481"/>
      <c r="K200" s="482" t="s">
        <v>2231</v>
      </c>
      <c r="L200" s="482" t="s">
        <v>2232</v>
      </c>
      <c r="M200" s="483" t="s">
        <v>2250</v>
      </c>
      <c r="N200" s="483" t="s">
        <v>2252</v>
      </c>
      <c r="O200" s="481">
        <v>46029</v>
      </c>
      <c r="P200" s="481">
        <v>46081</v>
      </c>
      <c r="Q200" s="482"/>
    </row>
    <row r="201" spans="1:17">
      <c r="A201" s="481">
        <v>45947</v>
      </c>
      <c r="B201" s="482" t="s">
        <v>2254</v>
      </c>
      <c r="C201" s="483" t="s">
        <v>2249</v>
      </c>
      <c r="D201" s="483" t="s">
        <v>339</v>
      </c>
      <c r="E201" s="483" t="s">
        <v>309</v>
      </c>
      <c r="F201" s="480">
        <v>6300000</v>
      </c>
      <c r="G201" s="484">
        <f t="shared" ca="1" si="30"/>
        <v>227</v>
      </c>
      <c r="H201" s="485" t="str">
        <f t="shared" ca="1" si="31"/>
        <v>장기미수</v>
      </c>
      <c r="I201" s="481">
        <v>46081</v>
      </c>
      <c r="J201" s="481"/>
      <c r="K201" s="482" t="s">
        <v>2231</v>
      </c>
      <c r="L201" s="482" t="s">
        <v>2232</v>
      </c>
      <c r="M201" s="483" t="s">
        <v>2250</v>
      </c>
      <c r="N201" s="483"/>
      <c r="O201" s="481">
        <v>46029</v>
      </c>
      <c r="P201" s="481">
        <v>46081</v>
      </c>
      <c r="Q201" s="482"/>
    </row>
    <row r="202" spans="1:17">
      <c r="A202" s="481">
        <v>45958</v>
      </c>
      <c r="B202" s="482" t="s">
        <v>2254</v>
      </c>
      <c r="C202" s="483" t="s">
        <v>2249</v>
      </c>
      <c r="D202" s="483" t="s">
        <v>347</v>
      </c>
      <c r="E202" s="483" t="s">
        <v>309</v>
      </c>
      <c r="F202" s="480">
        <v>-9744900</v>
      </c>
      <c r="G202" s="484">
        <f t="shared" ca="1" si="30"/>
        <v>216</v>
      </c>
      <c r="H202" s="485" t="str">
        <f t="shared" ca="1" si="31"/>
        <v>장기미수</v>
      </c>
      <c r="I202" s="481">
        <v>46081</v>
      </c>
      <c r="J202" s="481"/>
      <c r="K202" s="482"/>
      <c r="L202" s="482" t="s">
        <v>2232</v>
      </c>
      <c r="M202" s="483" t="s">
        <v>2250</v>
      </c>
      <c r="N202" s="483"/>
      <c r="O202" s="481">
        <v>46029</v>
      </c>
      <c r="P202" s="481">
        <v>46081</v>
      </c>
      <c r="Q202" s="482"/>
    </row>
    <row r="203" spans="1:17">
      <c r="A203" s="481">
        <v>45705</v>
      </c>
      <c r="B203" s="482" t="s">
        <v>823</v>
      </c>
      <c r="C203" s="483" t="s">
        <v>2242</v>
      </c>
      <c r="D203" s="483" t="s">
        <v>271</v>
      </c>
      <c r="E203" s="483" t="s">
        <v>2241</v>
      </c>
      <c r="F203" s="480">
        <v>1632000</v>
      </c>
      <c r="G203" s="484">
        <f t="shared" ca="1" si="30"/>
        <v>469</v>
      </c>
      <c r="H203" s="485" t="str">
        <f t="shared" ca="1" si="31"/>
        <v>장기미수</v>
      </c>
      <c r="I203" s="481"/>
      <c r="J203" s="481"/>
      <c r="K203" s="482" t="s">
        <v>2231</v>
      </c>
      <c r="L203" s="482" t="s">
        <v>2232</v>
      </c>
      <c r="M203" s="483" t="s">
        <v>2239</v>
      </c>
      <c r="N203" s="483"/>
      <c r="O203" s="486"/>
      <c r="P203" s="486"/>
      <c r="Q203" s="482"/>
    </row>
    <row r="204" spans="1:17">
      <c r="A204" s="481">
        <v>45840</v>
      </c>
      <c r="B204" s="482" t="s">
        <v>823</v>
      </c>
      <c r="C204" s="483" t="s">
        <v>2242</v>
      </c>
      <c r="D204" s="483" t="s">
        <v>273</v>
      </c>
      <c r="E204" s="483" t="s">
        <v>2241</v>
      </c>
      <c r="F204" s="480">
        <v>5380000</v>
      </c>
      <c r="G204" s="484">
        <f t="shared" ca="1" si="30"/>
        <v>334</v>
      </c>
      <c r="H204" s="485" t="str">
        <f t="shared" ca="1" si="31"/>
        <v>장기미수</v>
      </c>
      <c r="I204" s="481"/>
      <c r="J204" s="481"/>
      <c r="K204" s="482" t="s">
        <v>2231</v>
      </c>
      <c r="L204" s="482" t="s">
        <v>2232</v>
      </c>
      <c r="M204" s="483" t="s">
        <v>2239</v>
      </c>
      <c r="N204" s="483"/>
      <c r="O204" s="486"/>
      <c r="P204" s="486"/>
      <c r="Q204" s="482"/>
    </row>
    <row r="205" spans="1:17">
      <c r="A205" s="481">
        <v>45840</v>
      </c>
      <c r="B205" s="482" t="s">
        <v>823</v>
      </c>
      <c r="C205" s="483" t="s">
        <v>2242</v>
      </c>
      <c r="D205" s="483" t="s">
        <v>275</v>
      </c>
      <c r="E205" s="483" t="s">
        <v>2241</v>
      </c>
      <c r="F205" s="480">
        <v>765000</v>
      </c>
      <c r="G205" s="484">
        <f t="shared" ca="1" si="30"/>
        <v>334</v>
      </c>
      <c r="H205" s="485" t="str">
        <f t="shared" ca="1" si="31"/>
        <v>장기미수</v>
      </c>
      <c r="I205" s="481"/>
      <c r="J205" s="481"/>
      <c r="K205" s="482" t="s">
        <v>2231</v>
      </c>
      <c r="L205" s="482" t="s">
        <v>2232</v>
      </c>
      <c r="M205" s="483" t="s">
        <v>2239</v>
      </c>
      <c r="N205" s="483"/>
      <c r="O205" s="486"/>
      <c r="P205" s="486"/>
      <c r="Q205" s="482"/>
    </row>
    <row r="206" spans="1:17">
      <c r="A206" s="481">
        <v>45889</v>
      </c>
      <c r="B206" s="482" t="s">
        <v>823</v>
      </c>
      <c r="C206" s="483" t="s">
        <v>2242</v>
      </c>
      <c r="D206" s="483" t="s">
        <v>277</v>
      </c>
      <c r="E206" s="483" t="s">
        <v>2241</v>
      </c>
      <c r="F206" s="480">
        <v>2738900</v>
      </c>
      <c r="G206" s="484">
        <f t="shared" ca="1" si="30"/>
        <v>285</v>
      </c>
      <c r="H206" s="485" t="str">
        <f t="shared" ca="1" si="31"/>
        <v>장기미수</v>
      </c>
      <c r="I206" s="481"/>
      <c r="J206" s="481"/>
      <c r="K206" s="482" t="s">
        <v>2231</v>
      </c>
      <c r="L206" s="482" t="s">
        <v>2232</v>
      </c>
      <c r="M206" s="483" t="s">
        <v>2239</v>
      </c>
      <c r="N206" s="483"/>
      <c r="O206" s="486"/>
      <c r="P206" s="486"/>
      <c r="Q206" s="482"/>
    </row>
  </sheetData>
  <autoFilter ref="A170:AY206"/>
  <mergeCells count="82">
    <mergeCell ref="AJ3:AM3"/>
    <mergeCell ref="AN3:AQ3"/>
    <mergeCell ref="AR3:AR4"/>
    <mergeCell ref="AW3:AY3"/>
    <mergeCell ref="A24:E24"/>
    <mergeCell ref="F24:J24"/>
    <mergeCell ref="K24:O24"/>
    <mergeCell ref="P24:Q24"/>
    <mergeCell ref="R24:V25"/>
    <mergeCell ref="A3:F3"/>
    <mergeCell ref="G3:K3"/>
    <mergeCell ref="L3:P3"/>
    <mergeCell ref="Q3:U3"/>
    <mergeCell ref="W3:AD3"/>
    <mergeCell ref="R26:V26"/>
    <mergeCell ref="R27:V27"/>
    <mergeCell ref="R28:V28"/>
    <mergeCell ref="R29:V29"/>
    <mergeCell ref="R30:V30"/>
    <mergeCell ref="R31:V31"/>
    <mergeCell ref="R32:V32"/>
    <mergeCell ref="R33:V33"/>
    <mergeCell ref="R34:V34"/>
    <mergeCell ref="R35:V35"/>
    <mergeCell ref="R36:V36"/>
    <mergeCell ref="R37:V37"/>
    <mergeCell ref="R38:V38"/>
    <mergeCell ref="R39:V39"/>
    <mergeCell ref="R40:V40"/>
    <mergeCell ref="R41:V41"/>
    <mergeCell ref="R42:V42"/>
    <mergeCell ref="R43:V43"/>
    <mergeCell ref="R44:V44"/>
    <mergeCell ref="R45:V45"/>
    <mergeCell ref="R46:V46"/>
    <mergeCell ref="R47:V47"/>
    <mergeCell ref="R48:V48"/>
    <mergeCell ref="R49:V49"/>
    <mergeCell ref="R50:V50"/>
    <mergeCell ref="R51:V51"/>
    <mergeCell ref="R52:V52"/>
    <mergeCell ref="R53:V53"/>
    <mergeCell ref="R54:V54"/>
    <mergeCell ref="R55:V55"/>
    <mergeCell ref="R56:V56"/>
    <mergeCell ref="R57:V57"/>
    <mergeCell ref="R58:V58"/>
    <mergeCell ref="R59:V59"/>
    <mergeCell ref="R60:V60"/>
    <mergeCell ref="R61:V61"/>
    <mergeCell ref="R62:V62"/>
    <mergeCell ref="R63:V63"/>
    <mergeCell ref="A66:F66"/>
    <mergeCell ref="G66:K66"/>
    <mergeCell ref="L66:V66"/>
    <mergeCell ref="W66:AB66"/>
    <mergeCell ref="G67:H67"/>
    <mergeCell ref="I67:J67"/>
    <mergeCell ref="L67:M67"/>
    <mergeCell ref="N67:O67"/>
    <mergeCell ref="N68:O70"/>
    <mergeCell ref="A68:A70"/>
    <mergeCell ref="B68:B70"/>
    <mergeCell ref="C68:C70"/>
    <mergeCell ref="D68:D70"/>
    <mergeCell ref="E68:E70"/>
    <mergeCell ref="Y69:Y70"/>
    <mergeCell ref="U68:U70"/>
    <mergeCell ref="V68:V70"/>
    <mergeCell ref="W68:W70"/>
    <mergeCell ref="F69:F70"/>
    <mergeCell ref="G69:H70"/>
    <mergeCell ref="I69:J70"/>
    <mergeCell ref="P68:P70"/>
    <mergeCell ref="Q68:Q70"/>
    <mergeCell ref="R68:R70"/>
    <mergeCell ref="S68:S70"/>
    <mergeCell ref="T68:T70"/>
    <mergeCell ref="G68:H68"/>
    <mergeCell ref="I68:J68"/>
    <mergeCell ref="K68:K70"/>
    <mergeCell ref="L68:M70"/>
  </mergeCells>
  <phoneticPr fontId="46" type="noConversion"/>
  <conditionalFormatting sqref="B26:D46">
    <cfRule type="expression" dxfId="66" priority="21">
      <formula>$J26&gt;0</formula>
    </cfRule>
    <cfRule type="expression" dxfId="65" priority="22">
      <formula>$O26&gt;0</formula>
    </cfRule>
  </conditionalFormatting>
  <conditionalFormatting sqref="B63:D63">
    <cfRule type="expression" dxfId="64" priority="13">
      <formula>$J63&gt;0</formula>
    </cfRule>
    <cfRule type="expression" dxfId="63" priority="14">
      <formula>$O63&gt;0</formula>
    </cfRule>
  </conditionalFormatting>
  <conditionalFormatting sqref="B68:F68 F69">
    <cfRule type="expression" dxfId="62" priority="25">
      <formula>#REF!&gt;0</formula>
    </cfRule>
    <cfRule type="expression" dxfId="61" priority="26">
      <formula>$AC68&gt;0</formula>
    </cfRule>
  </conditionalFormatting>
  <conditionalFormatting sqref="G121">
    <cfRule type="cellIs" dxfId="60" priority="7" operator="greaterThan">
      <formula>0</formula>
    </cfRule>
  </conditionalFormatting>
  <conditionalFormatting sqref="G75:H120">
    <cfRule type="cellIs" dxfId="59" priority="8" operator="greaterThan">
      <formula>0</formula>
    </cfRule>
  </conditionalFormatting>
  <conditionalFormatting sqref="H121 G122:H122 G124:H163 G123">
    <cfRule type="cellIs" dxfId="58" priority="9" operator="greaterThan">
      <formula>0</formula>
    </cfRule>
  </conditionalFormatting>
  <conditionalFormatting sqref="J26:J28 O26:O28">
    <cfRule type="cellIs" dxfId="57" priority="24" operator="greaterThan">
      <formula>0</formula>
    </cfRule>
  </conditionalFormatting>
  <conditionalFormatting sqref="J29 O29">
    <cfRule type="cellIs" dxfId="56" priority="23" operator="greaterThan">
      <formula>0</formula>
    </cfRule>
  </conditionalFormatting>
  <conditionalFormatting sqref="O63">
    <cfRule type="cellIs" dxfId="55" priority="16" operator="greaterThan">
      <formula>0</formula>
    </cfRule>
  </conditionalFormatting>
  <conditionalFormatting sqref="O30:O50 O52:O62 J30:J62">
    <cfRule type="cellIs" dxfId="54" priority="20" operator="greaterThan">
      <formula>0</formula>
    </cfRule>
  </conditionalFormatting>
  <conditionalFormatting sqref="P26:P63">
    <cfRule type="cellIs" dxfId="53" priority="19" operator="greaterThan">
      <formula>0</formula>
    </cfRule>
  </conditionalFormatting>
  <conditionalFormatting sqref="Q26:Q62">
    <cfRule type="cellIs" dxfId="52" priority="18" operator="greaterThan">
      <formula>0</formula>
    </cfRule>
  </conditionalFormatting>
  <conditionalFormatting sqref="Q63">
    <cfRule type="cellIs" dxfId="51" priority="15" operator="greaterThan">
      <formula>0</formula>
    </cfRule>
  </conditionalFormatting>
  <conditionalFormatting sqref="AB68:AE71">
    <cfRule type="cellIs" dxfId="50" priority="17" operator="greaterThan">
      <formula>0</formula>
    </cfRule>
  </conditionalFormatting>
  <conditionalFormatting sqref="J63">
    <cfRule type="cellIs" dxfId="49" priority="6" operator="greaterThan">
      <formula>0</formula>
    </cfRule>
  </conditionalFormatting>
  <conditionalFormatting sqref="H123">
    <cfRule type="cellIs" dxfId="48" priority="5" operator="greaterThan">
      <formula>0</formula>
    </cfRule>
  </conditionalFormatting>
  <conditionalFormatting sqref="D203:D206 C198">
    <cfRule type="expression" dxfId="47" priority="4">
      <formula>$H198="잔금"</formula>
    </cfRule>
  </conditionalFormatting>
  <conditionalFormatting sqref="C176">
    <cfRule type="expression" dxfId="46" priority="2">
      <formula>$H176="잔금"</formula>
    </cfRule>
  </conditionalFormatting>
  <dataValidations count="3">
    <dataValidation type="list" allowBlank="1" sqref="E171:E206">
      <formula1>"선급금,중도금,잔금,자재,특허료"</formula1>
    </dataValidation>
    <dataValidation type="list" allowBlank="1" sqref="L171:L206">
      <formula1>"Y,N"</formula1>
    </dataValidation>
    <dataValidation type="list" allowBlank="1" sqref="B171:B206">
      <formula1>"A,B,C"</formula1>
    </dataValidation>
  </dataValidations>
  <pageMargins left="0.7" right="0.7" top="0.75" bottom="0.75" header="0.511811023622047" footer="0.511811023622047"/>
  <pageSetup paperSize="9" orientation="portrait" horizontalDpi="300" verticalDpi="300" r:id="rId1"/>
  <ignoredErrors>
    <ignoredError sqref="AR14:AR21" formulaRange="1"/>
    <ignoredError sqref="E135:F135" formula="1"/>
  </ignoredErrors>
  <legacyDrawing r:id="rId2"/>
  <tableParts count="3">
    <tablePart r:id="rId3"/>
    <tablePart r:id="rId4"/>
    <tablePart r:id="rId5"/>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대시보드</vt:lpstr>
      <vt:lpstr>컨설팅</vt:lpstr>
      <vt:lpstr>기술자문료</vt:lpstr>
      <vt:lpstr>특허료</vt:lpstr>
      <vt:lpstr>자재판매</vt:lpstr>
      <vt:lpstr>2025현장 미수금관리</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나영 신</dc:creator>
  <dc:description/>
  <cp:lastModifiedBy>User</cp:lastModifiedBy>
  <cp:revision>0</cp:revision>
  <cp:lastPrinted>2026-01-07T08:23:18Z</cp:lastPrinted>
  <dcterms:created xsi:type="dcterms:W3CDTF">2025-12-24T04:07:57Z</dcterms:created>
  <dcterms:modified xsi:type="dcterms:W3CDTF">2026-06-01T05:55:20Z</dcterms:modified>
  <dc:language>en-US</dc:language>
</cp:coreProperties>
</file>