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D100" i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<sst xmlns="http://schemas.openxmlformats.org/spreadsheetml/2006/main" count="566" uniqueCount="165">
  <si>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</si>
  <si>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</si>
  <si>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</si>
  <si>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</si>
  <si>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</si>
  <si>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</si>
  <si>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</si>
  <si>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</si>
  <si>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</si>
  <si>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</si>
  <si>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</si>
  <si>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</si>
  <si>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</si>
  <si>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</si>
  <si>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</si>
  <si>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</si>
  <si>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</si>
  <si>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</si>
  <si>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</si>
  <si>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</si>
  <si>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</si>
  <si>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</si>
  <si>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</si>
  <si>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</si>
  <si>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</si>
  <si>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</si>
  <si>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</si>
  <si>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</si>
  <si>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</si>
  <si>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</si>
  <si>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</si>
  <si>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</si>
  <si>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</si>
  <si>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</si>
  <si>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</si>
  <si>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</si>
  <si>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</si>
  <si>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</si>
  <si>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</si>
  <si>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</si>
  <si>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</si>
  <si>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합판보수 관련 비용 협의 없이 차감_협의예정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</si>
  <si>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</si>
  <si>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</si>
  <si>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</si>
  <si>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</si>
  <si>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</si>
  <si>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</si>
  <si>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</si>
  <si>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</si>
  <si>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</si>
  <si>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</si>
  <si>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</si>
  <si>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</si>
  <si>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</si>
  <si>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</si>
  <si>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</si>
  <si>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</si>
  <si>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</si>
  <si>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</si>
  <si>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</si>
  <si>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</si>
  <si>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</si>
  <si>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</si>
  <si>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</si>
  <si>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</si>
  <si>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</si>
  <si>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</si>
  <si>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</si>
  <si>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</si>
  <si>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</si>
  <si>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</si>
  <si>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</si>
  <si>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</si>
  <si>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</si>
  <si>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</si>
  <si>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</si>
  <si>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</si>
  <si>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</si>
  <si>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</si>
  <si>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</si>
  <si>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</si>
  <si>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양산유탑유블레스 ( 에폭시 )</t>
  </si>
  <si>
    <t>자재대금 2달 후 정산 협의</t>
  </si>
  <si>
    <t>경기이앤에스(주)</t>
  </si>
  <si>
    <t>연향금호타운 ( 에폭시 )</t>
  </si>
  <si>
    <t>남양산역반도유보라아이파크5차</t>
  </si>
  <si>
    <t>잠실리센츠 ( 에폭시 )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</si>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</sst>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</cellXfs>
  <cellStyles count="1">
    <cellStyle name="표준" xfId="0" builtinId="0"/>
  </cellStyles>
  <dxfs count="5"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J16" sqref="J16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138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266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157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116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157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/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246</v>
      </c>
      <c r="J6" s="13" t="str">
        <f t="shared" ca="1" si="2"/>
        <v>장기미수</v>
      </c>
      <c r="K6" s="11">
        <v>46203</v>
      </c>
      <c r="L6" s="11"/>
      <c r="M6" s="10" t="s">
        <v>157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148</v>
      </c>
      <c r="J7" s="13" t="str">
        <f t="shared" ca="1" si="2"/>
        <v>장기미수</v>
      </c>
      <c r="K7" s="11"/>
      <c r="L7" s="11"/>
      <c r="M7" s="10" t="s">
        <v>157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98</v>
      </c>
      <c r="J8" s="13" t="str">
        <f t="shared" ca="1" si="2"/>
        <v>장기미수</v>
      </c>
      <c r="K8" s="11">
        <v>46111</v>
      </c>
      <c r="L8" s="11"/>
      <c r="M8" s="10" t="s">
        <v>157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53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48</v>
      </c>
      <c r="J10" s="13" t="str">
        <f t="shared" ca="1" si="2"/>
        <v>관리</v>
      </c>
      <c r="K10" s="11"/>
      <c r="L10" s="11"/>
      <c r="M10" s="10" t="s">
        <v>157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57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41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/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231</v>
      </c>
      <c r="J13" s="13" t="str">
        <f t="shared" ca="1" si="2"/>
        <v>장기미수</v>
      </c>
      <c r="K13" s="11">
        <v>46203</v>
      </c>
      <c r="L13" s="11"/>
      <c r="M13" s="10" t="s">
        <v>157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91</v>
      </c>
      <c r="J14" s="13" t="str">
        <f t="shared" ca="1" si="2"/>
        <v>장기미수</v>
      </c>
      <c r="K14" s="11"/>
      <c r="L14" s="11"/>
      <c r="M14" s="10" t="s">
        <v>157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42</v>
      </c>
      <c r="F15" s="6" t="s">
        <v>43</v>
      </c>
      <c r="G15" s="6" t="s">
        <v>44</v>
      </c>
      <c r="H15" s="4">
        <v>5000000</v>
      </c>
      <c r="I15" s="12">
        <f t="shared" ca="1" si="1"/>
        <v>406</v>
      </c>
      <c r="J15" s="13" t="str">
        <f t="shared" ca="1" si="2"/>
        <v>장기미수</v>
      </c>
      <c r="K15" s="11"/>
      <c r="L15" s="11"/>
      <c r="M15" s="10" t="s">
        <v>157</v>
      </c>
      <c r="N15" s="10" t="s">
        <v>20</v>
      </c>
      <c r="O15" s="6" t="s">
        <v>45</v>
      </c>
      <c r="Q15" s="14"/>
      <c r="R15" s="14"/>
      <c r="S15" s="10" t="s">
        <v>46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47</v>
      </c>
      <c r="F16" s="6" t="s">
        <v>48</v>
      </c>
      <c r="G16" s="6" t="s">
        <v>49</v>
      </c>
      <c r="H16" s="4">
        <v>1265000</v>
      </c>
      <c r="I16" s="12">
        <f t="shared" ca="1" si="1"/>
        <v>826</v>
      </c>
      <c r="J16" s="13" t="str">
        <f t="shared" ca="1" si="2"/>
        <v>장기미수</v>
      </c>
      <c r="K16" s="11"/>
      <c r="L16" s="11"/>
      <c r="M16" s="10" t="s">
        <v>157</v>
      </c>
      <c r="N16" s="10" t="s">
        <v>20</v>
      </c>
      <c r="O16" s="6" t="s">
        <v>50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47</v>
      </c>
      <c r="F17" s="6" t="s">
        <v>51</v>
      </c>
      <c r="G17" s="6" t="s">
        <v>49</v>
      </c>
      <c r="H17" s="4">
        <v>48041200</v>
      </c>
      <c r="I17" s="12">
        <f t="shared" ca="1" si="1"/>
        <v>630</v>
      </c>
      <c r="J17" s="13" t="str">
        <f t="shared" ca="1" si="2"/>
        <v>장기미수</v>
      </c>
      <c r="K17" s="11"/>
      <c r="L17" s="11"/>
      <c r="M17" s="10" t="s">
        <v>157</v>
      </c>
      <c r="N17" s="10" t="s">
        <v>20</v>
      </c>
      <c r="O17" s="6" t="s">
        <v>50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47</v>
      </c>
      <c r="F18" s="6" t="s">
        <v>51</v>
      </c>
      <c r="G18" s="6" t="s">
        <v>49</v>
      </c>
      <c r="H18" s="4">
        <v>8096900</v>
      </c>
      <c r="I18" s="12">
        <f t="shared" ca="1" si="1"/>
        <v>470</v>
      </c>
      <c r="J18" s="13" t="str">
        <f t="shared" ca="1" si="2"/>
        <v>장기미수</v>
      </c>
      <c r="K18" s="11"/>
      <c r="L18" s="11"/>
      <c r="M18" s="10" t="s">
        <v>157</v>
      </c>
      <c r="N18" s="10" t="s">
        <v>20</v>
      </c>
      <c r="O18" s="6" t="s">
        <v>50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47</v>
      </c>
      <c r="F19" s="6" t="s">
        <v>52</v>
      </c>
      <c r="G19" s="6" t="s">
        <v>49</v>
      </c>
      <c r="H19" s="4">
        <v>486000</v>
      </c>
      <c r="I19" s="12">
        <f t="shared" ca="1" si="1"/>
        <v>608</v>
      </c>
      <c r="J19" s="13" t="str">
        <f t="shared" ca="1" si="2"/>
        <v>장기미수</v>
      </c>
      <c r="K19" s="11"/>
      <c r="L19" s="11"/>
      <c r="M19" s="10" t="s">
        <v>157</v>
      </c>
      <c r="N19" s="10" t="s">
        <v>20</v>
      </c>
      <c r="O19" s="6" t="s">
        <v>50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47</v>
      </c>
      <c r="F20" s="6" t="s">
        <v>53</v>
      </c>
      <c r="G20" s="6" t="s">
        <v>49</v>
      </c>
      <c r="H20" s="4">
        <v>54866200</v>
      </c>
      <c r="I20" s="12">
        <f t="shared" ca="1" si="1"/>
        <v>607</v>
      </c>
      <c r="J20" s="13" t="str">
        <f t="shared" ca="1" si="2"/>
        <v>장기미수</v>
      </c>
      <c r="K20" s="11"/>
      <c r="L20" s="11"/>
      <c r="M20" s="10" t="s">
        <v>157</v>
      </c>
      <c r="N20" s="10" t="s">
        <v>20</v>
      </c>
      <c r="O20" s="6" t="s">
        <v>50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54</v>
      </c>
      <c r="F21" s="6" t="s">
        <v>55</v>
      </c>
      <c r="G21" s="6" t="s">
        <v>49</v>
      </c>
      <c r="H21" s="4">
        <v>9090909</v>
      </c>
      <c r="I21" s="12">
        <f t="shared" ca="1" si="1"/>
        <v>699</v>
      </c>
      <c r="J21" s="13" t="str">
        <f t="shared" ca="1" si="2"/>
        <v>장기미수</v>
      </c>
      <c r="K21" s="11"/>
      <c r="L21" s="11"/>
      <c r="M21" s="10" t="s">
        <v>157</v>
      </c>
      <c r="N21" s="10" t="s">
        <v>20</v>
      </c>
      <c r="O21" s="6" t="s">
        <v>56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57</v>
      </c>
      <c r="F22" s="6" t="s">
        <v>58</v>
      </c>
      <c r="G22" s="6" t="s">
        <v>49</v>
      </c>
      <c r="H22" s="4">
        <v>3479000</v>
      </c>
      <c r="I22" s="12">
        <f t="shared" ca="1" si="1"/>
        <v>341</v>
      </c>
      <c r="J22" s="13" t="str">
        <f t="shared" ca="1" si="2"/>
        <v>장기미수</v>
      </c>
      <c r="K22" s="11"/>
      <c r="L22" s="11"/>
      <c r="M22" s="10" t="s">
        <v>157</v>
      </c>
      <c r="N22" s="10" t="s">
        <v>20</v>
      </c>
      <c r="O22" s="6" t="s">
        <v>59</v>
      </c>
      <c r="Q22" s="14"/>
      <c r="R22" s="14"/>
      <c r="S22" s="10" t="s">
        <v>60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57</v>
      </c>
      <c r="F23" s="6" t="s">
        <v>61</v>
      </c>
      <c r="G23" s="6" t="s">
        <v>49</v>
      </c>
      <c r="H23" s="4">
        <v>5080000</v>
      </c>
      <c r="I23" s="12">
        <f t="shared" ca="1" si="1"/>
        <v>336</v>
      </c>
      <c r="J23" s="13" t="str">
        <f t="shared" ca="1" si="2"/>
        <v>장기미수</v>
      </c>
      <c r="K23" s="11"/>
      <c r="L23" s="11"/>
      <c r="M23" s="10" t="s">
        <v>157</v>
      </c>
      <c r="N23" s="10" t="s">
        <v>20</v>
      </c>
      <c r="O23" s="6" t="s">
        <v>59</v>
      </c>
      <c r="Q23" s="14"/>
      <c r="R23" s="14"/>
      <c r="S23" s="10" t="s">
        <v>60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57</v>
      </c>
      <c r="F24" s="6" t="s">
        <v>58</v>
      </c>
      <c r="G24" s="6" t="s">
        <v>49</v>
      </c>
      <c r="H24" s="4">
        <v>775500</v>
      </c>
      <c r="I24" s="12">
        <f t="shared" ca="1" si="1"/>
        <v>326</v>
      </c>
      <c r="J24" s="13" t="str">
        <f t="shared" ca="1" si="2"/>
        <v>장기미수</v>
      </c>
      <c r="K24" s="11"/>
      <c r="L24" s="11"/>
      <c r="M24" s="10" t="s">
        <v>157</v>
      </c>
      <c r="N24" s="10" t="s">
        <v>20</v>
      </c>
      <c r="O24" s="6" t="s">
        <v>59</v>
      </c>
      <c r="Q24" s="14"/>
      <c r="R24" s="14"/>
      <c r="S24" s="10" t="s">
        <v>60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57</v>
      </c>
      <c r="F25" s="6" t="s">
        <v>61</v>
      </c>
      <c r="G25" s="6" t="s">
        <v>49</v>
      </c>
      <c r="H25" s="4">
        <v>658000</v>
      </c>
      <c r="I25" s="12">
        <f t="shared" ca="1" si="1"/>
        <v>320</v>
      </c>
      <c r="J25" s="13" t="str">
        <f t="shared" ca="1" si="2"/>
        <v>장기미수</v>
      </c>
      <c r="K25" s="11"/>
      <c r="L25" s="11"/>
      <c r="M25" s="10" t="s">
        <v>157</v>
      </c>
      <c r="N25" s="10" t="s">
        <v>20</v>
      </c>
      <c r="O25" s="6" t="s">
        <v>59</v>
      </c>
      <c r="Q25" s="14"/>
      <c r="R25" s="14"/>
      <c r="S25" s="10" t="s">
        <v>60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57</v>
      </c>
      <c r="F26" s="6" t="s">
        <v>58</v>
      </c>
      <c r="G26" s="6" t="s">
        <v>49</v>
      </c>
      <c r="H26" s="4">
        <v>3126000</v>
      </c>
      <c r="I26" s="12">
        <f t="shared" ca="1" si="1"/>
        <v>316</v>
      </c>
      <c r="J26" s="13" t="str">
        <f t="shared" ca="1" si="2"/>
        <v>장기미수</v>
      </c>
      <c r="K26" s="11"/>
      <c r="L26" s="11"/>
      <c r="M26" s="10" t="s">
        <v>157</v>
      </c>
      <c r="N26" s="10" t="s">
        <v>20</v>
      </c>
      <c r="O26" s="6" t="s">
        <v>59</v>
      </c>
      <c r="Q26" s="14"/>
      <c r="R26" s="14"/>
      <c r="S26" s="10" t="s">
        <v>60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57</v>
      </c>
      <c r="F27" s="6" t="s">
        <v>62</v>
      </c>
      <c r="G27" s="6" t="s">
        <v>49</v>
      </c>
      <c r="H27" s="4">
        <v>329000</v>
      </c>
      <c r="I27" s="12">
        <f t="shared" ca="1" si="1"/>
        <v>316</v>
      </c>
      <c r="J27" s="13" t="str">
        <f t="shared" ca="1" si="2"/>
        <v>장기미수</v>
      </c>
      <c r="K27" s="11"/>
      <c r="L27" s="11"/>
      <c r="M27" s="10" t="s">
        <v>157</v>
      </c>
      <c r="N27" s="10" t="s">
        <v>20</v>
      </c>
      <c r="O27" s="6" t="s">
        <v>59</v>
      </c>
      <c r="Q27" s="14"/>
      <c r="R27" s="14"/>
      <c r="S27" s="10" t="s">
        <v>60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57</v>
      </c>
      <c r="F28" s="6" t="s">
        <v>62</v>
      </c>
      <c r="G28" s="6" t="s">
        <v>49</v>
      </c>
      <c r="H28" s="4">
        <v>3066000</v>
      </c>
      <c r="I28" s="12">
        <f t="shared" ca="1" si="1"/>
        <v>315</v>
      </c>
      <c r="J28" s="13" t="str">
        <f t="shared" ca="1" si="2"/>
        <v>장기미수</v>
      </c>
      <c r="K28" s="11"/>
      <c r="L28" s="11"/>
      <c r="M28" s="10" t="s">
        <v>157</v>
      </c>
      <c r="N28" s="10" t="s">
        <v>20</v>
      </c>
      <c r="O28" s="6" t="s">
        <v>59</v>
      </c>
      <c r="Q28" s="14"/>
      <c r="R28" s="14"/>
      <c r="S28" s="10" t="s">
        <v>60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57</v>
      </c>
      <c r="F29" s="6" t="s">
        <v>58</v>
      </c>
      <c r="G29" s="6" t="s">
        <v>49</v>
      </c>
      <c r="H29" s="4">
        <v>474000</v>
      </c>
      <c r="I29" s="12">
        <f t="shared" ca="1" si="1"/>
        <v>313</v>
      </c>
      <c r="J29" s="13" t="str">
        <f t="shared" ca="1" si="2"/>
        <v>장기미수</v>
      </c>
      <c r="K29" s="11"/>
      <c r="L29" s="11"/>
      <c r="M29" s="10" t="s">
        <v>157</v>
      </c>
      <c r="N29" s="10" t="s">
        <v>20</v>
      </c>
      <c r="O29" s="6" t="s">
        <v>59</v>
      </c>
      <c r="Q29" s="14"/>
      <c r="R29" s="14"/>
      <c r="S29" s="10" t="s">
        <v>60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57</v>
      </c>
      <c r="F30" s="6" t="s">
        <v>62</v>
      </c>
      <c r="G30" s="6" t="s">
        <v>49</v>
      </c>
      <c r="H30" s="4">
        <v>4867000</v>
      </c>
      <c r="I30" s="12">
        <f t="shared" ca="1" si="1"/>
        <v>292</v>
      </c>
      <c r="J30" s="13" t="str">
        <f t="shared" ca="1" si="2"/>
        <v>장기미수</v>
      </c>
      <c r="K30" s="11"/>
      <c r="L30" s="11"/>
      <c r="M30" s="10" t="s">
        <v>157</v>
      </c>
      <c r="N30" s="10" t="s">
        <v>20</v>
      </c>
      <c r="O30" s="6" t="s">
        <v>59</v>
      </c>
      <c r="Q30" s="14"/>
      <c r="R30" s="14"/>
      <c r="S30" s="10" t="s">
        <v>60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57</v>
      </c>
      <c r="F31" s="6" t="s">
        <v>62</v>
      </c>
      <c r="G31" s="6" t="s">
        <v>49</v>
      </c>
      <c r="H31" s="4">
        <v>607500</v>
      </c>
      <c r="I31" s="12">
        <f t="shared" ca="1" si="1"/>
        <v>278</v>
      </c>
      <c r="J31" s="13" t="str">
        <f t="shared" ca="1" si="2"/>
        <v>장기미수</v>
      </c>
      <c r="K31" s="11"/>
      <c r="L31" s="11"/>
      <c r="M31" s="10" t="s">
        <v>157</v>
      </c>
      <c r="N31" s="10" t="s">
        <v>20</v>
      </c>
      <c r="O31" s="6" t="s">
        <v>59</v>
      </c>
      <c r="Q31" s="14"/>
      <c r="R31" s="14"/>
      <c r="S31" s="10" t="s">
        <v>60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57</v>
      </c>
      <c r="F32" s="6" t="s">
        <v>58</v>
      </c>
      <c r="G32" s="6" t="s">
        <v>49</v>
      </c>
      <c r="H32" s="4">
        <v>3253400</v>
      </c>
      <c r="I32" s="12">
        <f t="shared" ca="1" si="1"/>
        <v>257</v>
      </c>
      <c r="J32" s="13" t="str">
        <f t="shared" ca="1" si="2"/>
        <v>장기미수</v>
      </c>
      <c r="K32" s="11"/>
      <c r="L32" s="11"/>
      <c r="M32" s="10" t="s">
        <v>157</v>
      </c>
      <c r="N32" s="10" t="s">
        <v>20</v>
      </c>
      <c r="O32" s="6" t="s">
        <v>59</v>
      </c>
      <c r="Q32" s="14"/>
      <c r="R32" s="14"/>
      <c r="S32" s="10" t="s">
        <v>60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57</v>
      </c>
      <c r="F33" s="6" t="s">
        <v>58</v>
      </c>
      <c r="G33" s="6" t="s">
        <v>49</v>
      </c>
      <c r="H33" s="4">
        <v>2426000</v>
      </c>
      <c r="I33" s="12">
        <f t="shared" ca="1" si="1"/>
        <v>245</v>
      </c>
      <c r="J33" s="13" t="str">
        <f t="shared" ca="1" si="2"/>
        <v>장기미수</v>
      </c>
      <c r="K33" s="11"/>
      <c r="L33" s="11"/>
      <c r="M33" s="10" t="s">
        <v>157</v>
      </c>
      <c r="N33" s="10" t="s">
        <v>20</v>
      </c>
      <c r="O33" s="6" t="s">
        <v>59</v>
      </c>
      <c r="Q33" s="14"/>
      <c r="R33" s="14"/>
      <c r="S33" s="10" t="s">
        <v>60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57</v>
      </c>
      <c r="F34" s="6" t="s">
        <v>58</v>
      </c>
      <c r="G34" s="6" t="s">
        <v>49</v>
      </c>
      <c r="H34" s="4">
        <v>2390000</v>
      </c>
      <c r="I34" s="12">
        <f t="shared" ca="1" si="1"/>
        <v>215</v>
      </c>
      <c r="J34" s="13" t="str">
        <f t="shared" ca="1" si="2"/>
        <v>장기미수</v>
      </c>
      <c r="K34" s="11"/>
      <c r="L34" s="11"/>
      <c r="M34" s="10" t="s">
        <v>157</v>
      </c>
      <c r="N34" s="10" t="s">
        <v>20</v>
      </c>
      <c r="O34" s="6" t="s">
        <v>59</v>
      </c>
      <c r="Q34" s="14"/>
      <c r="R34" s="14"/>
      <c r="S34" s="10" t="s">
        <v>60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57</v>
      </c>
      <c r="F35" s="6" t="s">
        <v>58</v>
      </c>
      <c r="G35" s="6" t="s">
        <v>49</v>
      </c>
      <c r="H35" s="4">
        <v>432000</v>
      </c>
      <c r="I35" s="12">
        <f t="shared" ca="1" si="1"/>
        <v>193</v>
      </c>
      <c r="J35" s="13" t="str">
        <f t="shared" ca="1" si="2"/>
        <v>장기미수</v>
      </c>
      <c r="K35" s="11"/>
      <c r="L35" s="11"/>
      <c r="M35" s="10" t="s">
        <v>157</v>
      </c>
      <c r="N35" s="10" t="s">
        <v>20</v>
      </c>
      <c r="O35" s="6" t="s">
        <v>59</v>
      </c>
      <c r="Q35" s="14"/>
      <c r="R35" s="14"/>
      <c r="S35" s="10" t="s">
        <v>60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63</v>
      </c>
      <c r="F36" s="6" t="s">
        <v>64</v>
      </c>
      <c r="G36" s="6" t="s">
        <v>49</v>
      </c>
      <c r="H36" s="4">
        <v>727</v>
      </c>
      <c r="I36" s="12">
        <f t="shared" ca="1" si="1"/>
        <v>264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65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66</v>
      </c>
      <c r="G37" s="6" t="s">
        <v>49</v>
      </c>
      <c r="H37" s="4">
        <v>37830200</v>
      </c>
      <c r="I37" s="12">
        <f t="shared" ca="1" si="1"/>
        <v>188</v>
      </c>
      <c r="J37" s="13" t="str">
        <f t="shared" ca="1" si="2"/>
        <v>장기미수</v>
      </c>
      <c r="K37" s="11"/>
      <c r="L37" s="11"/>
      <c r="M37" s="10" t="s">
        <v>157</v>
      </c>
      <c r="N37" s="10" t="s">
        <v>20</v>
      </c>
      <c r="O37" s="6" t="s">
        <v>158</v>
      </c>
      <c r="P37" s="6" t="s">
        <v>160</v>
      </c>
      <c r="Q37" s="11">
        <v>46062</v>
      </c>
      <c r="R37" s="10" t="s">
        <v>60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67</v>
      </c>
      <c r="F38" s="6" t="s">
        <v>68</v>
      </c>
      <c r="G38" s="6" t="s">
        <v>49</v>
      </c>
      <c r="H38" s="4">
        <v>60697390.909090906</v>
      </c>
      <c r="I38" s="12">
        <f t="shared" ca="1" si="1"/>
        <v>166</v>
      </c>
      <c r="J38" s="13" t="str">
        <f t="shared" ca="1" si="2"/>
        <v>장기미수</v>
      </c>
      <c r="K38" s="11">
        <v>46081</v>
      </c>
      <c r="L38" s="11"/>
      <c r="M38" s="10" t="s">
        <v>157</v>
      </c>
      <c r="N38" s="10" t="s">
        <v>20</v>
      </c>
      <c r="O38" s="6" t="s">
        <v>69</v>
      </c>
      <c r="P38" s="6" t="s">
        <v>70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67</v>
      </c>
      <c r="F39" s="6" t="s">
        <v>68</v>
      </c>
      <c r="G39" s="6" t="s">
        <v>49</v>
      </c>
      <c r="H39" s="4">
        <v>2331400</v>
      </c>
      <c r="I39" s="12">
        <f t="shared" ca="1" si="1"/>
        <v>161</v>
      </c>
      <c r="J39" s="13" t="str">
        <f t="shared" ca="1" si="2"/>
        <v>장기미수</v>
      </c>
      <c r="K39" s="11">
        <v>46081</v>
      </c>
      <c r="L39" s="11"/>
      <c r="M39" s="10" t="s">
        <v>157</v>
      </c>
      <c r="N39" s="10" t="s">
        <v>20</v>
      </c>
      <c r="O39" s="6" t="s">
        <v>69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71</v>
      </c>
      <c r="F40" s="6" t="s">
        <v>72</v>
      </c>
      <c r="G40" s="6" t="s">
        <v>49</v>
      </c>
      <c r="H40" s="4">
        <v>981900</v>
      </c>
      <c r="I40" s="12">
        <f t="shared" ca="1" si="1"/>
        <v>147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73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66</v>
      </c>
      <c r="G41" s="6" t="s">
        <v>49</v>
      </c>
      <c r="H41" s="4">
        <v>15846200</v>
      </c>
      <c r="I41" s="12">
        <f t="shared" ca="1" si="1"/>
        <v>118</v>
      </c>
      <c r="J41" s="13" t="str">
        <f t="shared" ca="1" si="2"/>
        <v>장기미수</v>
      </c>
      <c r="K41" s="11"/>
      <c r="L41" s="11"/>
      <c r="M41" s="10" t="s">
        <v>157</v>
      </c>
      <c r="N41" s="10" t="s">
        <v>20</v>
      </c>
      <c r="O41" s="6" t="s">
        <v>158</v>
      </c>
      <c r="P41" s="6" t="s">
        <v>161</v>
      </c>
      <c r="Q41" s="11">
        <v>46062</v>
      </c>
      <c r="R41" s="10" t="s">
        <v>60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67</v>
      </c>
      <c r="F42" s="6" t="s">
        <v>68</v>
      </c>
      <c r="G42" s="6" t="s">
        <v>49</v>
      </c>
      <c r="H42" s="4">
        <v>6300000</v>
      </c>
      <c r="I42" s="12">
        <f t="shared" ca="1" si="1"/>
        <v>116</v>
      </c>
      <c r="J42" s="13" t="str">
        <f t="shared" ca="1" si="2"/>
        <v>장기미수</v>
      </c>
      <c r="K42" s="11">
        <v>46081</v>
      </c>
      <c r="L42" s="11"/>
      <c r="M42" s="10" t="s">
        <v>157</v>
      </c>
      <c r="N42" s="10" t="s">
        <v>20</v>
      </c>
      <c r="O42" s="6" t="s">
        <v>69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74</v>
      </c>
      <c r="G43" s="6" t="s">
        <v>49</v>
      </c>
      <c r="H43" s="4">
        <v>7276000</v>
      </c>
      <c r="I43" s="12">
        <f t="shared" ca="1" si="1"/>
        <v>111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75</v>
      </c>
      <c r="P43" s="6" t="s">
        <v>76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67</v>
      </c>
      <c r="F44" s="6" t="s">
        <v>77</v>
      </c>
      <c r="G44" s="6" t="s">
        <v>49</v>
      </c>
      <c r="H44" s="4">
        <v>-9744900</v>
      </c>
      <c r="I44" s="12">
        <f t="shared" ca="1" si="1"/>
        <v>105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69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78</v>
      </c>
      <c r="F45" s="6" t="s">
        <v>79</v>
      </c>
      <c r="G45" s="6" t="s">
        <v>49</v>
      </c>
      <c r="H45" s="4">
        <v>3380000</v>
      </c>
      <c r="I45" s="12">
        <f t="shared" ca="1" si="1"/>
        <v>99</v>
      </c>
      <c r="J45" s="13" t="str">
        <f t="shared" ca="1" si="2"/>
        <v>장기미수</v>
      </c>
      <c r="K45" s="11">
        <v>46052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78</v>
      </c>
      <c r="F46" s="6" t="s">
        <v>79</v>
      </c>
      <c r="G46" s="6" t="s">
        <v>49</v>
      </c>
      <c r="H46" s="4">
        <v>1180000</v>
      </c>
      <c r="I46" s="12">
        <f t="shared" ca="1" si="1"/>
        <v>96</v>
      </c>
      <c r="J46" s="13" t="str">
        <f t="shared" ca="1" si="2"/>
        <v>장기미수</v>
      </c>
      <c r="K46" s="11">
        <v>46052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71</v>
      </c>
      <c r="F47" s="6" t="s">
        <v>80</v>
      </c>
      <c r="G47" s="6" t="s">
        <v>49</v>
      </c>
      <c r="H47" s="4">
        <v>801700</v>
      </c>
      <c r="I47" s="12">
        <f t="shared" ca="1" si="1"/>
        <v>95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73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71</v>
      </c>
      <c r="F48" s="6" t="s">
        <v>81</v>
      </c>
      <c r="G48" s="6" t="s">
        <v>49</v>
      </c>
      <c r="H48" s="4">
        <v>556000</v>
      </c>
      <c r="I48" s="12">
        <f t="shared" ca="1" si="1"/>
        <v>92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73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82</v>
      </c>
      <c r="G49" s="6" t="s">
        <v>49</v>
      </c>
      <c r="H49" s="4">
        <v>7920000</v>
      </c>
      <c r="I49" s="12">
        <f t="shared" ca="1" si="1"/>
        <v>70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83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84</v>
      </c>
      <c r="F50" s="6" t="s">
        <v>85</v>
      </c>
      <c r="G50" s="6" t="s">
        <v>49</v>
      </c>
      <c r="H50" s="4">
        <v>5253000</v>
      </c>
      <c r="I50" s="12">
        <f t="shared" ca="1" si="1"/>
        <v>64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84</v>
      </c>
      <c r="F51" s="6" t="s">
        <v>85</v>
      </c>
      <c r="G51" s="6" t="s">
        <v>49</v>
      </c>
      <c r="H51" s="4">
        <v>1120000</v>
      </c>
      <c r="I51" s="12">
        <f t="shared" ca="1" si="1"/>
        <v>57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86</v>
      </c>
      <c r="G52" s="6" t="s">
        <v>49</v>
      </c>
      <c r="H52" s="4">
        <v>1969400</v>
      </c>
      <c r="I52" s="12">
        <f t="shared" ca="1" si="1"/>
        <v>56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83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87</v>
      </c>
      <c r="G53" s="6" t="s">
        <v>49</v>
      </c>
      <c r="H53" s="4">
        <v>54744000</v>
      </c>
      <c r="I53" s="12">
        <f t="shared" ca="1" si="1"/>
        <v>55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158</v>
      </c>
      <c r="P53" s="6" t="s">
        <v>159</v>
      </c>
      <c r="Q53" s="11">
        <v>46036</v>
      </c>
      <c r="R53" s="10" t="s">
        <v>60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88</v>
      </c>
      <c r="F54" s="6" t="s">
        <v>89</v>
      </c>
      <c r="G54" s="6" t="s">
        <v>49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/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82</v>
      </c>
      <c r="G55" s="6" t="s">
        <v>49</v>
      </c>
      <c r="H55" s="4">
        <v>15840000</v>
      </c>
      <c r="I55" s="12">
        <f t="shared" ca="1" si="1"/>
        <v>50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83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47</v>
      </c>
      <c r="F56" s="6" t="s">
        <v>90</v>
      </c>
      <c r="G56" s="6" t="s">
        <v>44</v>
      </c>
      <c r="H56" s="4">
        <v>1632000</v>
      </c>
      <c r="I56" s="12">
        <f t="shared" ref="I56:I65" ca="1" si="4">IF(C56="","",IF(L56="",TODAY()-C56,L56-C56))</f>
        <v>358</v>
      </c>
      <c r="J56" s="13" t="str">
        <f t="shared" ca="1" si="2"/>
        <v>장기미수</v>
      </c>
      <c r="K56" s="11"/>
      <c r="L56" s="11"/>
      <c r="M56" s="10" t="s">
        <v>157</v>
      </c>
      <c r="N56" s="10" t="s">
        <v>20</v>
      </c>
      <c r="O56" s="6" t="s">
        <v>50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47</v>
      </c>
      <c r="F57" s="6" t="s">
        <v>91</v>
      </c>
      <c r="G57" s="6" t="s">
        <v>44</v>
      </c>
      <c r="H57" s="4">
        <v>5380000</v>
      </c>
      <c r="I57" s="12">
        <f t="shared" ca="1" si="4"/>
        <v>223</v>
      </c>
      <c r="J57" s="13" t="str">
        <f t="shared" ca="1" si="2"/>
        <v>장기미수</v>
      </c>
      <c r="K57" s="11"/>
      <c r="L57" s="11"/>
      <c r="M57" s="10" t="s">
        <v>157</v>
      </c>
      <c r="N57" s="10" t="s">
        <v>20</v>
      </c>
      <c r="O57" s="6" t="s">
        <v>50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47</v>
      </c>
      <c r="F58" s="6" t="s">
        <v>92</v>
      </c>
      <c r="G58" s="6" t="s">
        <v>44</v>
      </c>
      <c r="H58" s="4">
        <v>765000</v>
      </c>
      <c r="I58" s="12">
        <f t="shared" ca="1" si="4"/>
        <v>223</v>
      </c>
      <c r="J58" s="13" t="str">
        <f t="shared" ca="1" si="2"/>
        <v>장기미수</v>
      </c>
      <c r="K58" s="11"/>
      <c r="L58" s="11"/>
      <c r="M58" s="10" t="s">
        <v>157</v>
      </c>
      <c r="N58" s="10" t="s">
        <v>20</v>
      </c>
      <c r="O58" s="6" t="s">
        <v>50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47</v>
      </c>
      <c r="F59" s="6" t="s">
        <v>93</v>
      </c>
      <c r="G59" s="6" t="s">
        <v>44</v>
      </c>
      <c r="H59" s="4">
        <v>2738900</v>
      </c>
      <c r="I59" s="12">
        <f t="shared" ca="1" si="4"/>
        <v>174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157</v>
      </c>
      <c r="N59" s="10" t="s">
        <v>20</v>
      </c>
      <c r="O59" s="6" t="s">
        <v>50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63</v>
      </c>
      <c r="F60" s="6" t="s">
        <v>94</v>
      </c>
      <c r="G60" s="6" t="s">
        <v>44</v>
      </c>
      <c r="H60" s="4">
        <v>1648500</v>
      </c>
      <c r="I60" s="12">
        <f t="shared" ca="1" si="4"/>
        <v>57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63</v>
      </c>
      <c r="F61" s="6" t="s">
        <v>95</v>
      </c>
      <c r="G61" s="6" t="s">
        <v>44</v>
      </c>
      <c r="H61" s="4">
        <v>2625000</v>
      </c>
      <c r="I61" s="12">
        <f t="shared" ca="1" si="4"/>
        <v>57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96</v>
      </c>
      <c r="F62" s="6" t="s">
        <v>97</v>
      </c>
      <c r="G62" s="6" t="s">
        <v>44</v>
      </c>
      <c r="H62" s="4">
        <v>495000</v>
      </c>
      <c r="I62" s="12">
        <f t="shared" ca="1" si="4"/>
        <v>57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96</v>
      </c>
      <c r="F63" s="6" t="s">
        <v>98</v>
      </c>
      <c r="G63" s="6" t="s">
        <v>44</v>
      </c>
      <c r="H63" s="4">
        <v>485000</v>
      </c>
      <c r="I63" s="12">
        <f t="shared" ca="1" si="4"/>
        <v>57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99</v>
      </c>
      <c r="F64" s="6" t="s">
        <v>100</v>
      </c>
      <c r="G64" s="6" t="s">
        <v>44</v>
      </c>
      <c r="H64" s="4">
        <v>662500</v>
      </c>
      <c r="I64" s="12">
        <f t="shared" ca="1" si="4"/>
        <v>54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101</v>
      </c>
      <c r="F65" s="6" t="s">
        <v>102</v>
      </c>
      <c r="G65" s="6" t="s">
        <v>44</v>
      </c>
      <c r="H65" s="4">
        <v>3537700</v>
      </c>
      <c r="I65" s="12">
        <f t="shared" ca="1" si="4"/>
        <v>54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103</v>
      </c>
      <c r="F66" s="6" t="s">
        <v>104</v>
      </c>
      <c r="G66" s="6" t="s">
        <v>44</v>
      </c>
      <c r="H66" s="4">
        <v>3802500</v>
      </c>
      <c r="I66" s="6">
        <f t="shared" ref="I66:I71" ca="1" si="7">IF(C66="","",IF(L66="",TODAY()-C66,L66-C66))</f>
        <v>36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105</v>
      </c>
      <c r="F67" s="6" t="s">
        <v>106</v>
      </c>
      <c r="G67" s="6" t="s">
        <v>44</v>
      </c>
      <c r="H67" s="4">
        <v>138050</v>
      </c>
      <c r="I67" s="6">
        <f t="shared" ca="1" si="7"/>
        <v>35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105</v>
      </c>
      <c r="F68" s="6" t="s">
        <v>107</v>
      </c>
      <c r="G68" s="6" t="s">
        <v>44</v>
      </c>
      <c r="H68" s="4">
        <v>6675050</v>
      </c>
      <c r="I68" s="6">
        <f t="shared" ca="1" si="7"/>
        <v>35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108</v>
      </c>
      <c r="F69" s="6" t="s">
        <v>109</v>
      </c>
      <c r="G69" s="6" t="s">
        <v>44</v>
      </c>
      <c r="H69" s="4">
        <v>7500000</v>
      </c>
      <c r="I69" s="6">
        <f t="shared" ca="1" si="7"/>
        <v>35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110</v>
      </c>
      <c r="F70" s="6" t="s">
        <v>111</v>
      </c>
      <c r="G70" s="6" t="s">
        <v>44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112</v>
      </c>
      <c r="G71" s="6" t="s">
        <v>49</v>
      </c>
      <c r="H71" s="4">
        <v>26182000</v>
      </c>
      <c r="I71" s="6">
        <f t="shared" ca="1" si="7"/>
        <v>36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158</v>
      </c>
      <c r="P71" s="6" t="s">
        <v>160</v>
      </c>
      <c r="Q71" s="11">
        <v>46036</v>
      </c>
      <c r="R71" s="10" t="s">
        <v>60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113</v>
      </c>
      <c r="G72" s="6" t="s">
        <v>49</v>
      </c>
      <c r="H72" s="4">
        <v>1100000</v>
      </c>
      <c r="I72" s="6">
        <f t="shared" ref="I72:I75" ca="1" si="8">IF(C72="","",IF(L72="",TODAY()-C72,L72-C72))</f>
        <v>36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83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112</v>
      </c>
      <c r="G73" s="6" t="s">
        <v>49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158</v>
      </c>
      <c r="P73" s="6" t="s">
        <v>159</v>
      </c>
      <c r="Q73" s="11">
        <v>46036</v>
      </c>
      <c r="R73" s="10" t="s">
        <v>60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114</v>
      </c>
      <c r="F74" s="6" t="s">
        <v>115</v>
      </c>
      <c r="G74" s="6" t="s">
        <v>49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116</v>
      </c>
      <c r="F75" s="6" t="s">
        <v>117</v>
      </c>
      <c r="G75" s="6" t="s">
        <v>49</v>
      </c>
      <c r="H75" s="4">
        <v>528000</v>
      </c>
      <c r="I75" s="6">
        <f t="shared" ca="1" si="8"/>
        <v>33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112</v>
      </c>
      <c r="G76" s="6" t="s">
        <v>49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158</v>
      </c>
      <c r="P76" s="6" t="s">
        <v>159</v>
      </c>
      <c r="Q76" s="11">
        <v>46036</v>
      </c>
      <c r="R76" s="10" t="s">
        <v>60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112</v>
      </c>
      <c r="G77" s="6" t="s">
        <v>49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158</v>
      </c>
      <c r="P77" s="6" t="s">
        <v>159</v>
      </c>
      <c r="Q77" s="11">
        <v>46036</v>
      </c>
      <c r="R77" s="10" t="s">
        <v>60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118</v>
      </c>
      <c r="F78" s="6" t="s">
        <v>119</v>
      </c>
      <c r="G78" s="6" t="s">
        <v>49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120</v>
      </c>
      <c r="F79" s="6" t="s">
        <v>121</v>
      </c>
      <c r="G79" s="6" t="s">
        <v>49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122</v>
      </c>
      <c r="F80" s="6" t="s">
        <v>123</v>
      </c>
      <c r="G80" s="6" t="s">
        <v>49</v>
      </c>
      <c r="H80" s="4">
        <v>280000</v>
      </c>
      <c r="I80" s="6">
        <f t="shared" ca="1" si="10"/>
        <v>25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124</v>
      </c>
      <c r="F81" s="6" t="s">
        <v>125</v>
      </c>
      <c r="G81" s="6" t="s">
        <v>49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112</v>
      </c>
      <c r="G82" s="6" t="s">
        <v>49</v>
      </c>
      <c r="H82" s="4">
        <v>36816000</v>
      </c>
      <c r="I82" s="6">
        <f t="shared" ca="1" si="10"/>
        <v>21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59</v>
      </c>
      <c r="P82" s="6" t="s">
        <v>159</v>
      </c>
      <c r="Q82" s="11">
        <v>46036</v>
      </c>
      <c r="R82" s="10" t="s">
        <v>60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112</v>
      </c>
      <c r="G83" s="6" t="s">
        <v>49</v>
      </c>
      <c r="H83" s="4">
        <v>7390000</v>
      </c>
      <c r="I83" s="6">
        <f t="shared" ca="1" si="10"/>
        <v>21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59</v>
      </c>
      <c r="P83" s="6" t="s">
        <v>159</v>
      </c>
      <c r="Q83" s="11">
        <v>46036</v>
      </c>
      <c r="R83" s="10" t="s">
        <v>60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112</v>
      </c>
      <c r="G84" s="6" t="s">
        <v>49</v>
      </c>
      <c r="H84" s="4">
        <v>56770000</v>
      </c>
      <c r="I84" s="6">
        <f t="shared" ca="1" si="10"/>
        <v>19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59</v>
      </c>
      <c r="P84" s="6" t="s">
        <v>159</v>
      </c>
      <c r="Q84" s="11">
        <v>46036</v>
      </c>
      <c r="R84" s="10" t="s">
        <v>60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126</v>
      </c>
      <c r="F85" s="6" t="s">
        <v>127</v>
      </c>
      <c r="G85" s="6" t="s">
        <v>49</v>
      </c>
      <c r="H85" s="4">
        <v>321000</v>
      </c>
      <c r="I85" s="6">
        <f t="shared" ca="1" si="10"/>
        <v>19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112</v>
      </c>
      <c r="G86" s="6" t="s">
        <v>49</v>
      </c>
      <c r="H86" s="4">
        <v>4784000</v>
      </c>
      <c r="I86" s="6">
        <f t="shared" ca="1" si="10"/>
        <v>15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59</v>
      </c>
      <c r="P86" s="6" t="s">
        <v>159</v>
      </c>
      <c r="Q86" s="11">
        <v>46036</v>
      </c>
      <c r="R86" s="10" t="s">
        <v>60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128</v>
      </c>
      <c r="F87" s="6" t="s">
        <v>129</v>
      </c>
      <c r="G87" s="6" t="s">
        <v>49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/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112</v>
      </c>
      <c r="G88" s="6" t="s">
        <v>49</v>
      </c>
      <c r="H88" s="4">
        <v>17250000</v>
      </c>
      <c r="I88" s="6">
        <f t="shared" ca="1" si="10"/>
        <v>12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59</v>
      </c>
      <c r="P88" s="6" t="s">
        <v>159</v>
      </c>
      <c r="Q88" s="11">
        <v>46036</v>
      </c>
      <c r="R88" s="10" t="s">
        <v>60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112</v>
      </c>
      <c r="G89" s="6" t="s">
        <v>49</v>
      </c>
      <c r="H89" s="4">
        <v>5750000</v>
      </c>
      <c r="I89" s="6">
        <f t="shared" ca="1" si="10"/>
        <v>12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59</v>
      </c>
      <c r="P89" s="6" t="s">
        <v>159</v>
      </c>
      <c r="Q89" s="11">
        <v>46036</v>
      </c>
      <c r="R89" s="10" t="s">
        <v>60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130</v>
      </c>
      <c r="F90" s="6" t="s">
        <v>131</v>
      </c>
      <c r="G90" s="6" t="s">
        <v>49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132</v>
      </c>
      <c r="F91" s="6" t="s">
        <v>133</v>
      </c>
      <c r="G91" s="6" t="s">
        <v>49</v>
      </c>
      <c r="H91" s="4">
        <v>219000</v>
      </c>
      <c r="I91" s="6">
        <f t="shared" ca="1" si="10"/>
        <v>8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134</v>
      </c>
      <c r="F92" s="6" t="s">
        <v>135</v>
      </c>
      <c r="G92" s="6" t="s">
        <v>49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140</v>
      </c>
      <c r="F93" s="6" t="s">
        <v>141</v>
      </c>
      <c r="G93" s="6" t="s">
        <v>144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142</v>
      </c>
      <c r="F94" s="6" t="s">
        <v>143</v>
      </c>
      <c r="G94" s="6" t="s">
        <v>144</v>
      </c>
      <c r="H94" s="4">
        <v>1206700</v>
      </c>
      <c r="I94" s="6">
        <f t="shared" ca="1" si="10"/>
        <v>5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164</v>
      </c>
      <c r="D95" s="10" t="str">
        <f t="shared" si="9"/>
        <v>B</v>
      </c>
      <c r="E95" s="6" t="s">
        <v>114</v>
      </c>
      <c r="F95" s="6" t="s">
        <v>162</v>
      </c>
      <c r="G95" s="6" t="s">
        <v>49</v>
      </c>
      <c r="H95" s="4">
        <v>2627900</v>
      </c>
      <c r="I95" s="6">
        <f t="shared" ca="1" si="10"/>
        <v>1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164</v>
      </c>
      <c r="D96" s="10" t="str">
        <f t="shared" si="9"/>
        <v>B</v>
      </c>
      <c r="E96" s="6" t="s">
        <v>118</v>
      </c>
      <c r="F96" s="6" t="s">
        <v>163</v>
      </c>
      <c r="G96" s="6" t="s">
        <v>49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 t="str">
        <f>IF(C97="","",COUNTA($C$2:C97))</f>
        <v/>
      </c>
      <c r="C97" s="11"/>
      <c r="D97" s="10" t="str">
        <f t="shared" si="9"/>
        <v/>
      </c>
      <c r="H97" s="4"/>
      <c r="I97" s="6" t="str">
        <f t="shared" ca="1" si="10"/>
        <v/>
      </c>
      <c r="J97" s="13" t="str">
        <f t="shared" ca="1" si="5"/>
        <v/>
      </c>
      <c r="K97" s="11"/>
      <c r="L97" s="11"/>
      <c r="M97" s="10"/>
      <c r="N97" s="10"/>
      <c r="Q97" s="11"/>
      <c r="R97" s="11"/>
      <c r="S97" s="10"/>
    </row>
    <row r="98" spans="2:19" s="6" customFormat="1" ht="16.5" customHeight="1" x14ac:dyDescent="0.3">
      <c r="B98" s="10" t="str">
        <f>IF(C98="","",COUNTA($C$2:C98))</f>
        <v/>
      </c>
      <c r="C98" s="11"/>
      <c r="D98" s="10" t="str">
        <f t="shared" si="9"/>
        <v/>
      </c>
      <c r="H98" s="4"/>
      <c r="I98" s="6" t="str">
        <f t="shared" ca="1" si="10"/>
        <v/>
      </c>
      <c r="J98" s="13" t="str">
        <f t="shared" ca="1" si="5"/>
        <v/>
      </c>
      <c r="K98" s="11"/>
      <c r="L98" s="11"/>
      <c r="M98" s="10"/>
      <c r="N98" s="10"/>
      <c r="Q98" s="11"/>
      <c r="R98" s="11"/>
      <c r="S98" s="10"/>
    </row>
    <row r="99" spans="2:19" s="6" customFormat="1" ht="16.5" customHeight="1" x14ac:dyDescent="0.3">
      <c r="B99" s="10" t="str">
        <f>IF(C99="","",COUNTA($C$2:C99))</f>
        <v/>
      </c>
      <c r="C99" s="11"/>
      <c r="D99" s="10" t="str">
        <f t="shared" si="9"/>
        <v/>
      </c>
      <c r="H99" s="4"/>
      <c r="I99" s="6" t="str">
        <f t="shared" ca="1" si="10"/>
        <v/>
      </c>
      <c r="J99" s="13" t="str">
        <f t="shared" ca="1" si="5"/>
        <v/>
      </c>
      <c r="K99" s="11"/>
      <c r="L99" s="11"/>
      <c r="M99" s="10"/>
      <c r="N99" s="10"/>
      <c r="Q99" s="11"/>
      <c r="R99" s="11"/>
      <c r="S99" s="10"/>
    </row>
    <row r="100" spans="2:19" s="6" customFormat="1" ht="16.5" customHeight="1" x14ac:dyDescent="0.3">
      <c r="B100" s="10" t="str">
        <f>IF(C100="","",COUNTA($C$2:C100))</f>
        <v/>
      </c>
      <c r="C100" s="11"/>
      <c r="D100" s="10" t="str">
        <f t="shared" si="9"/>
        <v/>
      </c>
      <c r="H100" s="4"/>
      <c r="I100" s="6" t="str">
        <f t="shared" ca="1" si="10"/>
        <v/>
      </c>
      <c r="J100" s="13" t="str">
        <f t="shared" ca="1" si="5"/>
        <v/>
      </c>
      <c r="K100" s="11"/>
      <c r="L100" s="11"/>
      <c r="M100" s="10"/>
      <c r="N100" s="10"/>
      <c r="Q100" s="11"/>
      <c r="R100" s="11"/>
      <c r="S100" s="10"/>
    </row>
    <row r="101" spans="2:19" s="6" customFormat="1" ht="16.5" customHeight="1" x14ac:dyDescent="0.3">
      <c r="B101" s="10" t="str">
        <f>IF(C101="","",COUNTA($C$2:C101))</f>
        <v/>
      </c>
      <c r="C101" s="11"/>
      <c r="D101" s="10" t="str">
        <f t="shared" si="9"/>
        <v/>
      </c>
      <c r="H101" s="4"/>
      <c r="I101" s="6" t="str">
        <f t="shared" ca="1" si="10"/>
        <v/>
      </c>
      <c r="J101" s="13" t="str">
        <f t="shared" ca="1" si="5"/>
        <v/>
      </c>
      <c r="K101" s="11"/>
      <c r="L101" s="11"/>
      <c r="M101" s="10"/>
      <c r="N101" s="10"/>
      <c r="Q101" s="11"/>
      <c r="R101" s="11"/>
      <c r="S101" s="10"/>
    </row>
    <row r="102" spans="2:19" s="6" customFormat="1" ht="16.5" customHeight="1" x14ac:dyDescent="0.3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 x14ac:dyDescent="0.3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4" priority="18">
      <formula>$J3="잔금"</formula>
    </cfRule>
  </conditionalFormatting>
  <conditionalFormatting sqref="E8">
    <cfRule type="expression" dxfId="3" priority="17">
      <formula>$J8="잔금"</formula>
    </cfRule>
  </conditionalFormatting>
  <conditionalFormatting sqref="E4">
    <cfRule type="expression" dxfId="2" priority="16">
      <formula>$J4="잔금"</formula>
    </cfRule>
  </conditionalFormatting>
  <conditionalFormatting sqref="E9">
    <cfRule type="expression" dxfId="1" priority="15">
      <formula>$J9="잔금"</formula>
    </cfRule>
  </conditionalFormatting>
  <conditionalFormatting sqref="E41 E37">
    <cfRule type="expression" dxfId="0" priority="10">
      <formula>$J37="잔금"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96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139</v>
      </c>
    </row>
    <row r="3" spans="2:3" ht="16.5" customHeight="1" x14ac:dyDescent="0.25">
      <c r="B3" s="22" t="s">
        <v>136</v>
      </c>
      <c r="C3" s="17" t="s">
        <v>137</v>
      </c>
    </row>
    <row r="4" spans="2:3" ht="16.5" customHeight="1" x14ac:dyDescent="0.25">
      <c r="B4" s="16" t="s">
        <v>145</v>
      </c>
      <c r="C4" s="16" t="s">
        <v>149</v>
      </c>
    </row>
    <row r="5" spans="2:3" ht="16.5" customHeight="1" x14ac:dyDescent="0.25">
      <c r="B5" s="16" t="s">
        <v>152</v>
      </c>
      <c r="C5" s="16" t="s">
        <v>154</v>
      </c>
    </row>
    <row r="6" spans="2:3" ht="16.5" customHeight="1" x14ac:dyDescent="0.25">
      <c r="B6" s="16" t="s">
        <v>153</v>
      </c>
      <c r="C6" s="16" t="s">
        <v>155</v>
      </c>
    </row>
    <row r="7" spans="2:3" ht="13.5" x14ac:dyDescent="0.25">
      <c r="B7" s="20" t="s">
        <v>146</v>
      </c>
      <c r="C7" s="21" t="s">
        <v>156</v>
      </c>
    </row>
    <row r="8" spans="2:3" ht="16.5" customHeight="1" x14ac:dyDescent="0.25">
      <c r="B8" s="16" t="s">
        <v>147</v>
      </c>
      <c r="C8" s="16" t="s">
        <v>150</v>
      </c>
    </row>
    <row r="9" spans="2:3" ht="16.5" customHeight="1" x14ac:dyDescent="0.25">
      <c r="B9" s="16" t="s">
        <v>148</v>
      </c>
      <c r="C9" s="16" t="s">
        <v>151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2026-02-10T06:31:37Z</dcterms:modified>
</cp:coreProperties>
</file>