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cowork\"/>
    </mc:Choice>
  </mc:AlternateContent>
  <bookViews>
    <workbookView xWindow="28680" yWindow="-120" windowWidth="29040" windowHeight="15720"/>
  </bookViews>
  <sheets>
    <sheet name="data" sheetId="1" r:id="rId1"/>
    <sheet name="프로세스현황" sheetId="2" r:id="rId2"/>
  </sheets>
  <definedNames>
    <definedName name="_xlnm._FilterDatabase" localSheetId="0" hidden="1">data!$A$1:$S$716</definedName>
  </definedNames>
  <calcPr calcId="162913" iterateDelta="1E-4"/>
</workbook>
</file>

<file path=xl/calcChain.xml><?xml version="1.0" encoding="utf-8"?>
<calcChain xmlns="http://schemas.openxmlformats.org/spreadsheetml/2006/main">
  <c r="I705" i="1" l="1"/>
  <c r="J705" i="1" s="1"/>
  <c r="B705" i="1"/>
  <c r="I674" i="1"/>
  <c r="J674" i="1" s="1"/>
  <c r="B674" i="1"/>
  <c r="B666" i="1"/>
  <c r="I666" i="1"/>
  <c r="J666" i="1" s="1"/>
  <c r="B672" i="1"/>
  <c r="I672" i="1"/>
  <c r="J672" i="1" s="1"/>
  <c r="I702" i="1"/>
  <c r="J702" i="1" s="1"/>
  <c r="I703" i="1"/>
  <c r="J703" i="1" s="1"/>
  <c r="I704" i="1"/>
  <c r="J704" i="1" s="1"/>
  <c r="I706" i="1"/>
  <c r="J706" i="1" s="1"/>
  <c r="B702" i="1"/>
  <c r="B703" i="1"/>
  <c r="B704" i="1"/>
  <c r="B706" i="1"/>
  <c r="B677" i="1"/>
  <c r="B678" i="1"/>
  <c r="B679" i="1"/>
  <c r="I676" i="1"/>
  <c r="J676" i="1" s="1"/>
  <c r="I677" i="1"/>
  <c r="J677" i="1" s="1"/>
  <c r="I678" i="1"/>
  <c r="J678" i="1" s="1"/>
  <c r="I679" i="1"/>
  <c r="J679" i="1" s="1"/>
  <c r="B675" i="1"/>
  <c r="B676" i="1"/>
  <c r="I675" i="1"/>
  <c r="J675" i="1" s="1"/>
  <c r="I671" i="1"/>
  <c r="J671" i="1" s="1"/>
  <c r="B671" i="1"/>
  <c r="B670" i="1"/>
  <c r="I670" i="1"/>
  <c r="J670" i="1" s="1"/>
  <c r="B669" i="1"/>
  <c r="I669" i="1"/>
  <c r="J669" i="1" s="1"/>
  <c r="B649" i="1"/>
  <c r="I649" i="1"/>
  <c r="J649" i="1" s="1"/>
  <c r="I665" i="1"/>
  <c r="J665" i="1" s="1"/>
  <c r="I667" i="1"/>
  <c r="J667" i="1" s="1"/>
  <c r="I668" i="1"/>
  <c r="J668" i="1" s="1"/>
  <c r="I673" i="1"/>
  <c r="J673" i="1" s="1"/>
  <c r="I680" i="1"/>
  <c r="J680" i="1" s="1"/>
  <c r="I681" i="1"/>
  <c r="J681" i="1" s="1"/>
  <c r="I682" i="1"/>
  <c r="J682" i="1" s="1"/>
  <c r="I683" i="1"/>
  <c r="J683" i="1" s="1"/>
  <c r="I684" i="1"/>
  <c r="J684" i="1" s="1"/>
  <c r="I685" i="1"/>
  <c r="J685" i="1" s="1"/>
  <c r="I686" i="1"/>
  <c r="J686" i="1" s="1"/>
  <c r="I687" i="1"/>
  <c r="J687" i="1" s="1"/>
  <c r="I688" i="1"/>
  <c r="J688" i="1" s="1"/>
  <c r="I689" i="1"/>
  <c r="J689" i="1" s="1"/>
  <c r="I690" i="1"/>
  <c r="J690" i="1" s="1"/>
  <c r="I691" i="1"/>
  <c r="J691" i="1" s="1"/>
  <c r="I692" i="1"/>
  <c r="J692" i="1" s="1"/>
  <c r="I693" i="1"/>
  <c r="J693" i="1" s="1"/>
  <c r="I694" i="1"/>
  <c r="J694" i="1" s="1"/>
  <c r="I695" i="1"/>
  <c r="J695" i="1" s="1"/>
  <c r="I696" i="1"/>
  <c r="J696" i="1" s="1"/>
  <c r="I697" i="1"/>
  <c r="J697" i="1" s="1"/>
  <c r="I698" i="1"/>
  <c r="J698" i="1" s="1"/>
  <c r="I699" i="1"/>
  <c r="J699" i="1" s="1"/>
  <c r="I700" i="1"/>
  <c r="J700" i="1" s="1"/>
  <c r="I701" i="1"/>
  <c r="J701" i="1" s="1"/>
  <c r="I707" i="1"/>
  <c r="J707" i="1" s="1"/>
  <c r="I708" i="1"/>
  <c r="J708" i="1" s="1"/>
  <c r="I709" i="1"/>
  <c r="J709" i="1" s="1"/>
  <c r="I710" i="1"/>
  <c r="J710" i="1" s="1"/>
  <c r="I711" i="1"/>
  <c r="J711" i="1" s="1"/>
  <c r="I712" i="1"/>
  <c r="J712" i="1" s="1"/>
  <c r="I713" i="1"/>
  <c r="J713" i="1" s="1"/>
  <c r="I714" i="1"/>
  <c r="J714" i="1" s="1"/>
  <c r="I715" i="1"/>
  <c r="J715" i="1" s="1"/>
  <c r="I716" i="1"/>
  <c r="J716" i="1" s="1"/>
  <c r="B665" i="1"/>
  <c r="B667" i="1"/>
  <c r="B668" i="1"/>
  <c r="B673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7" i="1"/>
  <c r="B708" i="1"/>
  <c r="B709" i="1"/>
  <c r="B710" i="1"/>
  <c r="B711" i="1"/>
  <c r="B712" i="1"/>
  <c r="B713" i="1"/>
  <c r="B714" i="1"/>
  <c r="B715" i="1"/>
  <c r="B716" i="1"/>
  <c r="B418" i="1"/>
  <c r="I418" i="1"/>
  <c r="J418" i="1" s="1"/>
  <c r="D418" i="1"/>
  <c r="I664" i="1"/>
  <c r="J664" i="1" s="1"/>
  <c r="B664" i="1"/>
  <c r="I663" i="1"/>
  <c r="J663" i="1" s="1"/>
  <c r="B663" i="1"/>
  <c r="I662" i="1"/>
  <c r="J662" i="1" s="1"/>
  <c r="B662" i="1"/>
  <c r="I661" i="1"/>
  <c r="J661" i="1" s="1"/>
  <c r="B661" i="1"/>
  <c r="I660" i="1"/>
  <c r="J660" i="1" s="1"/>
  <c r="B660" i="1"/>
  <c r="I659" i="1"/>
  <c r="J659" i="1" s="1"/>
  <c r="B659" i="1"/>
  <c r="I658" i="1"/>
  <c r="J658" i="1" s="1"/>
  <c r="B658" i="1"/>
  <c r="I657" i="1"/>
  <c r="J657" i="1" s="1"/>
  <c r="B657" i="1"/>
  <c r="I656" i="1"/>
  <c r="J656" i="1" s="1"/>
  <c r="B656" i="1"/>
  <c r="I655" i="1"/>
  <c r="J655" i="1" s="1"/>
  <c r="B655" i="1"/>
  <c r="I654" i="1"/>
  <c r="J654" i="1" s="1"/>
  <c r="B654" i="1"/>
  <c r="I653" i="1"/>
  <c r="J653" i="1" s="1"/>
  <c r="B653" i="1"/>
  <c r="I652" i="1"/>
  <c r="J652" i="1" s="1"/>
  <c r="B652" i="1"/>
  <c r="I651" i="1"/>
  <c r="J651" i="1" s="1"/>
  <c r="B651" i="1"/>
  <c r="I650" i="1"/>
  <c r="J650" i="1" s="1"/>
  <c r="B650" i="1"/>
  <c r="I648" i="1"/>
  <c r="J648" i="1" s="1"/>
  <c r="B648" i="1"/>
  <c r="I647" i="1"/>
  <c r="J647" i="1" s="1"/>
  <c r="B647" i="1"/>
  <c r="I646" i="1"/>
  <c r="J646" i="1" s="1"/>
  <c r="B646" i="1"/>
  <c r="I645" i="1"/>
  <c r="J645" i="1" s="1"/>
  <c r="B645" i="1"/>
  <c r="I644" i="1"/>
  <c r="J644" i="1" s="1"/>
  <c r="B644" i="1"/>
  <c r="I643" i="1"/>
  <c r="J643" i="1" s="1"/>
  <c r="B643" i="1"/>
  <c r="I642" i="1"/>
  <c r="J642" i="1" s="1"/>
  <c r="B642" i="1"/>
  <c r="I641" i="1"/>
  <c r="J641" i="1" s="1"/>
  <c r="B641" i="1"/>
  <c r="I640" i="1"/>
  <c r="J640" i="1" s="1"/>
  <c r="B640" i="1"/>
  <c r="I639" i="1"/>
  <c r="J639" i="1" s="1"/>
  <c r="B639" i="1"/>
  <c r="I638" i="1"/>
  <c r="J638" i="1" s="1"/>
  <c r="B638" i="1"/>
  <c r="I637" i="1"/>
  <c r="J637" i="1" s="1"/>
  <c r="B637" i="1"/>
  <c r="I636" i="1"/>
  <c r="J636" i="1" s="1"/>
  <c r="B636" i="1"/>
  <c r="I635" i="1"/>
  <c r="J635" i="1" s="1"/>
  <c r="B635" i="1"/>
  <c r="I634" i="1"/>
  <c r="J634" i="1" s="1"/>
  <c r="B634" i="1"/>
  <c r="I633" i="1"/>
  <c r="J633" i="1" s="1"/>
  <c r="B633" i="1"/>
  <c r="I632" i="1"/>
  <c r="J632" i="1" s="1"/>
  <c r="B632" i="1"/>
  <c r="I631" i="1"/>
  <c r="J631" i="1" s="1"/>
  <c r="B631" i="1"/>
  <c r="I630" i="1"/>
  <c r="J630" i="1" s="1"/>
  <c r="B630" i="1"/>
  <c r="I629" i="1"/>
  <c r="J629" i="1" s="1"/>
  <c r="B629" i="1"/>
  <c r="I628" i="1"/>
  <c r="J628" i="1" s="1"/>
  <c r="B628" i="1"/>
  <c r="I627" i="1"/>
  <c r="J627" i="1" s="1"/>
  <c r="B627" i="1"/>
  <c r="I626" i="1"/>
  <c r="J626" i="1" s="1"/>
  <c r="B626" i="1"/>
  <c r="I625" i="1"/>
  <c r="J625" i="1" s="1"/>
  <c r="B625" i="1"/>
  <c r="I624" i="1"/>
  <c r="J624" i="1" s="1"/>
  <c r="B624" i="1"/>
  <c r="I623" i="1"/>
  <c r="J623" i="1" s="1"/>
  <c r="B623" i="1"/>
  <c r="I622" i="1"/>
  <c r="J622" i="1" s="1"/>
  <c r="B622" i="1"/>
  <c r="I621" i="1"/>
  <c r="J621" i="1" s="1"/>
  <c r="B621" i="1"/>
  <c r="I620" i="1"/>
  <c r="J620" i="1" s="1"/>
  <c r="B620" i="1"/>
  <c r="I619" i="1"/>
  <c r="J619" i="1" s="1"/>
  <c r="B619" i="1"/>
  <c r="I618" i="1"/>
  <c r="J618" i="1" s="1"/>
  <c r="B618" i="1"/>
  <c r="I617" i="1"/>
  <c r="J617" i="1" s="1"/>
  <c r="B617" i="1"/>
  <c r="I616" i="1"/>
  <c r="J616" i="1" s="1"/>
  <c r="B616" i="1"/>
  <c r="I615" i="1"/>
  <c r="J615" i="1" s="1"/>
  <c r="B615" i="1"/>
  <c r="I614" i="1"/>
  <c r="J614" i="1" s="1"/>
  <c r="B614" i="1"/>
  <c r="I613" i="1"/>
  <c r="J613" i="1" s="1"/>
  <c r="B613" i="1"/>
  <c r="I612" i="1"/>
  <c r="J612" i="1" s="1"/>
  <c r="B612" i="1"/>
  <c r="I611" i="1"/>
  <c r="J611" i="1" s="1"/>
  <c r="B611" i="1"/>
  <c r="I610" i="1"/>
  <c r="J610" i="1" s="1"/>
  <c r="B610" i="1"/>
  <c r="I609" i="1"/>
  <c r="J609" i="1" s="1"/>
  <c r="B609" i="1"/>
  <c r="I608" i="1"/>
  <c r="J608" i="1" s="1"/>
  <c r="B608" i="1"/>
  <c r="I607" i="1"/>
  <c r="J607" i="1" s="1"/>
  <c r="B607" i="1"/>
  <c r="I606" i="1"/>
  <c r="J606" i="1" s="1"/>
  <c r="B606" i="1"/>
  <c r="I605" i="1"/>
  <c r="J605" i="1" s="1"/>
  <c r="B605" i="1"/>
  <c r="I604" i="1"/>
  <c r="J604" i="1" s="1"/>
  <c r="B604" i="1"/>
  <c r="I603" i="1"/>
  <c r="J603" i="1" s="1"/>
  <c r="B603" i="1"/>
  <c r="I602" i="1"/>
  <c r="J602" i="1" s="1"/>
  <c r="B602" i="1"/>
  <c r="I601" i="1"/>
  <c r="J601" i="1" s="1"/>
  <c r="B601" i="1"/>
  <c r="I600" i="1"/>
  <c r="J600" i="1" s="1"/>
  <c r="B600" i="1"/>
  <c r="I599" i="1"/>
  <c r="J599" i="1" s="1"/>
  <c r="B599" i="1"/>
  <c r="I598" i="1"/>
  <c r="J598" i="1" s="1"/>
  <c r="B598" i="1"/>
  <c r="I597" i="1"/>
  <c r="J597" i="1" s="1"/>
  <c r="B597" i="1"/>
  <c r="I596" i="1"/>
  <c r="J596" i="1" s="1"/>
  <c r="B596" i="1"/>
  <c r="I595" i="1"/>
  <c r="J595" i="1" s="1"/>
  <c r="B595" i="1"/>
  <c r="I594" i="1"/>
  <c r="J594" i="1" s="1"/>
  <c r="B594" i="1"/>
  <c r="I593" i="1"/>
  <c r="J593" i="1" s="1"/>
  <c r="B593" i="1"/>
  <c r="I592" i="1"/>
  <c r="J592" i="1" s="1"/>
  <c r="B592" i="1"/>
  <c r="I591" i="1"/>
  <c r="J591" i="1" s="1"/>
  <c r="B591" i="1"/>
  <c r="I590" i="1"/>
  <c r="J590" i="1" s="1"/>
  <c r="B590" i="1"/>
  <c r="I589" i="1"/>
  <c r="J589" i="1" s="1"/>
  <c r="B589" i="1"/>
  <c r="I588" i="1"/>
  <c r="J588" i="1" s="1"/>
  <c r="B588" i="1"/>
  <c r="I587" i="1"/>
  <c r="J587" i="1" s="1"/>
  <c r="B587" i="1"/>
  <c r="I586" i="1"/>
  <c r="J586" i="1" s="1"/>
  <c r="B586" i="1"/>
  <c r="I585" i="1"/>
  <c r="J585" i="1" s="1"/>
  <c r="B585" i="1"/>
  <c r="I584" i="1"/>
  <c r="J584" i="1" s="1"/>
  <c r="B584" i="1"/>
  <c r="I583" i="1"/>
  <c r="J583" i="1" s="1"/>
  <c r="B583" i="1"/>
  <c r="I582" i="1"/>
  <c r="J582" i="1" s="1"/>
  <c r="B582" i="1"/>
  <c r="I581" i="1"/>
  <c r="J581" i="1" s="1"/>
  <c r="B581" i="1"/>
  <c r="I580" i="1"/>
  <c r="J580" i="1" s="1"/>
  <c r="B580" i="1"/>
  <c r="I579" i="1"/>
  <c r="J579" i="1" s="1"/>
  <c r="B579" i="1"/>
  <c r="I578" i="1"/>
  <c r="J578" i="1" s="1"/>
  <c r="B578" i="1"/>
  <c r="I577" i="1"/>
  <c r="J577" i="1" s="1"/>
  <c r="B577" i="1"/>
  <c r="I576" i="1"/>
  <c r="J576" i="1" s="1"/>
  <c r="B576" i="1"/>
  <c r="I575" i="1"/>
  <c r="J575" i="1" s="1"/>
  <c r="B575" i="1"/>
  <c r="I574" i="1"/>
  <c r="J574" i="1" s="1"/>
  <c r="B574" i="1"/>
  <c r="I573" i="1"/>
  <c r="J573" i="1" s="1"/>
  <c r="B573" i="1"/>
  <c r="I572" i="1"/>
  <c r="J572" i="1" s="1"/>
  <c r="B572" i="1"/>
  <c r="I571" i="1"/>
  <c r="J571" i="1" s="1"/>
  <c r="B571" i="1"/>
  <c r="I570" i="1"/>
  <c r="J570" i="1" s="1"/>
  <c r="B570" i="1"/>
  <c r="I569" i="1"/>
  <c r="J569" i="1" s="1"/>
  <c r="B569" i="1"/>
  <c r="I568" i="1"/>
  <c r="J568" i="1" s="1"/>
  <c r="B568" i="1"/>
  <c r="I567" i="1"/>
  <c r="J567" i="1" s="1"/>
  <c r="B567" i="1"/>
  <c r="I566" i="1"/>
  <c r="J566" i="1" s="1"/>
  <c r="B566" i="1"/>
  <c r="I565" i="1"/>
  <c r="J565" i="1" s="1"/>
  <c r="B565" i="1"/>
  <c r="I564" i="1"/>
  <c r="J564" i="1" s="1"/>
  <c r="B564" i="1"/>
  <c r="I563" i="1"/>
  <c r="J563" i="1" s="1"/>
  <c r="B563" i="1"/>
  <c r="I562" i="1"/>
  <c r="J562" i="1" s="1"/>
  <c r="B562" i="1"/>
  <c r="I561" i="1"/>
  <c r="J561" i="1" s="1"/>
  <c r="B561" i="1"/>
  <c r="I560" i="1"/>
  <c r="J560" i="1" s="1"/>
  <c r="B560" i="1"/>
  <c r="I559" i="1"/>
  <c r="J559" i="1" s="1"/>
  <c r="B559" i="1"/>
  <c r="I558" i="1"/>
  <c r="J558" i="1" s="1"/>
  <c r="B558" i="1"/>
  <c r="I557" i="1"/>
  <c r="J557" i="1" s="1"/>
  <c r="B557" i="1"/>
  <c r="I556" i="1"/>
  <c r="J556" i="1" s="1"/>
  <c r="B556" i="1"/>
  <c r="I555" i="1"/>
  <c r="J555" i="1" s="1"/>
  <c r="B555" i="1"/>
  <c r="I554" i="1"/>
  <c r="J554" i="1" s="1"/>
  <c r="B554" i="1"/>
  <c r="I553" i="1"/>
  <c r="J553" i="1" s="1"/>
  <c r="B553" i="1"/>
  <c r="I552" i="1"/>
  <c r="J552" i="1" s="1"/>
  <c r="B552" i="1"/>
  <c r="I551" i="1"/>
  <c r="J551" i="1" s="1"/>
  <c r="B551" i="1"/>
  <c r="I550" i="1"/>
  <c r="J550" i="1" s="1"/>
  <c r="B550" i="1"/>
  <c r="I549" i="1"/>
  <c r="J549" i="1" s="1"/>
  <c r="B549" i="1"/>
  <c r="I548" i="1"/>
  <c r="J548" i="1" s="1"/>
  <c r="B548" i="1"/>
  <c r="I547" i="1"/>
  <c r="J547" i="1" s="1"/>
  <c r="B547" i="1"/>
  <c r="I546" i="1"/>
  <c r="J546" i="1" s="1"/>
  <c r="B546" i="1"/>
  <c r="I545" i="1"/>
  <c r="J545" i="1" s="1"/>
  <c r="B545" i="1"/>
  <c r="I544" i="1"/>
  <c r="J544" i="1" s="1"/>
  <c r="B544" i="1"/>
  <c r="I543" i="1"/>
  <c r="J543" i="1" s="1"/>
  <c r="B543" i="1"/>
  <c r="I542" i="1"/>
  <c r="J542" i="1" s="1"/>
  <c r="B542" i="1"/>
  <c r="I541" i="1"/>
  <c r="J541" i="1" s="1"/>
  <c r="B541" i="1"/>
  <c r="I540" i="1"/>
  <c r="J540" i="1" s="1"/>
  <c r="B540" i="1"/>
  <c r="I539" i="1"/>
  <c r="J539" i="1" s="1"/>
  <c r="B539" i="1"/>
  <c r="I538" i="1"/>
  <c r="J538" i="1" s="1"/>
  <c r="B538" i="1"/>
  <c r="I537" i="1"/>
  <c r="J537" i="1" s="1"/>
  <c r="B537" i="1"/>
  <c r="I536" i="1"/>
  <c r="J536" i="1" s="1"/>
  <c r="B536" i="1"/>
  <c r="I535" i="1"/>
  <c r="J535" i="1" s="1"/>
  <c r="B535" i="1"/>
  <c r="I534" i="1"/>
  <c r="J534" i="1" s="1"/>
  <c r="B534" i="1"/>
  <c r="I533" i="1"/>
  <c r="J533" i="1" s="1"/>
  <c r="B533" i="1"/>
  <c r="I532" i="1"/>
  <c r="J532" i="1" s="1"/>
  <c r="B532" i="1"/>
  <c r="I531" i="1"/>
  <c r="J531" i="1" s="1"/>
  <c r="B531" i="1"/>
  <c r="I530" i="1"/>
  <c r="J530" i="1" s="1"/>
  <c r="B530" i="1"/>
  <c r="I529" i="1"/>
  <c r="J529" i="1" s="1"/>
  <c r="B529" i="1"/>
  <c r="I528" i="1"/>
  <c r="J528" i="1" s="1"/>
  <c r="B528" i="1"/>
  <c r="I527" i="1"/>
  <c r="J527" i="1" s="1"/>
  <c r="B527" i="1"/>
  <c r="I526" i="1"/>
  <c r="J526" i="1" s="1"/>
  <c r="B526" i="1"/>
  <c r="I525" i="1"/>
  <c r="J525" i="1" s="1"/>
  <c r="B525" i="1"/>
  <c r="I524" i="1"/>
  <c r="J524" i="1" s="1"/>
  <c r="B524" i="1"/>
  <c r="I523" i="1"/>
  <c r="J523" i="1" s="1"/>
  <c r="B523" i="1"/>
  <c r="I522" i="1"/>
  <c r="J522" i="1" s="1"/>
  <c r="B522" i="1"/>
  <c r="I521" i="1"/>
  <c r="J521" i="1" s="1"/>
  <c r="B521" i="1"/>
  <c r="I520" i="1"/>
  <c r="J520" i="1" s="1"/>
  <c r="B520" i="1"/>
  <c r="I519" i="1"/>
  <c r="J519" i="1" s="1"/>
  <c r="B519" i="1"/>
  <c r="I518" i="1"/>
  <c r="J518" i="1" s="1"/>
  <c r="B518" i="1"/>
  <c r="I517" i="1"/>
  <c r="J517" i="1" s="1"/>
  <c r="B517" i="1"/>
  <c r="I516" i="1"/>
  <c r="J516" i="1" s="1"/>
  <c r="B516" i="1"/>
  <c r="I515" i="1"/>
  <c r="J515" i="1" s="1"/>
  <c r="B515" i="1"/>
  <c r="I514" i="1"/>
  <c r="J514" i="1" s="1"/>
  <c r="B514" i="1"/>
  <c r="I513" i="1"/>
  <c r="J513" i="1" s="1"/>
  <c r="B513" i="1"/>
  <c r="I512" i="1"/>
  <c r="J512" i="1" s="1"/>
  <c r="B512" i="1"/>
  <c r="I511" i="1"/>
  <c r="J511" i="1" s="1"/>
  <c r="B511" i="1"/>
  <c r="I510" i="1"/>
  <c r="J510" i="1" s="1"/>
  <c r="B510" i="1"/>
  <c r="I509" i="1"/>
  <c r="J509" i="1" s="1"/>
  <c r="B509" i="1"/>
  <c r="I508" i="1"/>
  <c r="J508" i="1" s="1"/>
  <c r="B508" i="1"/>
  <c r="I507" i="1"/>
  <c r="J507" i="1" s="1"/>
  <c r="B507" i="1"/>
  <c r="I506" i="1"/>
  <c r="J506" i="1" s="1"/>
  <c r="B506" i="1"/>
  <c r="I505" i="1"/>
  <c r="J505" i="1" s="1"/>
  <c r="B505" i="1"/>
  <c r="I504" i="1"/>
  <c r="J504" i="1" s="1"/>
  <c r="B504" i="1"/>
  <c r="I503" i="1"/>
  <c r="J503" i="1" s="1"/>
  <c r="B503" i="1"/>
  <c r="I502" i="1"/>
  <c r="J502" i="1" s="1"/>
  <c r="B502" i="1"/>
  <c r="I501" i="1"/>
  <c r="J501" i="1" s="1"/>
  <c r="B501" i="1"/>
  <c r="I500" i="1"/>
  <c r="J500" i="1" s="1"/>
  <c r="B500" i="1"/>
  <c r="I499" i="1"/>
  <c r="J499" i="1" s="1"/>
  <c r="B499" i="1"/>
  <c r="I498" i="1"/>
  <c r="J498" i="1" s="1"/>
  <c r="B498" i="1"/>
  <c r="I497" i="1"/>
  <c r="J497" i="1" s="1"/>
  <c r="B497" i="1"/>
  <c r="I496" i="1"/>
  <c r="J496" i="1" s="1"/>
  <c r="B496" i="1"/>
  <c r="I495" i="1"/>
  <c r="J495" i="1" s="1"/>
  <c r="B495" i="1"/>
  <c r="I494" i="1"/>
  <c r="J494" i="1" s="1"/>
  <c r="B494" i="1"/>
  <c r="I493" i="1"/>
  <c r="J493" i="1" s="1"/>
  <c r="B493" i="1"/>
  <c r="I492" i="1"/>
  <c r="J492" i="1" s="1"/>
  <c r="B492" i="1"/>
  <c r="I491" i="1"/>
  <c r="J491" i="1" s="1"/>
  <c r="B491" i="1"/>
  <c r="I490" i="1"/>
  <c r="J490" i="1" s="1"/>
  <c r="B490" i="1"/>
  <c r="I489" i="1"/>
  <c r="J489" i="1" s="1"/>
  <c r="B489" i="1"/>
  <c r="I488" i="1"/>
  <c r="J488" i="1" s="1"/>
  <c r="B488" i="1"/>
  <c r="I487" i="1"/>
  <c r="J487" i="1" s="1"/>
  <c r="B487" i="1"/>
  <c r="I486" i="1"/>
  <c r="J486" i="1" s="1"/>
  <c r="B486" i="1"/>
  <c r="I485" i="1"/>
  <c r="J485" i="1" s="1"/>
  <c r="B485" i="1"/>
  <c r="I484" i="1"/>
  <c r="J484" i="1" s="1"/>
  <c r="B484" i="1"/>
  <c r="I483" i="1"/>
  <c r="J483" i="1" s="1"/>
  <c r="B483" i="1"/>
  <c r="I482" i="1"/>
  <c r="J482" i="1" s="1"/>
  <c r="B482" i="1"/>
  <c r="I481" i="1"/>
  <c r="J481" i="1" s="1"/>
  <c r="B481" i="1"/>
  <c r="I480" i="1"/>
  <c r="J480" i="1" s="1"/>
  <c r="B480" i="1"/>
  <c r="I479" i="1"/>
  <c r="J479" i="1" s="1"/>
  <c r="B479" i="1"/>
  <c r="I478" i="1"/>
  <c r="J478" i="1" s="1"/>
  <c r="B478" i="1"/>
  <c r="I477" i="1"/>
  <c r="J477" i="1" s="1"/>
  <c r="B477" i="1"/>
  <c r="I476" i="1"/>
  <c r="J476" i="1" s="1"/>
  <c r="B476" i="1"/>
  <c r="I475" i="1"/>
  <c r="J475" i="1" s="1"/>
  <c r="B475" i="1"/>
  <c r="I474" i="1"/>
  <c r="J474" i="1" s="1"/>
  <c r="B474" i="1"/>
  <c r="I473" i="1"/>
  <c r="J473" i="1" s="1"/>
  <c r="B473" i="1"/>
  <c r="I472" i="1"/>
  <c r="J472" i="1" s="1"/>
  <c r="B472" i="1"/>
  <c r="I471" i="1"/>
  <c r="J471" i="1" s="1"/>
  <c r="B471" i="1"/>
  <c r="I470" i="1"/>
  <c r="J470" i="1" s="1"/>
  <c r="B470" i="1"/>
  <c r="I469" i="1"/>
  <c r="J469" i="1" s="1"/>
  <c r="B469" i="1"/>
  <c r="I468" i="1"/>
  <c r="J468" i="1" s="1"/>
  <c r="B468" i="1"/>
  <c r="I467" i="1"/>
  <c r="J467" i="1" s="1"/>
  <c r="B467" i="1"/>
  <c r="I466" i="1"/>
  <c r="J466" i="1" s="1"/>
  <c r="B466" i="1"/>
  <c r="I465" i="1"/>
  <c r="J465" i="1" s="1"/>
  <c r="B465" i="1"/>
  <c r="I464" i="1"/>
  <c r="J464" i="1" s="1"/>
  <c r="B464" i="1"/>
  <c r="I463" i="1"/>
  <c r="J463" i="1" s="1"/>
  <c r="B463" i="1"/>
  <c r="I462" i="1"/>
  <c r="J462" i="1" s="1"/>
  <c r="B462" i="1"/>
  <c r="I461" i="1"/>
  <c r="J461" i="1" s="1"/>
  <c r="B461" i="1"/>
  <c r="I460" i="1"/>
  <c r="J460" i="1" s="1"/>
  <c r="B460" i="1"/>
  <c r="I459" i="1"/>
  <c r="J459" i="1" s="1"/>
  <c r="B459" i="1"/>
  <c r="I458" i="1"/>
  <c r="J458" i="1" s="1"/>
  <c r="B458" i="1"/>
  <c r="I457" i="1"/>
  <c r="J457" i="1" s="1"/>
  <c r="B457" i="1"/>
  <c r="I456" i="1"/>
  <c r="J456" i="1" s="1"/>
  <c r="B456" i="1"/>
  <c r="I455" i="1"/>
  <c r="J455" i="1" s="1"/>
  <c r="B455" i="1"/>
  <c r="I454" i="1"/>
  <c r="J454" i="1" s="1"/>
  <c r="B454" i="1"/>
  <c r="I453" i="1"/>
  <c r="J453" i="1" s="1"/>
  <c r="B453" i="1"/>
  <c r="I452" i="1"/>
  <c r="J452" i="1" s="1"/>
  <c r="B452" i="1"/>
  <c r="I451" i="1"/>
  <c r="J451" i="1" s="1"/>
  <c r="B451" i="1"/>
  <c r="I450" i="1"/>
  <c r="J450" i="1" s="1"/>
  <c r="B450" i="1"/>
  <c r="I449" i="1"/>
  <c r="J449" i="1" s="1"/>
  <c r="B449" i="1"/>
  <c r="I448" i="1"/>
  <c r="J448" i="1" s="1"/>
  <c r="B448" i="1"/>
  <c r="I447" i="1"/>
  <c r="J447" i="1" s="1"/>
  <c r="B447" i="1"/>
  <c r="I446" i="1"/>
  <c r="J446" i="1" s="1"/>
  <c r="B446" i="1"/>
  <c r="I445" i="1"/>
  <c r="J445" i="1" s="1"/>
  <c r="B445" i="1"/>
  <c r="I444" i="1"/>
  <c r="J444" i="1" s="1"/>
  <c r="B444" i="1"/>
  <c r="I443" i="1"/>
  <c r="J443" i="1" s="1"/>
  <c r="B443" i="1"/>
  <c r="I442" i="1"/>
  <c r="J442" i="1" s="1"/>
  <c r="B442" i="1"/>
  <c r="I441" i="1"/>
  <c r="J441" i="1" s="1"/>
  <c r="B441" i="1"/>
  <c r="I440" i="1"/>
  <c r="J440" i="1" s="1"/>
  <c r="B440" i="1"/>
  <c r="I439" i="1"/>
  <c r="J439" i="1" s="1"/>
  <c r="B439" i="1"/>
  <c r="I438" i="1"/>
  <c r="J438" i="1" s="1"/>
  <c r="B438" i="1"/>
  <c r="I437" i="1"/>
  <c r="J437" i="1" s="1"/>
  <c r="B437" i="1"/>
  <c r="I436" i="1"/>
  <c r="J436" i="1" s="1"/>
  <c r="B436" i="1"/>
  <c r="I435" i="1"/>
  <c r="J435" i="1" s="1"/>
  <c r="B435" i="1"/>
  <c r="I434" i="1"/>
  <c r="J434" i="1" s="1"/>
  <c r="B434" i="1"/>
  <c r="I433" i="1"/>
  <c r="J433" i="1" s="1"/>
  <c r="B433" i="1"/>
  <c r="I432" i="1"/>
  <c r="J432" i="1" s="1"/>
  <c r="B432" i="1"/>
  <c r="I431" i="1"/>
  <c r="J431" i="1" s="1"/>
  <c r="B431" i="1"/>
  <c r="I430" i="1"/>
  <c r="J430" i="1" s="1"/>
  <c r="B430" i="1"/>
  <c r="I429" i="1"/>
  <c r="J429" i="1" s="1"/>
  <c r="B429" i="1"/>
  <c r="I428" i="1"/>
  <c r="J428" i="1" s="1"/>
  <c r="B428" i="1"/>
  <c r="I427" i="1"/>
  <c r="J427" i="1" s="1"/>
  <c r="B427" i="1"/>
  <c r="I426" i="1"/>
  <c r="J426" i="1" s="1"/>
  <c r="B426" i="1"/>
  <c r="I425" i="1"/>
  <c r="J425" i="1" s="1"/>
  <c r="B425" i="1"/>
  <c r="I424" i="1"/>
  <c r="J424" i="1" s="1"/>
  <c r="B424" i="1"/>
  <c r="I423" i="1"/>
  <c r="J423" i="1" s="1"/>
  <c r="B423" i="1"/>
  <c r="I422" i="1"/>
  <c r="J422" i="1" s="1"/>
  <c r="B422" i="1"/>
  <c r="I421" i="1"/>
  <c r="J421" i="1" s="1"/>
  <c r="B421" i="1"/>
  <c r="I420" i="1"/>
  <c r="J420" i="1" s="1"/>
  <c r="B420" i="1"/>
  <c r="I419" i="1"/>
  <c r="J419" i="1" s="1"/>
  <c r="B419" i="1"/>
  <c r="I417" i="1"/>
  <c r="J417" i="1" s="1"/>
  <c r="D417" i="1"/>
  <c r="B417" i="1"/>
  <c r="I416" i="1"/>
  <c r="J416" i="1" s="1"/>
  <c r="D416" i="1"/>
  <c r="B416" i="1"/>
  <c r="I415" i="1"/>
  <c r="J415" i="1" s="1"/>
  <c r="D415" i="1"/>
  <c r="B415" i="1"/>
  <c r="I414" i="1"/>
  <c r="J414" i="1" s="1"/>
  <c r="D414" i="1"/>
  <c r="B414" i="1"/>
  <c r="I413" i="1"/>
  <c r="J413" i="1" s="1"/>
  <c r="D413" i="1"/>
  <c r="B413" i="1"/>
  <c r="I412" i="1"/>
  <c r="J412" i="1" s="1"/>
  <c r="D412" i="1"/>
  <c r="B412" i="1"/>
  <c r="I411" i="1"/>
  <c r="J411" i="1" s="1"/>
  <c r="D411" i="1"/>
  <c r="B411" i="1"/>
  <c r="I410" i="1"/>
  <c r="J410" i="1" s="1"/>
  <c r="D410" i="1"/>
  <c r="B410" i="1"/>
  <c r="I409" i="1"/>
  <c r="J409" i="1" s="1"/>
  <c r="D409" i="1"/>
  <c r="B409" i="1"/>
  <c r="I408" i="1"/>
  <c r="J408" i="1" s="1"/>
  <c r="D408" i="1"/>
  <c r="B408" i="1"/>
  <c r="I407" i="1"/>
  <c r="J407" i="1" s="1"/>
  <c r="D407" i="1"/>
  <c r="B407" i="1"/>
  <c r="I406" i="1"/>
  <c r="J406" i="1" s="1"/>
  <c r="D406" i="1"/>
  <c r="B406" i="1"/>
  <c r="I405" i="1"/>
  <c r="J405" i="1" s="1"/>
  <c r="D405" i="1"/>
  <c r="B405" i="1"/>
  <c r="I404" i="1"/>
  <c r="J404" i="1" s="1"/>
  <c r="D404" i="1"/>
  <c r="B404" i="1"/>
  <c r="I403" i="1"/>
  <c r="J403" i="1" s="1"/>
  <c r="D403" i="1"/>
  <c r="B403" i="1"/>
  <c r="I402" i="1"/>
  <c r="J402" i="1" s="1"/>
  <c r="D402" i="1"/>
  <c r="B402" i="1"/>
  <c r="I401" i="1"/>
  <c r="J401" i="1" s="1"/>
  <c r="D401" i="1"/>
  <c r="B401" i="1"/>
  <c r="I400" i="1"/>
  <c r="J400" i="1" s="1"/>
  <c r="B400" i="1"/>
  <c r="I399" i="1"/>
  <c r="J399" i="1" s="1"/>
  <c r="B399" i="1"/>
  <c r="I398" i="1"/>
  <c r="J398" i="1" s="1"/>
  <c r="B398" i="1"/>
  <c r="I397" i="1"/>
  <c r="J397" i="1" s="1"/>
  <c r="B397" i="1"/>
  <c r="I396" i="1"/>
  <c r="J396" i="1" s="1"/>
  <c r="D396" i="1"/>
  <c r="B396" i="1"/>
  <c r="I395" i="1"/>
  <c r="J395" i="1" s="1"/>
  <c r="D395" i="1"/>
  <c r="B395" i="1"/>
  <c r="I394" i="1"/>
  <c r="J394" i="1" s="1"/>
  <c r="B394" i="1"/>
  <c r="I393" i="1"/>
  <c r="J393" i="1" s="1"/>
  <c r="B393" i="1"/>
  <c r="I392" i="1"/>
  <c r="J392" i="1" s="1"/>
  <c r="B392" i="1"/>
  <c r="I391" i="1"/>
  <c r="J391" i="1" s="1"/>
  <c r="B391" i="1"/>
  <c r="I390" i="1"/>
  <c r="J390" i="1" s="1"/>
  <c r="B390" i="1"/>
  <c r="I389" i="1"/>
  <c r="J389" i="1" s="1"/>
  <c r="B389" i="1"/>
  <c r="I388" i="1"/>
  <c r="J388" i="1" s="1"/>
  <c r="B388" i="1"/>
  <c r="I387" i="1"/>
  <c r="J387" i="1" s="1"/>
  <c r="B387" i="1"/>
  <c r="I386" i="1"/>
  <c r="J386" i="1" s="1"/>
  <c r="B386" i="1"/>
  <c r="I385" i="1"/>
  <c r="J385" i="1" s="1"/>
  <c r="B385" i="1"/>
  <c r="I384" i="1"/>
  <c r="J384" i="1" s="1"/>
  <c r="B384" i="1"/>
  <c r="I383" i="1"/>
  <c r="J383" i="1" s="1"/>
  <c r="B383" i="1"/>
  <c r="I382" i="1"/>
  <c r="J382" i="1" s="1"/>
  <c r="B382" i="1"/>
  <c r="I381" i="1"/>
  <c r="J381" i="1" s="1"/>
  <c r="B381" i="1"/>
  <c r="I380" i="1"/>
  <c r="J380" i="1" s="1"/>
  <c r="B380" i="1"/>
  <c r="I379" i="1"/>
  <c r="J379" i="1" s="1"/>
  <c r="B379" i="1"/>
  <c r="I378" i="1"/>
  <c r="J378" i="1" s="1"/>
  <c r="B378" i="1"/>
  <c r="I377" i="1"/>
  <c r="J377" i="1" s="1"/>
  <c r="B377" i="1"/>
  <c r="I376" i="1"/>
  <c r="J376" i="1" s="1"/>
  <c r="B376" i="1"/>
  <c r="I375" i="1"/>
  <c r="J375" i="1" s="1"/>
  <c r="B375" i="1"/>
  <c r="I374" i="1"/>
  <c r="J374" i="1" s="1"/>
  <c r="B374" i="1"/>
  <c r="I373" i="1"/>
  <c r="J373" i="1" s="1"/>
  <c r="B373" i="1"/>
  <c r="I372" i="1"/>
  <c r="J372" i="1" s="1"/>
  <c r="B372" i="1"/>
  <c r="I371" i="1"/>
  <c r="J371" i="1" s="1"/>
  <c r="B371" i="1"/>
  <c r="I370" i="1"/>
  <c r="J370" i="1" s="1"/>
  <c r="B370" i="1"/>
  <c r="I369" i="1"/>
  <c r="J369" i="1" s="1"/>
  <c r="B369" i="1"/>
  <c r="I368" i="1"/>
  <c r="J368" i="1" s="1"/>
  <c r="B368" i="1"/>
  <c r="I367" i="1"/>
  <c r="J367" i="1" s="1"/>
  <c r="B367" i="1"/>
  <c r="I366" i="1"/>
  <c r="J366" i="1" s="1"/>
  <c r="B366" i="1"/>
  <c r="I365" i="1"/>
  <c r="J365" i="1" s="1"/>
  <c r="B365" i="1"/>
  <c r="I364" i="1"/>
  <c r="J364" i="1" s="1"/>
  <c r="B364" i="1"/>
  <c r="I363" i="1"/>
  <c r="J363" i="1" s="1"/>
  <c r="D363" i="1"/>
  <c r="B363" i="1"/>
  <c r="I362" i="1"/>
  <c r="J362" i="1" s="1"/>
  <c r="D362" i="1"/>
  <c r="B362" i="1"/>
  <c r="I361" i="1"/>
  <c r="J361" i="1" s="1"/>
  <c r="D361" i="1"/>
  <c r="B361" i="1"/>
  <c r="I360" i="1"/>
  <c r="J360" i="1" s="1"/>
  <c r="D360" i="1"/>
  <c r="B360" i="1"/>
  <c r="I359" i="1"/>
  <c r="J359" i="1" s="1"/>
  <c r="D359" i="1"/>
  <c r="B359" i="1"/>
  <c r="I358" i="1"/>
  <c r="J358" i="1" s="1"/>
  <c r="B358" i="1"/>
  <c r="I357" i="1"/>
  <c r="J357" i="1" s="1"/>
  <c r="B357" i="1"/>
  <c r="I356" i="1"/>
  <c r="J356" i="1" s="1"/>
  <c r="B356" i="1"/>
  <c r="I355" i="1"/>
  <c r="J355" i="1" s="1"/>
  <c r="B355" i="1"/>
  <c r="I354" i="1"/>
  <c r="J354" i="1" s="1"/>
  <c r="B354" i="1"/>
  <c r="I353" i="1"/>
  <c r="J353" i="1" s="1"/>
  <c r="B353" i="1"/>
  <c r="I352" i="1"/>
  <c r="J352" i="1" s="1"/>
  <c r="B352" i="1"/>
  <c r="I351" i="1"/>
  <c r="J351" i="1" s="1"/>
  <c r="B351" i="1"/>
  <c r="I350" i="1"/>
  <c r="J350" i="1" s="1"/>
  <c r="B350" i="1"/>
  <c r="I349" i="1"/>
  <c r="J349" i="1" s="1"/>
  <c r="B349" i="1"/>
  <c r="I348" i="1"/>
  <c r="J348" i="1" s="1"/>
  <c r="B348" i="1"/>
  <c r="I347" i="1"/>
  <c r="J347" i="1" s="1"/>
  <c r="B347" i="1"/>
  <c r="I346" i="1"/>
  <c r="J346" i="1" s="1"/>
  <c r="B346" i="1"/>
  <c r="I345" i="1"/>
  <c r="J345" i="1" s="1"/>
  <c r="B345" i="1"/>
  <c r="I344" i="1"/>
  <c r="J344" i="1" s="1"/>
  <c r="B344" i="1"/>
  <c r="I343" i="1"/>
  <c r="J343" i="1" s="1"/>
  <c r="B343" i="1"/>
  <c r="I342" i="1"/>
  <c r="J342" i="1" s="1"/>
  <c r="B342" i="1"/>
  <c r="I341" i="1"/>
  <c r="J341" i="1" s="1"/>
  <c r="B341" i="1"/>
  <c r="I340" i="1"/>
  <c r="J340" i="1" s="1"/>
  <c r="B340" i="1"/>
  <c r="I339" i="1"/>
  <c r="J339" i="1" s="1"/>
  <c r="B339" i="1"/>
  <c r="I338" i="1"/>
  <c r="J338" i="1" s="1"/>
  <c r="B338" i="1"/>
  <c r="I337" i="1"/>
  <c r="J337" i="1" s="1"/>
  <c r="B337" i="1"/>
  <c r="I336" i="1"/>
  <c r="J336" i="1" s="1"/>
  <c r="B336" i="1"/>
  <c r="I335" i="1"/>
  <c r="J335" i="1" s="1"/>
  <c r="B335" i="1"/>
  <c r="I334" i="1"/>
  <c r="J334" i="1" s="1"/>
  <c r="B334" i="1"/>
  <c r="I333" i="1"/>
  <c r="J333" i="1" s="1"/>
  <c r="B333" i="1"/>
  <c r="I332" i="1"/>
  <c r="J332" i="1" s="1"/>
  <c r="B332" i="1"/>
  <c r="I331" i="1"/>
  <c r="J331" i="1" s="1"/>
  <c r="B331" i="1"/>
  <c r="I330" i="1"/>
  <c r="J330" i="1" s="1"/>
  <c r="B330" i="1"/>
  <c r="I329" i="1"/>
  <c r="J329" i="1" s="1"/>
  <c r="B329" i="1"/>
  <c r="I328" i="1"/>
  <c r="J328" i="1" s="1"/>
  <c r="B328" i="1"/>
  <c r="I327" i="1"/>
  <c r="J327" i="1" s="1"/>
  <c r="B327" i="1"/>
  <c r="I326" i="1"/>
  <c r="J326" i="1" s="1"/>
  <c r="B326" i="1"/>
  <c r="I325" i="1"/>
  <c r="J325" i="1" s="1"/>
  <c r="B325" i="1"/>
  <c r="I324" i="1"/>
  <c r="J324" i="1" s="1"/>
  <c r="B324" i="1"/>
  <c r="I323" i="1"/>
  <c r="J323" i="1" s="1"/>
  <c r="B323" i="1"/>
  <c r="I322" i="1"/>
  <c r="J322" i="1" s="1"/>
  <c r="B322" i="1"/>
  <c r="I321" i="1"/>
  <c r="J321" i="1" s="1"/>
  <c r="B321" i="1"/>
  <c r="I320" i="1"/>
  <c r="J320" i="1" s="1"/>
  <c r="B320" i="1"/>
  <c r="I319" i="1"/>
  <c r="J319" i="1" s="1"/>
  <c r="B319" i="1"/>
  <c r="I318" i="1"/>
  <c r="J318" i="1" s="1"/>
  <c r="B318" i="1"/>
  <c r="I317" i="1"/>
  <c r="J317" i="1" s="1"/>
  <c r="B317" i="1"/>
  <c r="I316" i="1"/>
  <c r="J316" i="1" s="1"/>
  <c r="B316" i="1"/>
  <c r="I315" i="1"/>
  <c r="J315" i="1" s="1"/>
  <c r="B315" i="1"/>
  <c r="I314" i="1"/>
  <c r="J314" i="1" s="1"/>
  <c r="B314" i="1"/>
  <c r="I313" i="1"/>
  <c r="J313" i="1" s="1"/>
  <c r="B313" i="1"/>
  <c r="I312" i="1"/>
  <c r="J312" i="1" s="1"/>
  <c r="B312" i="1"/>
  <c r="I311" i="1"/>
  <c r="J311" i="1" s="1"/>
  <c r="B311" i="1"/>
  <c r="I310" i="1"/>
  <c r="J310" i="1" s="1"/>
  <c r="B310" i="1"/>
  <c r="I309" i="1"/>
  <c r="J309" i="1" s="1"/>
  <c r="B309" i="1"/>
  <c r="I308" i="1"/>
  <c r="J308" i="1" s="1"/>
  <c r="D308" i="1"/>
  <c r="B308" i="1"/>
  <c r="I307" i="1"/>
  <c r="J307" i="1" s="1"/>
  <c r="D307" i="1"/>
  <c r="B307" i="1"/>
  <c r="I306" i="1"/>
  <c r="J306" i="1" s="1"/>
  <c r="D306" i="1"/>
  <c r="B306" i="1"/>
  <c r="I305" i="1"/>
  <c r="J305" i="1" s="1"/>
  <c r="D305" i="1"/>
  <c r="B305" i="1"/>
  <c r="I304" i="1"/>
  <c r="J304" i="1" s="1"/>
  <c r="D304" i="1"/>
  <c r="B304" i="1"/>
  <c r="I303" i="1"/>
  <c r="J303" i="1" s="1"/>
  <c r="D303" i="1"/>
  <c r="B303" i="1"/>
  <c r="I302" i="1"/>
  <c r="J302" i="1" s="1"/>
  <c r="D302" i="1"/>
  <c r="B302" i="1"/>
  <c r="I301" i="1"/>
  <c r="J301" i="1" s="1"/>
  <c r="D301" i="1"/>
  <c r="B301" i="1"/>
  <c r="I300" i="1"/>
  <c r="J300" i="1" s="1"/>
  <c r="D300" i="1"/>
  <c r="B300" i="1"/>
  <c r="I299" i="1"/>
  <c r="J299" i="1" s="1"/>
  <c r="D299" i="1"/>
  <c r="B299" i="1"/>
  <c r="I298" i="1"/>
  <c r="J298" i="1" s="1"/>
  <c r="D298" i="1"/>
  <c r="B298" i="1"/>
  <c r="I297" i="1"/>
  <c r="J297" i="1" s="1"/>
  <c r="D297" i="1"/>
  <c r="B297" i="1"/>
  <c r="I296" i="1"/>
  <c r="J296" i="1" s="1"/>
  <c r="D296" i="1"/>
  <c r="B296" i="1"/>
  <c r="I295" i="1"/>
  <c r="J295" i="1" s="1"/>
  <c r="D295" i="1"/>
  <c r="B295" i="1"/>
  <c r="I294" i="1"/>
  <c r="J294" i="1" s="1"/>
  <c r="D294" i="1"/>
  <c r="B294" i="1"/>
  <c r="I293" i="1"/>
  <c r="J293" i="1" s="1"/>
  <c r="D293" i="1"/>
  <c r="B293" i="1"/>
  <c r="I292" i="1"/>
  <c r="J292" i="1" s="1"/>
  <c r="D292" i="1"/>
  <c r="B292" i="1"/>
  <c r="I291" i="1"/>
  <c r="J291" i="1" s="1"/>
  <c r="D291" i="1"/>
  <c r="B291" i="1"/>
  <c r="I290" i="1"/>
  <c r="J290" i="1" s="1"/>
  <c r="D290" i="1"/>
  <c r="B290" i="1"/>
  <c r="I289" i="1"/>
  <c r="J289" i="1" s="1"/>
  <c r="D289" i="1"/>
  <c r="B289" i="1"/>
  <c r="I288" i="1"/>
  <c r="J288" i="1" s="1"/>
  <c r="B288" i="1"/>
  <c r="I287" i="1"/>
  <c r="J287" i="1" s="1"/>
  <c r="B287" i="1"/>
  <c r="I286" i="1"/>
  <c r="J286" i="1" s="1"/>
  <c r="B286" i="1"/>
  <c r="I285" i="1"/>
  <c r="J285" i="1" s="1"/>
  <c r="B285" i="1"/>
  <c r="I284" i="1"/>
  <c r="J284" i="1" s="1"/>
  <c r="B284" i="1"/>
  <c r="I283" i="1"/>
  <c r="J283" i="1" s="1"/>
  <c r="B283" i="1"/>
  <c r="I282" i="1"/>
  <c r="J282" i="1" s="1"/>
  <c r="B282" i="1"/>
  <c r="I281" i="1"/>
  <c r="J281" i="1" s="1"/>
  <c r="B281" i="1"/>
  <c r="I280" i="1"/>
  <c r="J280" i="1" s="1"/>
  <c r="B280" i="1"/>
  <c r="I279" i="1"/>
  <c r="J279" i="1" s="1"/>
  <c r="B279" i="1"/>
  <c r="I278" i="1"/>
  <c r="J278" i="1" s="1"/>
  <c r="B278" i="1"/>
  <c r="I277" i="1"/>
  <c r="J277" i="1" s="1"/>
  <c r="B277" i="1"/>
  <c r="I276" i="1"/>
  <c r="J276" i="1" s="1"/>
  <c r="B276" i="1"/>
  <c r="I275" i="1"/>
  <c r="J275" i="1" s="1"/>
  <c r="D275" i="1"/>
  <c r="B275" i="1"/>
  <c r="I274" i="1"/>
  <c r="J274" i="1" s="1"/>
  <c r="D274" i="1"/>
  <c r="B274" i="1"/>
  <c r="I273" i="1"/>
  <c r="J273" i="1" s="1"/>
  <c r="D273" i="1"/>
  <c r="B273" i="1"/>
  <c r="I272" i="1"/>
  <c r="J272" i="1" s="1"/>
  <c r="D272" i="1"/>
  <c r="B272" i="1"/>
  <c r="I271" i="1"/>
  <c r="J271" i="1" s="1"/>
  <c r="D271" i="1"/>
  <c r="B271" i="1"/>
  <c r="I270" i="1"/>
  <c r="J270" i="1" s="1"/>
  <c r="D270" i="1"/>
  <c r="B270" i="1"/>
  <c r="I269" i="1"/>
  <c r="J269" i="1" s="1"/>
  <c r="D269" i="1"/>
  <c r="B269" i="1"/>
  <c r="I268" i="1"/>
  <c r="J268" i="1" s="1"/>
  <c r="D268" i="1"/>
  <c r="B268" i="1"/>
  <c r="I267" i="1"/>
  <c r="J267" i="1" s="1"/>
  <c r="D267" i="1"/>
  <c r="B267" i="1"/>
  <c r="I266" i="1"/>
  <c r="J266" i="1" s="1"/>
  <c r="D266" i="1"/>
  <c r="B266" i="1"/>
  <c r="I265" i="1"/>
  <c r="J265" i="1" s="1"/>
  <c r="D265" i="1"/>
  <c r="B265" i="1"/>
  <c r="I264" i="1"/>
  <c r="J264" i="1" s="1"/>
  <c r="D264" i="1"/>
  <c r="B264" i="1"/>
  <c r="I263" i="1"/>
  <c r="J263" i="1" s="1"/>
  <c r="D263" i="1"/>
  <c r="B263" i="1"/>
  <c r="I262" i="1"/>
  <c r="J262" i="1" s="1"/>
  <c r="D262" i="1"/>
  <c r="B262" i="1"/>
  <c r="I261" i="1"/>
  <c r="J261" i="1" s="1"/>
  <c r="D261" i="1"/>
  <c r="B261" i="1"/>
  <c r="I260" i="1"/>
  <c r="J260" i="1" s="1"/>
  <c r="D260" i="1"/>
  <c r="B260" i="1"/>
  <c r="I259" i="1"/>
  <c r="J259" i="1" s="1"/>
  <c r="D259" i="1"/>
  <c r="B259" i="1"/>
  <c r="I258" i="1"/>
  <c r="J258" i="1" s="1"/>
  <c r="D258" i="1"/>
  <c r="B258" i="1"/>
  <c r="I257" i="1"/>
  <c r="J257" i="1" s="1"/>
  <c r="D257" i="1"/>
  <c r="B257" i="1"/>
  <c r="I256" i="1"/>
  <c r="J256" i="1" s="1"/>
  <c r="D256" i="1"/>
  <c r="B256" i="1"/>
  <c r="I255" i="1"/>
  <c r="J255" i="1" s="1"/>
  <c r="D255" i="1"/>
  <c r="B255" i="1"/>
  <c r="I254" i="1"/>
  <c r="J254" i="1" s="1"/>
  <c r="B254" i="1"/>
  <c r="I253" i="1"/>
  <c r="J253" i="1" s="1"/>
  <c r="B253" i="1"/>
  <c r="I252" i="1"/>
  <c r="J252" i="1" s="1"/>
  <c r="B252" i="1"/>
  <c r="I251" i="1"/>
  <c r="J251" i="1" s="1"/>
  <c r="B251" i="1"/>
  <c r="I250" i="1"/>
  <c r="J250" i="1" s="1"/>
  <c r="B250" i="1"/>
  <c r="I249" i="1"/>
  <c r="J249" i="1" s="1"/>
  <c r="B249" i="1"/>
  <c r="I248" i="1"/>
  <c r="J248" i="1" s="1"/>
  <c r="B248" i="1"/>
  <c r="I247" i="1"/>
  <c r="J247" i="1" s="1"/>
  <c r="B247" i="1"/>
  <c r="I246" i="1"/>
  <c r="J246" i="1" s="1"/>
  <c r="B246" i="1"/>
  <c r="I245" i="1"/>
  <c r="J245" i="1" s="1"/>
  <c r="B245" i="1"/>
  <c r="I244" i="1"/>
  <c r="J244" i="1" s="1"/>
  <c r="B244" i="1"/>
  <c r="I243" i="1"/>
  <c r="J243" i="1" s="1"/>
  <c r="D243" i="1"/>
  <c r="B243" i="1"/>
  <c r="I242" i="1"/>
  <c r="J242" i="1" s="1"/>
  <c r="D242" i="1"/>
  <c r="B242" i="1"/>
  <c r="I241" i="1"/>
  <c r="J241" i="1" s="1"/>
  <c r="D241" i="1"/>
  <c r="B241" i="1"/>
  <c r="I240" i="1"/>
  <c r="J240" i="1" s="1"/>
  <c r="D240" i="1"/>
  <c r="B240" i="1"/>
  <c r="I239" i="1"/>
  <c r="J239" i="1" s="1"/>
  <c r="D239" i="1"/>
  <c r="B239" i="1"/>
  <c r="I238" i="1"/>
  <c r="J238" i="1" s="1"/>
  <c r="D238" i="1"/>
  <c r="B238" i="1"/>
  <c r="I237" i="1"/>
  <c r="J237" i="1" s="1"/>
  <c r="D237" i="1"/>
  <c r="B237" i="1"/>
  <c r="I236" i="1"/>
  <c r="J236" i="1" s="1"/>
  <c r="D236" i="1"/>
  <c r="B236" i="1"/>
  <c r="I235" i="1"/>
  <c r="J235" i="1" s="1"/>
  <c r="D235" i="1"/>
  <c r="B235" i="1"/>
  <c r="I234" i="1"/>
  <c r="J234" i="1" s="1"/>
  <c r="D234" i="1"/>
  <c r="B234" i="1"/>
  <c r="I233" i="1"/>
  <c r="J233" i="1" s="1"/>
  <c r="D233" i="1"/>
  <c r="B233" i="1"/>
  <c r="I232" i="1"/>
  <c r="J232" i="1" s="1"/>
  <c r="D232" i="1"/>
  <c r="B232" i="1"/>
  <c r="I231" i="1"/>
  <c r="J231" i="1" s="1"/>
  <c r="D231" i="1"/>
  <c r="B231" i="1"/>
  <c r="I230" i="1"/>
  <c r="J230" i="1" s="1"/>
  <c r="D230" i="1"/>
  <c r="B230" i="1"/>
  <c r="I229" i="1"/>
  <c r="J229" i="1" s="1"/>
  <c r="D229" i="1"/>
  <c r="B229" i="1"/>
  <c r="I228" i="1"/>
  <c r="J228" i="1" s="1"/>
  <c r="D228" i="1"/>
  <c r="B228" i="1"/>
  <c r="I227" i="1"/>
  <c r="J227" i="1" s="1"/>
  <c r="D227" i="1"/>
  <c r="B227" i="1"/>
  <c r="I226" i="1"/>
  <c r="J226" i="1" s="1"/>
  <c r="D226" i="1"/>
  <c r="B226" i="1"/>
  <c r="I225" i="1"/>
  <c r="J225" i="1" s="1"/>
  <c r="D225" i="1"/>
  <c r="B225" i="1"/>
  <c r="I224" i="1"/>
  <c r="J224" i="1" s="1"/>
  <c r="D224" i="1"/>
  <c r="B224" i="1"/>
  <c r="I223" i="1"/>
  <c r="J223" i="1" s="1"/>
  <c r="D223" i="1"/>
  <c r="B223" i="1"/>
  <c r="I222" i="1"/>
  <c r="J222" i="1" s="1"/>
  <c r="D222" i="1"/>
  <c r="B222" i="1"/>
  <c r="I221" i="1"/>
  <c r="J221" i="1" s="1"/>
  <c r="D221" i="1"/>
  <c r="B221" i="1"/>
  <c r="I220" i="1"/>
  <c r="J220" i="1" s="1"/>
  <c r="D220" i="1"/>
  <c r="B220" i="1"/>
  <c r="I219" i="1"/>
  <c r="J219" i="1" s="1"/>
  <c r="D219" i="1"/>
  <c r="B219" i="1"/>
  <c r="I218" i="1"/>
  <c r="J218" i="1" s="1"/>
  <c r="D218" i="1"/>
  <c r="B218" i="1"/>
  <c r="I217" i="1"/>
  <c r="J217" i="1" s="1"/>
  <c r="D217" i="1"/>
  <c r="B217" i="1"/>
  <c r="I216" i="1"/>
  <c r="J216" i="1" s="1"/>
  <c r="D216" i="1"/>
  <c r="B216" i="1"/>
  <c r="I215" i="1"/>
  <c r="J215" i="1" s="1"/>
  <c r="D215" i="1"/>
  <c r="B215" i="1"/>
  <c r="I214" i="1"/>
  <c r="J214" i="1" s="1"/>
  <c r="D214" i="1"/>
  <c r="B214" i="1"/>
  <c r="I213" i="1"/>
  <c r="J213" i="1" s="1"/>
  <c r="D213" i="1"/>
  <c r="B213" i="1"/>
  <c r="I212" i="1"/>
  <c r="J212" i="1" s="1"/>
  <c r="D212" i="1"/>
  <c r="B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D185" i="1"/>
  <c r="B185" i="1"/>
  <c r="I184" i="1"/>
  <c r="J184" i="1" s="1"/>
  <c r="D184" i="1"/>
  <c r="B184" i="1"/>
  <c r="I183" i="1"/>
  <c r="J183" i="1" s="1"/>
  <c r="D183" i="1"/>
  <c r="B183" i="1"/>
  <c r="I182" i="1"/>
  <c r="J182" i="1" s="1"/>
  <c r="D182" i="1"/>
  <c r="B182" i="1"/>
  <c r="I181" i="1"/>
  <c r="J181" i="1" s="1"/>
  <c r="D181" i="1"/>
  <c r="B181" i="1"/>
  <c r="I180" i="1"/>
  <c r="J180" i="1" s="1"/>
  <c r="D180" i="1"/>
  <c r="B180" i="1"/>
  <c r="I179" i="1"/>
  <c r="J179" i="1" s="1"/>
  <c r="D179" i="1"/>
  <c r="B179" i="1"/>
  <c r="I178" i="1"/>
  <c r="J178" i="1" s="1"/>
  <c r="D178" i="1"/>
  <c r="B178" i="1"/>
  <c r="I177" i="1"/>
  <c r="J177" i="1" s="1"/>
  <c r="D177" i="1"/>
  <c r="B177" i="1"/>
  <c r="I176" i="1"/>
  <c r="J176" i="1" s="1"/>
  <c r="D176" i="1"/>
  <c r="B176" i="1"/>
  <c r="I175" i="1"/>
  <c r="J175" i="1" s="1"/>
  <c r="D175" i="1"/>
  <c r="B175" i="1"/>
  <c r="I174" i="1"/>
  <c r="J174" i="1" s="1"/>
  <c r="D174" i="1"/>
  <c r="B174" i="1"/>
  <c r="I173" i="1"/>
  <c r="J173" i="1" s="1"/>
  <c r="D173" i="1"/>
  <c r="B173" i="1"/>
  <c r="I172" i="1"/>
  <c r="J172" i="1" s="1"/>
  <c r="D172" i="1"/>
  <c r="B172" i="1"/>
  <c r="I171" i="1"/>
  <c r="J171" i="1" s="1"/>
  <c r="D171" i="1"/>
  <c r="B171" i="1"/>
  <c r="I170" i="1"/>
  <c r="J170" i="1" s="1"/>
  <c r="D170" i="1"/>
  <c r="B170" i="1"/>
  <c r="I169" i="1"/>
  <c r="J169" i="1" s="1"/>
  <c r="D169" i="1"/>
  <c r="B169" i="1"/>
  <c r="I168" i="1"/>
  <c r="J168" i="1" s="1"/>
  <c r="D168" i="1"/>
  <c r="B168" i="1"/>
  <c r="I167" i="1"/>
  <c r="J167" i="1" s="1"/>
  <c r="D167" i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D100" i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I94" i="1"/>
  <c r="J94" i="1" s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H17" i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<sst xmlns="http://schemas.openxmlformats.org/spreadsheetml/2006/main" count="3869" uniqueCount="714">
  <si>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</si>
  <si>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</si>
  <si>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</si>
  <si>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</si>
  <si>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</si>
  <si>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</si>
  <si>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</si>
  <si>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</si>
  <si>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</si>
  <si>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</si>
  <si>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</si>
  <si>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프로세스현황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</si>
  <si>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</si>
  <si>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</si>
  <si>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</si>
  <si>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</si>
  <si>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</si>
  <si>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</si>
  <si>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</si>
  <si>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</si>
  <si>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</si>
  <si>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[L4] 장기 미수 관련 경영 보고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</si>
  <si>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</si>
  <si>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</si>
  <si>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</si>
  <si>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</si>
  <si>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</si>
  <si>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</si>
  <si>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</si>
  <si>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</si>
  <si>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</si>
  <si>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</si>
  <si>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</si>
  <si>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</si>
  <si>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</si>
  <si>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</si>
  <si>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</si>
  <si>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</si>
  <si>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채권추심 진행</t>
  </si>
  <si>
    <t>발주처 미정산, 대표님 협의 중</t>
  </si>
  <si>
    <t>이편한세상화랑대</t>
  </si>
  <si>
    <t>잔금</t>
  </si>
  <si>
    <t>엘케이개발(주)</t>
  </si>
  <si>
    <t>율전삼성2단지</t>
  </si>
  <si>
    <t>현장마감미흡으로 600만원 입금보류하였으나 2/13에지급하기로 협의됨(2/5확인)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</si>
  <si>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</si>
  <si>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</si>
  <si>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</si>
  <si>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</si>
  <si>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</si>
  <si>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</si>
  <si>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</si>
  <si>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</si>
  <si>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</si>
  <si>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</si>
  <si>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</si>
  <si>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</si>
  <si>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</si>
  <si>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</si>
  <si>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</si>
  <si>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</si>
  <si>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</si>
  <si>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</si>
  <si>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</si>
  <si>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</si>
  <si>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</si>
  <si>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</si>
  <si>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</si>
  <si>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</si>
  <si>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부영씨앤씨 청구보류(2/9대표님확인)</t>
  </si>
  <si>
    <t>우리방재건설(주)</t>
  </si>
  <si>
    <t>삼천세창짜임</t>
  </si>
  <si>
    <t>재연님 협의</t>
  </si>
  <si>
    <t>12/31 1천만원 입금/3/25 14,545,455만원입금</t>
  </si>
  <si>
    <t>3/31 18,181,818원 4/5 9,090,909원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</si>
  <si>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</si>
  <si>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</si>
  <si>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</si>
  <si>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</si>
  <si>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</si>
  <si>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</si>
  <si>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</si>
  <si>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</si>
  <si>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</si>
  <si>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발주처 정산지연</t>
  </si>
  <si>
    <t>포항자이</t>
  </si>
  <si>
    <t>연산동현대홈타운</t>
  </si>
  <si>
    <t>대표건설㈜</t>
  </si>
  <si>
    <t>금당그리안</t>
  </si>
  <si>
    <t xml:space="preserve">계산서 발급 기록 누락으로 미수확인 늦음 </t>
  </si>
  <si>
    <t>양산유탑유블레스</t>
  </si>
  <si>
    <t>자재대금 2달 후 정산 협의</t>
  </si>
  <si>
    <t>경기이앤에스(주)</t>
  </si>
  <si>
    <t>연향금호타운</t>
  </si>
  <si>
    <t>남양산역반도유보라아이파크5차</t>
  </si>
  <si>
    <t>잠실리센츠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</si>
  <si>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</si>
  <si>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</si>
  <si>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</si>
  <si>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</si>
  <si>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</si>
  <si>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</si>
  <si>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</si>
  <si>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</si>
  <si>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</si>
  <si>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</si>
  <si>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내부 시스템 오류로 업무정상화 복구기간소요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</si>
  <si>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</si>
  <si>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</si>
  <si>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</si>
  <si>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</si>
  <si>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</si>
  <si>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</si>
  <si>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</si>
  <si>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</si>
  <si>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</si>
  <si>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</si>
  <si>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</si>
  <si>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</si>
  <si>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기술자문료</t>
  </si>
  <si>
    <t>한별이엔씨(주)</t>
  </si>
  <si>
    <t>LG원당자이아파트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</si>
  <si>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</si>
  <si>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</si>
  <si>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</si>
  <si>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</si>
  <si>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</si>
  <si>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</si>
  <si>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</si>
  <si>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</si>
  <si>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</si>
  <si>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</si>
  <si>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</si>
  <si>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</si>
  <si>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</si>
  <si>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</si>
  <si>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</si>
  <si>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</si>
  <si>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</si>
  <si>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</si>
  <si>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</si>
  <si>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</si>
  <si>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</si>
  <si>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</si>
  <si>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(주)다산종합건설</t>
  </si>
  <si>
    <t>지행역동원베네스트</t>
  </si>
  <si>
    <t>주식회사 삼흥티에스건설</t>
  </si>
  <si>
    <t>협성그린타운아파트</t>
  </si>
  <si>
    <t>진영자이아파트</t>
  </si>
  <si>
    <t>미사강변센텀팰리스</t>
  </si>
  <si>
    <t>(주)이음건설</t>
  </si>
  <si>
    <t>성남메트로칸</t>
  </si>
  <si>
    <t>서면동일파크스위트3차아파트</t>
  </si>
  <si>
    <t>C</t>
  </si>
  <si>
    <t>주식회사 예은건설</t>
  </si>
  <si>
    <t xml:space="preserve">천호현대코아아파트 </t>
  </si>
  <si>
    <t>원주호반베르디움 2차</t>
  </si>
  <si>
    <t>(주)석민이앤씨</t>
  </si>
  <si>
    <t>아시아선수촌</t>
  </si>
  <si>
    <t>무동센텀파라디아</t>
  </si>
  <si>
    <t>B</t>
  </si>
  <si>
    <t>(주)다수건설</t>
  </si>
  <si>
    <t>서울 노원구</t>
  </si>
  <si>
    <t>청록개발</t>
  </si>
  <si>
    <t>경기도광주</t>
  </si>
  <si>
    <t>(주)태영건설</t>
  </si>
  <si>
    <t>풍납현대리버빌1차</t>
  </si>
  <si>
    <t>본사 사무실</t>
  </si>
  <si>
    <t>삼정ING건설</t>
  </si>
  <si>
    <t>삼익세라믹1,2차</t>
  </si>
  <si>
    <t>(주)대승이앤씨</t>
  </si>
  <si>
    <t>은하마을주공1단지</t>
  </si>
  <si>
    <t>랜반</t>
  </si>
  <si>
    <t>던에드워드페인트</t>
  </si>
  <si>
    <t>포항북구죽도644영업소</t>
  </si>
  <si>
    <t>(주)모아씨앤에스</t>
  </si>
  <si>
    <t>수지동보1차</t>
  </si>
  <si>
    <t>(주)기림이앤씨</t>
  </si>
  <si>
    <t>두정마을우남1단지</t>
  </si>
  <si>
    <t>등촌임광그린</t>
  </si>
  <si>
    <t>A</t>
  </si>
  <si>
    <t>신화건설㈜</t>
  </si>
  <si>
    <t>광명노온수장</t>
  </si>
  <si>
    <t>정상</t>
  </si>
  <si>
    <t>여름건설(주)</t>
  </si>
  <si>
    <t>오산한라그린타운</t>
  </si>
  <si>
    <t>(주)진성이앤지</t>
  </si>
  <si>
    <t>불암현대</t>
  </si>
  <si>
    <t>사무실택배</t>
  </si>
  <si>
    <t>중산11단지현대</t>
  </si>
  <si>
    <t>대명이엔씨(주)</t>
  </si>
  <si>
    <t>소촌동대성베르힐</t>
  </si>
  <si>
    <t>동백역벽산블루밍</t>
  </si>
  <si>
    <t>(주)국일구조</t>
  </si>
  <si>
    <t>중동역2차푸르지오</t>
  </si>
  <si>
    <t>(주)피앤텍이엔지</t>
  </si>
  <si>
    <t>서울역센트럴자이</t>
  </si>
  <si>
    <t>가온알앤씨</t>
  </si>
  <si>
    <t>시흥참이슬아파트</t>
  </si>
  <si>
    <t>건진개발㈜</t>
  </si>
  <si>
    <t>덕천동롯데</t>
  </si>
  <si>
    <t>색채산업개발㈜</t>
  </si>
  <si>
    <t>토당금강KCC</t>
  </si>
  <si>
    <t>㈜에이치제이건설</t>
  </si>
  <si>
    <t>해운대센텀트루엘</t>
  </si>
  <si>
    <t>주식회사 대신하우징</t>
  </si>
  <si>
    <t>영산대학교</t>
  </si>
  <si>
    <t>새로이건설㈜</t>
  </si>
  <si>
    <t>E편한세상한강신도시2차 아파트</t>
  </si>
  <si>
    <t>해운대센텀트루엘1단지</t>
  </si>
  <si>
    <t>(주)이두건설</t>
  </si>
  <si>
    <t>상무모아제일아파트</t>
  </si>
  <si>
    <t>동수원월드메르디앙</t>
  </si>
  <si>
    <t>수원로얄팰리스</t>
  </si>
  <si>
    <t>성균관대역서희스타힐스 1,2단지아파트</t>
  </si>
  <si>
    <t>월암창고</t>
  </si>
  <si>
    <t>월산마을7단지</t>
  </si>
  <si>
    <t>두레이앤씨(주)</t>
  </si>
  <si>
    <t>헬리오시티</t>
  </si>
  <si>
    <t>조치원자이</t>
  </si>
  <si>
    <t>주식회사 유광씨앤씨</t>
  </si>
  <si>
    <t>성원아파트2단지</t>
  </si>
  <si>
    <t>(주)정민씨앤씨</t>
  </si>
  <si>
    <t>검단우방아이유쉘</t>
  </si>
  <si>
    <t>(주)수안건설</t>
  </si>
  <si>
    <t>무등산광신프로그레스</t>
  </si>
  <si>
    <t>동탄역시범한화꿈에그린프레스티지</t>
  </si>
  <si>
    <t>이루미건설㈜</t>
  </si>
  <si>
    <t>갈매스타힐스아파트</t>
  </si>
  <si>
    <t>동일산건㈜</t>
  </si>
  <si>
    <t>백현마을8단지아파트</t>
  </si>
  <si>
    <t>오창2지구대원칸타빌</t>
  </si>
  <si>
    <t>효천1중흥S클래스에코시티</t>
  </si>
  <si>
    <t>무지개마을신한건영</t>
  </si>
  <si>
    <t>주식회사 이산이씨에프</t>
  </si>
  <si>
    <t>오성빌라</t>
  </si>
  <si>
    <t>(주)세원산업개발</t>
  </si>
  <si>
    <t>주택</t>
  </si>
  <si>
    <t>㈜청명이앤디</t>
  </si>
  <si>
    <t>도경오벨리스</t>
  </si>
  <si>
    <t>본사사무실</t>
  </si>
  <si>
    <t>(주)청람건설</t>
  </si>
  <si>
    <t>오양힐타운</t>
  </si>
  <si>
    <t>문촌마을10단지동부</t>
  </si>
  <si>
    <t>철산두산위브</t>
  </si>
  <si>
    <t>광양금광1차</t>
  </si>
  <si>
    <t>엘케이개발㈜</t>
  </si>
  <si>
    <t>신당삼성아파트</t>
  </si>
  <si>
    <t>미래산업개발</t>
  </si>
  <si>
    <t>궁전빌라파트</t>
  </si>
  <si>
    <t>잠실리센츠에폭시</t>
  </si>
  <si>
    <t>용현금호어울림4단지</t>
  </si>
  <si>
    <t>(주)두영이앤씨</t>
  </si>
  <si>
    <t>백현마을경남아너스빌</t>
  </si>
  <si>
    <t>기흥우방아이유쉘</t>
  </si>
  <si>
    <t>하계극동건영벽산</t>
  </si>
  <si>
    <t>동탄더레이크팰리스</t>
  </si>
  <si>
    <t>평택비전지웰푸르지오</t>
  </si>
  <si>
    <t>동탄역시범리슈빌</t>
  </si>
  <si>
    <t>민락엘레트19아파트</t>
  </si>
  <si>
    <t>(주)스타건설</t>
  </si>
  <si>
    <t>삼호한아름2차</t>
  </si>
  <si>
    <t>철원산호그린빌</t>
  </si>
  <si>
    <t>가천대역두산위브</t>
  </si>
  <si>
    <t>자양10차현대홈타운</t>
  </si>
  <si>
    <t>고척파크푸르지오</t>
  </si>
  <si>
    <t>동현이앤씨㈜</t>
  </si>
  <si>
    <t>코오롱아파트</t>
  </si>
  <si>
    <t>주식회사 수림씨앤에스</t>
  </si>
  <si>
    <t>수림1차아파트</t>
  </si>
  <si>
    <t>보령광명샤인빌</t>
  </si>
  <si>
    <t>역전할머니맥주부산안락점</t>
  </si>
  <si>
    <t>이편한세상태전2차</t>
  </si>
  <si>
    <t>대표건설(주)</t>
  </si>
  <si>
    <t>대표건설본사</t>
  </si>
  <si>
    <t>(주)삼정엔지니어링</t>
  </si>
  <si>
    <t>민락동진로비치</t>
  </si>
  <si>
    <t>불당파크푸르지오2단지</t>
  </si>
  <si>
    <t>문수피오레</t>
  </si>
  <si>
    <t>가람마을10단지</t>
  </si>
  <si>
    <t>(주)정문씨앤씨</t>
  </si>
  <si>
    <t>염리상록아파트</t>
  </si>
  <si>
    <t>소촌대성베르힐써밋페인트</t>
  </si>
  <si>
    <t>소촌대성베르힐</t>
  </si>
  <si>
    <t>공릉한보에센시티</t>
  </si>
  <si>
    <t>㈜모아씨앤에스</t>
  </si>
  <si>
    <t>주식회사 위즈페인팅</t>
  </si>
  <si>
    <t>크로바아파트</t>
  </si>
  <si>
    <t>(주)도경</t>
  </si>
  <si>
    <t>삼일원앙아파트</t>
  </si>
  <si>
    <t>㈜일성기업</t>
  </si>
  <si>
    <t>산격대우아파트</t>
  </si>
  <si>
    <t>(주)방수존건설</t>
  </si>
  <si>
    <t>경동김포감정389영업소</t>
  </si>
  <si>
    <t>태전주공2단지</t>
  </si>
  <si>
    <t>(주)첨단누수연구소</t>
  </si>
  <si>
    <t>장현2엔플러스빌</t>
  </si>
  <si>
    <t>㈜석민이앤씨</t>
  </si>
  <si>
    <t>강서힐스테이트</t>
  </si>
  <si>
    <t>㈜케이탑건설</t>
  </si>
  <si>
    <t>한보구암마을아파트</t>
  </si>
  <si>
    <t>㈜적산건설</t>
  </si>
  <si>
    <t>암사동한솔아파트</t>
  </si>
  <si>
    <t>호연상사</t>
  </si>
  <si>
    <t>광교자연앤힐스테이트</t>
  </si>
  <si>
    <t>경남여성가족재단</t>
  </si>
  <si>
    <t>인성마을신갈현대</t>
  </si>
  <si>
    <t>효천1중흥s크래스</t>
  </si>
  <si>
    <t>에듀타운자이1단지</t>
  </si>
  <si>
    <t>(주)조광피엔텍</t>
  </si>
  <si>
    <t>동부산아이존빌</t>
  </si>
  <si>
    <t>불당지웰시티푸르지오1단지</t>
  </si>
  <si>
    <t>하안주공7단지</t>
  </si>
  <si>
    <t>해운대센텀트루엘2단지</t>
  </si>
  <si>
    <t>(주)미사건설</t>
  </si>
  <si>
    <t>속초청초대우</t>
  </si>
  <si>
    <t>상계주공14단지</t>
  </si>
  <si>
    <t>천안역우방아이유쉘</t>
  </si>
  <si>
    <t>호매실경남아너스빌</t>
  </si>
  <si>
    <t>코지건설㈜</t>
  </si>
  <si>
    <t>동탄역시범리슈빌아파트</t>
  </si>
  <si>
    <t>여름건설㈜</t>
  </si>
  <si>
    <t>정릉중앙하이츠빌2단지아파트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</si>
  <si>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</si>
  <si>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</si>
  <si>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</si>
  <si>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</si>
  <si>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</si>
  <si>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</si>
  <si>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색채산업개발(주)</t>
  </si>
  <si>
    <t>목동10단지</t>
  </si>
  <si>
    <t>태장주공2단지</t>
  </si>
  <si>
    <t>2026-03-26</t>
  </si>
  <si>
    <t>부천소사엠제이펠리스</t>
  </si>
  <si>
    <t>부천위브더스테이트</t>
  </si>
  <si>
    <t>자재대금</t>
  </si>
  <si>
    <t>(주)다원건설</t>
  </si>
  <si>
    <t>신사한신휴플러스</t>
  </si>
  <si>
    <t>아인스빌</t>
  </si>
  <si>
    <t>파크푸르지오2단지</t>
  </si>
  <si>
    <t>2026-03-27</t>
  </si>
  <si>
    <t>경동아산음봉산동850영업소</t>
  </si>
  <si>
    <t>(주)덕일산업</t>
  </si>
  <si>
    <t>구영2차푸르지오</t>
  </si>
  <si>
    <t>확인후</t>
  </si>
  <si>
    <t>(주)청명이앤디</t>
  </si>
  <si>
    <t>일광자이푸르지오1단지</t>
  </si>
  <si>
    <t>2026-03-30</t>
  </si>
  <si>
    <t>태원건설(주)</t>
  </si>
  <si>
    <t>남가좌현대</t>
  </si>
  <si>
    <t>덕수건설(주)</t>
  </si>
  <si>
    <t>푸른뫼아파트</t>
  </si>
  <si>
    <t>㈜이음건설</t>
  </si>
  <si>
    <t>행원마을동아솔레시티</t>
  </si>
  <si>
    <t>2026-04-02</t>
  </si>
  <si>
    <t>(주)유니드건설</t>
  </si>
  <si>
    <t>인왕산아이파크</t>
  </si>
  <si>
    <t>2026-04-03</t>
  </si>
  <si>
    <t>의왕민들레베스파트</t>
  </si>
  <si>
    <t>(주)주원디엔피</t>
  </si>
  <si>
    <t>래미안대치하이스턴</t>
  </si>
  <si>
    <t>(주)세원</t>
  </si>
  <si>
    <t>경기테크노파크</t>
  </si>
  <si>
    <t>주식회사 유일건설</t>
  </si>
  <si>
    <t>한가람아파트</t>
  </si>
  <si>
    <t>창원개인주택</t>
  </si>
  <si>
    <t>소새울역청구</t>
  </si>
  <si>
    <t>당하태평샹베르</t>
  </si>
  <si>
    <t>힐스테이트광산</t>
  </si>
  <si>
    <t>운양까치</t>
  </si>
  <si>
    <t>민락엘레트19단지</t>
  </si>
  <si>
    <t>시흥3차벽산</t>
  </si>
  <si>
    <t>2026-04-06</t>
  </si>
  <si>
    <t>(주)예운</t>
  </si>
  <si>
    <t>삼정그린코아</t>
  </si>
  <si>
    <t>성수동아그린</t>
  </si>
  <si>
    <t>태왕아너스오션</t>
  </si>
  <si>
    <t>문촌마을10단지</t>
  </si>
  <si>
    <t>하린이앤씨 주식회사</t>
  </si>
  <si>
    <t>남강휴번빌</t>
  </si>
  <si>
    <t>검단힐스테이트1차</t>
  </si>
  <si>
    <t>북한산더샵</t>
  </si>
  <si>
    <t>서면동일파크스위트3차</t>
  </si>
  <si>
    <t>윤창홈타운</t>
  </si>
  <si>
    <t>강변들보람아파트</t>
  </si>
  <si>
    <t>리베라아이누리2차</t>
  </si>
  <si>
    <t>주식회사 수지씨앤에스</t>
  </si>
  <si>
    <t>금오주공그린빌4단지아파트</t>
  </si>
  <si>
    <t>두정이편한세상3차아파트</t>
  </si>
  <si>
    <t>우미이노스빌아파트</t>
  </si>
  <si>
    <t>초담건설㈜</t>
  </si>
  <si>
    <t>대지마을현대홈타운아파트</t>
  </si>
  <si>
    <t>석수e편한세상아파트</t>
  </si>
  <si>
    <t>2026-04-08</t>
  </si>
  <si>
    <t>이천수림1차</t>
  </si>
  <si>
    <t>천안시티자이</t>
  </si>
  <si>
    <t>주식회사 탑이앤씨</t>
  </si>
  <si>
    <t>대주피오레2차</t>
  </si>
  <si>
    <t>신양아이엔지건설(주)</t>
  </si>
  <si>
    <t>레이크팰리스</t>
  </si>
  <si>
    <t>산들마을2단지서광청구</t>
  </si>
  <si>
    <t>(주)에스엠에이</t>
  </si>
  <si>
    <t xml:space="preserve">신동아파밀리에아파트  </t>
  </si>
  <si>
    <t>2026-04-09</t>
  </si>
  <si>
    <t>태장주공1단지</t>
  </si>
  <si>
    <t>남악경남아너스빌</t>
  </si>
  <si>
    <t>개봉한마을</t>
  </si>
  <si>
    <t>흥한웰가아파트</t>
  </si>
  <si>
    <t>천안불당대동다숲</t>
  </si>
  <si>
    <t>(주)지호건설</t>
  </si>
  <si>
    <t>인덕원동아에코빌</t>
  </si>
  <si>
    <t>숲속마을주공그린빌4단지</t>
  </si>
  <si>
    <t>계룡삼환아파트</t>
  </si>
  <si>
    <t>(주)효성씨앤씨</t>
  </si>
  <si>
    <t>일봉산해피트리</t>
  </si>
  <si>
    <t>2026-04-10</t>
  </si>
  <si>
    <t>매탄삼성3차</t>
  </si>
  <si>
    <t>율전서희스타힐스</t>
  </si>
  <si>
    <t>원스톱방문</t>
  </si>
  <si>
    <t>금호두산아파트</t>
  </si>
  <si>
    <t>용산데시앙포레아파트</t>
  </si>
  <si>
    <t>2026-04-14</t>
  </si>
  <si>
    <t>(주)로운건설</t>
  </si>
  <si>
    <t>사무실</t>
  </si>
  <si>
    <t>동현이앤씨(주)</t>
  </si>
  <si>
    <t>서정마을금호타운</t>
  </si>
  <si>
    <t>2026-04-13</t>
  </si>
  <si>
    <t>㈜경하이앤씨</t>
  </si>
  <si>
    <t>호반베르디움더퍼스트</t>
  </si>
  <si>
    <t>(주)은화</t>
  </si>
  <si>
    <t>첨단2차부영아파트 입주자 대표회의</t>
  </si>
  <si>
    <t>관리사무소</t>
  </si>
  <si>
    <t>(주)아우리</t>
  </si>
  <si>
    <t>(주)우인건설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</si>
  <si>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</si>
  <si>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</si>
  <si>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</si>
  <si>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</si>
  <si>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</si>
  <si>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중도금2차</t>
  </si>
  <si>
    <t>대창센시티아파트</t>
  </si>
  <si>
    <t>(주)청익</t>
  </si>
  <si>
    <t>한우리아파트</t>
  </si>
  <si>
    <t>병점한신아파트</t>
  </si>
  <si>
    <t>㈜지건씨앤씨</t>
  </si>
  <si>
    <t>면목풍림아파트</t>
  </si>
  <si>
    <t>2026-04-15</t>
  </si>
  <si>
    <t>경동택배대전중구오류183</t>
  </si>
  <si>
    <t>(주)에이원건설</t>
  </si>
  <si>
    <t>성호2차샤인힐즈</t>
  </si>
  <si>
    <t>2026-04-16</t>
  </si>
  <si>
    <t>와이티파트너스(주)</t>
  </si>
  <si>
    <t>하남성원상떼빌</t>
  </si>
  <si>
    <t>2026-04-17</t>
  </si>
  <si>
    <t>㈜동현이앤씨</t>
  </si>
  <si>
    <t>호수마을풍림아파트</t>
  </si>
  <si>
    <t>(주)현덕건설</t>
  </si>
  <si>
    <t>무주상록아파트</t>
  </si>
  <si>
    <t>신대방신동아아파트</t>
  </si>
  <si>
    <t>성진산업</t>
  </si>
  <si>
    <t>2026-04-20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</si>
  <si>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</si>
  <si>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</si>
  <si>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</si>
  <si>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</si>
  <si>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</si>
  <si>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(주)세영건설</t>
  </si>
  <si>
    <t>석수두산위브아파트</t>
  </si>
  <si>
    <t>원일가대라곡아파트</t>
  </si>
  <si>
    <t>2026-04-21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</si>
  <si>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</si>
  <si>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</si>
  <si>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</si>
  <si>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</si>
  <si>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</si>
  <si>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</si>
  <si>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</si>
  <si>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</si>
  <si>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</si>
  <si>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</si>
  <si>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㈜대한진단건설</t>
  </si>
  <si>
    <t>해운대 센텀트루엘아파트(주차장)</t>
  </si>
  <si>
    <t>2026-04-22</t>
  </si>
  <si>
    <t>주식회사 주태건설</t>
  </si>
  <si>
    <t>대왕중학교</t>
  </si>
  <si>
    <t>알파플러스</t>
  </si>
  <si>
    <t>봉천동건영6차</t>
  </si>
  <si>
    <t>권선삼성래미안</t>
  </si>
  <si>
    <t>검단힐스테이트2차</t>
  </si>
  <si>
    <t>(주)케이탑건설</t>
  </si>
  <si>
    <t>2026-04-23</t>
  </si>
  <si>
    <t>사곡영진자이온2단지</t>
  </si>
  <si>
    <t>삼익세라믹1.2차</t>
  </si>
  <si>
    <t>고덕현대</t>
  </si>
  <si>
    <t>(주)무한하우징</t>
  </si>
  <si>
    <t>대림3동현대</t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</si>
  <si>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</si>
  <si>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</si>
  <si>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</si>
  <si>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</si>
  <si>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</si>
  <si>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</si>
  <si>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</si>
  <si>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</si>
  <si>
    <t>㈜무한하우징</t>
  </si>
  <si>
    <t>영승한마음타운아파트</t>
  </si>
  <si>
    <t>2026-04-24</t>
  </si>
  <si>
    <t>(주)대륜씨엔씨</t>
  </si>
  <si>
    <t>골드클래스시그니처</t>
  </si>
  <si>
    <t>무등산광신프로그래스</t>
  </si>
  <si>
    <t>잠원동롯데캐슬갤럭시1차</t>
  </si>
  <si>
    <t>재현방수,페인트</t>
  </si>
  <si>
    <t>경동택배제주화북일4701</t>
  </si>
  <si>
    <t>(주)라인탑케이에스</t>
  </si>
  <si>
    <t>신월금용아파트</t>
  </si>
  <si>
    <t>2026-04-27</t>
  </si>
  <si>
    <t>천안프라지움6차</t>
  </si>
  <si>
    <t>민락진로비치</t>
  </si>
  <si>
    <t>하남은행아파트</t>
  </si>
  <si>
    <t>2026-04-28</t>
  </si>
  <si>
    <t>(주)일진건설</t>
  </si>
  <si>
    <t>선진정공 당진공장</t>
  </si>
  <si>
    <t>신월금호타운</t>
  </si>
  <si>
    <t>내서숲속마을주공그린빌4단지</t>
  </si>
  <si>
    <t>송정풍산아파트</t>
  </si>
  <si>
    <t>여주현대하리</t>
  </si>
  <si>
    <t>김호호반베르디움더퍼스트</t>
  </si>
  <si>
    <t>대전한우리아파트</t>
  </si>
  <si>
    <t>삼정그린코아포레스트2단지</t>
  </si>
  <si>
    <t>칠곡효성해링턴3단지</t>
  </si>
  <si>
    <t>2026-04-29</t>
  </si>
  <si>
    <t>봉선지웰아파트</t>
  </si>
  <si>
    <t>삼호진덕아파트</t>
  </si>
  <si>
    <t>원일가대라곡</t>
  </si>
  <si>
    <t>2026-04-30</t>
  </si>
  <si>
    <t>석수두산위브</t>
  </si>
  <si>
    <t>천강건설㈜</t>
  </si>
  <si>
    <t>학마을서원아파트</t>
  </si>
  <si>
    <t>㈜기림이앤씨</t>
  </si>
  <si>
    <t>㈜에스엠에이</t>
  </si>
  <si>
    <t>이천신둔코아루아파트</t>
  </si>
  <si>
    <t>당하동태평아파트</t>
  </si>
  <si>
    <t>경동택배 무안청계882</t>
  </si>
  <si>
    <t>㈜우인건설</t>
  </si>
  <si>
    <t>2026-05-04</t>
  </si>
  <si>
    <t>신일종합상사</t>
  </si>
  <si>
    <t>동촌연구소</t>
  </si>
  <si>
    <t>해가든더클래식아파트</t>
  </si>
  <si>
    <t>㈜방수존건설</t>
  </si>
  <si>
    <t>구로두산위브아파트</t>
  </si>
  <si>
    <t>오산대역 엘크루 아파트</t>
  </si>
  <si>
    <t>디오공법(주)</t>
  </si>
  <si>
    <t>초담건설(주)</t>
  </si>
  <si>
    <t>대지마을현대홈타운3차</t>
  </si>
  <si>
    <t>창원트리비앙</t>
  </si>
  <si>
    <t>원다빌2차아파트</t>
  </si>
  <si>
    <t>㈜다수건설</t>
  </si>
  <si>
    <t>㈜국제특수건설</t>
  </si>
  <si>
    <t>다솜아파트</t>
  </si>
  <si>
    <t>2026-05-06</t>
  </si>
  <si>
    <t>주식회사 세오엔지니어링</t>
  </si>
  <si>
    <t>정평역하늘채리버파크</t>
  </si>
  <si>
    <t>김포호반베르디움</t>
  </si>
  <si>
    <t>민락엘레트19</t>
  </si>
  <si>
    <t>포천극동2차스타클래스</t>
  </si>
  <si>
    <t>초원성원아파트</t>
  </si>
  <si>
    <t>경동택배대전서구정림416</t>
  </si>
  <si>
    <t>작전미도아파트</t>
  </si>
  <si>
    <t>늘푸른마을코오롱</t>
  </si>
  <si>
    <t>㈜수안건설</t>
  </si>
  <si>
    <t>모락산현대아파트</t>
  </si>
  <si>
    <t>2026-05-07</t>
  </si>
  <si>
    <t>황성현대5차</t>
  </si>
  <si>
    <t>삼송호반베르디움9단지</t>
  </si>
  <si>
    <t>여주하리현대</t>
  </si>
  <si>
    <t>구월동아아파트</t>
  </si>
  <si>
    <t>일광자이푸르지오2단지</t>
  </si>
  <si>
    <t>신흥역하늘채랜더스원1단지</t>
  </si>
  <si>
    <t>(주)더원산업개발</t>
  </si>
  <si>
    <t>진달래마을신동아</t>
  </si>
  <si>
    <t>2026-05-08</t>
  </si>
  <si>
    <t>백현마을롯데캐슬</t>
  </si>
  <si>
    <t>진산마을성원상떼빌</t>
  </si>
  <si>
    <t>용인공장 방문건</t>
  </si>
  <si>
    <t>2026-05-11</t>
  </si>
  <si>
    <t>1/12 계산서 취소건</t>
  </si>
  <si>
    <t>늘푸른마을코오롱 추가</t>
  </si>
  <si>
    <t>구로한신휴플러스</t>
  </si>
  <si>
    <t>(주)삼성리페어링</t>
  </si>
  <si>
    <t>한빛마을8단지운정아모리움</t>
  </si>
  <si>
    <t>성산마을서해그랑블</t>
  </si>
  <si>
    <t>현대한강아파트</t>
  </si>
  <si>
    <t>삼송리슈빌센트럴파크</t>
  </si>
  <si>
    <t xml:space="preserve">일광자이푸르지오1단지 </t>
  </si>
  <si>
    <t>지웰시티푸르지오1단지오피스텔</t>
  </si>
  <si>
    <t>서강쌍용예가아파트</t>
  </si>
  <si>
    <t xml:space="preserve">송산푸르지오아파트 </t>
  </si>
  <si>
    <t>c</t>
  </si>
  <si>
    <t>(주)경하이앤씨</t>
  </si>
  <si>
    <t>이천롯데캐슬골드스카이 아파트</t>
  </si>
  <si>
    <t>은행마을녹원아파트</t>
  </si>
  <si>
    <t>2026-05-12</t>
  </si>
  <si>
    <t>보성우산주공</t>
  </si>
  <si>
    <t>효천1지구중흥S클래스</t>
  </si>
  <si>
    <t>신정마을극동임광</t>
  </si>
  <si>
    <t>이루미건설(주)</t>
  </si>
  <si>
    <t>김포이편한세상한강신도시2차</t>
  </si>
  <si>
    <t>이편한세상밀양삼문</t>
  </si>
  <si>
    <t>평택장당우미이노스빌3차</t>
  </si>
  <si>
    <t>씨엘늘채움아파트</t>
  </si>
  <si>
    <t>(주)더베스트 이앤비</t>
  </si>
  <si>
    <t>#프로세스현황</t>
  </si>
  <si>
    <t>프로세스 단계 명칭</t>
  </si>
  <si>
    <t>발송 시점</t>
  </si>
  <si>
    <t>[L1] 관리단계 진입 안내</t>
  </si>
  <si>
    <t>1차 입금 예정일이 경과되어 관리단계에 최초 진입하는 시점</t>
  </si>
  <si>
    <t>[L2] 납부 일정 협의(1차)</t>
  </si>
  <si>
    <t>시공사와 입금 일정 협의 후, 합의된 입금 예정일을 공문 형태로 확정 통지</t>
  </si>
  <si>
    <t>[L3] 납부 일정 협의(2차)</t>
  </si>
  <si>
    <t>1차 협의·확정된 입금 예정일이 미이행된 경우, 재협의를 거쳐 2차 확정 내용을 공문으로 통지</t>
  </si>
  <si>
    <t xml:space="preserve">계산서 발행일 기준 91일 경과 시점 </t>
  </si>
  <si>
    <t>[L5] 장기 미수 공식 통지</t>
  </si>
  <si>
    <t>경영진 보고와 동시에 장기미수 현장에 대해 발송</t>
  </si>
  <si>
    <t>[L6] 법적 조치 검토 사전 안내</t>
  </si>
  <si>
    <t>경영진 확인 결과 유예 미적용(N) 시, 경영지원팀 이관 전 발송</t>
  </si>
  <si>
    <t>㈜청명이앤디</t>
    <phoneticPr fontId="5" type="noConversion"/>
  </si>
  <si>
    <t>일광자이푸르지오2단지</t>
    <phoneticPr fontId="5" type="noConversion"/>
  </si>
  <si>
    <t>기술자문료</t>
    <phoneticPr fontId="5" type="noConversion"/>
  </si>
  <si>
    <t>2026-05-13</t>
  </si>
  <si>
    <t>2026-05-14</t>
  </si>
  <si>
    <t>2026-05-18</t>
  </si>
  <si>
    <t>선진정공당진공장</t>
  </si>
  <si>
    <t>태왕아너스오션</t>
    <phoneticPr fontId="12" type="noConversion"/>
  </si>
  <si>
    <t>대전신한미리내아파트</t>
    <phoneticPr fontId="12" type="noConversion"/>
  </si>
  <si>
    <t>태산그린아파트</t>
    <phoneticPr fontId="12" type="noConversion"/>
  </si>
  <si>
    <t>무지개마을신한건영</t>
    <phoneticPr fontId="12" type="noConversion"/>
  </si>
  <si>
    <t>성산마을서해그랑블</t>
    <phoneticPr fontId="12" type="noConversion"/>
  </si>
  <si>
    <t>무지개마을신한건영</t>
    <phoneticPr fontId="12" type="noConversion"/>
  </si>
  <si>
    <t>여주하리현대</t>
    <phoneticPr fontId="12" type="noConversion"/>
  </si>
  <si>
    <t>해운대센트럴푸르지오</t>
    <phoneticPr fontId="12" type="noConversion"/>
  </si>
  <si>
    <t>봉선지웰아파트</t>
    <phoneticPr fontId="12" type="noConversion"/>
  </si>
  <si>
    <t>숲속마을주공그린빌4단지</t>
    <phoneticPr fontId="12" type="noConversion"/>
  </si>
  <si>
    <t>계룡삼환아파트</t>
    <phoneticPr fontId="12" type="noConversion"/>
  </si>
  <si>
    <t>사무실</t>
    <phoneticPr fontId="12" type="noConversion"/>
  </si>
  <si>
    <t>포천극동2차스타클래스</t>
    <phoneticPr fontId="12" type="noConversion"/>
  </si>
  <si>
    <t>쌍용역코오롱하늘채</t>
    <phoneticPr fontId="12" type="noConversion"/>
  </si>
  <si>
    <t>헬리오시티</t>
    <phoneticPr fontId="12" type="noConversion"/>
  </si>
  <si>
    <t>부천두산위브트레지움1단지</t>
    <phoneticPr fontId="12" type="noConversion"/>
  </si>
  <si>
    <t>이천신한1차</t>
    <phoneticPr fontId="12" type="noConversion"/>
  </si>
  <si>
    <t>평택효명아파트</t>
    <phoneticPr fontId="12" type="noConversion"/>
  </si>
  <si>
    <t>평택힐스테이트3차</t>
    <phoneticPr fontId="12" type="noConversion"/>
  </si>
  <si>
    <t>가람마을10단지</t>
    <phoneticPr fontId="12" type="noConversion"/>
  </si>
  <si>
    <t>씨엘늘채움아파트</t>
    <phoneticPr fontId="12" type="noConversion"/>
  </si>
  <si>
    <t>엠코타운더프라하</t>
    <phoneticPr fontId="12" type="noConversion"/>
  </si>
  <si>
    <t>힐스테이트광산</t>
    <phoneticPr fontId="12" type="noConversion"/>
  </si>
  <si>
    <t>운암주공5단지</t>
    <phoneticPr fontId="12" type="noConversion"/>
  </si>
  <si>
    <t>의왕민들레베스파트</t>
    <phoneticPr fontId="12" type="noConversion"/>
  </si>
  <si>
    <t>성포주공11단지</t>
    <phoneticPr fontId="12" type="noConversion"/>
  </si>
  <si>
    <t>상훈아파트</t>
    <phoneticPr fontId="12" type="noConversion"/>
  </si>
  <si>
    <t>제주도</t>
    <phoneticPr fontId="12" type="noConversion"/>
  </si>
  <si>
    <t>광교오드카운티</t>
    <phoneticPr fontId="12" type="noConversion"/>
  </si>
  <si>
    <t>거제신현두산위브</t>
    <phoneticPr fontId="12" type="noConversion"/>
  </si>
  <si>
    <t>태왕아너스오션 추가</t>
    <phoneticPr fontId="12" type="noConversion"/>
  </si>
  <si>
    <t>구월동아아파트</t>
    <phoneticPr fontId="12" type="noConversion"/>
  </si>
  <si>
    <t>검단힐스테이트2차</t>
    <phoneticPr fontId="12" type="noConversion"/>
  </si>
  <si>
    <t>여주하리현대</t>
    <phoneticPr fontId="12" type="noConversion"/>
  </si>
  <si>
    <t>주식회사 유광씨앤씨</t>
    <phoneticPr fontId="5" type="noConversion"/>
  </si>
  <si>
    <t>성원아파트2단지</t>
    <phoneticPr fontId="5" type="noConversion"/>
  </si>
  <si>
    <t>잔금</t>
    <phoneticPr fontId="5" type="noConversion"/>
  </si>
  <si>
    <t>A</t>
    <phoneticPr fontId="5" type="noConversion"/>
  </si>
  <si>
    <t>이루미건설(주)</t>
    <phoneticPr fontId="5" type="noConversion"/>
  </si>
  <si>
    <t>갈매스타힐스아파트</t>
    <phoneticPr fontId="5" type="noConversion"/>
  </si>
  <si>
    <t>잔금</t>
    <phoneticPr fontId="5" type="noConversion"/>
  </si>
  <si>
    <t>㈜석민이앤씨</t>
    <phoneticPr fontId="5" type="noConversion"/>
  </si>
  <si>
    <t>이천신둔코아루아파트</t>
    <phoneticPr fontId="5" type="noConversion"/>
  </si>
  <si>
    <t>중도금</t>
    <phoneticPr fontId="5" type="noConversion"/>
  </si>
  <si>
    <t>에이치디건설㈜</t>
    <phoneticPr fontId="5" type="noConversion"/>
  </si>
  <si>
    <t>벽산첼시빌아파트</t>
    <phoneticPr fontId="5" type="noConversion"/>
  </si>
  <si>
    <t>선급금</t>
    <phoneticPr fontId="5" type="noConversion"/>
  </si>
  <si>
    <t>여름건설(주)</t>
    <phoneticPr fontId="5" type="noConversion"/>
  </si>
  <si>
    <t>광덕파크빌</t>
    <phoneticPr fontId="5" type="noConversion"/>
  </si>
  <si>
    <t>선급금</t>
    <phoneticPr fontId="5" type="noConversion"/>
  </si>
  <si>
    <t>코오롱아파트</t>
    <phoneticPr fontId="5" type="noConversion"/>
  </si>
  <si>
    <t>2026-05-15</t>
  </si>
  <si>
    <t>동현이앤씨(주)</t>
    <phoneticPr fontId="5" type="noConversion"/>
  </si>
  <si>
    <t>잔금</t>
    <phoneticPr fontId="5" type="noConversion"/>
  </si>
  <si>
    <t>그린빌7단지아파트</t>
    <phoneticPr fontId="5" type="noConversion"/>
  </si>
  <si>
    <t>의정부SKVIEW아파트</t>
    <phoneticPr fontId="5" type="noConversion"/>
  </si>
  <si>
    <t>효양아파트</t>
    <phoneticPr fontId="5" type="noConversion"/>
  </si>
  <si>
    <t>㈜두영이앤씨</t>
    <phoneticPr fontId="5" type="noConversion"/>
  </si>
  <si>
    <t>대표건설(주)</t>
    <phoneticPr fontId="5" type="noConversion"/>
  </si>
  <si>
    <t>코지건설(주)</t>
    <phoneticPr fontId="5" type="noConversion"/>
  </si>
  <si>
    <t>㈜에이치제이건설</t>
    <phoneticPr fontId="5" type="noConversion"/>
  </si>
  <si>
    <t>㈜기림이앤씨</t>
    <phoneticPr fontId="5" type="noConversion"/>
  </si>
  <si>
    <t>주식회사 수지씨앤에스</t>
    <phoneticPr fontId="5" type="noConversion"/>
  </si>
  <si>
    <t>㈜석민이앤씨</t>
    <phoneticPr fontId="5" type="noConversion"/>
  </si>
  <si>
    <t>해운대센텀트루엘</t>
    <phoneticPr fontId="5" type="noConversion"/>
  </si>
  <si>
    <t>지웰시티푸르지오1단지오피스텔</t>
    <phoneticPr fontId="5" type="noConversion"/>
  </si>
  <si>
    <t>수림1차아파트</t>
    <phoneticPr fontId="5" type="noConversion"/>
  </si>
  <si>
    <t>강서힐스테이트아파트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</si>
  <si>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</si>
  <si>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</si>
  <si>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</si>
  <si>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㈜에이치제이건설</t>
    <phoneticPr fontId="5" type="noConversion"/>
  </si>
  <si>
    <t>해운대 센텀트루엘아파트(재도장)</t>
    <phoneticPr fontId="5" type="noConversion"/>
  </si>
  <si>
    <t>㈜청명이앤디</t>
    <phoneticPr fontId="5" type="noConversion"/>
  </si>
  <si>
    <t>영주동도경오벨리스아파트</t>
    <phoneticPr fontId="5" type="noConversion"/>
  </si>
  <si>
    <t>C</t>
    <phoneticPr fontId="5" type="noConversion"/>
  </si>
  <si>
    <t>천강건설(주)</t>
    <phoneticPr fontId="5" type="noConversion"/>
  </si>
  <si>
    <t>미사강변센텀팰리스아파트</t>
    <phoneticPr fontId="5" type="noConversion"/>
  </si>
  <si>
    <t>특허료</t>
    <phoneticPr fontId="5" type="noConversion"/>
  </si>
  <si>
    <t>C</t>
    <phoneticPr fontId="5" type="noConversion"/>
  </si>
  <si>
    <t>녹번역센트레빌아파트</t>
    <phoneticPr fontId="5" type="noConversion"/>
  </si>
  <si>
    <t>특허료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</si>
</sst>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yyyy\-mm\-dd"/>
    <numFmt numFmtId="178" formatCode="_(* #,##0_);_(* \(#,##0\);_(* \-_);_(@_)"/>
  </numFmts>
  <fonts count="16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9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8" fontId="8" fillId="0" borderId="0">
      <alignment vertical="center"/>
    </xf>
    <xf numFmtId="178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8" fontId="9" fillId="0" borderId="0"/>
    <xf numFmtId="41" fontId="8" fillId="0" borderId="0">
      <alignment vertical="center"/>
    </xf>
    <xf numFmtId="9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8" fillId="0" borderId="0">
      <alignment vertical="center"/>
    </xf>
    <xf numFmtId="41" fontId="15" fillId="0" borderId="0" applyFont="0" applyFill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11" fillId="0" borderId="3" xfId="5" applyFont="1" applyBorder="1" applyAlignment="1">
      <alignment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 applyAlignment="1">
      <alignment vertical="center"/>
    </xf>
    <xf numFmtId="0" fontId="14" fillId="2" borderId="4" xfId="5" applyFont="1" applyFill="1" applyBorder="1" applyAlignment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0" fontId="14" fillId="2" borderId="0" xfId="5" applyFont="1" applyFill="1" applyAlignment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0" fontId="3" fillId="0" borderId="0" xfId="0" applyFont="1"/>
    <xf numFmtId="0" fontId="7" fillId="2" borderId="5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41" fontId="2" fillId="0" borderId="0" xfId="0" applyNumberFormat="1" applyFont="1" applyAlignment="1">
      <alignment vertical="center"/>
    </xf>
    <xf numFmtId="41" fontId="3" fillId="0" borderId="0" xfId="0" applyNumberFormat="1" applyFont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176" fontId="7" fillId="0" borderId="4" xfId="5" applyNumberFormat="1" applyFont="1" applyBorder="1" applyAlignment="1">
      <alignment vertical="center"/>
    </xf>
    <xf numFmtId="176" fontId="7" fillId="2" borderId="1" xfId="5" applyNumberFormat="1" applyFont="1" applyFill="1" applyBorder="1" applyAlignment="1">
      <alignment vertical="center"/>
    </xf>
    <xf numFmtId="177" fontId="7" fillId="2" borderId="1" xfId="0" applyNumberFormat="1" applyFont="1" applyFill="1" applyBorder="1" applyAlignment="1">
      <alignment horizontal="center" vertical="center"/>
    </xf>
    <xf numFmtId="177" fontId="7" fillId="2" borderId="1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 applyAlignment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0" applyNumberFormat="1" applyFont="1" applyBorder="1" applyAlignment="1">
      <alignment vertical="center"/>
    </xf>
    <xf numFmtId="177" fontId="7" fillId="0" borderId="1" xfId="0" applyNumberFormat="1" applyFont="1" applyBorder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177" fontId="0" fillId="0" borderId="0" xfId="0" applyNumberFormat="1"/>
    <xf numFmtId="41" fontId="7" fillId="2" borderId="1" xfId="17" applyFont="1" applyFill="1" applyBorder="1" applyAlignment="1">
      <alignment vertical="center"/>
    </xf>
    <xf numFmtId="177" fontId="7" fillId="2" borderId="4" xfId="0" applyNumberFormat="1" applyFont="1" applyFill="1" applyBorder="1" applyAlignment="1">
      <alignment horizontal="center" vertical="center"/>
    </xf>
    <xf numFmtId="41" fontId="7" fillId="0" borderId="1" xfId="17" applyFont="1" applyBorder="1" applyAlignment="1">
      <alignment vertical="center"/>
    </xf>
    <xf numFmtId="41" fontId="7" fillId="0" borderId="1" xfId="18" applyFont="1" applyFill="1" applyBorder="1">
      <alignment vertical="center"/>
    </xf>
  </cellXfs>
  <cellStyles count="19">
    <cellStyle name="Excel Built-in Comma [0]" xfId="8"/>
    <cellStyle name="백분율 2" xfId="2"/>
    <cellStyle name="백분율 3" xfId="10"/>
    <cellStyle name="쉼표 [0]" xfId="18" builtinId="6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8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716"/>
  <sheetViews>
    <sheetView tabSelected="1" zoomScaleNormal="100" workbookViewId="0">
      <pane xSplit="5" ySplit="1" topLeftCell="F37" activePane="bottomRight" state="frozen"/>
      <selection pane="topRight"/>
      <selection pane="bottomLeft"/>
      <selection pane="bottomRight" activeCell="L184" sqref="L180:L18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2" customWidth="1"/>
    <col min="9" max="9" width="8" style="1" customWidth="1"/>
    <col min="10" max="10" width="8.75" style="1" customWidth="1"/>
    <col min="11" max="11" width="12" style="4" customWidth="1"/>
    <col min="12" max="12" width="12" style="32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1" width="9" style="1" customWidth="1"/>
    <col min="22" max="16384" width="9" style="1"/>
  </cols>
  <sheetData>
    <row r="1" spans="1:19" s="5" customFormat="1" ht="16.5" customHeight="1">
      <c r="A1" s="6">
        <v>0.71111111111111114</v>
      </c>
      <c r="B1" s="7" t="s">
        <v>0</v>
      </c>
      <c r="C1" s="8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42" t="s">
        <v>6</v>
      </c>
      <c r="I1" s="7" t="s">
        <v>7</v>
      </c>
      <c r="J1" s="7" t="s">
        <v>8</v>
      </c>
      <c r="K1" s="8" t="s">
        <v>9</v>
      </c>
      <c r="L1" s="8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8" t="s">
        <v>16</v>
      </c>
      <c r="S1" s="7" t="s">
        <v>17</v>
      </c>
    </row>
    <row r="2" spans="1:19" s="5" customFormat="1" ht="16.5" hidden="1" customHeight="1">
      <c r="B2" s="9">
        <v>1</v>
      </c>
      <c r="C2" s="10">
        <v>45797</v>
      </c>
      <c r="D2" s="9" t="str">
        <f t="shared" ref="D2:D33" si="0">IF(G2="","",IF(OR(G2="선급금",G2="중도금",G2="잔금"),"A",IF(G2="자재","B",IF(G2="특허료","C",""))))</f>
        <v>A</v>
      </c>
      <c r="E2" s="5" t="s">
        <v>18</v>
      </c>
      <c r="F2" s="5" t="s">
        <v>19</v>
      </c>
      <c r="G2" s="5" t="s">
        <v>20</v>
      </c>
      <c r="H2" s="42">
        <v>23770800</v>
      </c>
      <c r="I2" s="43">
        <f t="shared" ref="I2:I33" ca="1" si="1">IF(C2="","",IF(L2="",TODAY()-C2,L2-C2))</f>
        <v>363</v>
      </c>
      <c r="J2" s="11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0">
        <v>46203</v>
      </c>
      <c r="L2" s="10"/>
      <c r="M2" s="9" t="s">
        <v>21</v>
      </c>
      <c r="N2" s="9" t="s">
        <v>22</v>
      </c>
      <c r="O2" s="5" t="s">
        <v>23</v>
      </c>
      <c r="P2" s="5" t="s">
        <v>24</v>
      </c>
      <c r="Q2" s="12"/>
      <c r="R2" s="12">
        <v>46233</v>
      </c>
      <c r="S2" s="9" t="s">
        <v>25</v>
      </c>
    </row>
    <row r="3" spans="1:19" s="5" customFormat="1" ht="16.5" hidden="1" customHeight="1">
      <c r="B3" s="9">
        <f>IF(C3="","",COUNTA($C$2:C3))</f>
        <v>2</v>
      </c>
      <c r="C3" s="10">
        <v>45947</v>
      </c>
      <c r="D3" s="9" t="str">
        <f t="shared" si="0"/>
        <v>A</v>
      </c>
      <c r="E3" s="13" t="s">
        <v>26</v>
      </c>
      <c r="F3" s="5" t="s">
        <v>27</v>
      </c>
      <c r="G3" s="5" t="s">
        <v>20</v>
      </c>
      <c r="H3" s="42">
        <v>91762800</v>
      </c>
      <c r="I3" s="43">
        <f t="shared" ca="1" si="1"/>
        <v>145</v>
      </c>
      <c r="J3" s="11" t="str">
        <f t="shared" ref="J3:J33" ca="1" si="2">IF(I3="","",
IF(G3="선급금",
IF(I3&lt;=20,"정상",IF(I3&lt;=90,"관리","장기미수")),
IF(G3="자재",
IF(I3&lt;=40,"정상",IF(I3&lt;=90,"관리","장기미수")),
IF(I3&lt;=30,"정상",IF(I3&lt;=90,"관리","장기미수"))
)
)
)</f>
        <v>장기미수</v>
      </c>
      <c r="K3" s="10">
        <v>46111</v>
      </c>
      <c r="L3" s="10">
        <v>46092</v>
      </c>
      <c r="M3" s="9" t="s">
        <v>21</v>
      </c>
      <c r="N3" s="9" t="s">
        <v>22</v>
      </c>
      <c r="O3" s="5" t="s">
        <v>23</v>
      </c>
      <c r="Q3" s="12"/>
      <c r="R3" s="12">
        <v>46111</v>
      </c>
      <c r="S3" s="9"/>
    </row>
    <row r="4" spans="1:19" s="5" customFormat="1" ht="16.5" hidden="1" customHeight="1">
      <c r="B4" s="9">
        <f>IF(C4="","",COUNTA($C$2:C4))</f>
        <v>3</v>
      </c>
      <c r="C4" s="10">
        <v>45967</v>
      </c>
      <c r="D4" s="9" t="str">
        <f t="shared" si="0"/>
        <v>A</v>
      </c>
      <c r="E4" s="13" t="s">
        <v>28</v>
      </c>
      <c r="F4" s="5" t="s">
        <v>29</v>
      </c>
      <c r="G4" s="5" t="s">
        <v>20</v>
      </c>
      <c r="H4" s="42">
        <v>11115400</v>
      </c>
      <c r="I4" s="43">
        <f t="shared" ca="1" si="1"/>
        <v>151</v>
      </c>
      <c r="J4" s="11" t="str">
        <f t="shared" ca="1" si="2"/>
        <v>장기미수</v>
      </c>
      <c r="K4" s="10">
        <v>46105</v>
      </c>
      <c r="L4" s="10">
        <v>46118</v>
      </c>
      <c r="M4" s="9"/>
      <c r="N4" s="9" t="s">
        <v>22</v>
      </c>
      <c r="O4" s="5" t="s">
        <v>30</v>
      </c>
      <c r="P4" s="5" t="s">
        <v>31</v>
      </c>
      <c r="Q4" s="12"/>
      <c r="R4" s="12">
        <v>46111</v>
      </c>
      <c r="S4" s="9"/>
    </row>
    <row r="5" spans="1:19" s="5" customFormat="1" ht="16.5" hidden="1" customHeight="1">
      <c r="B5" s="9">
        <f>IF(C5="","",COUNTA($C$2:C5))</f>
        <v>4</v>
      </c>
      <c r="C5" s="10">
        <v>46007</v>
      </c>
      <c r="D5" s="9" t="str">
        <f t="shared" si="0"/>
        <v>A</v>
      </c>
      <c r="E5" s="5" t="s">
        <v>32</v>
      </c>
      <c r="F5" s="5" t="s">
        <v>33</v>
      </c>
      <c r="G5" s="5" t="s">
        <v>34</v>
      </c>
      <c r="H5" s="42">
        <v>13750000</v>
      </c>
      <c r="I5" s="43">
        <f t="shared" ca="1" si="1"/>
        <v>56</v>
      </c>
      <c r="J5" s="11" t="str">
        <f t="shared" ca="1" si="2"/>
        <v>관리</v>
      </c>
      <c r="K5" s="10">
        <v>46063</v>
      </c>
      <c r="L5" s="10">
        <v>46063</v>
      </c>
      <c r="M5" s="9"/>
      <c r="N5" s="9" t="s">
        <v>35</v>
      </c>
      <c r="Q5" s="12"/>
      <c r="R5" s="12"/>
      <c r="S5" s="9"/>
    </row>
    <row r="6" spans="1:19" s="5" customFormat="1" ht="16.5" hidden="1" customHeight="1">
      <c r="B6" s="9">
        <f>IF(C6="","",COUNTA($C$2:C6))</f>
        <v>5</v>
      </c>
      <c r="C6" s="10">
        <v>45817</v>
      </c>
      <c r="D6" s="9" t="str">
        <f t="shared" si="0"/>
        <v>A</v>
      </c>
      <c r="E6" s="5" t="s">
        <v>18</v>
      </c>
      <c r="F6" s="5" t="s">
        <v>19</v>
      </c>
      <c r="G6" s="5" t="s">
        <v>34</v>
      </c>
      <c r="H6" s="42">
        <v>47541600</v>
      </c>
      <c r="I6" s="43">
        <f t="shared" ca="1" si="1"/>
        <v>343</v>
      </c>
      <c r="J6" s="11" t="str">
        <f t="shared" ca="1" si="2"/>
        <v>장기미수</v>
      </c>
      <c r="K6" s="10">
        <v>46203</v>
      </c>
      <c r="L6" s="10"/>
      <c r="M6" s="9" t="s">
        <v>21</v>
      </c>
      <c r="N6" s="9" t="s">
        <v>22</v>
      </c>
      <c r="O6" s="5" t="s">
        <v>23</v>
      </c>
      <c r="P6" s="5" t="s">
        <v>24</v>
      </c>
      <c r="Q6" s="12"/>
      <c r="R6" s="12">
        <v>46233</v>
      </c>
      <c r="S6" s="9" t="s">
        <v>25</v>
      </c>
    </row>
    <row r="7" spans="1:19" s="5" customFormat="1" ht="16.5" hidden="1" customHeight="1">
      <c r="B7" s="9">
        <f>IF(C7="","",COUNTA($C$2:C7))</f>
        <v>6</v>
      </c>
      <c r="C7" s="10">
        <v>45915</v>
      </c>
      <c r="D7" s="9" t="str">
        <f t="shared" si="0"/>
        <v>A</v>
      </c>
      <c r="E7" s="5" t="s">
        <v>36</v>
      </c>
      <c r="F7" s="5" t="s">
        <v>37</v>
      </c>
      <c r="G7" s="5" t="s">
        <v>34</v>
      </c>
      <c r="H7" s="42">
        <v>93482400</v>
      </c>
      <c r="I7" s="43">
        <f t="shared" ca="1" si="1"/>
        <v>245</v>
      </c>
      <c r="J7" s="11" t="str">
        <f t="shared" ca="1" si="2"/>
        <v>장기미수</v>
      </c>
      <c r="K7" s="10"/>
      <c r="L7" s="10"/>
      <c r="M7" s="9" t="s">
        <v>21</v>
      </c>
      <c r="N7" s="9" t="s">
        <v>22</v>
      </c>
      <c r="O7" s="5" t="s">
        <v>38</v>
      </c>
      <c r="P7" s="5" t="s">
        <v>39</v>
      </c>
      <c r="Q7" s="12"/>
      <c r="R7" s="12">
        <v>46052</v>
      </c>
      <c r="S7" s="9"/>
    </row>
    <row r="8" spans="1:19" s="5" customFormat="1" ht="16.5" hidden="1" customHeight="1">
      <c r="B8" s="9">
        <f>IF(C8="","",COUNTA($C$2:C8))</f>
        <v>7</v>
      </c>
      <c r="C8" s="10">
        <v>45965</v>
      </c>
      <c r="D8" s="9" t="str">
        <f t="shared" si="0"/>
        <v>A</v>
      </c>
      <c r="E8" s="13" t="s">
        <v>26</v>
      </c>
      <c r="F8" s="5" t="s">
        <v>27</v>
      </c>
      <c r="G8" s="5" t="s">
        <v>34</v>
      </c>
      <c r="H8" s="42">
        <v>91762800</v>
      </c>
      <c r="I8" s="43">
        <f t="shared" ca="1" si="1"/>
        <v>167</v>
      </c>
      <c r="J8" s="11" t="str">
        <f t="shared" ca="1" si="2"/>
        <v>장기미수</v>
      </c>
      <c r="K8" s="10">
        <v>46111</v>
      </c>
      <c r="L8" s="10">
        <v>46132</v>
      </c>
      <c r="M8" s="9" t="s">
        <v>21</v>
      </c>
      <c r="N8" s="9" t="s">
        <v>22</v>
      </c>
      <c r="O8" s="5" t="s">
        <v>23</v>
      </c>
      <c r="Q8" s="12"/>
      <c r="R8" s="12">
        <v>46111</v>
      </c>
      <c r="S8" s="9"/>
    </row>
    <row r="9" spans="1:19" s="5" customFormat="1" ht="16.5" hidden="1" customHeight="1">
      <c r="B9" s="9">
        <f>IF(C9="","",COUNTA($C$2:C9))</f>
        <v>8</v>
      </c>
      <c r="C9" s="10">
        <v>46010</v>
      </c>
      <c r="D9" s="9" t="str">
        <f t="shared" si="0"/>
        <v>A</v>
      </c>
      <c r="E9" s="13" t="s">
        <v>28</v>
      </c>
      <c r="F9" s="5" t="s">
        <v>29</v>
      </c>
      <c r="G9" s="5" t="s">
        <v>34</v>
      </c>
      <c r="H9" s="42">
        <v>22230800</v>
      </c>
      <c r="I9" s="43">
        <f t="shared" ca="1" si="1"/>
        <v>117</v>
      </c>
      <c r="J9" s="11" t="str">
        <f t="shared" ca="1" si="2"/>
        <v>장기미수</v>
      </c>
      <c r="K9" s="10">
        <v>46145</v>
      </c>
      <c r="L9" s="10">
        <v>46127</v>
      </c>
      <c r="M9" s="9"/>
      <c r="N9" s="9" t="s">
        <v>22</v>
      </c>
      <c r="O9" s="5" t="s">
        <v>30</v>
      </c>
      <c r="P9" s="5" t="s">
        <v>31</v>
      </c>
      <c r="Q9" s="12"/>
      <c r="R9" s="12">
        <v>46111</v>
      </c>
      <c r="S9" s="9"/>
    </row>
    <row r="10" spans="1:19" s="5" customFormat="1" ht="16.5" hidden="1" customHeight="1">
      <c r="B10" s="9">
        <f>IF(C10="","",COUNTA($C$2:C10))</f>
        <v>9</v>
      </c>
      <c r="C10" s="10">
        <v>46015</v>
      </c>
      <c r="D10" s="9" t="str">
        <f t="shared" si="0"/>
        <v>A</v>
      </c>
      <c r="E10" s="5" t="s">
        <v>36</v>
      </c>
      <c r="F10" s="5" t="s">
        <v>40</v>
      </c>
      <c r="G10" s="5" t="s">
        <v>41</v>
      </c>
      <c r="H10" s="42">
        <v>38239400</v>
      </c>
      <c r="I10" s="43">
        <f t="shared" ca="1" si="1"/>
        <v>145</v>
      </c>
      <c r="J10" s="11" t="str">
        <f t="shared" ca="1" si="2"/>
        <v>장기미수</v>
      </c>
      <c r="K10" s="10"/>
      <c r="L10" s="10"/>
      <c r="M10" s="9" t="s">
        <v>21</v>
      </c>
      <c r="N10" s="9" t="s">
        <v>22</v>
      </c>
      <c r="O10" s="5" t="s">
        <v>38</v>
      </c>
      <c r="Q10" s="12"/>
      <c r="R10" s="12"/>
      <c r="S10" s="9"/>
    </row>
    <row r="11" spans="1:19" s="5" customFormat="1" ht="16.5" hidden="1" customHeight="1">
      <c r="B11" s="9">
        <f>IF(C11="","",COUNTA($C$2:C11))</f>
        <v>10</v>
      </c>
      <c r="C11" s="10">
        <v>46006</v>
      </c>
      <c r="D11" s="9" t="str">
        <f t="shared" si="0"/>
        <v>A</v>
      </c>
      <c r="E11" s="5" t="s">
        <v>42</v>
      </c>
      <c r="F11" s="5" t="s">
        <v>43</v>
      </c>
      <c r="G11" s="5" t="s">
        <v>41</v>
      </c>
      <c r="H11" s="42">
        <v>6000000</v>
      </c>
      <c r="I11" s="43">
        <f t="shared" ca="1" si="1"/>
        <v>71</v>
      </c>
      <c r="J11" s="11" t="str">
        <f t="shared" ca="1" si="2"/>
        <v>관리</v>
      </c>
      <c r="K11" s="10">
        <v>46066</v>
      </c>
      <c r="L11" s="10">
        <v>46077</v>
      </c>
      <c r="M11" s="9"/>
      <c r="N11" s="9" t="s">
        <v>35</v>
      </c>
      <c r="P11" s="5" t="s">
        <v>44</v>
      </c>
      <c r="Q11" s="12"/>
      <c r="R11" s="12"/>
      <c r="S11" s="9"/>
    </row>
    <row r="12" spans="1:19" s="5" customFormat="1" ht="16.5" hidden="1" customHeight="1">
      <c r="B12" s="9">
        <f>IF(C12="","",COUNTA($C$2:C12))</f>
        <v>11</v>
      </c>
      <c r="C12" s="10">
        <v>46015</v>
      </c>
      <c r="D12" s="9" t="str">
        <f t="shared" si="0"/>
        <v>A</v>
      </c>
      <c r="E12" s="5" t="s">
        <v>32</v>
      </c>
      <c r="F12" s="5" t="s">
        <v>33</v>
      </c>
      <c r="G12" s="5" t="s">
        <v>41</v>
      </c>
      <c r="H12" s="42">
        <v>14598800</v>
      </c>
      <c r="I12" s="43">
        <f t="shared" ca="1" si="1"/>
        <v>48</v>
      </c>
      <c r="J12" s="11" t="str">
        <f t="shared" ca="1" si="2"/>
        <v>관리</v>
      </c>
      <c r="K12" s="10">
        <v>46063</v>
      </c>
      <c r="L12" s="10">
        <v>46063</v>
      </c>
      <c r="M12" s="9"/>
      <c r="N12" s="9" t="s">
        <v>35</v>
      </c>
      <c r="Q12" s="12"/>
      <c r="R12" s="12"/>
      <c r="S12" s="9"/>
    </row>
    <row r="13" spans="1:19" s="5" customFormat="1" ht="16.5" hidden="1" customHeight="1">
      <c r="B13" s="9">
        <f>IF(C13="","",COUNTA($C$2:C13))</f>
        <v>12</v>
      </c>
      <c r="C13" s="10">
        <v>45832</v>
      </c>
      <c r="D13" s="9" t="str">
        <f t="shared" si="0"/>
        <v>A</v>
      </c>
      <c r="E13" s="5" t="s">
        <v>18</v>
      </c>
      <c r="F13" s="5" t="s">
        <v>19</v>
      </c>
      <c r="G13" s="5" t="s">
        <v>41</v>
      </c>
      <c r="H13" s="42">
        <v>46991600</v>
      </c>
      <c r="I13" s="43">
        <f t="shared" ca="1" si="1"/>
        <v>328</v>
      </c>
      <c r="J13" s="11" t="str">
        <f t="shared" ca="1" si="2"/>
        <v>장기미수</v>
      </c>
      <c r="K13" s="10">
        <v>46203</v>
      </c>
      <c r="L13" s="10"/>
      <c r="M13" s="9" t="s">
        <v>21</v>
      </c>
      <c r="N13" s="9" t="s">
        <v>22</v>
      </c>
      <c r="O13" s="5" t="s">
        <v>23</v>
      </c>
      <c r="P13" s="5" t="s">
        <v>24</v>
      </c>
      <c r="Q13" s="12"/>
      <c r="R13" s="12">
        <v>46111</v>
      </c>
      <c r="S13" s="9" t="s">
        <v>25</v>
      </c>
    </row>
    <row r="14" spans="1:19" s="5" customFormat="1" ht="16.5" hidden="1" customHeight="1">
      <c r="B14" s="9">
        <f>IF(C14="","",COUNTA($C$2:C14))</f>
        <v>13</v>
      </c>
      <c r="C14" s="10">
        <v>45972</v>
      </c>
      <c r="D14" s="9" t="str">
        <f t="shared" si="0"/>
        <v>A</v>
      </c>
      <c r="E14" s="5" t="s">
        <v>36</v>
      </c>
      <c r="F14" s="5" t="s">
        <v>37</v>
      </c>
      <c r="G14" s="5" t="s">
        <v>41</v>
      </c>
      <c r="H14" s="42">
        <v>114453000</v>
      </c>
      <c r="I14" s="43">
        <f t="shared" ca="1" si="1"/>
        <v>188</v>
      </c>
      <c r="J14" s="11" t="str">
        <f t="shared" ca="1" si="2"/>
        <v>장기미수</v>
      </c>
      <c r="K14" s="10"/>
      <c r="L14" s="10"/>
      <c r="M14" s="9" t="s">
        <v>21</v>
      </c>
      <c r="N14" s="9" t="s">
        <v>22</v>
      </c>
      <c r="O14" s="5" t="s">
        <v>38</v>
      </c>
      <c r="P14" s="5" t="s">
        <v>39</v>
      </c>
      <c r="Q14" s="12"/>
      <c r="R14" s="12">
        <v>46052</v>
      </c>
      <c r="S14" s="9"/>
    </row>
    <row r="15" spans="1:19" s="5" customFormat="1" ht="16.5" hidden="1" customHeight="1">
      <c r="B15" s="9">
        <f>IF(C15="","",COUNTA($C$2:C15))</f>
        <v>14</v>
      </c>
      <c r="C15" s="10">
        <v>45657</v>
      </c>
      <c r="D15" s="9" t="str">
        <f t="shared" si="0"/>
        <v>C</v>
      </c>
      <c r="E15" s="5" t="s">
        <v>45</v>
      </c>
      <c r="F15" s="5" t="s">
        <v>46</v>
      </c>
      <c r="G15" s="5" t="s">
        <v>47</v>
      </c>
      <c r="H15" s="42">
        <v>4546286</v>
      </c>
      <c r="I15" s="43">
        <f t="shared" ca="1" si="1"/>
        <v>503</v>
      </c>
      <c r="J15" s="11" t="str">
        <f t="shared" ca="1" si="2"/>
        <v>장기미수</v>
      </c>
      <c r="K15" s="10"/>
      <c r="L15" s="10"/>
      <c r="M15" s="9" t="s">
        <v>21</v>
      </c>
      <c r="N15" s="9" t="s">
        <v>22</v>
      </c>
      <c r="O15" s="5" t="s">
        <v>48</v>
      </c>
      <c r="Q15" s="12"/>
      <c r="R15" s="12"/>
      <c r="S15" s="9" t="s">
        <v>49</v>
      </c>
    </row>
    <row r="16" spans="1:19" s="5" customFormat="1" ht="16.5" customHeight="1">
      <c r="B16" s="9">
        <f>IF(C16="","",COUNTA($C$2:C16))</f>
        <v>15</v>
      </c>
      <c r="C16" s="10">
        <v>45237</v>
      </c>
      <c r="D16" s="9" t="str">
        <f t="shared" si="0"/>
        <v>B</v>
      </c>
      <c r="E16" s="5" t="s">
        <v>50</v>
      </c>
      <c r="F16" s="5" t="s">
        <v>51</v>
      </c>
      <c r="G16" s="5" t="s">
        <v>52</v>
      </c>
      <c r="H16" s="42">
        <v>1265000</v>
      </c>
      <c r="I16" s="43">
        <f t="shared" ca="1" si="1"/>
        <v>923</v>
      </c>
      <c r="J16" s="11" t="str">
        <f t="shared" ca="1" si="2"/>
        <v>장기미수</v>
      </c>
      <c r="K16" s="10"/>
      <c r="L16" s="10"/>
      <c r="M16" s="9" t="s">
        <v>21</v>
      </c>
      <c r="N16" s="9" t="s">
        <v>22</v>
      </c>
      <c r="O16" s="5" t="s">
        <v>38</v>
      </c>
      <c r="Q16" s="12"/>
      <c r="R16" s="12"/>
      <c r="S16" s="9"/>
    </row>
    <row r="17" spans="2:19" s="5" customFormat="1" ht="16.5" customHeight="1">
      <c r="B17" s="9">
        <f>IF(C17="","",COUNTA($C$2:C17))</f>
        <v>16</v>
      </c>
      <c r="C17" s="10">
        <v>45433</v>
      </c>
      <c r="D17" s="9" t="str">
        <f t="shared" si="0"/>
        <v>B</v>
      </c>
      <c r="E17" s="5" t="s">
        <v>50</v>
      </c>
      <c r="F17" s="5" t="s">
        <v>53</v>
      </c>
      <c r="G17" s="5" t="s">
        <v>52</v>
      </c>
      <c r="H17" s="42">
        <f>48041200-15423595-28457807</f>
        <v>4159798</v>
      </c>
      <c r="I17" s="43">
        <f t="shared" ca="1" si="1"/>
        <v>727</v>
      </c>
      <c r="J17" s="11" t="str">
        <f t="shared" ca="1" si="2"/>
        <v>장기미수</v>
      </c>
      <c r="K17" s="10"/>
      <c r="L17" s="10"/>
      <c r="M17" s="9" t="s">
        <v>21</v>
      </c>
      <c r="N17" s="9" t="s">
        <v>22</v>
      </c>
      <c r="O17" s="5" t="s">
        <v>38</v>
      </c>
      <c r="Q17" s="12"/>
      <c r="R17" s="12"/>
      <c r="S17" s="9"/>
    </row>
    <row r="18" spans="2:19" s="5" customFormat="1" ht="16.5" customHeight="1">
      <c r="B18" s="9">
        <f>IF(C18="","",COUNTA($C$2:C18))</f>
        <v>17</v>
      </c>
      <c r="C18" s="10">
        <v>45593</v>
      </c>
      <c r="D18" s="9" t="str">
        <f t="shared" si="0"/>
        <v>B</v>
      </c>
      <c r="E18" s="5" t="s">
        <v>50</v>
      </c>
      <c r="F18" s="5" t="s">
        <v>53</v>
      </c>
      <c r="G18" s="5" t="s">
        <v>52</v>
      </c>
      <c r="H18" s="42">
        <v>8096900</v>
      </c>
      <c r="I18" s="43">
        <f t="shared" ca="1" si="1"/>
        <v>567</v>
      </c>
      <c r="J18" s="11" t="str">
        <f t="shared" ca="1" si="2"/>
        <v>장기미수</v>
      </c>
      <c r="K18" s="10"/>
      <c r="L18" s="10"/>
      <c r="M18" s="9" t="s">
        <v>21</v>
      </c>
      <c r="N18" s="9" t="s">
        <v>22</v>
      </c>
      <c r="O18" s="5" t="s">
        <v>38</v>
      </c>
      <c r="Q18" s="12"/>
      <c r="R18" s="12"/>
      <c r="S18" s="9"/>
    </row>
    <row r="19" spans="2:19" s="5" customFormat="1" ht="16.5" customHeight="1">
      <c r="B19" s="9">
        <f>IF(C19="","",COUNTA($C$2:C19))</f>
        <v>18</v>
      </c>
      <c r="C19" s="10">
        <v>45455</v>
      </c>
      <c r="D19" s="9" t="str">
        <f t="shared" si="0"/>
        <v>B</v>
      </c>
      <c r="E19" s="5" t="s">
        <v>50</v>
      </c>
      <c r="F19" s="5" t="s">
        <v>54</v>
      </c>
      <c r="G19" s="5" t="s">
        <v>52</v>
      </c>
      <c r="H19" s="42">
        <v>486000</v>
      </c>
      <c r="I19" s="43">
        <f t="shared" ca="1" si="1"/>
        <v>705</v>
      </c>
      <c r="J19" s="11" t="str">
        <f t="shared" ca="1" si="2"/>
        <v>장기미수</v>
      </c>
      <c r="K19" s="10"/>
      <c r="L19" s="10"/>
      <c r="M19" s="9" t="s">
        <v>21</v>
      </c>
      <c r="N19" s="9" t="s">
        <v>22</v>
      </c>
      <c r="O19" s="5" t="s">
        <v>38</v>
      </c>
      <c r="Q19" s="12"/>
      <c r="R19" s="12"/>
      <c r="S19" s="9"/>
    </row>
    <row r="20" spans="2:19" s="5" customFormat="1" ht="16.5" customHeight="1">
      <c r="B20" s="9">
        <f>IF(C20="","",COUNTA($C$2:C20))</f>
        <v>19</v>
      </c>
      <c r="C20" s="10">
        <v>45456</v>
      </c>
      <c r="D20" s="9" t="str">
        <f t="shared" si="0"/>
        <v>B</v>
      </c>
      <c r="E20" s="5" t="s">
        <v>50</v>
      </c>
      <c r="F20" s="5" t="s">
        <v>55</v>
      </c>
      <c r="G20" s="5" t="s">
        <v>52</v>
      </c>
      <c r="H20" s="42">
        <v>54866200</v>
      </c>
      <c r="I20" s="43">
        <f t="shared" ca="1" si="1"/>
        <v>704</v>
      </c>
      <c r="J20" s="11" t="str">
        <f t="shared" ca="1" si="2"/>
        <v>장기미수</v>
      </c>
      <c r="K20" s="10"/>
      <c r="L20" s="10"/>
      <c r="M20" s="9" t="s">
        <v>21</v>
      </c>
      <c r="N20" s="9" t="s">
        <v>22</v>
      </c>
      <c r="O20" s="5" t="s">
        <v>38</v>
      </c>
      <c r="Q20" s="12"/>
      <c r="R20" s="12"/>
      <c r="S20" s="9"/>
    </row>
    <row r="21" spans="2:19" s="5" customFormat="1" ht="16.5" customHeight="1">
      <c r="B21" s="9">
        <f>IF(C21="","",COUNTA($C$2:C21))</f>
        <v>20</v>
      </c>
      <c r="C21" s="10">
        <v>45364</v>
      </c>
      <c r="D21" s="9" t="str">
        <f t="shared" si="0"/>
        <v>B</v>
      </c>
      <c r="E21" s="5" t="s">
        <v>56</v>
      </c>
      <c r="F21" s="5" t="s">
        <v>57</v>
      </c>
      <c r="G21" s="5" t="s">
        <v>52</v>
      </c>
      <c r="H21" s="42">
        <v>9090909</v>
      </c>
      <c r="I21" s="43">
        <f t="shared" ca="1" si="1"/>
        <v>796</v>
      </c>
      <c r="J21" s="11" t="str">
        <f t="shared" ca="1" si="2"/>
        <v>장기미수</v>
      </c>
      <c r="K21" s="10"/>
      <c r="L21" s="10"/>
      <c r="M21" s="9" t="s">
        <v>21</v>
      </c>
      <c r="N21" s="9" t="s">
        <v>22</v>
      </c>
      <c r="O21" s="5" t="s">
        <v>58</v>
      </c>
      <c r="Q21" s="12"/>
      <c r="R21" s="12">
        <v>46111</v>
      </c>
      <c r="S21" s="9"/>
    </row>
    <row r="22" spans="2:19" s="5" customFormat="1" ht="16.5" customHeight="1">
      <c r="B22" s="9">
        <f>IF(C22="","",COUNTA($C$2:C22))</f>
        <v>21</v>
      </c>
      <c r="C22" s="10">
        <v>45722</v>
      </c>
      <c r="D22" s="9" t="str">
        <f t="shared" si="0"/>
        <v>B</v>
      </c>
      <c r="E22" s="5" t="s">
        <v>59</v>
      </c>
      <c r="F22" s="5" t="s">
        <v>60</v>
      </c>
      <c r="G22" s="5" t="s">
        <v>52</v>
      </c>
      <c r="H22" s="42">
        <v>3479000</v>
      </c>
      <c r="I22" s="43">
        <f t="shared" ca="1" si="1"/>
        <v>438</v>
      </c>
      <c r="J22" s="11" t="str">
        <f t="shared" ca="1" si="2"/>
        <v>장기미수</v>
      </c>
      <c r="K22" s="10"/>
      <c r="L22" s="10"/>
      <c r="M22" s="9" t="s">
        <v>21</v>
      </c>
      <c r="N22" s="9" t="s">
        <v>22</v>
      </c>
      <c r="O22" s="5" t="s">
        <v>61</v>
      </c>
      <c r="Q22" s="12"/>
      <c r="R22" s="12"/>
      <c r="S22" s="9" t="s">
        <v>62</v>
      </c>
    </row>
    <row r="23" spans="2:19" s="5" customFormat="1" ht="16.5" customHeight="1">
      <c r="B23" s="9">
        <f>IF(C23="","",COUNTA($C$2:C23))</f>
        <v>22</v>
      </c>
      <c r="C23" s="10">
        <v>45727</v>
      </c>
      <c r="D23" s="9" t="str">
        <f t="shared" si="0"/>
        <v>B</v>
      </c>
      <c r="E23" s="5" t="s">
        <v>59</v>
      </c>
      <c r="F23" s="5" t="s">
        <v>63</v>
      </c>
      <c r="G23" s="5" t="s">
        <v>52</v>
      </c>
      <c r="H23" s="42">
        <v>5080000</v>
      </c>
      <c r="I23" s="43">
        <f t="shared" ca="1" si="1"/>
        <v>433</v>
      </c>
      <c r="J23" s="11" t="str">
        <f t="shared" ca="1" si="2"/>
        <v>장기미수</v>
      </c>
      <c r="K23" s="10"/>
      <c r="L23" s="10"/>
      <c r="M23" s="9" t="s">
        <v>21</v>
      </c>
      <c r="N23" s="9" t="s">
        <v>22</v>
      </c>
      <c r="O23" s="5" t="s">
        <v>61</v>
      </c>
      <c r="Q23" s="12"/>
      <c r="R23" s="12"/>
      <c r="S23" s="9" t="s">
        <v>62</v>
      </c>
    </row>
    <row r="24" spans="2:19" s="5" customFormat="1" ht="16.5" customHeight="1">
      <c r="B24" s="9">
        <f>IF(C24="","",COUNTA($C$2:C24))</f>
        <v>23</v>
      </c>
      <c r="C24" s="10">
        <v>45737</v>
      </c>
      <c r="D24" s="9" t="str">
        <f t="shared" si="0"/>
        <v>B</v>
      </c>
      <c r="E24" s="5" t="s">
        <v>59</v>
      </c>
      <c r="F24" s="5" t="s">
        <v>60</v>
      </c>
      <c r="G24" s="5" t="s">
        <v>52</v>
      </c>
      <c r="H24" s="42">
        <v>775500</v>
      </c>
      <c r="I24" s="43">
        <f t="shared" ca="1" si="1"/>
        <v>423</v>
      </c>
      <c r="J24" s="11" t="str">
        <f t="shared" ca="1" si="2"/>
        <v>장기미수</v>
      </c>
      <c r="K24" s="10"/>
      <c r="L24" s="10"/>
      <c r="M24" s="9" t="s">
        <v>21</v>
      </c>
      <c r="N24" s="9" t="s">
        <v>22</v>
      </c>
      <c r="O24" s="5" t="s">
        <v>61</v>
      </c>
      <c r="Q24" s="12"/>
      <c r="R24" s="12"/>
      <c r="S24" s="9" t="s">
        <v>62</v>
      </c>
    </row>
    <row r="25" spans="2:19" s="5" customFormat="1" ht="16.5" customHeight="1">
      <c r="B25" s="9">
        <f>IF(C25="","",COUNTA($C$2:C25))</f>
        <v>24</v>
      </c>
      <c r="C25" s="10">
        <v>45743</v>
      </c>
      <c r="D25" s="9" t="str">
        <f t="shared" si="0"/>
        <v>B</v>
      </c>
      <c r="E25" s="5" t="s">
        <v>59</v>
      </c>
      <c r="F25" s="5" t="s">
        <v>63</v>
      </c>
      <c r="G25" s="5" t="s">
        <v>52</v>
      </c>
      <c r="H25" s="42">
        <v>658000</v>
      </c>
      <c r="I25" s="43">
        <f t="shared" ca="1" si="1"/>
        <v>417</v>
      </c>
      <c r="J25" s="11" t="str">
        <f t="shared" ca="1" si="2"/>
        <v>장기미수</v>
      </c>
      <c r="K25" s="10"/>
      <c r="L25" s="10"/>
      <c r="M25" s="9" t="s">
        <v>21</v>
      </c>
      <c r="N25" s="9" t="s">
        <v>22</v>
      </c>
      <c r="O25" s="5" t="s">
        <v>61</v>
      </c>
      <c r="Q25" s="12"/>
      <c r="R25" s="12"/>
      <c r="S25" s="9" t="s">
        <v>62</v>
      </c>
    </row>
    <row r="26" spans="2:19" s="5" customFormat="1" ht="16.5" customHeight="1">
      <c r="B26" s="9">
        <f>IF(C26="","",COUNTA($C$2:C26))</f>
        <v>25</v>
      </c>
      <c r="C26" s="10">
        <v>45747</v>
      </c>
      <c r="D26" s="9" t="str">
        <f t="shared" si="0"/>
        <v>B</v>
      </c>
      <c r="E26" s="5" t="s">
        <v>59</v>
      </c>
      <c r="F26" s="5" t="s">
        <v>60</v>
      </c>
      <c r="G26" s="5" t="s">
        <v>52</v>
      </c>
      <c r="H26" s="42">
        <v>3126000</v>
      </c>
      <c r="I26" s="43">
        <f t="shared" ca="1" si="1"/>
        <v>413</v>
      </c>
      <c r="J26" s="11" t="str">
        <f t="shared" ca="1" si="2"/>
        <v>장기미수</v>
      </c>
      <c r="K26" s="10"/>
      <c r="L26" s="10"/>
      <c r="M26" s="9" t="s">
        <v>21</v>
      </c>
      <c r="N26" s="9" t="s">
        <v>22</v>
      </c>
      <c r="O26" s="5" t="s">
        <v>61</v>
      </c>
      <c r="Q26" s="12"/>
      <c r="R26" s="12"/>
      <c r="S26" s="9" t="s">
        <v>62</v>
      </c>
    </row>
    <row r="27" spans="2:19" s="5" customFormat="1" ht="16.5" customHeight="1">
      <c r="B27" s="9">
        <f>IF(C27="","",COUNTA($C$2:C27))</f>
        <v>26</v>
      </c>
      <c r="C27" s="10">
        <v>45747</v>
      </c>
      <c r="D27" s="9" t="str">
        <f t="shared" si="0"/>
        <v>B</v>
      </c>
      <c r="E27" s="5" t="s">
        <v>59</v>
      </c>
      <c r="F27" s="5" t="s">
        <v>64</v>
      </c>
      <c r="G27" s="5" t="s">
        <v>52</v>
      </c>
      <c r="H27" s="42">
        <v>329000</v>
      </c>
      <c r="I27" s="43">
        <f t="shared" ca="1" si="1"/>
        <v>413</v>
      </c>
      <c r="J27" s="11" t="str">
        <f t="shared" ca="1" si="2"/>
        <v>장기미수</v>
      </c>
      <c r="K27" s="10"/>
      <c r="L27" s="10"/>
      <c r="M27" s="9" t="s">
        <v>21</v>
      </c>
      <c r="N27" s="9" t="s">
        <v>22</v>
      </c>
      <c r="O27" s="5" t="s">
        <v>61</v>
      </c>
      <c r="Q27" s="12"/>
      <c r="R27" s="12"/>
      <c r="S27" s="9" t="s">
        <v>62</v>
      </c>
    </row>
    <row r="28" spans="2:19" s="5" customFormat="1" ht="16.5" customHeight="1">
      <c r="B28" s="9">
        <f>IF(C28="","",COUNTA($C$2:C28))</f>
        <v>27</v>
      </c>
      <c r="C28" s="10">
        <v>45748</v>
      </c>
      <c r="D28" s="9" t="str">
        <f t="shared" si="0"/>
        <v>B</v>
      </c>
      <c r="E28" s="5" t="s">
        <v>59</v>
      </c>
      <c r="F28" s="5" t="s">
        <v>64</v>
      </c>
      <c r="G28" s="5" t="s">
        <v>52</v>
      </c>
      <c r="H28" s="42">
        <v>3066000</v>
      </c>
      <c r="I28" s="43">
        <f t="shared" ca="1" si="1"/>
        <v>412</v>
      </c>
      <c r="J28" s="11" t="str">
        <f t="shared" ca="1" si="2"/>
        <v>장기미수</v>
      </c>
      <c r="K28" s="10"/>
      <c r="L28" s="10"/>
      <c r="M28" s="9" t="s">
        <v>21</v>
      </c>
      <c r="N28" s="9" t="s">
        <v>22</v>
      </c>
      <c r="O28" s="5" t="s">
        <v>61</v>
      </c>
      <c r="Q28" s="12"/>
      <c r="R28" s="12"/>
      <c r="S28" s="9" t="s">
        <v>62</v>
      </c>
    </row>
    <row r="29" spans="2:19" s="5" customFormat="1" ht="16.5" customHeight="1">
      <c r="B29" s="9">
        <f>IF(C29="","",COUNTA($C$2:C29))</f>
        <v>28</v>
      </c>
      <c r="C29" s="10">
        <v>45750</v>
      </c>
      <c r="D29" s="9" t="str">
        <f t="shared" si="0"/>
        <v>B</v>
      </c>
      <c r="E29" s="5" t="s">
        <v>59</v>
      </c>
      <c r="F29" s="5" t="s">
        <v>60</v>
      </c>
      <c r="G29" s="5" t="s">
        <v>52</v>
      </c>
      <c r="H29" s="42">
        <v>474000</v>
      </c>
      <c r="I29" s="43">
        <f t="shared" ca="1" si="1"/>
        <v>410</v>
      </c>
      <c r="J29" s="11" t="str">
        <f t="shared" ca="1" si="2"/>
        <v>장기미수</v>
      </c>
      <c r="K29" s="10"/>
      <c r="L29" s="10"/>
      <c r="M29" s="9" t="s">
        <v>21</v>
      </c>
      <c r="N29" s="9" t="s">
        <v>22</v>
      </c>
      <c r="O29" s="5" t="s">
        <v>61</v>
      </c>
      <c r="Q29" s="12"/>
      <c r="R29" s="12"/>
      <c r="S29" s="9" t="s">
        <v>62</v>
      </c>
    </row>
    <row r="30" spans="2:19" s="5" customFormat="1" ht="16.5" customHeight="1">
      <c r="B30" s="9">
        <f>IF(C30="","",COUNTA($C$2:C30))</f>
        <v>29</v>
      </c>
      <c r="C30" s="10">
        <v>45771</v>
      </c>
      <c r="D30" s="9" t="str">
        <f t="shared" si="0"/>
        <v>B</v>
      </c>
      <c r="E30" s="5" t="s">
        <v>59</v>
      </c>
      <c r="F30" s="5" t="s">
        <v>64</v>
      </c>
      <c r="G30" s="5" t="s">
        <v>52</v>
      </c>
      <c r="H30" s="42">
        <v>4867000</v>
      </c>
      <c r="I30" s="43">
        <f t="shared" ca="1" si="1"/>
        <v>389</v>
      </c>
      <c r="J30" s="11" t="str">
        <f t="shared" ca="1" si="2"/>
        <v>장기미수</v>
      </c>
      <c r="K30" s="10"/>
      <c r="L30" s="10"/>
      <c r="M30" s="9" t="s">
        <v>21</v>
      </c>
      <c r="N30" s="9" t="s">
        <v>22</v>
      </c>
      <c r="O30" s="5" t="s">
        <v>61</v>
      </c>
      <c r="Q30" s="12"/>
      <c r="R30" s="12"/>
      <c r="S30" s="9" t="s">
        <v>62</v>
      </c>
    </row>
    <row r="31" spans="2:19" s="5" customFormat="1" ht="16.5" customHeight="1">
      <c r="B31" s="9">
        <f>IF(C31="","",COUNTA($C$2:C31))</f>
        <v>30</v>
      </c>
      <c r="C31" s="10">
        <v>45785</v>
      </c>
      <c r="D31" s="9" t="str">
        <f t="shared" si="0"/>
        <v>B</v>
      </c>
      <c r="E31" s="5" t="s">
        <v>59</v>
      </c>
      <c r="F31" s="5" t="s">
        <v>64</v>
      </c>
      <c r="G31" s="5" t="s">
        <v>52</v>
      </c>
      <c r="H31" s="42">
        <v>607500</v>
      </c>
      <c r="I31" s="43">
        <f t="shared" ca="1" si="1"/>
        <v>375</v>
      </c>
      <c r="J31" s="11" t="str">
        <f t="shared" ca="1" si="2"/>
        <v>장기미수</v>
      </c>
      <c r="K31" s="10"/>
      <c r="L31" s="10"/>
      <c r="M31" s="9" t="s">
        <v>21</v>
      </c>
      <c r="N31" s="9" t="s">
        <v>22</v>
      </c>
      <c r="O31" s="5" t="s">
        <v>61</v>
      </c>
      <c r="Q31" s="12"/>
      <c r="R31" s="12"/>
      <c r="S31" s="9" t="s">
        <v>62</v>
      </c>
    </row>
    <row r="32" spans="2:19" s="5" customFormat="1" ht="16.5" customHeight="1">
      <c r="B32" s="9">
        <f>IF(C32="","",COUNTA($C$2:C32))</f>
        <v>31</v>
      </c>
      <c r="C32" s="10">
        <v>45806</v>
      </c>
      <c r="D32" s="9" t="str">
        <f t="shared" si="0"/>
        <v>B</v>
      </c>
      <c r="E32" s="5" t="s">
        <v>59</v>
      </c>
      <c r="F32" s="5" t="s">
        <v>60</v>
      </c>
      <c r="G32" s="5" t="s">
        <v>52</v>
      </c>
      <c r="H32" s="42">
        <v>3253400</v>
      </c>
      <c r="I32" s="43">
        <f t="shared" ca="1" si="1"/>
        <v>354</v>
      </c>
      <c r="J32" s="11" t="str">
        <f t="shared" ca="1" si="2"/>
        <v>장기미수</v>
      </c>
      <c r="K32" s="10"/>
      <c r="L32" s="10"/>
      <c r="M32" s="9" t="s">
        <v>21</v>
      </c>
      <c r="N32" s="9" t="s">
        <v>22</v>
      </c>
      <c r="O32" s="5" t="s">
        <v>61</v>
      </c>
      <c r="Q32" s="12"/>
      <c r="R32" s="12"/>
      <c r="S32" s="9" t="s">
        <v>62</v>
      </c>
    </row>
    <row r="33" spans="2:19" s="5" customFormat="1" ht="16.5" customHeight="1">
      <c r="B33" s="9">
        <f>IF(C33="","",COUNTA($C$2:C33))</f>
        <v>32</v>
      </c>
      <c r="C33" s="10">
        <v>45818</v>
      </c>
      <c r="D33" s="9" t="str">
        <f t="shared" si="0"/>
        <v>B</v>
      </c>
      <c r="E33" s="5" t="s">
        <v>59</v>
      </c>
      <c r="F33" s="5" t="s">
        <v>60</v>
      </c>
      <c r="G33" s="5" t="s">
        <v>52</v>
      </c>
      <c r="H33" s="42">
        <v>2426000</v>
      </c>
      <c r="I33" s="43">
        <f t="shared" ca="1" si="1"/>
        <v>342</v>
      </c>
      <c r="J33" s="11" t="str">
        <f t="shared" ca="1" si="2"/>
        <v>장기미수</v>
      </c>
      <c r="K33" s="10"/>
      <c r="L33" s="10"/>
      <c r="M33" s="9" t="s">
        <v>21</v>
      </c>
      <c r="N33" s="9" t="s">
        <v>22</v>
      </c>
      <c r="O33" s="5" t="s">
        <v>61</v>
      </c>
      <c r="Q33" s="12"/>
      <c r="R33" s="12"/>
      <c r="S33" s="9" t="s">
        <v>62</v>
      </c>
    </row>
    <row r="34" spans="2:19" s="5" customFormat="1" ht="16.5" customHeight="1">
      <c r="B34" s="9">
        <f>IF(C34="","",COUNTA($C$2:C34))</f>
        <v>33</v>
      </c>
      <c r="C34" s="10">
        <v>45848</v>
      </c>
      <c r="D34" s="9" t="str">
        <f t="shared" ref="D34:D65" si="3">IF(G34="","",IF(OR(G34="선급금",G34="중도금",G34="잔금"),"A",IF(G34="자재","B",IF(G34="특허료","C",""))))</f>
        <v>B</v>
      </c>
      <c r="E34" s="5" t="s">
        <v>59</v>
      </c>
      <c r="F34" s="5" t="s">
        <v>60</v>
      </c>
      <c r="G34" s="5" t="s">
        <v>52</v>
      </c>
      <c r="H34" s="42">
        <v>2390000</v>
      </c>
      <c r="I34" s="43">
        <f t="shared" ref="I34:I65" ca="1" si="4">IF(C34="","",IF(L34="",TODAY()-C34,L34-C34))</f>
        <v>312</v>
      </c>
      <c r="J34" s="11" t="str">
        <f ca="1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0"/>
      <c r="L34" s="10"/>
      <c r="M34" s="9" t="s">
        <v>21</v>
      </c>
      <c r="N34" s="9" t="s">
        <v>22</v>
      </c>
      <c r="O34" s="5" t="s">
        <v>61</v>
      </c>
      <c r="Q34" s="12"/>
      <c r="R34" s="12"/>
      <c r="S34" s="9" t="s">
        <v>62</v>
      </c>
    </row>
    <row r="35" spans="2:19" s="5" customFormat="1" ht="16.5" customHeight="1">
      <c r="B35" s="9">
        <f>IF(C35="","",COUNTA($C$2:C35))</f>
        <v>34</v>
      </c>
      <c r="C35" s="10">
        <v>45870</v>
      </c>
      <c r="D35" s="9" t="str">
        <f t="shared" si="3"/>
        <v>B</v>
      </c>
      <c r="E35" s="5" t="s">
        <v>59</v>
      </c>
      <c r="F35" s="5" t="s">
        <v>60</v>
      </c>
      <c r="G35" s="5" t="s">
        <v>52</v>
      </c>
      <c r="H35" s="42">
        <v>432000</v>
      </c>
      <c r="I35" s="43">
        <f t="shared" ca="1" si="4"/>
        <v>290</v>
      </c>
      <c r="J35" s="11" t="str">
        <f t="shared" ref="J35:J65" ca="1" si="5">IF(I35="","",
IF(G35="선급금",
IF(I35&lt;=20,"정상",IF(I35&lt;=90,"관리","장기미수")),
IF(G35="자재",
IF(I35&lt;=40,"정상",IF(I35&lt;=90,"관리","장기미수")),
IF(I35&lt;=30,"정상",IF(I35&lt;=90,"관리","장기미수"))
)
)
)</f>
        <v>장기미수</v>
      </c>
      <c r="K35" s="10"/>
      <c r="L35" s="10"/>
      <c r="M35" s="9" t="s">
        <v>21</v>
      </c>
      <c r="N35" s="9" t="s">
        <v>22</v>
      </c>
      <c r="O35" s="5" t="s">
        <v>61</v>
      </c>
      <c r="Q35" s="12"/>
      <c r="R35" s="12"/>
      <c r="S35" s="9" t="s">
        <v>62</v>
      </c>
    </row>
    <row r="36" spans="2:19" s="5" customFormat="1" ht="16.5" customHeight="1">
      <c r="B36" s="9">
        <f>IF(C36="","",COUNTA($C$2:C36))</f>
        <v>35</v>
      </c>
      <c r="C36" s="10">
        <v>45799</v>
      </c>
      <c r="D36" s="9" t="str">
        <f t="shared" si="3"/>
        <v>B</v>
      </c>
      <c r="E36" s="5" t="s">
        <v>65</v>
      </c>
      <c r="F36" s="5" t="s">
        <v>66</v>
      </c>
      <c r="G36" s="5" t="s">
        <v>52</v>
      </c>
      <c r="H36" s="42">
        <v>727</v>
      </c>
      <c r="I36" s="43">
        <f t="shared" ca="1" si="4"/>
        <v>361</v>
      </c>
      <c r="J36" s="11" t="str">
        <f t="shared" ca="1" si="5"/>
        <v>장기미수</v>
      </c>
      <c r="K36" s="10"/>
      <c r="L36" s="10"/>
      <c r="M36" s="9"/>
      <c r="N36" s="9" t="s">
        <v>22</v>
      </c>
      <c r="P36" s="5" t="s">
        <v>67</v>
      </c>
      <c r="Q36" s="12"/>
      <c r="R36" s="12"/>
      <c r="S36" s="9"/>
    </row>
    <row r="37" spans="2:19" s="5" customFormat="1" ht="16.5" customHeight="1">
      <c r="B37" s="9">
        <f>IF(C37="","",COUNTA($C$2:C37))</f>
        <v>36</v>
      </c>
      <c r="C37" s="10">
        <v>45875</v>
      </c>
      <c r="D37" s="9" t="str">
        <f t="shared" si="3"/>
        <v>B</v>
      </c>
      <c r="E37" s="13" t="s">
        <v>26</v>
      </c>
      <c r="F37" s="5" t="s">
        <v>68</v>
      </c>
      <c r="G37" s="5" t="s">
        <v>52</v>
      </c>
      <c r="H37" s="42">
        <v>37830200</v>
      </c>
      <c r="I37" s="43">
        <f t="shared" ca="1" si="4"/>
        <v>285</v>
      </c>
      <c r="J37" s="11" t="str">
        <f t="shared" ca="1" si="5"/>
        <v>장기미수</v>
      </c>
      <c r="K37" s="10">
        <v>46112</v>
      </c>
      <c r="L37" s="10"/>
      <c r="M37" s="9" t="s">
        <v>21</v>
      </c>
      <c r="N37" s="9" t="s">
        <v>22</v>
      </c>
      <c r="O37" s="5" t="s">
        <v>61</v>
      </c>
      <c r="P37" s="5" t="s">
        <v>69</v>
      </c>
      <c r="Q37" s="10">
        <v>46062</v>
      </c>
      <c r="R37" s="9" t="s">
        <v>62</v>
      </c>
      <c r="S37" s="9"/>
    </row>
    <row r="38" spans="2:19" s="5" customFormat="1" ht="16.5" customHeight="1">
      <c r="B38" s="9">
        <f>IF(C38="","",COUNTA($C$2:C38))</f>
        <v>37</v>
      </c>
      <c r="C38" s="10">
        <v>45897</v>
      </c>
      <c r="D38" s="9" t="str">
        <f t="shared" si="3"/>
        <v>B</v>
      </c>
      <c r="E38" s="5" t="s">
        <v>70</v>
      </c>
      <c r="F38" s="5" t="s">
        <v>71</v>
      </c>
      <c r="G38" s="5" t="s">
        <v>52</v>
      </c>
      <c r="H38" s="42">
        <v>17970118</v>
      </c>
      <c r="I38" s="43">
        <f t="shared" ca="1" si="4"/>
        <v>263</v>
      </c>
      <c r="J38" s="11" t="str">
        <f t="shared" ca="1" si="5"/>
        <v>장기미수</v>
      </c>
      <c r="K38" s="10">
        <v>46081</v>
      </c>
      <c r="L38" s="10"/>
      <c r="M38" s="9" t="s">
        <v>21</v>
      </c>
      <c r="N38" s="9" t="s">
        <v>22</v>
      </c>
      <c r="O38" s="5" t="s">
        <v>72</v>
      </c>
      <c r="P38" s="5" t="s">
        <v>73</v>
      </c>
      <c r="Q38" s="10">
        <v>46029</v>
      </c>
      <c r="R38" s="10">
        <v>46081</v>
      </c>
      <c r="S38" s="9"/>
    </row>
    <row r="39" spans="2:19" s="5" customFormat="1" ht="16.5" customHeight="1">
      <c r="B39" s="9">
        <f>IF(C39="","",COUNTA($C$2:C39))</f>
        <v>38</v>
      </c>
      <c r="C39" s="10">
        <v>45902</v>
      </c>
      <c r="D39" s="9" t="str">
        <f t="shared" si="3"/>
        <v>B</v>
      </c>
      <c r="E39" s="5" t="s">
        <v>70</v>
      </c>
      <c r="F39" s="5" t="s">
        <v>71</v>
      </c>
      <c r="G39" s="5" t="s">
        <v>52</v>
      </c>
      <c r="H39" s="42">
        <v>2331400</v>
      </c>
      <c r="I39" s="43">
        <f t="shared" ca="1" si="4"/>
        <v>258</v>
      </c>
      <c r="J39" s="11" t="str">
        <f t="shared" ca="1" si="5"/>
        <v>장기미수</v>
      </c>
      <c r="K39" s="10">
        <v>46081</v>
      </c>
      <c r="L39" s="10"/>
      <c r="M39" s="9" t="s">
        <v>21</v>
      </c>
      <c r="N39" s="9" t="s">
        <v>22</v>
      </c>
      <c r="O39" s="5" t="s">
        <v>72</v>
      </c>
      <c r="P39" s="5" t="s">
        <v>74</v>
      </c>
      <c r="Q39" s="10">
        <v>46029</v>
      </c>
      <c r="R39" s="10">
        <v>46081</v>
      </c>
      <c r="S39" s="9"/>
    </row>
    <row r="40" spans="2:19" s="5" customFormat="1" ht="16.5" hidden="1" customHeight="1">
      <c r="B40" s="9">
        <f>IF(C40="","",COUNTA($C$2:C40))</f>
        <v>39</v>
      </c>
      <c r="C40" s="10">
        <v>45916</v>
      </c>
      <c r="D40" s="9" t="str">
        <f t="shared" si="3"/>
        <v>B</v>
      </c>
      <c r="E40" s="5" t="s">
        <v>75</v>
      </c>
      <c r="F40" s="5" t="s">
        <v>76</v>
      </c>
      <c r="G40" s="5" t="s">
        <v>52</v>
      </c>
      <c r="H40" s="42">
        <v>981900</v>
      </c>
      <c r="I40" s="43">
        <f t="shared" ca="1" si="4"/>
        <v>189</v>
      </c>
      <c r="J40" s="11" t="str">
        <f t="shared" ca="1" si="5"/>
        <v>장기미수</v>
      </c>
      <c r="K40" s="10">
        <v>46063</v>
      </c>
      <c r="L40" s="10">
        <v>46105</v>
      </c>
      <c r="M40" s="9"/>
      <c r="N40" s="9" t="s">
        <v>22</v>
      </c>
      <c r="P40" s="5" t="s">
        <v>77</v>
      </c>
      <c r="Q40" s="10"/>
      <c r="R40" s="10"/>
      <c r="S40" s="9"/>
    </row>
    <row r="41" spans="2:19" s="5" customFormat="1" ht="16.5" hidden="1" customHeight="1">
      <c r="B41" s="9">
        <f>IF(C41="","",COUNTA($C$2:C41))</f>
        <v>40</v>
      </c>
      <c r="C41" s="10">
        <v>45945</v>
      </c>
      <c r="D41" s="9" t="str">
        <f t="shared" si="3"/>
        <v>B</v>
      </c>
      <c r="E41" s="13" t="s">
        <v>26</v>
      </c>
      <c r="F41" s="5" t="s">
        <v>68</v>
      </c>
      <c r="G41" s="5" t="s">
        <v>52</v>
      </c>
      <c r="H41" s="42">
        <v>15846200</v>
      </c>
      <c r="I41" s="43">
        <f t="shared" ca="1" si="4"/>
        <v>205</v>
      </c>
      <c r="J41" s="11" t="str">
        <f t="shared" ca="1" si="5"/>
        <v>장기미수</v>
      </c>
      <c r="K41" s="10">
        <v>46112</v>
      </c>
      <c r="L41" s="10">
        <v>46150</v>
      </c>
      <c r="M41" s="9" t="s">
        <v>21</v>
      </c>
      <c r="N41" s="9" t="s">
        <v>22</v>
      </c>
      <c r="O41" s="5" t="s">
        <v>61</v>
      </c>
      <c r="P41" s="5" t="s">
        <v>69</v>
      </c>
      <c r="Q41" s="10">
        <v>46062</v>
      </c>
      <c r="R41" s="9" t="s">
        <v>62</v>
      </c>
      <c r="S41" s="9"/>
    </row>
    <row r="42" spans="2:19" s="5" customFormat="1" ht="16.5" customHeight="1">
      <c r="B42" s="9">
        <f>IF(C42="","",COUNTA($C$2:C42))</f>
        <v>41</v>
      </c>
      <c r="C42" s="10">
        <v>45947</v>
      </c>
      <c r="D42" s="9" t="str">
        <f t="shared" si="3"/>
        <v>B</v>
      </c>
      <c r="E42" s="5" t="s">
        <v>70</v>
      </c>
      <c r="F42" s="5" t="s">
        <v>71</v>
      </c>
      <c r="G42" s="5" t="s">
        <v>52</v>
      </c>
      <c r="H42" s="42">
        <v>6300000</v>
      </c>
      <c r="I42" s="43">
        <f t="shared" ca="1" si="4"/>
        <v>213</v>
      </c>
      <c r="J42" s="11" t="str">
        <f t="shared" ca="1" si="5"/>
        <v>장기미수</v>
      </c>
      <c r="K42" s="10">
        <v>46081</v>
      </c>
      <c r="L42" s="10"/>
      <c r="M42" s="9" t="s">
        <v>21</v>
      </c>
      <c r="N42" s="9" t="s">
        <v>22</v>
      </c>
      <c r="O42" s="5" t="s">
        <v>72</v>
      </c>
      <c r="Q42" s="10">
        <v>46029</v>
      </c>
      <c r="R42" s="10">
        <v>46081</v>
      </c>
      <c r="S42" s="9"/>
    </row>
    <row r="43" spans="2:19" s="5" customFormat="1" ht="16.5" hidden="1" customHeight="1">
      <c r="B43" s="9">
        <f>IF(C43="","",COUNTA($C$2:C43))</f>
        <v>42</v>
      </c>
      <c r="C43" s="10">
        <v>45952</v>
      </c>
      <c r="D43" s="9" t="str">
        <f t="shared" si="3"/>
        <v>B</v>
      </c>
      <c r="E43" s="5" t="s">
        <v>42</v>
      </c>
      <c r="F43" s="5" t="s">
        <v>78</v>
      </c>
      <c r="G43" s="5" t="s">
        <v>52</v>
      </c>
      <c r="H43" s="42">
        <v>7276000</v>
      </c>
      <c r="I43" s="43">
        <f t="shared" ca="1" si="4"/>
        <v>112</v>
      </c>
      <c r="J43" s="11" t="str">
        <f t="shared" ca="1" si="5"/>
        <v>장기미수</v>
      </c>
      <c r="K43" s="10">
        <v>46064</v>
      </c>
      <c r="L43" s="10">
        <v>46064</v>
      </c>
      <c r="M43" s="9"/>
      <c r="N43" s="9" t="s">
        <v>22</v>
      </c>
      <c r="O43" s="5" t="s">
        <v>79</v>
      </c>
      <c r="P43" s="5" t="s">
        <v>80</v>
      </c>
      <c r="Q43" s="10"/>
      <c r="R43" s="10"/>
      <c r="S43" s="9"/>
    </row>
    <row r="44" spans="2:19" s="5" customFormat="1" ht="16.5" customHeight="1">
      <c r="B44" s="9">
        <f>IF(C44="","",COUNTA($C$2:C44))</f>
        <v>43</v>
      </c>
      <c r="C44" s="10">
        <v>45958</v>
      </c>
      <c r="D44" s="9" t="str">
        <f t="shared" si="3"/>
        <v>B</v>
      </c>
      <c r="E44" s="5" t="s">
        <v>70</v>
      </c>
      <c r="F44" s="5" t="s">
        <v>81</v>
      </c>
      <c r="G44" s="5" t="s">
        <v>52</v>
      </c>
      <c r="H44" s="42">
        <v>-9744900</v>
      </c>
      <c r="I44" s="43">
        <f t="shared" ca="1" si="4"/>
        <v>202</v>
      </c>
      <c r="J44" s="11" t="str">
        <f t="shared" ca="1" si="5"/>
        <v>장기미수</v>
      </c>
      <c r="K44" s="10">
        <v>46081</v>
      </c>
      <c r="L44" s="10"/>
      <c r="M44" s="9"/>
      <c r="N44" s="9" t="s">
        <v>22</v>
      </c>
      <c r="O44" s="5" t="s">
        <v>72</v>
      </c>
      <c r="Q44" s="10">
        <v>46029</v>
      </c>
      <c r="R44" s="10">
        <v>46081</v>
      </c>
      <c r="S44" s="9"/>
    </row>
    <row r="45" spans="2:19" s="5" customFormat="1" ht="16.5" hidden="1" customHeight="1">
      <c r="B45" s="9">
        <f>IF(C45="","",COUNTA($C$2:C45))</f>
        <v>44</v>
      </c>
      <c r="C45" s="10">
        <v>45964</v>
      </c>
      <c r="D45" s="9" t="str">
        <f t="shared" si="3"/>
        <v>B</v>
      </c>
      <c r="E45" s="5" t="s">
        <v>82</v>
      </c>
      <c r="F45" s="5" t="s">
        <v>83</v>
      </c>
      <c r="G45" s="5" t="s">
        <v>52</v>
      </c>
      <c r="H45" s="42">
        <v>3380000</v>
      </c>
      <c r="I45" s="43">
        <f t="shared" ca="1" si="4"/>
        <v>127</v>
      </c>
      <c r="J45" s="11" t="str">
        <f t="shared" ca="1" si="5"/>
        <v>장기미수</v>
      </c>
      <c r="K45" s="10">
        <v>46066</v>
      </c>
      <c r="L45" s="10">
        <v>46091</v>
      </c>
      <c r="M45" s="9"/>
      <c r="N45" s="9" t="s">
        <v>35</v>
      </c>
      <c r="P45" s="5" t="s">
        <v>84</v>
      </c>
      <c r="Q45" s="10"/>
      <c r="R45" s="10"/>
      <c r="S45" s="9"/>
    </row>
    <row r="46" spans="2:19" s="5" customFormat="1" ht="16.5" hidden="1" customHeight="1">
      <c r="B46" s="9">
        <f>IF(C46="","",COUNTA($C$2:C46))</f>
        <v>45</v>
      </c>
      <c r="C46" s="10">
        <v>45967</v>
      </c>
      <c r="D46" s="9" t="str">
        <f t="shared" si="3"/>
        <v>B</v>
      </c>
      <c r="E46" s="5" t="s">
        <v>82</v>
      </c>
      <c r="F46" s="5" t="s">
        <v>83</v>
      </c>
      <c r="G46" s="5" t="s">
        <v>52</v>
      </c>
      <c r="H46" s="42">
        <v>1180000</v>
      </c>
      <c r="I46" s="43">
        <f t="shared" ca="1" si="4"/>
        <v>124</v>
      </c>
      <c r="J46" s="11" t="str">
        <f t="shared" ca="1" si="5"/>
        <v>장기미수</v>
      </c>
      <c r="K46" s="10">
        <v>46066</v>
      </c>
      <c r="L46" s="10">
        <v>46091</v>
      </c>
      <c r="M46" s="9"/>
      <c r="N46" s="9" t="s">
        <v>35</v>
      </c>
      <c r="P46" s="5" t="s">
        <v>84</v>
      </c>
      <c r="Q46" s="10"/>
      <c r="R46" s="10"/>
      <c r="S46" s="9"/>
    </row>
    <row r="47" spans="2:19" s="5" customFormat="1" ht="16.5" hidden="1" customHeight="1">
      <c r="B47" s="9">
        <f>IF(C47="","",COUNTA($C$2:C47))</f>
        <v>46</v>
      </c>
      <c r="C47" s="10">
        <v>45968</v>
      </c>
      <c r="D47" s="9" t="str">
        <f t="shared" si="3"/>
        <v>B</v>
      </c>
      <c r="E47" s="5" t="s">
        <v>75</v>
      </c>
      <c r="F47" s="5" t="s">
        <v>85</v>
      </c>
      <c r="G47" s="5" t="s">
        <v>52</v>
      </c>
      <c r="H47" s="42">
        <v>801700</v>
      </c>
      <c r="I47" s="43">
        <f t="shared" ca="1" si="4"/>
        <v>137</v>
      </c>
      <c r="J47" s="11" t="str">
        <f t="shared" ca="1" si="5"/>
        <v>장기미수</v>
      </c>
      <c r="K47" s="10">
        <v>46063</v>
      </c>
      <c r="L47" s="10">
        <v>46105</v>
      </c>
      <c r="M47" s="9"/>
      <c r="N47" s="9" t="s">
        <v>22</v>
      </c>
      <c r="P47" s="5" t="s">
        <v>77</v>
      </c>
      <c r="Q47" s="10"/>
      <c r="R47" s="10"/>
      <c r="S47" s="9"/>
    </row>
    <row r="48" spans="2:19" s="5" customFormat="1" ht="16.5" hidden="1" customHeight="1">
      <c r="B48" s="9">
        <f>IF(C48="","",COUNTA($C$2:C48))</f>
        <v>47</v>
      </c>
      <c r="C48" s="10">
        <v>45971</v>
      </c>
      <c r="D48" s="9" t="str">
        <f t="shared" si="3"/>
        <v>B</v>
      </c>
      <c r="E48" s="5" t="s">
        <v>75</v>
      </c>
      <c r="F48" s="5" t="s">
        <v>86</v>
      </c>
      <c r="G48" s="5" t="s">
        <v>52</v>
      </c>
      <c r="H48" s="42">
        <v>556000</v>
      </c>
      <c r="I48" s="43">
        <f t="shared" ca="1" si="4"/>
        <v>134</v>
      </c>
      <c r="J48" s="11" t="str">
        <f t="shared" ca="1" si="5"/>
        <v>장기미수</v>
      </c>
      <c r="K48" s="10">
        <v>46063</v>
      </c>
      <c r="L48" s="10">
        <v>46105</v>
      </c>
      <c r="M48" s="9"/>
      <c r="N48" s="9" t="s">
        <v>22</v>
      </c>
      <c r="P48" s="5" t="s">
        <v>77</v>
      </c>
      <c r="Q48" s="10"/>
      <c r="R48" s="10"/>
      <c r="S48" s="9"/>
    </row>
    <row r="49" spans="2:19" s="5" customFormat="1" ht="16.5" hidden="1" customHeight="1">
      <c r="B49" s="9">
        <f>IF(C49="","",COUNTA($C$2:C49))</f>
        <v>48</v>
      </c>
      <c r="C49" s="10">
        <v>45980</v>
      </c>
      <c r="D49" s="9" t="str">
        <f t="shared" si="3"/>
        <v>B</v>
      </c>
      <c r="E49" s="5" t="s">
        <v>87</v>
      </c>
      <c r="F49" s="5" t="s">
        <v>88</v>
      </c>
      <c r="G49" s="5" t="s">
        <v>52</v>
      </c>
      <c r="H49" s="42">
        <v>645000</v>
      </c>
      <c r="I49" s="43">
        <f t="shared" ca="1" si="4"/>
        <v>111</v>
      </c>
      <c r="J49" s="11" t="str">
        <f t="shared" ca="1" si="5"/>
        <v>장기미수</v>
      </c>
      <c r="K49" s="10">
        <v>46112</v>
      </c>
      <c r="L49" s="10">
        <v>46091</v>
      </c>
      <c r="M49" s="9"/>
      <c r="N49" s="9" t="s">
        <v>35</v>
      </c>
      <c r="P49" s="5" t="s">
        <v>89</v>
      </c>
      <c r="Q49" s="10"/>
      <c r="R49" s="10"/>
      <c r="S49" s="9"/>
    </row>
    <row r="50" spans="2:19" s="5" customFormat="1" ht="16.5" hidden="1" customHeight="1">
      <c r="B50" s="9">
        <f>IF(C50="","",COUNTA($C$2:C50))</f>
        <v>49</v>
      </c>
      <c r="C50" s="10">
        <v>45993</v>
      </c>
      <c r="D50" s="9" t="str">
        <f t="shared" si="3"/>
        <v>B</v>
      </c>
      <c r="E50" s="5" t="s">
        <v>28</v>
      </c>
      <c r="F50" s="5" t="s">
        <v>90</v>
      </c>
      <c r="G50" s="5" t="s">
        <v>52</v>
      </c>
      <c r="H50" s="42">
        <v>7920000</v>
      </c>
      <c r="I50" s="43">
        <f t="shared" ca="1" si="4"/>
        <v>87</v>
      </c>
      <c r="J50" s="11" t="str">
        <f t="shared" ca="1" si="5"/>
        <v>관리</v>
      </c>
      <c r="K50" s="10">
        <v>46080</v>
      </c>
      <c r="L50" s="10">
        <v>46080</v>
      </c>
      <c r="M50" s="9"/>
      <c r="N50" s="9" t="s">
        <v>35</v>
      </c>
      <c r="P50" s="5" t="s">
        <v>91</v>
      </c>
      <c r="Q50" s="10"/>
      <c r="R50" s="10"/>
      <c r="S50" s="9"/>
    </row>
    <row r="51" spans="2:19" s="5" customFormat="1" ht="16.5" hidden="1" customHeight="1">
      <c r="B51" s="9">
        <f>IF(C51="","",COUNTA($C$2:C51))</f>
        <v>50</v>
      </c>
      <c r="C51" s="10">
        <v>45999</v>
      </c>
      <c r="D51" s="9" t="str">
        <f t="shared" si="3"/>
        <v>B</v>
      </c>
      <c r="E51" s="5" t="s">
        <v>92</v>
      </c>
      <c r="F51" s="5" t="s">
        <v>93</v>
      </c>
      <c r="G51" s="5" t="s">
        <v>52</v>
      </c>
      <c r="H51" s="42">
        <v>5253000</v>
      </c>
      <c r="I51" s="43">
        <f t="shared" ca="1" si="4"/>
        <v>79</v>
      </c>
      <c r="J51" s="11" t="str">
        <f t="shared" ca="1" si="5"/>
        <v>관리</v>
      </c>
      <c r="K51" s="10">
        <v>46080</v>
      </c>
      <c r="L51" s="10">
        <v>46078</v>
      </c>
      <c r="M51" s="9"/>
      <c r="N51" s="9" t="s">
        <v>35</v>
      </c>
      <c r="Q51" s="10"/>
      <c r="R51" s="10"/>
      <c r="S51" s="9"/>
    </row>
    <row r="52" spans="2:19" s="5" customFormat="1" ht="16.5" hidden="1" customHeight="1">
      <c r="B52" s="9">
        <f>IF(C52="","",COUNTA($C$2:C52))</f>
        <v>51</v>
      </c>
      <c r="C52" s="10">
        <v>46006</v>
      </c>
      <c r="D52" s="9" t="str">
        <f t="shared" si="3"/>
        <v>B</v>
      </c>
      <c r="E52" s="5" t="s">
        <v>92</v>
      </c>
      <c r="F52" s="5" t="s">
        <v>93</v>
      </c>
      <c r="G52" s="5" t="s">
        <v>52</v>
      </c>
      <c r="H52" s="42">
        <v>1120000</v>
      </c>
      <c r="I52" s="43">
        <f t="shared" ca="1" si="4"/>
        <v>72</v>
      </c>
      <c r="J52" s="11" t="str">
        <f t="shared" ca="1" si="5"/>
        <v>관리</v>
      </c>
      <c r="K52" s="10">
        <v>46080</v>
      </c>
      <c r="L52" s="10">
        <v>46078</v>
      </c>
      <c r="M52" s="9"/>
      <c r="N52" s="9" t="s">
        <v>35</v>
      </c>
      <c r="Q52" s="10"/>
      <c r="R52" s="10"/>
      <c r="S52" s="9"/>
    </row>
    <row r="53" spans="2:19" s="5" customFormat="1" ht="16.5" hidden="1" customHeight="1">
      <c r="B53" s="9">
        <f>IF(C53="","",COUNTA($C$2:C53))</f>
        <v>52</v>
      </c>
      <c r="C53" s="10">
        <v>46007</v>
      </c>
      <c r="D53" s="9" t="str">
        <f t="shared" si="3"/>
        <v>B</v>
      </c>
      <c r="E53" s="5" t="s">
        <v>28</v>
      </c>
      <c r="F53" s="5" t="s">
        <v>94</v>
      </c>
      <c r="G53" s="5" t="s">
        <v>52</v>
      </c>
      <c r="H53" s="42">
        <v>1969400</v>
      </c>
      <c r="I53" s="43">
        <f t="shared" ca="1" si="4"/>
        <v>73</v>
      </c>
      <c r="J53" s="11" t="str">
        <f t="shared" ca="1" si="5"/>
        <v>관리</v>
      </c>
      <c r="K53" s="10">
        <v>46080</v>
      </c>
      <c r="L53" s="10">
        <v>46080</v>
      </c>
      <c r="M53" s="9"/>
      <c r="N53" s="9" t="s">
        <v>35</v>
      </c>
      <c r="P53" s="5" t="s">
        <v>91</v>
      </c>
      <c r="Q53" s="10"/>
      <c r="R53" s="10"/>
      <c r="S53" s="9"/>
    </row>
    <row r="54" spans="2:19" s="5" customFormat="1" ht="16.5" hidden="1" customHeight="1">
      <c r="B54" s="9">
        <f>IF(C54="","",COUNTA($C$2:C54))</f>
        <v>53</v>
      </c>
      <c r="C54" s="10">
        <v>46008</v>
      </c>
      <c r="D54" s="9" t="str">
        <f t="shared" si="3"/>
        <v>B</v>
      </c>
      <c r="E54" s="5" t="s">
        <v>26</v>
      </c>
      <c r="F54" s="5" t="s">
        <v>95</v>
      </c>
      <c r="G54" s="5" t="s">
        <v>52</v>
      </c>
      <c r="H54" s="42">
        <v>54744000</v>
      </c>
      <c r="I54" s="43">
        <f t="shared" ca="1" si="4"/>
        <v>84</v>
      </c>
      <c r="J54" s="11" t="str">
        <f t="shared" ca="1" si="5"/>
        <v>관리</v>
      </c>
      <c r="K54" s="10"/>
      <c r="L54" s="10">
        <v>46092</v>
      </c>
      <c r="M54" s="9"/>
      <c r="N54" s="9" t="s">
        <v>22</v>
      </c>
      <c r="O54" s="5" t="s">
        <v>61</v>
      </c>
      <c r="P54" s="5" t="s">
        <v>69</v>
      </c>
      <c r="Q54" s="10">
        <v>46036</v>
      </c>
      <c r="R54" s="9" t="s">
        <v>62</v>
      </c>
      <c r="S54" s="9"/>
    </row>
    <row r="55" spans="2:19" s="5" customFormat="1" ht="16.5" hidden="1" customHeight="1">
      <c r="B55" s="9">
        <f>IF(C55="","",COUNTA($C$2:C55))</f>
        <v>54</v>
      </c>
      <c r="C55" s="10">
        <v>46008</v>
      </c>
      <c r="D55" s="9" t="str">
        <f t="shared" si="3"/>
        <v>B</v>
      </c>
      <c r="E55" s="5" t="s">
        <v>96</v>
      </c>
      <c r="F55" s="5" t="s">
        <v>97</v>
      </c>
      <c r="G55" s="5" t="s">
        <v>52</v>
      </c>
      <c r="H55" s="42">
        <v>321000</v>
      </c>
      <c r="I55" s="43">
        <f t="shared" ca="1" si="4"/>
        <v>55</v>
      </c>
      <c r="J55" s="11" t="str">
        <f t="shared" ca="1" si="5"/>
        <v>관리</v>
      </c>
      <c r="K55" s="10"/>
      <c r="L55" s="10">
        <v>46063</v>
      </c>
      <c r="M55" s="9"/>
      <c r="N55" s="9" t="s">
        <v>35</v>
      </c>
      <c r="Q55" s="10"/>
      <c r="R55" s="10"/>
      <c r="S55" s="9"/>
    </row>
    <row r="56" spans="2:19" s="5" customFormat="1" ht="16.5" hidden="1" customHeight="1">
      <c r="B56" s="9">
        <f>IF(C56="","",COUNTA($C$2:C56))</f>
        <v>55</v>
      </c>
      <c r="C56" s="10">
        <v>46013</v>
      </c>
      <c r="D56" s="9" t="str">
        <f t="shared" si="3"/>
        <v>B</v>
      </c>
      <c r="E56" s="5" t="s">
        <v>28</v>
      </c>
      <c r="F56" s="5" t="s">
        <v>90</v>
      </c>
      <c r="G56" s="5" t="s">
        <v>52</v>
      </c>
      <c r="H56" s="42">
        <v>15840000</v>
      </c>
      <c r="I56" s="43">
        <f t="shared" ca="1" si="4"/>
        <v>67</v>
      </c>
      <c r="J56" s="11" t="str">
        <f t="shared" ca="1" si="5"/>
        <v>관리</v>
      </c>
      <c r="K56" s="10">
        <v>46080</v>
      </c>
      <c r="L56" s="10">
        <v>46080</v>
      </c>
      <c r="M56" s="9"/>
      <c r="N56" s="9" t="s">
        <v>35</v>
      </c>
      <c r="P56" s="5" t="s">
        <v>91</v>
      </c>
      <c r="Q56" s="10"/>
      <c r="R56" s="10"/>
      <c r="S56" s="9"/>
    </row>
    <row r="57" spans="2:19" s="5" customFormat="1" ht="16.5" hidden="1" customHeight="1">
      <c r="B57" s="9">
        <f>IF(C57="","",COUNTA($C$2:C57))</f>
        <v>56</v>
      </c>
      <c r="C57" s="10">
        <v>45705</v>
      </c>
      <c r="D57" s="9" t="str">
        <f t="shared" si="3"/>
        <v>C</v>
      </c>
      <c r="E57" s="5" t="s">
        <v>50</v>
      </c>
      <c r="F57" s="5" t="s">
        <v>98</v>
      </c>
      <c r="G57" s="5" t="s">
        <v>47</v>
      </c>
      <c r="H57" s="42">
        <v>1632000</v>
      </c>
      <c r="I57" s="43">
        <f t="shared" ca="1" si="4"/>
        <v>455</v>
      </c>
      <c r="J57" s="11" t="str">
        <f t="shared" ca="1" si="5"/>
        <v>장기미수</v>
      </c>
      <c r="K57" s="10"/>
      <c r="L57" s="10"/>
      <c r="M57" s="9" t="s">
        <v>21</v>
      </c>
      <c r="N57" s="9" t="s">
        <v>22</v>
      </c>
      <c r="O57" s="5" t="s">
        <v>38</v>
      </c>
      <c r="Q57" s="12"/>
      <c r="R57" s="12"/>
      <c r="S57" s="9"/>
    </row>
    <row r="58" spans="2:19" s="5" customFormat="1" ht="16.5" hidden="1" customHeight="1">
      <c r="B58" s="9">
        <f>IF(C58="","",COUNTA($C$2:C58))</f>
        <v>57</v>
      </c>
      <c r="C58" s="10">
        <v>45840</v>
      </c>
      <c r="D58" s="9" t="str">
        <f t="shared" si="3"/>
        <v>C</v>
      </c>
      <c r="E58" s="5" t="s">
        <v>50</v>
      </c>
      <c r="F58" s="5" t="s">
        <v>99</v>
      </c>
      <c r="G58" s="5" t="s">
        <v>47</v>
      </c>
      <c r="H58" s="42">
        <v>5380000</v>
      </c>
      <c r="I58" s="43">
        <f t="shared" ca="1" si="4"/>
        <v>320</v>
      </c>
      <c r="J58" s="11" t="str">
        <f t="shared" ca="1" si="5"/>
        <v>장기미수</v>
      </c>
      <c r="K58" s="10"/>
      <c r="L58" s="10"/>
      <c r="M58" s="9" t="s">
        <v>21</v>
      </c>
      <c r="N58" s="9" t="s">
        <v>22</v>
      </c>
      <c r="O58" s="5" t="s">
        <v>38</v>
      </c>
      <c r="Q58" s="12"/>
      <c r="R58" s="12"/>
      <c r="S58" s="9"/>
    </row>
    <row r="59" spans="2:19" s="5" customFormat="1" ht="16.5" hidden="1" customHeight="1">
      <c r="B59" s="9">
        <f>IF(C59="","",COUNTA($C$2:C59))</f>
        <v>58</v>
      </c>
      <c r="C59" s="10">
        <v>45840</v>
      </c>
      <c r="D59" s="9" t="str">
        <f t="shared" si="3"/>
        <v>C</v>
      </c>
      <c r="E59" s="5" t="s">
        <v>50</v>
      </c>
      <c r="F59" s="5" t="s">
        <v>100</v>
      </c>
      <c r="G59" s="5" t="s">
        <v>47</v>
      </c>
      <c r="H59" s="42">
        <v>765000</v>
      </c>
      <c r="I59" s="43">
        <f t="shared" ca="1" si="4"/>
        <v>320</v>
      </c>
      <c r="J59" s="11" t="str">
        <f t="shared" ca="1" si="5"/>
        <v>장기미수</v>
      </c>
      <c r="K59" s="10"/>
      <c r="L59" s="10"/>
      <c r="M59" s="9" t="s">
        <v>21</v>
      </c>
      <c r="N59" s="9" t="s">
        <v>22</v>
      </c>
      <c r="O59" s="5" t="s">
        <v>38</v>
      </c>
      <c r="Q59" s="12"/>
      <c r="R59" s="12"/>
      <c r="S59" s="9"/>
    </row>
    <row r="60" spans="2:19" s="5" customFormat="1" ht="16.5" hidden="1" customHeight="1">
      <c r="B60" s="9">
        <f>IF(C60="","",COUNTA($C$2:C60))</f>
        <v>59</v>
      </c>
      <c r="C60" s="10">
        <v>45889</v>
      </c>
      <c r="D60" s="9" t="str">
        <f t="shared" si="3"/>
        <v>C</v>
      </c>
      <c r="E60" s="5" t="s">
        <v>50</v>
      </c>
      <c r="F60" s="5" t="s">
        <v>101</v>
      </c>
      <c r="G60" s="5" t="s">
        <v>47</v>
      </c>
      <c r="H60" s="42">
        <v>2738900</v>
      </c>
      <c r="I60" s="43">
        <f t="shared" ca="1" si="4"/>
        <v>271</v>
      </c>
      <c r="J60" s="11" t="str">
        <f t="shared" ca="1" si="5"/>
        <v>장기미수</v>
      </c>
      <c r="K60" s="10"/>
      <c r="L60" s="10"/>
      <c r="M60" s="9" t="s">
        <v>21</v>
      </c>
      <c r="N60" s="9" t="s">
        <v>22</v>
      </c>
      <c r="O60" s="5" t="s">
        <v>38</v>
      </c>
      <c r="Q60" s="12"/>
      <c r="R60" s="12"/>
      <c r="S60" s="9"/>
    </row>
    <row r="61" spans="2:19" s="5" customFormat="1" ht="16.5" hidden="1" customHeight="1">
      <c r="B61" s="9">
        <f>IF(C61="","",COUNTA($C$2:C61))</f>
        <v>60</v>
      </c>
      <c r="C61" s="10">
        <v>46006</v>
      </c>
      <c r="D61" s="9" t="str">
        <f t="shared" si="3"/>
        <v>C</v>
      </c>
      <c r="E61" s="5" t="s">
        <v>65</v>
      </c>
      <c r="F61" s="5" t="s">
        <v>102</v>
      </c>
      <c r="G61" s="5" t="s">
        <v>47</v>
      </c>
      <c r="H61" s="42">
        <v>1648500</v>
      </c>
      <c r="I61" s="43">
        <f t="shared" ca="1" si="4"/>
        <v>60</v>
      </c>
      <c r="J61" s="11" t="str">
        <f t="shared" ca="1" si="5"/>
        <v>관리</v>
      </c>
      <c r="K61" s="10">
        <v>46066</v>
      </c>
      <c r="L61" s="10">
        <v>46066</v>
      </c>
      <c r="M61" s="9"/>
      <c r="N61" s="9" t="s">
        <v>35</v>
      </c>
      <c r="Q61" s="12"/>
      <c r="R61" s="12"/>
      <c r="S61" s="9"/>
    </row>
    <row r="62" spans="2:19" s="5" customFormat="1" ht="16.5" hidden="1" customHeight="1">
      <c r="B62" s="9">
        <f>IF(C62="","",COUNTA($C$2:C62))</f>
        <v>61</v>
      </c>
      <c r="C62" s="10">
        <v>46006</v>
      </c>
      <c r="D62" s="9" t="str">
        <f t="shared" si="3"/>
        <v>C</v>
      </c>
      <c r="E62" s="5" t="s">
        <v>65</v>
      </c>
      <c r="F62" s="5" t="s">
        <v>103</v>
      </c>
      <c r="G62" s="5" t="s">
        <v>47</v>
      </c>
      <c r="H62" s="42">
        <v>2625000</v>
      </c>
      <c r="I62" s="43">
        <f t="shared" ca="1" si="4"/>
        <v>60</v>
      </c>
      <c r="J62" s="11" t="str">
        <f t="shared" ca="1" si="5"/>
        <v>관리</v>
      </c>
      <c r="K62" s="10">
        <v>46066</v>
      </c>
      <c r="L62" s="10">
        <v>46066</v>
      </c>
      <c r="M62" s="9"/>
      <c r="N62" s="9" t="s">
        <v>35</v>
      </c>
      <c r="Q62" s="12"/>
      <c r="R62" s="12"/>
      <c r="S62" s="9"/>
    </row>
    <row r="63" spans="2:19" s="5" customFormat="1" ht="16.5" hidden="1" customHeight="1">
      <c r="B63" s="9">
        <f>IF(C63="","",COUNTA($C$2:C63))</f>
        <v>62</v>
      </c>
      <c r="C63" s="10">
        <v>46006</v>
      </c>
      <c r="D63" s="9" t="str">
        <f t="shared" si="3"/>
        <v>C</v>
      </c>
      <c r="E63" s="5" t="s">
        <v>104</v>
      </c>
      <c r="F63" s="5" t="s">
        <v>105</v>
      </c>
      <c r="G63" s="5" t="s">
        <v>47</v>
      </c>
      <c r="H63" s="42">
        <v>495000</v>
      </c>
      <c r="I63" s="43">
        <f t="shared" ca="1" si="4"/>
        <v>79</v>
      </c>
      <c r="J63" s="11" t="str">
        <f t="shared" ca="1" si="5"/>
        <v>관리</v>
      </c>
      <c r="K63" s="10">
        <v>46087</v>
      </c>
      <c r="L63" s="10">
        <v>46085</v>
      </c>
      <c r="M63" s="9"/>
      <c r="N63" s="9" t="s">
        <v>35</v>
      </c>
      <c r="P63" s="5" t="s">
        <v>106</v>
      </c>
      <c r="Q63" s="12"/>
      <c r="R63" s="12"/>
      <c r="S63" s="9"/>
    </row>
    <row r="64" spans="2:19" s="5" customFormat="1" ht="16.5" hidden="1" customHeight="1">
      <c r="B64" s="9">
        <f>IF(C64="","",COUNTA($C$2:C64))</f>
        <v>63</v>
      </c>
      <c r="C64" s="10">
        <v>46006</v>
      </c>
      <c r="D64" s="9" t="str">
        <f t="shared" si="3"/>
        <v>C</v>
      </c>
      <c r="E64" s="5" t="s">
        <v>104</v>
      </c>
      <c r="F64" s="5" t="s">
        <v>107</v>
      </c>
      <c r="G64" s="5" t="s">
        <v>47</v>
      </c>
      <c r="H64" s="42">
        <v>485000</v>
      </c>
      <c r="I64" s="43">
        <f t="shared" ca="1" si="4"/>
        <v>79</v>
      </c>
      <c r="J64" s="11" t="str">
        <f t="shared" ca="1" si="5"/>
        <v>관리</v>
      </c>
      <c r="K64" s="10">
        <v>46087</v>
      </c>
      <c r="L64" s="10">
        <v>46085</v>
      </c>
      <c r="M64" s="9"/>
      <c r="N64" s="9" t="s">
        <v>35</v>
      </c>
      <c r="P64" s="5" t="s">
        <v>106</v>
      </c>
      <c r="Q64" s="12"/>
      <c r="R64" s="12"/>
      <c r="S64" s="9"/>
    </row>
    <row r="65" spans="2:19" s="5" customFormat="1" ht="16.5" hidden="1" customHeight="1">
      <c r="B65" s="9">
        <f>IF(C65="","",COUNTA($C$2:C65))</f>
        <v>64</v>
      </c>
      <c r="C65" s="10">
        <v>46009</v>
      </c>
      <c r="D65" s="9" t="str">
        <f t="shared" si="3"/>
        <v>C</v>
      </c>
      <c r="E65" s="5" t="s">
        <v>108</v>
      </c>
      <c r="F65" s="5" t="s">
        <v>109</v>
      </c>
      <c r="G65" s="5" t="s">
        <v>47</v>
      </c>
      <c r="H65" s="42">
        <v>662500</v>
      </c>
      <c r="I65" s="43">
        <f t="shared" ca="1" si="4"/>
        <v>55</v>
      </c>
      <c r="J65" s="11" t="str">
        <f t="shared" ca="1" si="5"/>
        <v>관리</v>
      </c>
      <c r="K65" s="10">
        <v>46066</v>
      </c>
      <c r="L65" s="10">
        <v>46064</v>
      </c>
      <c r="M65" s="9"/>
      <c r="N65" s="9" t="s">
        <v>35</v>
      </c>
      <c r="Q65" s="12"/>
      <c r="R65" s="12"/>
      <c r="S65" s="9"/>
    </row>
    <row r="66" spans="2:19" s="5" customFormat="1" ht="16.5" hidden="1" customHeight="1">
      <c r="B66" s="9">
        <f>IF(C66="","",COUNTA($C$2:C66))</f>
        <v>65</v>
      </c>
      <c r="C66" s="10">
        <v>46009</v>
      </c>
      <c r="D66" s="9" t="str">
        <f t="shared" ref="D66:D100" si="6">IF(G66="","",IF(OR(G66="선급금",G66="중도금",G66="잔금"),"A",IF(G66="자재","B",IF(G66="특허료","C",""))))</f>
        <v>C</v>
      </c>
      <c r="E66" s="5" t="s">
        <v>110</v>
      </c>
      <c r="F66" s="5" t="s">
        <v>111</v>
      </c>
      <c r="G66" s="5" t="s">
        <v>47</v>
      </c>
      <c r="H66" s="42">
        <v>3537700</v>
      </c>
      <c r="I66" s="43">
        <f t="shared" ref="I66:I97" ca="1" si="7">IF(C66="","",IF(L66="",TODAY()-C66,L66-C66))</f>
        <v>109</v>
      </c>
      <c r="J66" s="11" t="str">
        <f ca="1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0">
        <v>46052</v>
      </c>
      <c r="L66" s="10">
        <v>46118</v>
      </c>
      <c r="M66" s="9"/>
      <c r="N66" s="9" t="s">
        <v>35</v>
      </c>
      <c r="Q66" s="12"/>
      <c r="R66" s="12"/>
      <c r="S66" s="9"/>
    </row>
    <row r="67" spans="2:19" s="5" customFormat="1" ht="16.5" hidden="1" customHeight="1">
      <c r="B67" s="9">
        <f>IF(C67="","",COUNTA($C$2:C67))</f>
        <v>66</v>
      </c>
      <c r="C67" s="10">
        <v>46027</v>
      </c>
      <c r="D67" s="9" t="str">
        <f t="shared" si="6"/>
        <v>C</v>
      </c>
      <c r="E67" s="5" t="s">
        <v>112</v>
      </c>
      <c r="F67" s="5" t="s">
        <v>113</v>
      </c>
      <c r="G67" s="5" t="s">
        <v>47</v>
      </c>
      <c r="H67" s="42">
        <v>3802500</v>
      </c>
      <c r="I67" s="5">
        <f t="shared" ca="1" si="7"/>
        <v>85</v>
      </c>
      <c r="J67" s="11" t="str">
        <f t="shared" ref="J67:J97" ca="1" si="8">IF(I67="","",
IF(G67="선급금",
IF(I67&lt;=20,"정상",IF(I67&lt;=90,"관리","장기미수")),
IF(G67="자재",
IF(I67&lt;=40,"정상",IF(I67&lt;=90,"관리","장기미수")),
IF(I67&lt;=30,"정상",IF(I67&lt;=90,"관리","장기미수"))
)
)
)</f>
        <v>관리</v>
      </c>
      <c r="K67" s="10">
        <v>46057</v>
      </c>
      <c r="L67" s="10">
        <v>46112</v>
      </c>
      <c r="M67" s="9"/>
      <c r="N67" s="9" t="s">
        <v>35</v>
      </c>
      <c r="Q67" s="10"/>
      <c r="R67" s="10"/>
      <c r="S67" s="9"/>
    </row>
    <row r="68" spans="2:19" s="5" customFormat="1" ht="16.5" hidden="1" customHeight="1">
      <c r="B68" s="9">
        <f>IF(C68="","",COUNTA($C$2:C68))</f>
        <v>67</v>
      </c>
      <c r="C68" s="10">
        <v>46028</v>
      </c>
      <c r="D68" s="9" t="str">
        <f t="shared" si="6"/>
        <v>C</v>
      </c>
      <c r="E68" s="5" t="s">
        <v>114</v>
      </c>
      <c r="F68" s="5" t="s">
        <v>115</v>
      </c>
      <c r="G68" s="5" t="s">
        <v>47</v>
      </c>
      <c r="H68" s="42">
        <v>138050</v>
      </c>
      <c r="I68" s="5">
        <f t="shared" ca="1" si="7"/>
        <v>63</v>
      </c>
      <c r="J68" s="11" t="str">
        <f t="shared" ca="1" si="8"/>
        <v>관리</v>
      </c>
      <c r="K68" s="10">
        <v>46058</v>
      </c>
      <c r="L68" s="10">
        <v>46091</v>
      </c>
      <c r="M68" s="9"/>
      <c r="N68" s="9" t="s">
        <v>35</v>
      </c>
      <c r="Q68" s="10"/>
      <c r="R68" s="10"/>
      <c r="S68" s="9"/>
    </row>
    <row r="69" spans="2:19" s="5" customFormat="1" ht="16.5" hidden="1" customHeight="1">
      <c r="B69" s="9">
        <f>IF(C69="","",COUNTA($C$2:C69))</f>
        <v>68</v>
      </c>
      <c r="C69" s="10">
        <v>46028</v>
      </c>
      <c r="D69" s="9" t="str">
        <f t="shared" si="6"/>
        <v>C</v>
      </c>
      <c r="E69" s="5" t="s">
        <v>114</v>
      </c>
      <c r="F69" s="5" t="s">
        <v>116</v>
      </c>
      <c r="G69" s="5" t="s">
        <v>47</v>
      </c>
      <c r="H69" s="42">
        <v>6675050</v>
      </c>
      <c r="I69" s="5">
        <f t="shared" ca="1" si="7"/>
        <v>63</v>
      </c>
      <c r="J69" s="11" t="str">
        <f t="shared" ca="1" si="8"/>
        <v>관리</v>
      </c>
      <c r="K69" s="10">
        <v>46058</v>
      </c>
      <c r="L69" s="10">
        <v>46091</v>
      </c>
      <c r="M69" s="9"/>
      <c r="N69" s="9" t="s">
        <v>35</v>
      </c>
      <c r="Q69" s="10"/>
      <c r="R69" s="10"/>
      <c r="S69" s="9"/>
    </row>
    <row r="70" spans="2:19" s="5" customFormat="1" ht="16.5" hidden="1" customHeight="1">
      <c r="B70" s="9">
        <f>IF(C70="","",COUNTA($C$2:C70))</f>
        <v>69</v>
      </c>
      <c r="C70" s="10">
        <v>46030</v>
      </c>
      <c r="D70" s="9" t="str">
        <f t="shared" si="6"/>
        <v/>
      </c>
      <c r="E70" s="5" t="s">
        <v>117</v>
      </c>
      <c r="F70" s="5" t="s">
        <v>118</v>
      </c>
      <c r="G70" s="5" t="s">
        <v>119</v>
      </c>
      <c r="H70" s="42">
        <v>7500000</v>
      </c>
      <c r="I70" s="5">
        <f t="shared" ca="1" si="7"/>
        <v>43</v>
      </c>
      <c r="J70" s="11" t="str">
        <f t="shared" ca="1" si="8"/>
        <v>관리</v>
      </c>
      <c r="K70" s="10"/>
      <c r="L70" s="10">
        <v>46073</v>
      </c>
      <c r="M70" s="9"/>
      <c r="N70" s="9" t="s">
        <v>22</v>
      </c>
      <c r="O70" s="5" t="s">
        <v>30</v>
      </c>
      <c r="Q70" s="10"/>
      <c r="R70" s="10"/>
      <c r="S70" s="9"/>
    </row>
    <row r="71" spans="2:19" s="5" customFormat="1" ht="16.5" hidden="1" customHeight="1">
      <c r="B71" s="9">
        <f>IF(C71="","",COUNTA($C$2:C71))</f>
        <v>70</v>
      </c>
      <c r="C71" s="10">
        <v>46034</v>
      </c>
      <c r="D71" s="9" t="str">
        <f t="shared" si="6"/>
        <v>C</v>
      </c>
      <c r="E71" s="5" t="s">
        <v>120</v>
      </c>
      <c r="F71" s="5" t="s">
        <v>121</v>
      </c>
      <c r="G71" s="5" t="s">
        <v>47</v>
      </c>
      <c r="H71" s="42">
        <v>179500</v>
      </c>
      <c r="I71" s="5">
        <f t="shared" ca="1" si="7"/>
        <v>3</v>
      </c>
      <c r="J71" s="11" t="str">
        <f t="shared" ca="1" si="8"/>
        <v>정상</v>
      </c>
      <c r="K71" s="10">
        <v>46064</v>
      </c>
      <c r="L71" s="10">
        <v>46037</v>
      </c>
      <c r="M71" s="9"/>
      <c r="N71" s="9" t="s">
        <v>35</v>
      </c>
      <c r="Q71" s="10"/>
      <c r="R71" s="10"/>
      <c r="S71" s="9"/>
    </row>
    <row r="72" spans="2:19" s="5" customFormat="1" ht="16.5" hidden="1" customHeight="1">
      <c r="B72" s="9">
        <f>IF(C72="","",COUNTA($C$2:C72))</f>
        <v>71</v>
      </c>
      <c r="C72" s="10">
        <v>46027</v>
      </c>
      <c r="D72" s="9" t="str">
        <f t="shared" si="6"/>
        <v>B</v>
      </c>
      <c r="E72" s="5" t="s">
        <v>26</v>
      </c>
      <c r="F72" s="5" t="s">
        <v>95</v>
      </c>
      <c r="G72" s="5" t="s">
        <v>52</v>
      </c>
      <c r="H72" s="42">
        <v>26182000</v>
      </c>
      <c r="I72" s="5">
        <f t="shared" ca="1" si="7"/>
        <v>65</v>
      </c>
      <c r="J72" s="11" t="str">
        <f t="shared" ca="1" si="8"/>
        <v>관리</v>
      </c>
      <c r="K72" s="10"/>
      <c r="L72" s="10">
        <v>46092</v>
      </c>
      <c r="M72" s="9"/>
      <c r="N72" s="9" t="s">
        <v>22</v>
      </c>
      <c r="O72" s="5" t="s">
        <v>61</v>
      </c>
      <c r="P72" s="5" t="s">
        <v>69</v>
      </c>
      <c r="Q72" s="10">
        <v>46036</v>
      </c>
      <c r="R72" s="9" t="s">
        <v>62</v>
      </c>
      <c r="S72" s="9"/>
    </row>
    <row r="73" spans="2:19" s="5" customFormat="1" ht="16.5" hidden="1" customHeight="1">
      <c r="B73" s="9">
        <f>IF(C73="","",COUNTA($C$2:C73))</f>
        <v>72</v>
      </c>
      <c r="C73" s="10">
        <v>46027</v>
      </c>
      <c r="D73" s="9" t="str">
        <f t="shared" si="6"/>
        <v>B</v>
      </c>
      <c r="E73" s="5" t="s">
        <v>28</v>
      </c>
      <c r="F73" s="5" t="s">
        <v>90</v>
      </c>
      <c r="G73" s="5" t="s">
        <v>52</v>
      </c>
      <c r="H73" s="42">
        <v>1100000</v>
      </c>
      <c r="I73" s="5">
        <f t="shared" ca="1" si="7"/>
        <v>85</v>
      </c>
      <c r="J73" s="11" t="str">
        <f t="shared" ca="1" si="8"/>
        <v>관리</v>
      </c>
      <c r="K73" s="10">
        <v>46112</v>
      </c>
      <c r="L73" s="10">
        <v>46112</v>
      </c>
      <c r="M73" s="9"/>
      <c r="N73" s="9" t="s">
        <v>35</v>
      </c>
      <c r="P73" s="5" t="s">
        <v>91</v>
      </c>
      <c r="Q73" s="10"/>
      <c r="R73" s="10"/>
      <c r="S73" s="9"/>
    </row>
    <row r="74" spans="2:19" s="5" customFormat="1" ht="16.5" hidden="1" customHeight="1">
      <c r="B74" s="9">
        <f>IF(C74="","",COUNTA($C$2:C74))</f>
        <v>73</v>
      </c>
      <c r="C74" s="10">
        <v>46028</v>
      </c>
      <c r="D74" s="9" t="str">
        <f t="shared" si="6"/>
        <v>B</v>
      </c>
      <c r="E74" s="5" t="s">
        <v>26</v>
      </c>
      <c r="F74" s="5" t="s">
        <v>95</v>
      </c>
      <c r="G74" s="5" t="s">
        <v>52</v>
      </c>
      <c r="H74" s="42">
        <v>799000</v>
      </c>
      <c r="I74" s="5">
        <f t="shared" ca="1" si="7"/>
        <v>17</v>
      </c>
      <c r="J74" s="11" t="str">
        <f t="shared" ca="1" si="8"/>
        <v>정상</v>
      </c>
      <c r="K74" s="10"/>
      <c r="L74" s="10">
        <v>46045</v>
      </c>
      <c r="M74" s="9"/>
      <c r="N74" s="9" t="s">
        <v>22</v>
      </c>
      <c r="O74" s="5" t="s">
        <v>61</v>
      </c>
      <c r="P74" s="5" t="s">
        <v>69</v>
      </c>
      <c r="Q74" s="10">
        <v>46036</v>
      </c>
      <c r="R74" s="9" t="s">
        <v>62</v>
      </c>
      <c r="S74" s="9"/>
    </row>
    <row r="75" spans="2:19" s="5" customFormat="1" ht="16.5" hidden="1" customHeight="1">
      <c r="B75" s="9">
        <f>IF(C75="","",COUNTA($C$2:C75))</f>
        <v>74</v>
      </c>
      <c r="C75" s="10">
        <v>46028</v>
      </c>
      <c r="D75" s="9" t="str">
        <f t="shared" si="6"/>
        <v>B</v>
      </c>
      <c r="E75" s="5" t="s">
        <v>122</v>
      </c>
      <c r="F75" s="5" t="s">
        <v>123</v>
      </c>
      <c r="G75" s="5" t="s">
        <v>52</v>
      </c>
      <c r="H75" s="42">
        <v>3430000</v>
      </c>
      <c r="I75" s="5">
        <f t="shared" ca="1" si="7"/>
        <v>24</v>
      </c>
      <c r="J75" s="11" t="str">
        <f t="shared" ca="1" si="8"/>
        <v>정상</v>
      </c>
      <c r="K75" s="10"/>
      <c r="L75" s="10">
        <v>46052</v>
      </c>
      <c r="M75" s="9"/>
      <c r="N75" s="9" t="s">
        <v>35</v>
      </c>
      <c r="Q75" s="10"/>
      <c r="R75" s="10"/>
      <c r="S75" s="9"/>
    </row>
    <row r="76" spans="2:19" s="5" customFormat="1" ht="16.5" hidden="1" customHeight="1">
      <c r="B76" s="9">
        <f>IF(C76="","",COUNTA($C$2:C76))</f>
        <v>75</v>
      </c>
      <c r="C76" s="10">
        <v>46030</v>
      </c>
      <c r="D76" s="9" t="str">
        <f t="shared" si="6"/>
        <v>B</v>
      </c>
      <c r="E76" s="5" t="s">
        <v>124</v>
      </c>
      <c r="F76" s="5" t="s">
        <v>125</v>
      </c>
      <c r="G76" s="5" t="s">
        <v>52</v>
      </c>
      <c r="H76" s="42">
        <v>528000</v>
      </c>
      <c r="I76" s="5">
        <f t="shared" ca="1" si="7"/>
        <v>92</v>
      </c>
      <c r="J76" s="11" t="str">
        <f t="shared" ca="1" si="8"/>
        <v>장기미수</v>
      </c>
      <c r="K76" s="10"/>
      <c r="L76" s="10">
        <v>46122</v>
      </c>
      <c r="M76" s="9"/>
      <c r="N76" s="9" t="s">
        <v>35</v>
      </c>
      <c r="Q76" s="10"/>
      <c r="R76" s="10"/>
      <c r="S76" s="9"/>
    </row>
    <row r="77" spans="2:19" s="5" customFormat="1" ht="16.5" customHeight="1">
      <c r="B77" s="9">
        <f>IF(C77="","",COUNTA($C$2:C77))</f>
        <v>76</v>
      </c>
      <c r="C77" s="10">
        <v>46034</v>
      </c>
      <c r="D77" s="9" t="str">
        <f t="shared" si="6"/>
        <v>B</v>
      </c>
      <c r="E77" s="5" t="s">
        <v>26</v>
      </c>
      <c r="F77" s="5" t="s">
        <v>95</v>
      </c>
      <c r="G77" s="5" t="s">
        <v>52</v>
      </c>
      <c r="H77" s="42">
        <v>2200000</v>
      </c>
      <c r="I77" s="5">
        <f t="shared" ca="1" si="7"/>
        <v>126</v>
      </c>
      <c r="J77" s="11" t="str">
        <f t="shared" ca="1" si="8"/>
        <v>장기미수</v>
      </c>
      <c r="K77" s="10"/>
      <c r="L77" s="10"/>
      <c r="M77" s="9"/>
      <c r="N77" s="9" t="s">
        <v>22</v>
      </c>
      <c r="O77" s="5" t="s">
        <v>61</v>
      </c>
      <c r="P77" s="5" t="s">
        <v>69</v>
      </c>
      <c r="Q77" s="10">
        <v>46036</v>
      </c>
      <c r="R77" s="9" t="s">
        <v>62</v>
      </c>
      <c r="S77" s="9"/>
    </row>
    <row r="78" spans="2:19" s="5" customFormat="1" ht="16.5" hidden="1" customHeight="1">
      <c r="B78" s="9">
        <f>IF(C78="","",COUNTA($C$2:C78))</f>
        <v>77</v>
      </c>
      <c r="C78" s="10">
        <v>46034</v>
      </c>
      <c r="D78" s="9" t="str">
        <f t="shared" si="6"/>
        <v>B</v>
      </c>
      <c r="E78" s="5" t="s">
        <v>26</v>
      </c>
      <c r="F78" s="5" t="s">
        <v>95</v>
      </c>
      <c r="G78" s="5" t="s">
        <v>52</v>
      </c>
      <c r="H78" s="42">
        <v>580000</v>
      </c>
      <c r="I78" s="5">
        <f t="shared" ca="1" si="7"/>
        <v>11</v>
      </c>
      <c r="J78" s="11" t="str">
        <f t="shared" ca="1" si="8"/>
        <v>정상</v>
      </c>
      <c r="K78" s="10"/>
      <c r="L78" s="10">
        <v>46045</v>
      </c>
      <c r="M78" s="9"/>
      <c r="N78" s="9" t="s">
        <v>22</v>
      </c>
      <c r="O78" s="5" t="s">
        <v>61</v>
      </c>
      <c r="P78" s="5" t="s">
        <v>69</v>
      </c>
      <c r="Q78" s="10">
        <v>46036</v>
      </c>
      <c r="R78" s="9" t="s">
        <v>62</v>
      </c>
      <c r="S78" s="9"/>
    </row>
    <row r="79" spans="2:19" s="5" customFormat="1" ht="16.5" hidden="1" customHeight="1">
      <c r="B79" s="9">
        <f>IF(C79="","",COUNTA($C$2:C79))</f>
        <v>78</v>
      </c>
      <c r="C79" s="10">
        <v>46034</v>
      </c>
      <c r="D79" s="9" t="str">
        <f t="shared" si="6"/>
        <v>B</v>
      </c>
      <c r="E79" s="5" t="s">
        <v>126</v>
      </c>
      <c r="F79" s="5" t="s">
        <v>127</v>
      </c>
      <c r="G79" s="5" t="s">
        <v>52</v>
      </c>
      <c r="H79" s="42">
        <v>3418000</v>
      </c>
      <c r="I79" s="5">
        <f t="shared" ca="1" si="7"/>
        <v>0</v>
      </c>
      <c r="J79" s="11" t="str">
        <f t="shared" ca="1" si="8"/>
        <v>정상</v>
      </c>
      <c r="K79" s="10"/>
      <c r="L79" s="10">
        <v>46034</v>
      </c>
      <c r="M79" s="9"/>
      <c r="N79" s="9" t="s">
        <v>35</v>
      </c>
      <c r="Q79" s="10"/>
      <c r="R79" s="10"/>
      <c r="S79" s="9"/>
    </row>
    <row r="80" spans="2:19" s="5" customFormat="1" ht="16.5" hidden="1" customHeight="1">
      <c r="B80" s="9">
        <f>IF(C80="","",COUNTA($C$2:C80))</f>
        <v>79</v>
      </c>
      <c r="C80" s="10">
        <v>46036</v>
      </c>
      <c r="D80" s="9" t="str">
        <f t="shared" si="6"/>
        <v>B</v>
      </c>
      <c r="E80" s="5" t="s">
        <v>128</v>
      </c>
      <c r="F80" s="5" t="s">
        <v>129</v>
      </c>
      <c r="G80" s="5" t="s">
        <v>52</v>
      </c>
      <c r="H80" s="42">
        <v>496500</v>
      </c>
      <c r="I80" s="5">
        <f t="shared" ca="1" si="7"/>
        <v>0</v>
      </c>
      <c r="J80" s="11" t="str">
        <f t="shared" ca="1" si="8"/>
        <v>정상</v>
      </c>
      <c r="K80" s="10"/>
      <c r="L80" s="10">
        <v>46036</v>
      </c>
      <c r="M80" s="9"/>
      <c r="N80" s="9" t="s">
        <v>35</v>
      </c>
      <c r="Q80" s="10"/>
      <c r="R80" s="10"/>
      <c r="S80" s="9"/>
    </row>
    <row r="81" spans="2:19" s="5" customFormat="1" ht="16.5" hidden="1" customHeight="1">
      <c r="B81" s="9">
        <f>IF(C81="","",COUNTA($C$2:C81))</f>
        <v>80</v>
      </c>
      <c r="C81" s="10">
        <v>46038</v>
      </c>
      <c r="D81" s="9" t="str">
        <f t="shared" si="6"/>
        <v>B</v>
      </c>
      <c r="E81" s="5" t="s">
        <v>130</v>
      </c>
      <c r="F81" s="5" t="s">
        <v>131</v>
      </c>
      <c r="G81" s="5" t="s">
        <v>52</v>
      </c>
      <c r="H81" s="42">
        <v>280000</v>
      </c>
      <c r="I81" s="5">
        <f t="shared" ca="1" si="7"/>
        <v>98</v>
      </c>
      <c r="J81" s="11" t="str">
        <f t="shared" ca="1" si="8"/>
        <v>장기미수</v>
      </c>
      <c r="K81" s="10"/>
      <c r="L81" s="10">
        <v>46136</v>
      </c>
      <c r="M81" s="9"/>
      <c r="N81" s="9" t="s">
        <v>35</v>
      </c>
      <c r="Q81" s="10"/>
      <c r="R81" s="10"/>
      <c r="S81" s="9"/>
    </row>
    <row r="82" spans="2:19" s="5" customFormat="1" ht="16.5" hidden="1" customHeight="1">
      <c r="B82" s="9">
        <f>IF(C82="","",COUNTA($C$2:C82))</f>
        <v>81</v>
      </c>
      <c r="C82" s="10">
        <v>46038</v>
      </c>
      <c r="D82" s="9" t="str">
        <f t="shared" si="6"/>
        <v>B</v>
      </c>
      <c r="E82" s="5" t="s">
        <v>132</v>
      </c>
      <c r="F82" s="5" t="s">
        <v>133</v>
      </c>
      <c r="G82" s="5" t="s">
        <v>52</v>
      </c>
      <c r="H82" s="42">
        <v>380000</v>
      </c>
      <c r="I82" s="5">
        <f t="shared" ca="1" si="7"/>
        <v>0</v>
      </c>
      <c r="J82" s="11" t="str">
        <f t="shared" ca="1" si="8"/>
        <v>정상</v>
      </c>
      <c r="K82" s="10"/>
      <c r="L82" s="10">
        <v>46038</v>
      </c>
      <c r="M82" s="9"/>
      <c r="N82" s="9" t="s">
        <v>35</v>
      </c>
      <c r="Q82" s="10"/>
      <c r="R82" s="10"/>
      <c r="S82" s="9"/>
    </row>
    <row r="83" spans="2:19" s="5" customFormat="1" ht="16.5" hidden="1" customHeight="1">
      <c r="B83" s="9">
        <f>IF(C83="","",COUNTA($C$2:C83))</f>
        <v>82</v>
      </c>
      <c r="C83" s="10">
        <v>46042</v>
      </c>
      <c r="D83" s="9" t="str">
        <f t="shared" si="6"/>
        <v>B</v>
      </c>
      <c r="E83" s="5" t="s">
        <v>26</v>
      </c>
      <c r="F83" s="5" t="s">
        <v>95</v>
      </c>
      <c r="G83" s="5" t="s">
        <v>52</v>
      </c>
      <c r="H83" s="42">
        <v>36816000</v>
      </c>
      <c r="I83" s="5">
        <f t="shared" ca="1" si="7"/>
        <v>70</v>
      </c>
      <c r="J83" s="11" t="str">
        <f t="shared" ca="1" si="8"/>
        <v>관리</v>
      </c>
      <c r="K83" s="10"/>
      <c r="L83" s="10">
        <v>46112</v>
      </c>
      <c r="M83" s="9"/>
      <c r="N83" s="9" t="s">
        <v>22</v>
      </c>
      <c r="O83" s="5" t="s">
        <v>61</v>
      </c>
      <c r="P83" s="5" t="s">
        <v>69</v>
      </c>
      <c r="Q83" s="10">
        <v>46036</v>
      </c>
      <c r="R83" s="9" t="s">
        <v>62</v>
      </c>
      <c r="S83" s="9"/>
    </row>
    <row r="84" spans="2:19" s="5" customFormat="1" ht="16.5" hidden="1" customHeight="1">
      <c r="B84" s="9">
        <f>IF(C84="","",COUNTA($C$2:C84))</f>
        <v>83</v>
      </c>
      <c r="C84" s="10">
        <v>46042</v>
      </c>
      <c r="D84" s="9" t="str">
        <f t="shared" si="6"/>
        <v>B</v>
      </c>
      <c r="E84" s="5" t="s">
        <v>26</v>
      </c>
      <c r="F84" s="5" t="s">
        <v>95</v>
      </c>
      <c r="G84" s="5" t="s">
        <v>52</v>
      </c>
      <c r="H84" s="42">
        <v>7390000</v>
      </c>
      <c r="I84" s="5">
        <f t="shared" ca="1" si="7"/>
        <v>50</v>
      </c>
      <c r="J84" s="11" t="str">
        <f t="shared" ca="1" si="8"/>
        <v>관리</v>
      </c>
      <c r="K84" s="10"/>
      <c r="L84" s="10">
        <v>46092</v>
      </c>
      <c r="M84" s="9"/>
      <c r="N84" s="9" t="s">
        <v>22</v>
      </c>
      <c r="O84" s="5" t="s">
        <v>61</v>
      </c>
      <c r="P84" s="5" t="s">
        <v>69</v>
      </c>
      <c r="Q84" s="10">
        <v>46036</v>
      </c>
      <c r="R84" s="9" t="s">
        <v>62</v>
      </c>
      <c r="S84" s="9"/>
    </row>
    <row r="85" spans="2:19" s="5" customFormat="1" ht="16.5" hidden="1" customHeight="1">
      <c r="B85" s="9">
        <f>IF(C85="","",COUNTA($C$2:C85))</f>
        <v>84</v>
      </c>
      <c r="C85" s="10">
        <v>46044</v>
      </c>
      <c r="D85" s="9" t="str">
        <f t="shared" si="6"/>
        <v>B</v>
      </c>
      <c r="E85" s="5" t="s">
        <v>26</v>
      </c>
      <c r="F85" s="5" t="s">
        <v>95</v>
      </c>
      <c r="G85" s="5" t="s">
        <v>52</v>
      </c>
      <c r="H85" s="42">
        <v>56770000</v>
      </c>
      <c r="I85" s="5">
        <f t="shared" ca="1" si="7"/>
        <v>68</v>
      </c>
      <c r="J85" s="11" t="str">
        <f t="shared" ca="1" si="8"/>
        <v>관리</v>
      </c>
      <c r="K85" s="10"/>
      <c r="L85" s="10">
        <v>46112</v>
      </c>
      <c r="M85" s="9"/>
      <c r="N85" s="9" t="s">
        <v>22</v>
      </c>
      <c r="O85" s="5" t="s">
        <v>61</v>
      </c>
      <c r="P85" s="5" t="s">
        <v>69</v>
      </c>
      <c r="Q85" s="10">
        <v>46036</v>
      </c>
      <c r="R85" s="9" t="s">
        <v>62</v>
      </c>
      <c r="S85" s="9"/>
    </row>
    <row r="86" spans="2:19" s="5" customFormat="1" ht="16.5" hidden="1" customHeight="1">
      <c r="B86" s="9">
        <f>IF(C86="","",COUNTA($C$2:C86))</f>
        <v>85</v>
      </c>
      <c r="C86" s="10">
        <v>46044</v>
      </c>
      <c r="D86" s="9" t="str">
        <f t="shared" si="6"/>
        <v>B</v>
      </c>
      <c r="E86" s="5" t="s">
        <v>134</v>
      </c>
      <c r="F86" s="5" t="s">
        <v>135</v>
      </c>
      <c r="G86" s="5" t="s">
        <v>52</v>
      </c>
      <c r="H86" s="42">
        <v>321000</v>
      </c>
      <c r="I86" s="5">
        <f t="shared" ca="1" si="7"/>
        <v>4</v>
      </c>
      <c r="J86" s="11" t="str">
        <f t="shared" ca="1" si="8"/>
        <v>정상</v>
      </c>
      <c r="K86" s="10"/>
      <c r="L86" s="10">
        <v>46048</v>
      </c>
      <c r="M86" s="9"/>
      <c r="N86" s="9" t="s">
        <v>35</v>
      </c>
      <c r="Q86" s="10"/>
      <c r="R86" s="10"/>
      <c r="S86" s="9"/>
    </row>
    <row r="87" spans="2:19" s="5" customFormat="1" ht="16.5" hidden="1" customHeight="1">
      <c r="B87" s="9">
        <f>IF(C87="","",COUNTA($C$2:C87))</f>
        <v>86</v>
      </c>
      <c r="C87" s="10">
        <v>46048</v>
      </c>
      <c r="D87" s="9" t="str">
        <f t="shared" si="6"/>
        <v>B</v>
      </c>
      <c r="E87" s="5" t="s">
        <v>26</v>
      </c>
      <c r="F87" s="5" t="s">
        <v>95</v>
      </c>
      <c r="G87" s="5" t="s">
        <v>52</v>
      </c>
      <c r="H87" s="42">
        <v>4784000</v>
      </c>
      <c r="I87" s="5">
        <f t="shared" ca="1" si="7"/>
        <v>64</v>
      </c>
      <c r="J87" s="11" t="str">
        <f t="shared" ca="1" si="8"/>
        <v>관리</v>
      </c>
      <c r="K87" s="10"/>
      <c r="L87" s="10">
        <v>46112</v>
      </c>
      <c r="M87" s="9"/>
      <c r="N87" s="9" t="s">
        <v>22</v>
      </c>
      <c r="O87" s="5" t="s">
        <v>61</v>
      </c>
      <c r="P87" s="5" t="s">
        <v>69</v>
      </c>
      <c r="Q87" s="10">
        <v>46036</v>
      </c>
      <c r="R87" s="9" t="s">
        <v>62</v>
      </c>
      <c r="S87" s="9"/>
    </row>
    <row r="88" spans="2:19" s="5" customFormat="1" ht="16.5" hidden="1" customHeight="1">
      <c r="B88" s="9">
        <f>IF(C88="","",COUNTA($C$2:C88))</f>
        <v>87</v>
      </c>
      <c r="C88" s="10">
        <v>46048</v>
      </c>
      <c r="D88" s="9" t="str">
        <f t="shared" si="6"/>
        <v>B</v>
      </c>
      <c r="E88" s="5" t="s">
        <v>136</v>
      </c>
      <c r="F88" s="5" t="s">
        <v>137</v>
      </c>
      <c r="G88" s="5" t="s">
        <v>52</v>
      </c>
      <c r="H88" s="42">
        <v>15356500</v>
      </c>
      <c r="I88" s="5">
        <f t="shared" ca="1" si="7"/>
        <v>15</v>
      </c>
      <c r="J88" s="11" t="str">
        <f t="shared" ca="1" si="8"/>
        <v>정상</v>
      </c>
      <c r="K88" s="10"/>
      <c r="L88" s="10">
        <v>46063</v>
      </c>
      <c r="M88" s="9"/>
      <c r="N88" s="9" t="s">
        <v>35</v>
      </c>
      <c r="Q88" s="10"/>
      <c r="R88" s="10"/>
      <c r="S88" s="9"/>
    </row>
    <row r="89" spans="2:19" s="5" customFormat="1" ht="16.5" hidden="1" customHeight="1">
      <c r="B89" s="9">
        <f>IF(C89="","",COUNTA($C$2:C89))</f>
        <v>88</v>
      </c>
      <c r="C89" s="10">
        <v>46051</v>
      </c>
      <c r="D89" s="9" t="str">
        <f t="shared" si="6"/>
        <v>B</v>
      </c>
      <c r="E89" s="5" t="s">
        <v>26</v>
      </c>
      <c r="F89" s="5" t="s">
        <v>95</v>
      </c>
      <c r="G89" s="5" t="s">
        <v>52</v>
      </c>
      <c r="H89" s="42">
        <v>17250000</v>
      </c>
      <c r="I89" s="5">
        <f t="shared" ca="1" si="7"/>
        <v>61</v>
      </c>
      <c r="J89" s="11" t="str">
        <f t="shared" ca="1" si="8"/>
        <v>관리</v>
      </c>
      <c r="K89" s="10"/>
      <c r="L89" s="10">
        <v>46112</v>
      </c>
      <c r="M89" s="9"/>
      <c r="N89" s="9" t="s">
        <v>22</v>
      </c>
      <c r="O89" s="5" t="s">
        <v>61</v>
      </c>
      <c r="P89" s="5" t="s">
        <v>69</v>
      </c>
      <c r="Q89" s="10">
        <v>46036</v>
      </c>
      <c r="R89" s="9" t="s">
        <v>62</v>
      </c>
      <c r="S89" s="9"/>
    </row>
    <row r="90" spans="2:19" s="5" customFormat="1" ht="16.5" hidden="1" customHeight="1">
      <c r="B90" s="9">
        <f>IF(C90="","",COUNTA($C$2:C90))</f>
        <v>89</v>
      </c>
      <c r="C90" s="10">
        <v>46051</v>
      </c>
      <c r="D90" s="9" t="str">
        <f t="shared" si="6"/>
        <v>B</v>
      </c>
      <c r="E90" s="5" t="s">
        <v>26</v>
      </c>
      <c r="F90" s="5" t="s">
        <v>95</v>
      </c>
      <c r="G90" s="5" t="s">
        <v>52</v>
      </c>
      <c r="H90" s="42">
        <v>5750000</v>
      </c>
      <c r="I90" s="5">
        <f t="shared" ca="1" si="7"/>
        <v>61</v>
      </c>
      <c r="J90" s="11" t="str">
        <f t="shared" ca="1" si="8"/>
        <v>관리</v>
      </c>
      <c r="K90" s="10"/>
      <c r="L90" s="10">
        <v>46112</v>
      </c>
      <c r="M90" s="9"/>
      <c r="N90" s="9" t="s">
        <v>22</v>
      </c>
      <c r="O90" s="5" t="s">
        <v>61</v>
      </c>
      <c r="P90" s="5" t="s">
        <v>69</v>
      </c>
      <c r="Q90" s="10">
        <v>46036</v>
      </c>
      <c r="R90" s="9" t="s">
        <v>62</v>
      </c>
      <c r="S90" s="9"/>
    </row>
    <row r="91" spans="2:19" s="5" customFormat="1" ht="16.5" hidden="1" customHeight="1">
      <c r="B91" s="9">
        <f>IF(C91="","",COUNTA($C$2:C91))</f>
        <v>90</v>
      </c>
      <c r="C91" s="10">
        <v>46055</v>
      </c>
      <c r="D91" s="9" t="str">
        <f t="shared" si="6"/>
        <v>B</v>
      </c>
      <c r="E91" s="5" t="s">
        <v>138</v>
      </c>
      <c r="F91" s="5" t="s">
        <v>139</v>
      </c>
      <c r="G91" s="5" t="s">
        <v>52</v>
      </c>
      <c r="H91" s="42">
        <v>231000</v>
      </c>
      <c r="I91" s="5">
        <f t="shared" ca="1" si="7"/>
        <v>0</v>
      </c>
      <c r="J91" s="11" t="str">
        <f t="shared" ca="1" si="8"/>
        <v>정상</v>
      </c>
      <c r="K91" s="10"/>
      <c r="L91" s="10">
        <v>46055</v>
      </c>
      <c r="M91" s="9"/>
      <c r="N91" s="9" t="s">
        <v>35</v>
      </c>
      <c r="Q91" s="10"/>
      <c r="R91" s="10"/>
      <c r="S91" s="9"/>
    </row>
    <row r="92" spans="2:19" s="5" customFormat="1" ht="16.5" hidden="1" customHeight="1">
      <c r="B92" s="9">
        <f>IF(C92="","",COUNTA($C$2:C92))</f>
        <v>91</v>
      </c>
      <c r="C92" s="10">
        <v>46055</v>
      </c>
      <c r="D92" s="9" t="str">
        <f t="shared" si="6"/>
        <v>B</v>
      </c>
      <c r="E92" s="5" t="s">
        <v>140</v>
      </c>
      <c r="F92" s="5" t="s">
        <v>141</v>
      </c>
      <c r="G92" s="5" t="s">
        <v>52</v>
      </c>
      <c r="H92" s="42">
        <v>219000</v>
      </c>
      <c r="I92" s="5">
        <f t="shared" ca="1" si="7"/>
        <v>57</v>
      </c>
      <c r="J92" s="11" t="str">
        <f t="shared" ca="1" si="8"/>
        <v>관리</v>
      </c>
      <c r="K92" s="10"/>
      <c r="L92" s="10">
        <v>46112</v>
      </c>
      <c r="M92" s="9"/>
      <c r="N92" s="9" t="s">
        <v>35</v>
      </c>
      <c r="Q92" s="10"/>
      <c r="R92" s="10"/>
      <c r="S92" s="9"/>
    </row>
    <row r="93" spans="2:19" s="5" customFormat="1" ht="16.5" hidden="1" customHeight="1">
      <c r="B93" s="9">
        <f>IF(C93="","",COUNTA($C$2:C93))</f>
        <v>92</v>
      </c>
      <c r="C93" s="10">
        <v>46056</v>
      </c>
      <c r="D93" s="9" t="str">
        <f t="shared" si="6"/>
        <v>B</v>
      </c>
      <c r="E93" s="5" t="s">
        <v>142</v>
      </c>
      <c r="F93" s="5" t="s">
        <v>143</v>
      </c>
      <c r="G93" s="5" t="s">
        <v>52</v>
      </c>
      <c r="H93" s="42">
        <v>432000</v>
      </c>
      <c r="I93" s="5">
        <f t="shared" ca="1" si="7"/>
        <v>1</v>
      </c>
      <c r="J93" s="11" t="str">
        <f t="shared" ca="1" si="8"/>
        <v>정상</v>
      </c>
      <c r="K93" s="10"/>
      <c r="L93" s="10">
        <v>46057</v>
      </c>
      <c r="M93" s="9"/>
      <c r="N93" s="9" t="s">
        <v>35</v>
      </c>
      <c r="Q93" s="10"/>
      <c r="R93" s="10"/>
      <c r="S93" s="9"/>
    </row>
    <row r="94" spans="2:19" s="5" customFormat="1" ht="16.5" hidden="1" customHeight="1">
      <c r="B94" s="9">
        <f>IF(C94="","",COUNTA($C$2:C94))</f>
        <v>93</v>
      </c>
      <c r="C94" s="10">
        <v>46052</v>
      </c>
      <c r="D94" s="9" t="str">
        <f t="shared" si="6"/>
        <v>C</v>
      </c>
      <c r="E94" s="5" t="s">
        <v>144</v>
      </c>
      <c r="F94" s="5" t="s">
        <v>145</v>
      </c>
      <c r="G94" s="5" t="s">
        <v>47</v>
      </c>
      <c r="H94" s="42">
        <v>478000</v>
      </c>
      <c r="I94" s="5">
        <f t="shared" ca="1" si="7"/>
        <v>7</v>
      </c>
      <c r="J94" s="11" t="str">
        <f t="shared" ca="1" si="8"/>
        <v>정상</v>
      </c>
      <c r="K94" s="10">
        <v>46082</v>
      </c>
      <c r="L94" s="10">
        <v>46059</v>
      </c>
      <c r="M94" s="9"/>
      <c r="N94" s="9" t="s">
        <v>35</v>
      </c>
      <c r="Q94" s="10"/>
      <c r="R94" s="10"/>
      <c r="S94" s="9"/>
    </row>
    <row r="95" spans="2:19" s="5" customFormat="1" ht="16.5" hidden="1" customHeight="1">
      <c r="B95" s="9">
        <f>IF(C95="","",COUNTA($C$2:C95))</f>
        <v>94</v>
      </c>
      <c r="C95" s="10">
        <v>46058</v>
      </c>
      <c r="D95" s="9" t="str">
        <f t="shared" si="6"/>
        <v>C</v>
      </c>
      <c r="E95" s="5" t="s">
        <v>146</v>
      </c>
      <c r="F95" s="5" t="s">
        <v>147</v>
      </c>
      <c r="G95" s="5" t="s">
        <v>47</v>
      </c>
      <c r="H95" s="42">
        <v>1206700</v>
      </c>
      <c r="I95" s="5">
        <f t="shared" ca="1" si="7"/>
        <v>22</v>
      </c>
      <c r="J95" s="11" t="str">
        <f t="shared" ca="1" si="8"/>
        <v>정상</v>
      </c>
      <c r="K95" s="10">
        <v>46088</v>
      </c>
      <c r="L95" s="10">
        <v>46080</v>
      </c>
      <c r="M95" s="9"/>
      <c r="N95" s="9" t="s">
        <v>35</v>
      </c>
      <c r="Q95" s="10"/>
      <c r="R95" s="10"/>
      <c r="S95" s="9"/>
    </row>
    <row r="96" spans="2:19" s="5" customFormat="1" ht="16.5" hidden="1" customHeight="1">
      <c r="B96" s="9">
        <f>IF(C96="","",COUNTA($C$2:C96))</f>
        <v>95</v>
      </c>
      <c r="C96" s="10">
        <v>46062</v>
      </c>
      <c r="D96" s="9" t="str">
        <f t="shared" si="6"/>
        <v>B</v>
      </c>
      <c r="E96" s="5" t="s">
        <v>122</v>
      </c>
      <c r="F96" s="5" t="s">
        <v>148</v>
      </c>
      <c r="G96" s="5" t="s">
        <v>52</v>
      </c>
      <c r="H96" s="42">
        <v>2627900</v>
      </c>
      <c r="I96" s="5">
        <f t="shared" ca="1" si="7"/>
        <v>80</v>
      </c>
      <c r="J96" s="11" t="str">
        <f t="shared" ca="1" si="8"/>
        <v>관리</v>
      </c>
      <c r="K96" s="10">
        <v>46142</v>
      </c>
      <c r="L96" s="10">
        <v>46142</v>
      </c>
      <c r="M96" s="9"/>
      <c r="N96" s="9" t="s">
        <v>35</v>
      </c>
      <c r="Q96" s="10"/>
      <c r="R96" s="10"/>
      <c r="S96" s="9"/>
    </row>
    <row r="97" spans="2:19" s="5" customFormat="1" ht="16.5" hidden="1" customHeight="1">
      <c r="B97" s="9">
        <f>IF(C97="","",COUNTA($C$2:C97))</f>
        <v>96</v>
      </c>
      <c r="C97" s="10">
        <v>46062</v>
      </c>
      <c r="D97" s="9" t="str">
        <f t="shared" si="6"/>
        <v>B</v>
      </c>
      <c r="E97" s="5" t="s">
        <v>126</v>
      </c>
      <c r="F97" s="5" t="s">
        <v>149</v>
      </c>
      <c r="G97" s="5" t="s">
        <v>52</v>
      </c>
      <c r="H97" s="42">
        <v>1210000</v>
      </c>
      <c r="I97" s="5">
        <f t="shared" ca="1" si="7"/>
        <v>0</v>
      </c>
      <c r="J97" s="11" t="str">
        <f t="shared" ca="1" si="8"/>
        <v>정상</v>
      </c>
      <c r="K97" s="10"/>
      <c r="L97" s="10">
        <v>46062</v>
      </c>
      <c r="M97" s="9"/>
      <c r="N97" s="9" t="s">
        <v>35</v>
      </c>
      <c r="Q97" s="10"/>
      <c r="R97" s="10"/>
      <c r="S97" s="9"/>
    </row>
    <row r="98" spans="2:19" s="5" customFormat="1" ht="16.5" hidden="1" customHeight="1">
      <c r="B98" s="9">
        <f>IF(C98="","",COUNTA($C$2:C98))</f>
        <v>97</v>
      </c>
      <c r="C98" s="10">
        <v>46063</v>
      </c>
      <c r="D98" s="9" t="str">
        <f t="shared" si="6"/>
        <v>B</v>
      </c>
      <c r="E98" s="20" t="s">
        <v>122</v>
      </c>
      <c r="F98" s="20" t="s">
        <v>123</v>
      </c>
      <c r="G98" s="5" t="s">
        <v>52</v>
      </c>
      <c r="H98" s="42">
        <v>216000</v>
      </c>
      <c r="I98" s="5">
        <f t="shared" ref="I98:I125" ca="1" si="9">IF(C98="","",IF(L98="",TODAY()-C98,L98-C98))</f>
        <v>79</v>
      </c>
      <c r="J98" s="11" t="str">
        <f ca="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0">
        <v>46142</v>
      </c>
      <c r="L98" s="10">
        <v>46142</v>
      </c>
      <c r="M98" s="9"/>
      <c r="N98" s="9" t="s">
        <v>35</v>
      </c>
      <c r="Q98" s="10"/>
      <c r="R98" s="10"/>
      <c r="S98" s="9"/>
    </row>
    <row r="99" spans="2:19" s="5" customFormat="1" ht="16.5" hidden="1" customHeight="1">
      <c r="B99" s="9">
        <f>IF(C99="","",COUNTA($C$2:C99))</f>
        <v>98</v>
      </c>
      <c r="C99" s="10">
        <v>46063</v>
      </c>
      <c r="D99" s="9" t="str">
        <f t="shared" si="6"/>
        <v>B</v>
      </c>
      <c r="E99" s="20" t="s">
        <v>150</v>
      </c>
      <c r="F99" s="20" t="s">
        <v>151</v>
      </c>
      <c r="G99" s="5" t="s">
        <v>52</v>
      </c>
      <c r="H99" s="42">
        <v>154300</v>
      </c>
      <c r="I99" s="5">
        <f t="shared" ca="1" si="9"/>
        <v>2</v>
      </c>
      <c r="J99" s="11" t="str">
        <f t="shared" ref="J99:J125" ca="1" si="10">IF(I99="","",
IF(G99="선급금",
IF(I99&lt;=20,"정상",IF(I99&lt;=90,"관리","장기미수")),
IF(G99="자재",
IF(I99&lt;=40,"정상",IF(I99&lt;=90,"관리","장기미수")),
IF(I99&lt;=30,"정상",IF(I99&lt;=90,"관리","장기미수"))
)
)
)</f>
        <v>정상</v>
      </c>
      <c r="K99" s="10"/>
      <c r="L99" s="10">
        <v>46065</v>
      </c>
      <c r="M99" s="9"/>
      <c r="N99" s="9" t="s">
        <v>35</v>
      </c>
      <c r="Q99" s="10"/>
      <c r="R99" s="10"/>
      <c r="S99" s="9"/>
    </row>
    <row r="100" spans="2:19" s="5" customFormat="1" ht="16.5" hidden="1" customHeight="1">
      <c r="B100" s="9">
        <f>IF(C100="","",COUNTA($C$2:C100))</f>
        <v>99</v>
      </c>
      <c r="C100" s="10">
        <v>46027</v>
      </c>
      <c r="D100" s="9" t="str">
        <f t="shared" si="6"/>
        <v/>
      </c>
      <c r="E100" s="21" t="s">
        <v>28</v>
      </c>
      <c r="F100" s="21" t="s">
        <v>152</v>
      </c>
      <c r="G100" s="5" t="s">
        <v>119</v>
      </c>
      <c r="H100" s="42">
        <v>16130000</v>
      </c>
      <c r="I100" s="5">
        <f t="shared" ca="1" si="9"/>
        <v>115</v>
      </c>
      <c r="J100" s="11" t="str">
        <f t="shared" ca="1" si="10"/>
        <v>장기미수</v>
      </c>
      <c r="K100" s="10">
        <v>46057</v>
      </c>
      <c r="L100" s="10">
        <v>46142</v>
      </c>
      <c r="M100" s="9"/>
      <c r="N100" s="9" t="s">
        <v>35</v>
      </c>
      <c r="Q100" s="10"/>
      <c r="R100" s="10"/>
      <c r="S100" s="9"/>
    </row>
    <row r="101" spans="2:19" s="5" customFormat="1" ht="16.5" hidden="1" customHeight="1">
      <c r="B101" s="9">
        <f>IF(C101="","",COUNTA($C$2:C101))</f>
        <v>100</v>
      </c>
      <c r="C101" s="10">
        <v>46023</v>
      </c>
      <c r="D101" s="9" t="s">
        <v>153</v>
      </c>
      <c r="E101" s="21" t="s">
        <v>154</v>
      </c>
      <c r="F101" s="21" t="s">
        <v>155</v>
      </c>
      <c r="G101" s="5" t="s">
        <v>47</v>
      </c>
      <c r="H101" s="42">
        <v>-883400</v>
      </c>
      <c r="I101" s="5">
        <f t="shared" ca="1" si="9"/>
        <v>29</v>
      </c>
      <c r="J101" s="11" t="str">
        <f t="shared" ca="1" si="10"/>
        <v>정상</v>
      </c>
      <c r="K101" s="10">
        <v>46053</v>
      </c>
      <c r="L101" s="10">
        <v>46052</v>
      </c>
      <c r="M101" s="9"/>
      <c r="N101" s="9" t="s">
        <v>35</v>
      </c>
      <c r="Q101" s="10"/>
      <c r="R101" s="10"/>
      <c r="S101" s="9"/>
    </row>
    <row r="102" spans="2:19" s="5" customFormat="1" ht="16.5" hidden="1" customHeight="1">
      <c r="B102" s="9">
        <f>IF(C102="","",COUNTA($C$2:C102))</f>
        <v>101</v>
      </c>
      <c r="C102" s="10">
        <v>46052</v>
      </c>
      <c r="D102" s="9" t="str">
        <f>IF(G102="","",IF(OR(G102="선급금",G102="중도금",G102="잔금"),"A",IF(G102="자재","B",IF(G102="특허료","C",""))))</f>
        <v>B</v>
      </c>
      <c r="E102" s="5" t="s">
        <v>42</v>
      </c>
      <c r="F102" s="5" t="s">
        <v>156</v>
      </c>
      <c r="G102" s="5" t="s">
        <v>52</v>
      </c>
      <c r="H102" s="42">
        <v>-3943480</v>
      </c>
      <c r="I102" s="5">
        <f t="shared" ca="1" si="9"/>
        <v>12</v>
      </c>
      <c r="J102" s="11" t="str">
        <f t="shared" ca="1" si="10"/>
        <v>정상</v>
      </c>
      <c r="K102" s="10"/>
      <c r="L102" s="10">
        <v>46064</v>
      </c>
      <c r="M102" s="9"/>
      <c r="N102" s="9" t="s">
        <v>35</v>
      </c>
      <c r="Q102" s="10"/>
      <c r="R102" s="10"/>
      <c r="S102" s="9"/>
    </row>
    <row r="103" spans="2:19" s="5" customFormat="1" ht="16.5" hidden="1" customHeight="1">
      <c r="B103" s="9">
        <f>IF(C103="","",COUNTA($C$2:C103))</f>
        <v>102</v>
      </c>
      <c r="C103" s="10">
        <v>46038</v>
      </c>
      <c r="D103" s="9" t="str">
        <f>IF(G103="","",IF(OR(G103="선급금",G103="중도금",G103="잔금"),"A",IF(G103="자재","B",IF(G103="특허료","C",""))))</f>
        <v>A</v>
      </c>
      <c r="E103" s="5" t="s">
        <v>157</v>
      </c>
      <c r="F103" s="5" t="s">
        <v>158</v>
      </c>
      <c r="G103" s="5" t="s">
        <v>41</v>
      </c>
      <c r="H103" s="42">
        <v>59635000</v>
      </c>
      <c r="I103" s="5">
        <f t="shared" ca="1" si="9"/>
        <v>28</v>
      </c>
      <c r="J103" s="11" t="str">
        <f t="shared" ca="1" si="10"/>
        <v>정상</v>
      </c>
      <c r="K103" s="10">
        <v>46068</v>
      </c>
      <c r="L103" s="10">
        <v>46066</v>
      </c>
      <c r="M103" s="9"/>
      <c r="N103" s="9" t="s">
        <v>35</v>
      </c>
      <c r="Q103" s="10"/>
      <c r="R103" s="10"/>
      <c r="S103" s="9"/>
    </row>
    <row r="104" spans="2:19" s="5" customFormat="1" ht="16.5" hidden="1" customHeight="1">
      <c r="B104" s="9">
        <f>IF(C104="","",COUNTA($C$2:C104))</f>
        <v>103</v>
      </c>
      <c r="C104" s="10">
        <v>46064</v>
      </c>
      <c r="D104" s="9" t="str">
        <f>IF(G104="","",IF(OR(G104="선급금",G104="중도금",G104="잔금"),"A",IF(G104="자재","B",IF(G104="특허료","C",""))))</f>
        <v>B</v>
      </c>
      <c r="E104" s="5" t="s">
        <v>122</v>
      </c>
      <c r="F104" s="20" t="s">
        <v>148</v>
      </c>
      <c r="G104" s="5" t="s">
        <v>52</v>
      </c>
      <c r="H104" s="44">
        <v>1138000</v>
      </c>
      <c r="I104" s="5">
        <f t="shared" ca="1" si="9"/>
        <v>78</v>
      </c>
      <c r="J104" s="11" t="str">
        <f t="shared" ca="1" si="10"/>
        <v>관리</v>
      </c>
      <c r="K104" s="10">
        <v>46142</v>
      </c>
      <c r="L104" s="10">
        <v>46142</v>
      </c>
      <c r="M104" s="9"/>
      <c r="N104" s="9" t="s">
        <v>35</v>
      </c>
      <c r="Q104" s="10"/>
      <c r="R104" s="10"/>
      <c r="S104" s="9"/>
    </row>
    <row r="105" spans="2:19" s="5" customFormat="1" ht="16.5" hidden="1" customHeight="1">
      <c r="B105" s="9">
        <f>IF(C105="","",COUNTA($C$2:C105))</f>
        <v>104</v>
      </c>
      <c r="C105" s="10">
        <v>46064</v>
      </c>
      <c r="D105" s="9" t="str">
        <f>IF(G105="","",IF(OR(G105="선급금",G105="중도금",G105="잔금"),"A",IF(G105="자재","B",IF(G105="특허료","C",""))))</f>
        <v>B</v>
      </c>
      <c r="E105" s="5" t="s">
        <v>122</v>
      </c>
      <c r="F105" s="20" t="s">
        <v>159</v>
      </c>
      <c r="G105" s="5" t="s">
        <v>52</v>
      </c>
      <c r="H105" s="44">
        <v>11632500</v>
      </c>
      <c r="I105" s="5">
        <f t="shared" ca="1" si="9"/>
        <v>78</v>
      </c>
      <c r="J105" s="11" t="str">
        <f t="shared" ca="1" si="10"/>
        <v>관리</v>
      </c>
      <c r="K105" s="10">
        <v>46142</v>
      </c>
      <c r="L105" s="10">
        <v>46142</v>
      </c>
      <c r="M105" s="9"/>
      <c r="N105" s="9" t="s">
        <v>35</v>
      </c>
      <c r="Q105" s="10"/>
      <c r="R105" s="10"/>
      <c r="S105" s="9"/>
    </row>
    <row r="106" spans="2:19" s="5" customFormat="1" ht="16.5" customHeight="1">
      <c r="B106" s="9">
        <f>IF(C106="","",COUNTA($C$2:C106))</f>
        <v>105</v>
      </c>
      <c r="C106" s="10">
        <v>46065</v>
      </c>
      <c r="D106" s="9" t="s">
        <v>160</v>
      </c>
      <c r="E106" s="20" t="s">
        <v>26</v>
      </c>
      <c r="F106" s="20" t="s">
        <v>95</v>
      </c>
      <c r="G106" s="5" t="s">
        <v>52</v>
      </c>
      <c r="H106" s="44">
        <v>7390000</v>
      </c>
      <c r="I106" s="5">
        <f t="shared" ca="1" si="9"/>
        <v>95</v>
      </c>
      <c r="J106" s="11" t="str">
        <f t="shared" ca="1" si="10"/>
        <v>장기미수</v>
      </c>
      <c r="K106" s="10"/>
      <c r="L106" s="10"/>
      <c r="M106" s="9"/>
      <c r="N106" s="9" t="s">
        <v>22</v>
      </c>
      <c r="O106" s="5" t="s">
        <v>61</v>
      </c>
      <c r="P106" s="5" t="s">
        <v>69</v>
      </c>
      <c r="Q106" s="10"/>
      <c r="R106" s="10"/>
      <c r="S106" s="9"/>
    </row>
    <row r="107" spans="2:19" s="5" customFormat="1" ht="16.5" hidden="1" customHeight="1">
      <c r="B107" s="9">
        <f>IF(C107="","",COUNTA($C$2:C107))</f>
        <v>106</v>
      </c>
      <c r="C107" s="10">
        <v>46065</v>
      </c>
      <c r="D107" s="9" t="s">
        <v>160</v>
      </c>
      <c r="E107" s="20" t="s">
        <v>161</v>
      </c>
      <c r="F107" s="20" t="s">
        <v>162</v>
      </c>
      <c r="G107" s="5" t="s">
        <v>52</v>
      </c>
      <c r="H107" s="44">
        <v>651400</v>
      </c>
      <c r="I107" s="5">
        <f t="shared" ca="1" si="9"/>
        <v>26</v>
      </c>
      <c r="J107" s="11" t="str">
        <f t="shared" ca="1" si="10"/>
        <v>정상</v>
      </c>
      <c r="K107" s="10"/>
      <c r="L107" s="10">
        <v>46091</v>
      </c>
      <c r="M107" s="9"/>
      <c r="N107" s="9" t="s">
        <v>35</v>
      </c>
      <c r="Q107" s="10"/>
      <c r="R107" s="10"/>
      <c r="S107" s="9"/>
    </row>
    <row r="108" spans="2:19" s="5" customFormat="1" ht="16.5" hidden="1" customHeight="1">
      <c r="B108" s="9">
        <f>IF(C108="","",COUNTA($C$2:C108))</f>
        <v>107</v>
      </c>
      <c r="C108" s="10">
        <v>46065</v>
      </c>
      <c r="D108" s="9" t="s">
        <v>160</v>
      </c>
      <c r="E108" s="20" t="s">
        <v>122</v>
      </c>
      <c r="F108" s="20" t="s">
        <v>148</v>
      </c>
      <c r="G108" s="5" t="s">
        <v>52</v>
      </c>
      <c r="H108" s="44">
        <v>1997773</v>
      </c>
      <c r="I108" s="5">
        <f t="shared" ca="1" si="9"/>
        <v>77</v>
      </c>
      <c r="J108" s="11" t="str">
        <f t="shared" ca="1" si="10"/>
        <v>관리</v>
      </c>
      <c r="K108" s="10">
        <v>46142</v>
      </c>
      <c r="L108" s="10">
        <v>46142</v>
      </c>
      <c r="M108" s="9"/>
      <c r="N108" s="9" t="s">
        <v>35</v>
      </c>
      <c r="Q108" s="10"/>
      <c r="R108" s="10"/>
      <c r="S108" s="9"/>
    </row>
    <row r="109" spans="2:19" s="5" customFormat="1" ht="16.5" hidden="1" customHeight="1">
      <c r="B109" s="9">
        <f>IF(C109="","",COUNTA($C$2:C109))</f>
        <v>108</v>
      </c>
      <c r="C109" s="10">
        <v>46066</v>
      </c>
      <c r="D109" s="9"/>
      <c r="E109" s="23" t="s">
        <v>28</v>
      </c>
      <c r="F109" s="22" t="s">
        <v>152</v>
      </c>
      <c r="G109" s="5" t="s">
        <v>119</v>
      </c>
      <c r="H109" s="45">
        <v>11000000</v>
      </c>
      <c r="I109" s="5">
        <f t="shared" ca="1" si="9"/>
        <v>91</v>
      </c>
      <c r="J109" s="11" t="str">
        <f t="shared" ca="1" si="10"/>
        <v>장기미수</v>
      </c>
      <c r="K109" s="10">
        <v>46096</v>
      </c>
      <c r="L109" s="10">
        <v>46157</v>
      </c>
      <c r="M109" s="9"/>
      <c r="N109" s="9" t="s">
        <v>35</v>
      </c>
      <c r="Q109" s="10"/>
      <c r="R109" s="10"/>
      <c r="S109" s="9"/>
    </row>
    <row r="110" spans="2:19" s="5" customFormat="1" ht="16.5" customHeight="1">
      <c r="B110" s="9">
        <f>IF(C110="","",COUNTA($C$2:C110))</f>
        <v>109</v>
      </c>
      <c r="C110" s="10">
        <v>46067</v>
      </c>
      <c r="D110" s="9" t="s">
        <v>160</v>
      </c>
      <c r="E110" s="20" t="s">
        <v>26</v>
      </c>
      <c r="F110" s="20" t="s">
        <v>95</v>
      </c>
      <c r="G110" s="5" t="s">
        <v>52</v>
      </c>
      <c r="H110" s="46">
        <v>35304000</v>
      </c>
      <c r="I110" s="5">
        <f t="shared" ca="1" si="9"/>
        <v>93</v>
      </c>
      <c r="J110" s="11" t="str">
        <f t="shared" ca="1" si="10"/>
        <v>장기미수</v>
      </c>
      <c r="K110" s="10"/>
      <c r="L110" s="10"/>
      <c r="M110" s="9"/>
      <c r="N110" s="9" t="s">
        <v>22</v>
      </c>
      <c r="O110" s="5" t="s">
        <v>61</v>
      </c>
      <c r="P110" s="5" t="s">
        <v>69</v>
      </c>
      <c r="Q110" s="10"/>
      <c r="R110" s="10"/>
      <c r="S110" s="9"/>
    </row>
    <row r="111" spans="2:19" s="5" customFormat="1" ht="16.5" hidden="1" customHeight="1">
      <c r="B111" s="9">
        <f>IF(C111="","",COUNTA($C$2:C111))</f>
        <v>110</v>
      </c>
      <c r="C111" s="47">
        <v>46073</v>
      </c>
      <c r="D111" s="9" t="str">
        <f t="shared" ref="D111:D125" si="11">IF(G111="","",IF(OR(G111="선급금",G111="중도금",G111="잔금"),"A",IF(G111="자재","B",IF(G111="특허료","C",""))))</f>
        <v>B</v>
      </c>
      <c r="E111" s="24" t="s">
        <v>163</v>
      </c>
      <c r="F111" s="20" t="s">
        <v>164</v>
      </c>
      <c r="G111" s="5" t="s">
        <v>52</v>
      </c>
      <c r="H111" s="44">
        <v>5436700</v>
      </c>
      <c r="I111" s="5">
        <f t="shared" ca="1" si="9"/>
        <v>0</v>
      </c>
      <c r="J111" s="11" t="str">
        <f t="shared" ca="1" si="10"/>
        <v>정상</v>
      </c>
      <c r="K111" s="10"/>
      <c r="L111" s="10">
        <v>46073</v>
      </c>
      <c r="M111" s="9"/>
      <c r="N111" s="9" t="s">
        <v>35</v>
      </c>
      <c r="Q111" s="10"/>
      <c r="R111" s="10"/>
      <c r="S111" s="9"/>
    </row>
    <row r="112" spans="2:19" s="5" customFormat="1" ht="16.5" hidden="1" customHeight="1">
      <c r="B112" s="9">
        <f>IF(C112="","",COUNTA($C$2:C112))</f>
        <v>111</v>
      </c>
      <c r="C112" s="47">
        <v>46073</v>
      </c>
      <c r="D112" s="9" t="str">
        <f t="shared" si="11"/>
        <v>B</v>
      </c>
      <c r="E112" s="20" t="s">
        <v>26</v>
      </c>
      <c r="F112" s="20" t="s">
        <v>95</v>
      </c>
      <c r="G112" s="5" t="s">
        <v>52</v>
      </c>
      <c r="H112" s="44">
        <v>39250000</v>
      </c>
      <c r="I112" s="5">
        <f t="shared" ca="1" si="9"/>
        <v>39</v>
      </c>
      <c r="J112" s="11" t="str">
        <f t="shared" ca="1" si="10"/>
        <v>정상</v>
      </c>
      <c r="K112" s="10"/>
      <c r="L112" s="10">
        <v>46112</v>
      </c>
      <c r="M112" s="9"/>
      <c r="N112" s="9" t="s">
        <v>22</v>
      </c>
      <c r="O112" s="5" t="s">
        <v>61</v>
      </c>
      <c r="P112" s="5" t="s">
        <v>69</v>
      </c>
      <c r="Q112" s="10"/>
      <c r="R112" s="10"/>
      <c r="S112" s="9"/>
    </row>
    <row r="113" spans="2:19" s="5" customFormat="1" ht="16.5" hidden="1" customHeight="1">
      <c r="B113" s="9">
        <f>IF(C113="","",COUNTA($C$2:C113))</f>
        <v>112</v>
      </c>
      <c r="C113" s="47">
        <v>46076</v>
      </c>
      <c r="D113" s="9" t="str">
        <f t="shared" si="11"/>
        <v>B</v>
      </c>
      <c r="E113" s="20" t="s">
        <v>165</v>
      </c>
      <c r="F113" s="20" t="s">
        <v>166</v>
      </c>
      <c r="G113" s="5" t="s">
        <v>52</v>
      </c>
      <c r="H113" s="44">
        <v>2706000</v>
      </c>
      <c r="I113" s="5">
        <f t="shared" ca="1" si="9"/>
        <v>0</v>
      </c>
      <c r="J113" s="11" t="str">
        <f t="shared" ca="1" si="10"/>
        <v>정상</v>
      </c>
      <c r="K113" s="10"/>
      <c r="L113" s="10">
        <v>46076</v>
      </c>
      <c r="M113" s="9"/>
      <c r="N113" s="9" t="s">
        <v>35</v>
      </c>
      <c r="Q113" s="10"/>
      <c r="R113" s="10"/>
      <c r="S113" s="9"/>
    </row>
    <row r="114" spans="2:19" s="5" customFormat="1" ht="16.5" hidden="1" customHeight="1">
      <c r="B114" s="9">
        <f>IF(C114="","",COUNTA($C$2:C114))</f>
        <v>113</v>
      </c>
      <c r="C114" s="47">
        <v>46076</v>
      </c>
      <c r="D114" s="9" t="str">
        <f t="shared" si="11"/>
        <v>B</v>
      </c>
      <c r="E114" s="25" t="s">
        <v>26</v>
      </c>
      <c r="F114" s="25" t="s">
        <v>95</v>
      </c>
      <c r="G114" s="5" t="s">
        <v>52</v>
      </c>
      <c r="H114" s="46">
        <v>11500000</v>
      </c>
      <c r="I114" s="5">
        <f t="shared" ca="1" si="9"/>
        <v>36</v>
      </c>
      <c r="J114" s="11" t="str">
        <f t="shared" ca="1" si="10"/>
        <v>정상</v>
      </c>
      <c r="K114" s="10"/>
      <c r="L114" s="10">
        <v>46112</v>
      </c>
      <c r="M114" s="9"/>
      <c r="N114" s="9" t="s">
        <v>22</v>
      </c>
      <c r="O114" s="5" t="s">
        <v>61</v>
      </c>
      <c r="P114" s="5" t="s">
        <v>69</v>
      </c>
      <c r="Q114" s="10"/>
      <c r="R114" s="10"/>
      <c r="S114" s="9"/>
    </row>
    <row r="115" spans="2:19" s="5" customFormat="1" ht="16.5" hidden="1" customHeight="1">
      <c r="B115" s="9">
        <f>IF(C115="","",COUNTA($C$2:C115))</f>
        <v>114</v>
      </c>
      <c r="C115" s="47">
        <v>46076</v>
      </c>
      <c r="D115" s="9" t="str">
        <f t="shared" si="11"/>
        <v>B</v>
      </c>
      <c r="E115" s="25" t="s">
        <v>26</v>
      </c>
      <c r="F115" s="25" t="s">
        <v>95</v>
      </c>
      <c r="G115" s="5" t="s">
        <v>52</v>
      </c>
      <c r="H115" s="46">
        <v>3438000</v>
      </c>
      <c r="I115" s="5">
        <f t="shared" ca="1" si="9"/>
        <v>36</v>
      </c>
      <c r="J115" s="11" t="str">
        <f t="shared" ca="1" si="10"/>
        <v>정상</v>
      </c>
      <c r="K115" s="10"/>
      <c r="L115" s="10">
        <v>46112</v>
      </c>
      <c r="M115" s="9"/>
      <c r="N115" s="9" t="s">
        <v>22</v>
      </c>
      <c r="O115" s="5" t="s">
        <v>61</v>
      </c>
      <c r="P115" s="5" t="s">
        <v>69</v>
      </c>
      <c r="Q115" s="10"/>
      <c r="R115" s="10"/>
      <c r="S115" s="9"/>
    </row>
    <row r="116" spans="2:19" s="5" customFormat="1" ht="16.5" hidden="1" customHeight="1">
      <c r="B116" s="9">
        <f>IF(C116="","",COUNTA($C$2:C116))</f>
        <v>115</v>
      </c>
      <c r="C116" s="48">
        <v>46077</v>
      </c>
      <c r="D116" s="9" t="str">
        <f t="shared" si="11"/>
        <v>B</v>
      </c>
      <c r="E116" s="25" t="s">
        <v>150</v>
      </c>
      <c r="F116" s="25" t="s">
        <v>151</v>
      </c>
      <c r="G116" s="5" t="s">
        <v>52</v>
      </c>
      <c r="H116" s="46">
        <v>502300</v>
      </c>
      <c r="I116" s="5">
        <f t="shared" ca="1" si="9"/>
        <v>2</v>
      </c>
      <c r="J116" s="11" t="str">
        <f t="shared" ca="1" si="10"/>
        <v>정상</v>
      </c>
      <c r="K116" s="10"/>
      <c r="L116" s="10">
        <v>46079</v>
      </c>
      <c r="M116" s="9"/>
      <c r="N116" s="9" t="s">
        <v>35</v>
      </c>
      <c r="Q116" s="10"/>
      <c r="R116" s="10"/>
      <c r="S116" s="9"/>
    </row>
    <row r="117" spans="2:19" s="5" customFormat="1" ht="16.5" hidden="1" customHeight="1">
      <c r="B117" s="9">
        <f>IF(C117="","",COUNTA($C$2:C117))</f>
        <v>116</v>
      </c>
      <c r="C117" s="48">
        <v>46077</v>
      </c>
      <c r="D117" s="9" t="str">
        <f t="shared" si="11"/>
        <v>B</v>
      </c>
      <c r="E117" s="20" t="s">
        <v>42</v>
      </c>
      <c r="F117" s="20" t="s">
        <v>167</v>
      </c>
      <c r="G117" s="5" t="s">
        <v>52</v>
      </c>
      <c r="H117" s="42">
        <v>106200</v>
      </c>
      <c r="I117" s="5">
        <f t="shared" ca="1" si="9"/>
        <v>35</v>
      </c>
      <c r="J117" s="11" t="str">
        <f t="shared" ca="1" si="10"/>
        <v>정상</v>
      </c>
      <c r="K117" s="10"/>
      <c r="L117" s="10">
        <v>46112</v>
      </c>
      <c r="M117" s="9"/>
      <c r="N117" s="9" t="s">
        <v>35</v>
      </c>
      <c r="Q117" s="10"/>
      <c r="R117" s="10"/>
      <c r="S117" s="9"/>
    </row>
    <row r="118" spans="2:19" s="5" customFormat="1" ht="16.5" hidden="1" customHeight="1">
      <c r="B118" s="9">
        <f>IF(C118="","",COUNTA($C$2:C118))</f>
        <v>117</v>
      </c>
      <c r="C118" s="48">
        <v>46079</v>
      </c>
      <c r="D118" s="9" t="str">
        <f t="shared" si="11"/>
        <v>B</v>
      </c>
      <c r="E118" s="25" t="s">
        <v>168</v>
      </c>
      <c r="F118" s="25" t="s">
        <v>169</v>
      </c>
      <c r="G118" s="5" t="s">
        <v>52</v>
      </c>
      <c r="H118" s="46">
        <v>13858000</v>
      </c>
      <c r="I118" s="5">
        <f t="shared" ca="1" si="9"/>
        <v>1</v>
      </c>
      <c r="J118" s="11" t="str">
        <f t="shared" ca="1" si="10"/>
        <v>정상</v>
      </c>
      <c r="K118" s="10"/>
      <c r="L118" s="10">
        <v>46080</v>
      </c>
      <c r="M118" s="9"/>
      <c r="N118" s="9" t="s">
        <v>35</v>
      </c>
      <c r="Q118" s="10"/>
      <c r="R118" s="10"/>
      <c r="S118" s="9"/>
    </row>
    <row r="119" spans="2:19" s="5" customFormat="1" ht="16.5" customHeight="1">
      <c r="B119" s="9">
        <f>IF(C119="","",COUNTA($C$2:C119))</f>
        <v>118</v>
      </c>
      <c r="C119" s="48">
        <v>46078</v>
      </c>
      <c r="D119" s="9" t="str">
        <f t="shared" si="11"/>
        <v>B</v>
      </c>
      <c r="E119" s="25" t="s">
        <v>26</v>
      </c>
      <c r="F119" s="25" t="s">
        <v>68</v>
      </c>
      <c r="G119" s="5" t="s">
        <v>52</v>
      </c>
      <c r="H119" s="46">
        <v>4787500</v>
      </c>
      <c r="I119" s="5">
        <f t="shared" ca="1" si="9"/>
        <v>82</v>
      </c>
      <c r="J119" s="11" t="str">
        <f t="shared" ca="1" si="10"/>
        <v>관리</v>
      </c>
      <c r="K119" s="10">
        <v>46112</v>
      </c>
      <c r="L119" s="10"/>
      <c r="M119" s="9"/>
      <c r="N119" s="9" t="s">
        <v>22</v>
      </c>
      <c r="O119" s="5" t="s">
        <v>61</v>
      </c>
      <c r="P119" s="5" t="s">
        <v>69</v>
      </c>
      <c r="Q119" s="10"/>
      <c r="R119" s="10"/>
      <c r="S119" s="9"/>
    </row>
    <row r="120" spans="2:19" s="5" customFormat="1" ht="16.5" hidden="1" customHeight="1">
      <c r="B120" s="9">
        <f>IF(C120="","",COUNTA($C$2:C120))</f>
        <v>119</v>
      </c>
      <c r="C120" s="48">
        <v>46079</v>
      </c>
      <c r="D120" s="9" t="str">
        <f t="shared" si="11"/>
        <v>B</v>
      </c>
      <c r="E120" s="25" t="s">
        <v>170</v>
      </c>
      <c r="F120" s="25" t="s">
        <v>171</v>
      </c>
      <c r="G120" s="5" t="s">
        <v>52</v>
      </c>
      <c r="H120" s="46">
        <v>4470000</v>
      </c>
      <c r="I120" s="5">
        <f t="shared" ca="1" si="9"/>
        <v>0</v>
      </c>
      <c r="J120" s="11" t="str">
        <f t="shared" ca="1" si="10"/>
        <v>정상</v>
      </c>
      <c r="K120" s="10"/>
      <c r="L120" s="10">
        <v>46079</v>
      </c>
      <c r="M120" s="9"/>
      <c r="N120" s="9" t="s">
        <v>35</v>
      </c>
      <c r="Q120" s="10"/>
      <c r="R120" s="10"/>
      <c r="S120" s="9"/>
    </row>
    <row r="121" spans="2:19" s="5" customFormat="1" ht="16.5" hidden="1" customHeight="1">
      <c r="B121" s="9">
        <f>IF(C121="","",COUNTA($C$2:C121))</f>
        <v>120</v>
      </c>
      <c r="C121" s="48">
        <v>46080</v>
      </c>
      <c r="D121" s="9" t="str">
        <f t="shared" si="11"/>
        <v>B</v>
      </c>
      <c r="E121" s="25" t="s">
        <v>172</v>
      </c>
      <c r="F121" s="25" t="s">
        <v>173</v>
      </c>
      <c r="G121" s="5" t="s">
        <v>52</v>
      </c>
      <c r="H121" s="46">
        <v>210000</v>
      </c>
      <c r="I121" s="5">
        <f t="shared" ca="1" si="9"/>
        <v>0</v>
      </c>
      <c r="J121" s="11" t="str">
        <f t="shared" ca="1" si="10"/>
        <v>정상</v>
      </c>
      <c r="K121" s="10"/>
      <c r="L121" s="10">
        <v>46080</v>
      </c>
      <c r="M121" s="9"/>
      <c r="N121" s="9" t="s">
        <v>35</v>
      </c>
      <c r="Q121" s="10"/>
      <c r="R121" s="10"/>
      <c r="S121" s="9"/>
    </row>
    <row r="122" spans="2:19" s="5" customFormat="1" ht="16.5" hidden="1" customHeight="1">
      <c r="B122" s="9">
        <f>IF(C122="","",COUNTA($C$2:C122))</f>
        <v>121</v>
      </c>
      <c r="C122" s="48">
        <v>46080</v>
      </c>
      <c r="D122" s="9" t="str">
        <f t="shared" si="11"/>
        <v>B</v>
      </c>
      <c r="E122" s="25" t="s">
        <v>146</v>
      </c>
      <c r="F122" s="25" t="s">
        <v>174</v>
      </c>
      <c r="G122" s="5" t="s">
        <v>52</v>
      </c>
      <c r="H122" s="46">
        <v>893000</v>
      </c>
      <c r="I122" s="5">
        <f t="shared" ca="1" si="9"/>
        <v>62</v>
      </c>
      <c r="J122" s="11" t="str">
        <f t="shared" ca="1" si="10"/>
        <v>관리</v>
      </c>
      <c r="K122" s="10"/>
      <c r="L122" s="10">
        <v>46142</v>
      </c>
      <c r="M122" s="9"/>
      <c r="N122" s="9" t="s">
        <v>35</v>
      </c>
      <c r="Q122" s="10"/>
      <c r="R122" s="10"/>
      <c r="S122" s="9"/>
    </row>
    <row r="123" spans="2:19" s="5" customFormat="1" ht="16.5" hidden="1" customHeight="1">
      <c r="B123" s="9">
        <f>IF(C123="","",COUNTA($C$2:C123))</f>
        <v>122</v>
      </c>
      <c r="C123" s="48">
        <v>46080</v>
      </c>
      <c r="D123" s="9" t="str">
        <f t="shared" si="11"/>
        <v>B</v>
      </c>
      <c r="E123" s="25" t="s">
        <v>175</v>
      </c>
      <c r="F123" s="25" t="s">
        <v>176</v>
      </c>
      <c r="G123" s="5" t="s">
        <v>52</v>
      </c>
      <c r="H123" s="46">
        <v>4490000</v>
      </c>
      <c r="I123" s="5">
        <f t="shared" ca="1" si="9"/>
        <v>62</v>
      </c>
      <c r="J123" s="11" t="str">
        <f t="shared" ca="1" si="10"/>
        <v>관리</v>
      </c>
      <c r="K123" s="10">
        <v>46142</v>
      </c>
      <c r="L123" s="10">
        <v>46142</v>
      </c>
      <c r="M123" s="9"/>
      <c r="N123" s="9" t="s">
        <v>35</v>
      </c>
      <c r="Q123" s="10"/>
      <c r="R123" s="10"/>
      <c r="S123" s="9"/>
    </row>
    <row r="124" spans="2:19" s="5" customFormat="1" ht="16.5" hidden="1" customHeight="1">
      <c r="B124" s="9">
        <f>IF(C124="","",COUNTA($C$2:C124))</f>
        <v>123</v>
      </c>
      <c r="C124" s="48">
        <v>46080</v>
      </c>
      <c r="D124" s="9" t="str">
        <f t="shared" si="11"/>
        <v>B</v>
      </c>
      <c r="E124" s="25" t="s">
        <v>177</v>
      </c>
      <c r="F124" s="25" t="s">
        <v>178</v>
      </c>
      <c r="G124" s="5" t="s">
        <v>52</v>
      </c>
      <c r="H124" s="46">
        <v>1516000</v>
      </c>
      <c r="I124" s="5">
        <f t="shared" ca="1" si="9"/>
        <v>18</v>
      </c>
      <c r="J124" s="11" t="str">
        <f t="shared" ca="1" si="10"/>
        <v>정상</v>
      </c>
      <c r="K124" s="10"/>
      <c r="L124" s="10">
        <v>46098</v>
      </c>
      <c r="M124" s="9"/>
      <c r="N124" s="9" t="s">
        <v>35</v>
      </c>
      <c r="Q124" s="10"/>
      <c r="R124" s="10"/>
      <c r="S124" s="9"/>
    </row>
    <row r="125" spans="2:19" s="5" customFormat="1" ht="16.5" hidden="1" customHeight="1">
      <c r="B125" s="9">
        <f>IF(C125="","",COUNTA($C$2:C125))</f>
        <v>124</v>
      </c>
      <c r="C125" s="48">
        <v>46080</v>
      </c>
      <c r="D125" s="9" t="str">
        <f t="shared" si="11"/>
        <v>B</v>
      </c>
      <c r="E125" s="25" t="s">
        <v>130</v>
      </c>
      <c r="F125" s="25" t="s">
        <v>179</v>
      </c>
      <c r="G125" s="5" t="s">
        <v>52</v>
      </c>
      <c r="H125" s="46">
        <v>521000</v>
      </c>
      <c r="I125" s="5">
        <f t="shared" ca="1" si="9"/>
        <v>56</v>
      </c>
      <c r="J125" s="11" t="str">
        <f t="shared" ca="1" si="10"/>
        <v>관리</v>
      </c>
      <c r="K125" s="10"/>
      <c r="L125" s="10">
        <v>46136</v>
      </c>
      <c r="M125" s="9"/>
      <c r="N125" s="9" t="s">
        <v>35</v>
      </c>
      <c r="Q125" s="10"/>
      <c r="R125" s="10"/>
      <c r="S125" s="9"/>
    </row>
    <row r="126" spans="2:19" s="5" customFormat="1" ht="16.5" hidden="1" customHeight="1">
      <c r="B126" s="9">
        <v>125</v>
      </c>
      <c r="C126" s="48">
        <v>46080</v>
      </c>
      <c r="D126" s="9" t="s">
        <v>180</v>
      </c>
      <c r="E126" s="25" t="s">
        <v>181</v>
      </c>
      <c r="F126" s="25" t="s">
        <v>182</v>
      </c>
      <c r="G126" s="5" t="s">
        <v>41</v>
      </c>
      <c r="H126" s="46">
        <v>9036000</v>
      </c>
      <c r="J126" s="11" t="s">
        <v>183</v>
      </c>
      <c r="K126" s="10"/>
      <c r="L126" s="10">
        <v>46112</v>
      </c>
      <c r="M126" s="9"/>
      <c r="N126" s="9" t="s">
        <v>35</v>
      </c>
      <c r="Q126" s="10"/>
      <c r="R126" s="10"/>
      <c r="S126" s="9"/>
    </row>
    <row r="127" spans="2:19" s="5" customFormat="1" ht="16.5" hidden="1" customHeight="1">
      <c r="B127" s="9">
        <f>IF(C127="","",COUNTA($C$2:C127))</f>
        <v>126</v>
      </c>
      <c r="C127" s="48">
        <v>46080</v>
      </c>
      <c r="D127" s="9" t="str">
        <f t="shared" ref="D127:D141" si="12">IF(G127="","",IF(OR(G127="선급금",G127="중도금",G127="잔금"),"A",IF(G127="자재","B",IF(G127="특허료","C",""))))</f>
        <v>B</v>
      </c>
      <c r="E127" s="25" t="s">
        <v>184</v>
      </c>
      <c r="F127" s="25" t="s">
        <v>185</v>
      </c>
      <c r="G127" s="5" t="s">
        <v>52</v>
      </c>
      <c r="H127" s="46">
        <v>6520600</v>
      </c>
      <c r="I127" s="5">
        <f t="shared" ref="I127:I190" ca="1" si="13">IF(C127="","",IF(L127="",TODAY()-C127,L127-C127))</f>
        <v>32</v>
      </c>
      <c r="J127" s="11" t="str">
        <f ca="1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0"/>
      <c r="L127" s="10">
        <v>46112</v>
      </c>
      <c r="M127" s="9"/>
      <c r="N127" s="9" t="s">
        <v>35</v>
      </c>
      <c r="Q127" s="10"/>
      <c r="R127" s="10"/>
      <c r="S127" s="9"/>
    </row>
    <row r="128" spans="2:19" s="5" customFormat="1" ht="16.5" customHeight="1">
      <c r="B128" s="9">
        <f>IF(C128="","",COUNTA($C$2:C128))</f>
        <v>127</v>
      </c>
      <c r="C128" s="48">
        <v>46084</v>
      </c>
      <c r="D128" s="9" t="str">
        <f t="shared" si="12"/>
        <v>B</v>
      </c>
      <c r="E128" s="25" t="s">
        <v>186</v>
      </c>
      <c r="F128" s="25" t="s">
        <v>187</v>
      </c>
      <c r="G128" s="5" t="s">
        <v>52</v>
      </c>
      <c r="H128" s="46">
        <v>2330000</v>
      </c>
      <c r="I128" s="5">
        <f t="shared" ca="1" si="13"/>
        <v>76</v>
      </c>
      <c r="J128" s="11" t="str">
        <f t="shared" ref="J128:J157" ca="1" si="14">IF(I128="","",
IF(G128="선급금",
IF(I128&lt;=20,"정상",IF(I128&lt;=90,"관리","장기미수")),
IF(G128="자재",
IF(I128&lt;=40,"정상",IF(I128&lt;=90,"관리","장기미수")),
IF(I128&lt;=30,"정상",IF(I128&lt;=90,"관리","장기미수"))
)
)
)</f>
        <v>관리</v>
      </c>
      <c r="K128" s="10">
        <v>46173</v>
      </c>
      <c r="L128" s="10"/>
      <c r="M128" s="9"/>
      <c r="N128" s="9" t="s">
        <v>35</v>
      </c>
      <c r="Q128" s="10"/>
      <c r="R128" s="10"/>
      <c r="S128" s="9"/>
    </row>
    <row r="129" spans="2:19" s="5" customFormat="1" ht="16.5" hidden="1" customHeight="1">
      <c r="B129" s="9">
        <f>IF(C129="","",COUNTA($C$2:C129))</f>
        <v>128</v>
      </c>
      <c r="C129" s="48">
        <v>46084</v>
      </c>
      <c r="D129" s="9" t="str">
        <f t="shared" si="12"/>
        <v>B</v>
      </c>
      <c r="E129" s="25" t="s">
        <v>161</v>
      </c>
      <c r="F129" s="25" t="s">
        <v>188</v>
      </c>
      <c r="G129" s="5" t="s">
        <v>52</v>
      </c>
      <c r="H129" s="46">
        <v>52200</v>
      </c>
      <c r="I129" s="5">
        <f t="shared" ca="1" si="13"/>
        <v>38</v>
      </c>
      <c r="J129" s="11" t="str">
        <f t="shared" ca="1" si="14"/>
        <v>정상</v>
      </c>
      <c r="K129" s="10"/>
      <c r="L129" s="10">
        <v>46122</v>
      </c>
      <c r="M129" s="9"/>
      <c r="N129" s="9" t="s">
        <v>35</v>
      </c>
      <c r="Q129" s="10"/>
      <c r="R129" s="10"/>
      <c r="S129" s="9"/>
    </row>
    <row r="130" spans="2:19" s="5" customFormat="1" ht="16.5" customHeight="1">
      <c r="B130" s="9">
        <f>IF(C130="","",COUNTA($C$2:C130))</f>
        <v>129</v>
      </c>
      <c r="C130" s="48">
        <v>46084</v>
      </c>
      <c r="D130" s="9" t="str">
        <f t="shared" si="12"/>
        <v>B</v>
      </c>
      <c r="E130" s="25" t="s">
        <v>186</v>
      </c>
      <c r="F130" s="25" t="s">
        <v>189</v>
      </c>
      <c r="G130" s="5" t="s">
        <v>52</v>
      </c>
      <c r="H130" s="46">
        <v>7624000</v>
      </c>
      <c r="I130" s="5">
        <f t="shared" ca="1" si="13"/>
        <v>76</v>
      </c>
      <c r="J130" s="11" t="str">
        <f t="shared" ca="1" si="14"/>
        <v>관리</v>
      </c>
      <c r="K130" s="10">
        <v>46173</v>
      </c>
      <c r="L130" s="10"/>
      <c r="M130" s="9"/>
      <c r="N130" s="9" t="s">
        <v>35</v>
      </c>
      <c r="Q130" s="10"/>
      <c r="R130" s="10"/>
      <c r="S130" s="9"/>
    </row>
    <row r="131" spans="2:19" s="5" customFormat="1" ht="16.5" hidden="1" customHeight="1">
      <c r="B131" s="9">
        <f>IF(C131="","",COUNTA($C$2:C131))</f>
        <v>130</v>
      </c>
      <c r="C131" s="48">
        <v>46084</v>
      </c>
      <c r="D131" s="9" t="str">
        <f t="shared" si="12"/>
        <v>B</v>
      </c>
      <c r="E131" s="25" t="s">
        <v>190</v>
      </c>
      <c r="F131" s="25" t="s">
        <v>191</v>
      </c>
      <c r="G131" s="5" t="s">
        <v>52</v>
      </c>
      <c r="H131" s="46">
        <v>4010000</v>
      </c>
      <c r="I131" s="5">
        <f t="shared" ca="1" si="13"/>
        <v>7</v>
      </c>
      <c r="J131" s="11" t="str">
        <f t="shared" ca="1" si="14"/>
        <v>정상</v>
      </c>
      <c r="K131" s="10"/>
      <c r="L131" s="10">
        <v>46091</v>
      </c>
      <c r="M131" s="9"/>
      <c r="N131" s="9" t="s">
        <v>35</v>
      </c>
      <c r="Q131" s="10"/>
      <c r="R131" s="10"/>
      <c r="S131" s="9"/>
    </row>
    <row r="132" spans="2:19" s="5" customFormat="1" ht="16.5" hidden="1" customHeight="1">
      <c r="B132" s="9">
        <f>IF(C132="","",COUNTA($C$2:C132))</f>
        <v>131</v>
      </c>
      <c r="C132" s="48">
        <v>46084</v>
      </c>
      <c r="D132" s="9" t="str">
        <f t="shared" si="12"/>
        <v>B</v>
      </c>
      <c r="E132" s="25" t="s">
        <v>168</v>
      </c>
      <c r="F132" s="25" t="s">
        <v>192</v>
      </c>
      <c r="G132" s="5" t="s">
        <v>52</v>
      </c>
      <c r="H132" s="46">
        <v>889500</v>
      </c>
      <c r="I132" s="5">
        <f t="shared" ca="1" si="13"/>
        <v>7</v>
      </c>
      <c r="J132" s="11" t="str">
        <f t="shared" ca="1" si="14"/>
        <v>정상</v>
      </c>
      <c r="K132" s="10"/>
      <c r="L132" s="10">
        <v>46091</v>
      </c>
      <c r="M132" s="9"/>
      <c r="N132" s="9" t="s">
        <v>35</v>
      </c>
      <c r="Q132" s="10"/>
      <c r="R132" s="10"/>
      <c r="S132" s="9"/>
    </row>
    <row r="133" spans="2:19" s="5" customFormat="1" ht="16.5" hidden="1" customHeight="1">
      <c r="B133" s="9">
        <f>IF(C133="","",COUNTA($C$2:C133))</f>
        <v>132</v>
      </c>
      <c r="C133" s="48">
        <v>46084</v>
      </c>
      <c r="D133" s="9" t="str">
        <f t="shared" si="12"/>
        <v>B</v>
      </c>
      <c r="E133" s="25" t="s">
        <v>193</v>
      </c>
      <c r="F133" s="25" t="s">
        <v>194</v>
      </c>
      <c r="G133" s="5" t="s">
        <v>52</v>
      </c>
      <c r="H133" s="46">
        <v>2470000</v>
      </c>
      <c r="I133" s="5">
        <f t="shared" ca="1" si="13"/>
        <v>7</v>
      </c>
      <c r="J133" s="11" t="str">
        <f t="shared" ca="1" si="14"/>
        <v>정상</v>
      </c>
      <c r="K133" s="10"/>
      <c r="L133" s="10">
        <v>46091</v>
      </c>
      <c r="M133" s="9"/>
      <c r="N133" s="9" t="s">
        <v>35</v>
      </c>
      <c r="Q133" s="10"/>
      <c r="R133" s="10"/>
      <c r="S133" s="9"/>
    </row>
    <row r="134" spans="2:19" s="5" customFormat="1" ht="16.5" hidden="1" customHeight="1">
      <c r="B134" s="9">
        <f>IF(C134="","",COUNTA($C$2:C134))</f>
        <v>133</v>
      </c>
      <c r="C134" s="48">
        <v>46084</v>
      </c>
      <c r="D134" s="9" t="str">
        <f t="shared" si="12"/>
        <v>B</v>
      </c>
      <c r="E134" s="25" t="s">
        <v>195</v>
      </c>
      <c r="F134" s="25" t="s">
        <v>196</v>
      </c>
      <c r="G134" s="5" t="s">
        <v>52</v>
      </c>
      <c r="H134" s="46">
        <v>72937600</v>
      </c>
      <c r="I134" s="5">
        <f t="shared" ca="1" si="13"/>
        <v>28</v>
      </c>
      <c r="J134" s="11" t="str">
        <f t="shared" ca="1" si="14"/>
        <v>정상</v>
      </c>
      <c r="K134" s="10"/>
      <c r="L134" s="10">
        <v>46112</v>
      </c>
      <c r="M134" s="9"/>
      <c r="N134" s="9" t="s">
        <v>35</v>
      </c>
      <c r="Q134" s="10"/>
      <c r="R134" s="10"/>
      <c r="S134" s="9"/>
    </row>
    <row r="135" spans="2:19" s="5" customFormat="1" ht="16.5" hidden="1" customHeight="1">
      <c r="B135" s="9">
        <f>IF(C135="","",COUNTA($C$2:C135))</f>
        <v>134</v>
      </c>
      <c r="C135" s="48">
        <v>46084</v>
      </c>
      <c r="D135" s="9" t="str">
        <f t="shared" si="12"/>
        <v>B</v>
      </c>
      <c r="E135" s="25" t="s">
        <v>197</v>
      </c>
      <c r="F135" s="25" t="s">
        <v>198</v>
      </c>
      <c r="G135" s="5" t="s">
        <v>52</v>
      </c>
      <c r="H135" s="46">
        <v>5427900</v>
      </c>
      <c r="I135" s="5">
        <f t="shared" ca="1" si="13"/>
        <v>-4</v>
      </c>
      <c r="J135" s="11" t="str">
        <f t="shared" ca="1" si="14"/>
        <v>정상</v>
      </c>
      <c r="K135" s="10"/>
      <c r="L135" s="10">
        <v>46080</v>
      </c>
      <c r="M135" s="9"/>
      <c r="N135" s="9" t="s">
        <v>35</v>
      </c>
      <c r="Q135" s="10"/>
      <c r="R135" s="10"/>
      <c r="S135" s="9"/>
    </row>
    <row r="136" spans="2:19" s="5" customFormat="1" ht="16.5" hidden="1" customHeight="1">
      <c r="B136" s="9">
        <f>IF(C136="","",COUNTA($C$2:C136))</f>
        <v>135</v>
      </c>
      <c r="C136" s="27">
        <v>46085</v>
      </c>
      <c r="D136" s="9" t="str">
        <f t="shared" si="12"/>
        <v>A</v>
      </c>
      <c r="E136" s="26" t="s">
        <v>199</v>
      </c>
      <c r="F136" s="26" t="s">
        <v>200</v>
      </c>
      <c r="G136" s="5" t="s">
        <v>20</v>
      </c>
      <c r="H136" s="42">
        <v>12360000</v>
      </c>
      <c r="I136" s="5">
        <f t="shared" ca="1" si="13"/>
        <v>1</v>
      </c>
      <c r="J136" s="11" t="str">
        <f t="shared" ca="1" si="14"/>
        <v>정상</v>
      </c>
      <c r="K136" s="10">
        <v>46105</v>
      </c>
      <c r="L136" s="10">
        <v>46086</v>
      </c>
      <c r="M136" s="9"/>
      <c r="N136" s="9" t="s">
        <v>35</v>
      </c>
      <c r="Q136" s="10"/>
      <c r="R136" s="10"/>
      <c r="S136" s="9"/>
    </row>
    <row r="137" spans="2:19" s="5" customFormat="1" ht="16.5" hidden="1" customHeight="1">
      <c r="B137" s="9">
        <f>IF(C137="","",COUNTA($C$2:C137))</f>
        <v>136</v>
      </c>
      <c r="C137" s="27">
        <v>46085</v>
      </c>
      <c r="D137" s="9" t="str">
        <f t="shared" si="12"/>
        <v>A</v>
      </c>
      <c r="E137" s="26" t="s">
        <v>201</v>
      </c>
      <c r="F137" s="26" t="s">
        <v>202</v>
      </c>
      <c r="G137" s="5" t="s">
        <v>20</v>
      </c>
      <c r="H137" s="49">
        <v>11171400</v>
      </c>
      <c r="I137" s="5">
        <f t="shared" ca="1" si="13"/>
        <v>13</v>
      </c>
      <c r="J137" s="11" t="str">
        <f t="shared" ca="1" si="14"/>
        <v>정상</v>
      </c>
      <c r="K137" s="10">
        <v>46105</v>
      </c>
      <c r="L137" s="10">
        <v>46098</v>
      </c>
      <c r="M137" s="9"/>
      <c r="N137" s="9" t="s">
        <v>35</v>
      </c>
      <c r="Q137" s="10"/>
      <c r="R137" s="10"/>
      <c r="S137" s="9"/>
    </row>
    <row r="138" spans="2:19" s="5" customFormat="1" ht="16.5" hidden="1" customHeight="1">
      <c r="B138" s="9">
        <f>IF(C138="","",COUNTA($C$2:C138))</f>
        <v>137</v>
      </c>
      <c r="C138" s="27">
        <v>46085</v>
      </c>
      <c r="D138" s="9" t="str">
        <f t="shared" si="12"/>
        <v>A</v>
      </c>
      <c r="E138" s="26" t="s">
        <v>203</v>
      </c>
      <c r="F138" s="28" t="s">
        <v>204</v>
      </c>
      <c r="G138" s="5" t="s">
        <v>20</v>
      </c>
      <c r="H138" s="49">
        <v>11115400</v>
      </c>
      <c r="I138" s="5">
        <f t="shared" ca="1" si="13"/>
        <v>33</v>
      </c>
      <c r="J138" s="11" t="str">
        <f t="shared" ca="1" si="14"/>
        <v>관리</v>
      </c>
      <c r="K138" s="10">
        <v>46105</v>
      </c>
      <c r="L138" s="10">
        <v>46118</v>
      </c>
      <c r="M138" s="9"/>
      <c r="N138" s="9" t="s">
        <v>35</v>
      </c>
      <c r="Q138" s="10"/>
      <c r="R138" s="10"/>
      <c r="S138" s="9"/>
    </row>
    <row r="139" spans="2:19" s="5" customFormat="1" ht="16.5" hidden="1" customHeight="1">
      <c r="B139" s="9">
        <f>IF(C139="","",COUNTA($C$2:C139))</f>
        <v>138</v>
      </c>
      <c r="C139" s="27">
        <v>46085</v>
      </c>
      <c r="D139" s="9" t="str">
        <f t="shared" si="12"/>
        <v>A</v>
      </c>
      <c r="E139" s="26" t="s">
        <v>205</v>
      </c>
      <c r="F139" s="5" t="s">
        <v>206</v>
      </c>
      <c r="G139" s="5" t="s">
        <v>20</v>
      </c>
      <c r="H139" s="49">
        <v>9772000</v>
      </c>
      <c r="I139" s="5">
        <f t="shared" ca="1" si="13"/>
        <v>0</v>
      </c>
      <c r="J139" s="11" t="str">
        <f t="shared" ca="1" si="14"/>
        <v>정상</v>
      </c>
      <c r="K139" s="10">
        <v>46105</v>
      </c>
      <c r="L139" s="10">
        <v>46085</v>
      </c>
      <c r="M139" s="9"/>
      <c r="N139" s="9" t="s">
        <v>35</v>
      </c>
      <c r="Q139" s="10"/>
      <c r="R139" s="10"/>
      <c r="S139" s="9"/>
    </row>
    <row r="140" spans="2:19" s="5" customFormat="1" ht="16.5" hidden="1" customHeight="1">
      <c r="B140" s="9">
        <f>IF(C140="","",COUNTA($C$2:C140))</f>
        <v>139</v>
      </c>
      <c r="C140" s="27">
        <v>46086</v>
      </c>
      <c r="D140" s="9" t="str">
        <f t="shared" si="12"/>
        <v>A</v>
      </c>
      <c r="E140" s="26" t="s">
        <v>205</v>
      </c>
      <c r="F140" s="26" t="s">
        <v>206</v>
      </c>
      <c r="G140" s="5" t="s">
        <v>34</v>
      </c>
      <c r="H140" s="49">
        <v>19544000</v>
      </c>
      <c r="I140" s="5">
        <f t="shared" ca="1" si="13"/>
        <v>4</v>
      </c>
      <c r="J140" s="11" t="str">
        <f t="shared" ca="1" si="14"/>
        <v>정상</v>
      </c>
      <c r="K140" s="10">
        <v>46116</v>
      </c>
      <c r="L140" s="10">
        <v>46090</v>
      </c>
      <c r="M140" s="9"/>
      <c r="N140" s="9" t="s">
        <v>35</v>
      </c>
      <c r="Q140" s="10"/>
      <c r="R140" s="10"/>
      <c r="S140" s="9"/>
    </row>
    <row r="141" spans="2:19" s="5" customFormat="1" ht="16.5" hidden="1" customHeight="1">
      <c r="B141" s="9">
        <f>IF(C141="","",COUNTA($C$2:C141))</f>
        <v>140</v>
      </c>
      <c r="C141" s="27">
        <v>46086</v>
      </c>
      <c r="D141" s="9" t="str">
        <f t="shared" si="12"/>
        <v>A</v>
      </c>
      <c r="E141" s="5" t="s">
        <v>207</v>
      </c>
      <c r="F141" s="5" t="s">
        <v>208</v>
      </c>
      <c r="G141" s="5" t="s">
        <v>20</v>
      </c>
      <c r="H141" s="50">
        <v>30186600</v>
      </c>
      <c r="I141" s="5">
        <f t="shared" ca="1" si="13"/>
        <v>36</v>
      </c>
      <c r="J141" s="11" t="str">
        <f t="shared" ca="1" si="14"/>
        <v>관리</v>
      </c>
      <c r="K141" s="10">
        <v>46106</v>
      </c>
      <c r="L141" s="10">
        <v>46122</v>
      </c>
      <c r="M141" s="9"/>
      <c r="N141" s="9" t="s">
        <v>35</v>
      </c>
      <c r="Q141" s="10"/>
      <c r="R141" s="10"/>
      <c r="S141" s="9"/>
    </row>
    <row r="142" spans="2:19" s="5" customFormat="1" ht="16.5" hidden="1" customHeight="1">
      <c r="B142" s="9">
        <f>IF(C142="","",COUNTA($C$2:C142))</f>
        <v>141</v>
      </c>
      <c r="C142" s="27">
        <v>46086</v>
      </c>
      <c r="D142" s="9" t="s">
        <v>160</v>
      </c>
      <c r="E142" s="20" t="s">
        <v>168</v>
      </c>
      <c r="F142" s="20" t="s">
        <v>169</v>
      </c>
      <c r="G142" s="5" t="s">
        <v>52</v>
      </c>
      <c r="H142" s="44">
        <v>5775000</v>
      </c>
      <c r="I142" s="5">
        <f t="shared" ca="1" si="13"/>
        <v>40</v>
      </c>
      <c r="J142" s="11" t="str">
        <f t="shared" ca="1" si="14"/>
        <v>정상</v>
      </c>
      <c r="K142" s="10"/>
      <c r="L142" s="10">
        <v>46126</v>
      </c>
      <c r="M142" s="9"/>
      <c r="N142" s="9" t="s">
        <v>35</v>
      </c>
      <c r="Q142" s="10"/>
      <c r="R142" s="10"/>
      <c r="S142" s="9"/>
    </row>
    <row r="143" spans="2:19" s="5" customFormat="1" ht="16.5" hidden="1" customHeight="1">
      <c r="B143" s="9">
        <f>IF(C143="","",COUNTA($C$2:C143))</f>
        <v>142</v>
      </c>
      <c r="C143" s="27">
        <v>46086</v>
      </c>
      <c r="D143" s="9" t="s">
        <v>160</v>
      </c>
      <c r="E143" s="20" t="s">
        <v>175</v>
      </c>
      <c r="F143" s="20" t="s">
        <v>176</v>
      </c>
      <c r="G143" s="5" t="s">
        <v>52</v>
      </c>
      <c r="H143" s="44">
        <v>2260000</v>
      </c>
      <c r="I143" s="5">
        <f t="shared" ca="1" si="13"/>
        <v>56</v>
      </c>
      <c r="J143" s="11" t="str">
        <f t="shared" ca="1" si="14"/>
        <v>관리</v>
      </c>
      <c r="K143" s="10">
        <v>46142</v>
      </c>
      <c r="L143" s="10">
        <v>46142</v>
      </c>
      <c r="M143" s="9"/>
      <c r="N143" s="9" t="s">
        <v>35</v>
      </c>
      <c r="Q143" s="10"/>
      <c r="R143" s="10"/>
      <c r="S143" s="9"/>
    </row>
    <row r="144" spans="2:19" s="5" customFormat="1" ht="16.5" customHeight="1">
      <c r="B144" s="9">
        <f>IF(C144="","",COUNTA($C$2:C144))</f>
        <v>143</v>
      </c>
      <c r="C144" s="27">
        <v>46086</v>
      </c>
      <c r="D144" s="9" t="s">
        <v>160</v>
      </c>
      <c r="E144" s="20" t="s">
        <v>28</v>
      </c>
      <c r="F144" s="20" t="s">
        <v>209</v>
      </c>
      <c r="G144" s="5" t="s">
        <v>52</v>
      </c>
      <c r="H144" s="44">
        <v>237000</v>
      </c>
      <c r="I144" s="5">
        <f t="shared" ca="1" si="13"/>
        <v>74</v>
      </c>
      <c r="J144" s="11" t="str">
        <f t="shared" ca="1" si="14"/>
        <v>관리</v>
      </c>
      <c r="K144" s="10"/>
      <c r="L144" s="10"/>
      <c r="M144" s="9"/>
      <c r="N144" s="9" t="s">
        <v>35</v>
      </c>
      <c r="P144" s="5" t="s">
        <v>91</v>
      </c>
      <c r="Q144" s="10"/>
      <c r="R144" s="10"/>
      <c r="S144" s="9"/>
    </row>
    <row r="145" spans="2:19" s="5" customFormat="1" ht="16.5" hidden="1" customHeight="1">
      <c r="B145" s="9">
        <f>IF(C145="","",COUNTA($C$2:C145))</f>
        <v>144</v>
      </c>
      <c r="C145" s="27">
        <v>46086</v>
      </c>
      <c r="D145" s="9" t="s">
        <v>160</v>
      </c>
      <c r="E145" s="20" t="s">
        <v>210</v>
      </c>
      <c r="F145" s="20" t="s">
        <v>211</v>
      </c>
      <c r="G145" s="5" t="s">
        <v>52</v>
      </c>
      <c r="H145" s="44">
        <v>167500</v>
      </c>
      <c r="I145" s="5">
        <f t="shared" ca="1" si="13"/>
        <v>26</v>
      </c>
      <c r="J145" s="11" t="str">
        <f t="shared" ca="1" si="14"/>
        <v>정상</v>
      </c>
      <c r="K145" s="10"/>
      <c r="L145" s="10">
        <v>46112</v>
      </c>
      <c r="M145" s="9"/>
      <c r="N145" s="9" t="s">
        <v>35</v>
      </c>
      <c r="Q145" s="10"/>
      <c r="R145" s="10"/>
      <c r="S145" s="9"/>
    </row>
    <row r="146" spans="2:19" s="5" customFormat="1" ht="16.5" hidden="1" customHeight="1">
      <c r="B146" s="9">
        <f>IF(C146="","",COUNTA($C$2:C146))</f>
        <v>145</v>
      </c>
      <c r="C146" s="27">
        <v>46086</v>
      </c>
      <c r="D146" s="9" t="s">
        <v>160</v>
      </c>
      <c r="E146" s="20" t="s">
        <v>140</v>
      </c>
      <c r="F146" s="20" t="s">
        <v>212</v>
      </c>
      <c r="G146" s="5" t="s">
        <v>52</v>
      </c>
      <c r="H146" s="44">
        <v>3179600</v>
      </c>
      <c r="I146" s="5">
        <f t="shared" ca="1" si="13"/>
        <v>55</v>
      </c>
      <c r="J146" s="11" t="str">
        <f t="shared" ca="1" si="14"/>
        <v>관리</v>
      </c>
      <c r="K146" s="10"/>
      <c r="L146" s="10">
        <v>46141</v>
      </c>
      <c r="M146" s="9"/>
      <c r="N146" s="9" t="s">
        <v>35</v>
      </c>
      <c r="Q146" s="10"/>
      <c r="R146" s="10"/>
      <c r="S146" s="9"/>
    </row>
    <row r="147" spans="2:19" s="5" customFormat="1" ht="16.5" customHeight="1">
      <c r="B147" s="9">
        <f>IF(C147="","",COUNTA($C$2:C147))</f>
        <v>146</v>
      </c>
      <c r="C147" s="27">
        <v>46086</v>
      </c>
      <c r="D147" s="9" t="s">
        <v>160</v>
      </c>
      <c r="E147" s="20" t="s">
        <v>186</v>
      </c>
      <c r="F147" s="20" t="s">
        <v>187</v>
      </c>
      <c r="G147" s="5" t="s">
        <v>52</v>
      </c>
      <c r="H147" s="44">
        <v>5500000</v>
      </c>
      <c r="I147" s="5">
        <f t="shared" ca="1" si="13"/>
        <v>74</v>
      </c>
      <c r="J147" s="11" t="str">
        <f t="shared" ca="1" si="14"/>
        <v>관리</v>
      </c>
      <c r="K147" s="10">
        <v>46173</v>
      </c>
      <c r="L147" s="10"/>
      <c r="M147" s="9"/>
      <c r="N147" s="9" t="s">
        <v>35</v>
      </c>
      <c r="Q147" s="10"/>
      <c r="R147" s="10"/>
      <c r="S147" s="9"/>
    </row>
    <row r="148" spans="2:19" s="5" customFormat="1" ht="16.5" customHeight="1">
      <c r="B148" s="9">
        <f>IF(C148="","",COUNTA($C$2:C148))</f>
        <v>147</v>
      </c>
      <c r="C148" s="27">
        <v>46086</v>
      </c>
      <c r="D148" s="9" t="s">
        <v>160</v>
      </c>
      <c r="E148" s="20" t="s">
        <v>186</v>
      </c>
      <c r="F148" s="20" t="s">
        <v>187</v>
      </c>
      <c r="G148" s="5" t="s">
        <v>52</v>
      </c>
      <c r="H148" s="44">
        <v>1801000</v>
      </c>
      <c r="I148" s="5">
        <f t="shared" ca="1" si="13"/>
        <v>74</v>
      </c>
      <c r="J148" s="11" t="str">
        <f t="shared" ca="1" si="14"/>
        <v>관리</v>
      </c>
      <c r="K148" s="10">
        <v>46173</v>
      </c>
      <c r="L148" s="10"/>
      <c r="M148" s="9"/>
      <c r="N148" s="9" t="s">
        <v>35</v>
      </c>
      <c r="Q148" s="10"/>
      <c r="R148" s="10"/>
      <c r="S148" s="9"/>
    </row>
    <row r="149" spans="2:19" s="5" customFormat="1" ht="16.5" customHeight="1">
      <c r="B149" s="9">
        <f>IF(C149="","",COUNTA($C$2:C149))</f>
        <v>148</v>
      </c>
      <c r="C149" s="27">
        <v>46086</v>
      </c>
      <c r="D149" s="9" t="s">
        <v>160</v>
      </c>
      <c r="E149" s="20" t="s">
        <v>186</v>
      </c>
      <c r="F149" s="20" t="s">
        <v>213</v>
      </c>
      <c r="G149" s="5" t="s">
        <v>52</v>
      </c>
      <c r="H149" s="44">
        <v>6400500</v>
      </c>
      <c r="I149" s="5">
        <f t="shared" ca="1" si="13"/>
        <v>74</v>
      </c>
      <c r="J149" s="11" t="str">
        <f t="shared" ca="1" si="14"/>
        <v>관리</v>
      </c>
      <c r="K149" s="10">
        <v>46173</v>
      </c>
      <c r="L149" s="10"/>
      <c r="M149" s="9"/>
      <c r="N149" s="9" t="s">
        <v>35</v>
      </c>
      <c r="Q149" s="10"/>
      <c r="R149" s="10"/>
      <c r="S149" s="9"/>
    </row>
    <row r="150" spans="2:19" s="5" customFormat="1" ht="16.5" hidden="1" customHeight="1">
      <c r="B150" s="9">
        <f>IF(C150="","",COUNTA($C$2:C150))</f>
        <v>149</v>
      </c>
      <c r="C150" s="27">
        <v>46087</v>
      </c>
      <c r="D150" s="9" t="s">
        <v>180</v>
      </c>
      <c r="E150" s="5" t="s">
        <v>175</v>
      </c>
      <c r="F150" s="5" t="s">
        <v>214</v>
      </c>
      <c r="G150" s="5" t="s">
        <v>20</v>
      </c>
      <c r="H150" s="42">
        <v>5358400</v>
      </c>
      <c r="I150" s="5">
        <f t="shared" ca="1" si="13"/>
        <v>26</v>
      </c>
      <c r="J150" s="11" t="str">
        <f t="shared" ca="1" si="14"/>
        <v>관리</v>
      </c>
      <c r="K150" s="10">
        <v>46107</v>
      </c>
      <c r="L150" s="10">
        <v>46113</v>
      </c>
      <c r="M150" s="9"/>
      <c r="N150" s="9" t="s">
        <v>35</v>
      </c>
      <c r="Q150" s="10"/>
      <c r="R150" s="10"/>
      <c r="S150" s="9"/>
    </row>
    <row r="151" spans="2:19" s="5" customFormat="1" ht="16.5" hidden="1" customHeight="1">
      <c r="B151" s="9">
        <f>IF(C151="","",COUNTA($C$2:C151))</f>
        <v>150</v>
      </c>
      <c r="C151" s="47">
        <v>46087</v>
      </c>
      <c r="D151" s="9" t="s">
        <v>160</v>
      </c>
      <c r="E151" s="20" t="s">
        <v>138</v>
      </c>
      <c r="F151" s="20" t="s">
        <v>215</v>
      </c>
      <c r="G151" s="5" t="s">
        <v>52</v>
      </c>
      <c r="H151" s="44">
        <v>753000</v>
      </c>
      <c r="I151" s="5">
        <f t="shared" ca="1" si="13"/>
        <v>0</v>
      </c>
      <c r="J151" s="11" t="str">
        <f t="shared" ca="1" si="14"/>
        <v>정상</v>
      </c>
      <c r="K151" s="10"/>
      <c r="L151" s="10">
        <v>46087</v>
      </c>
      <c r="M151" s="9"/>
      <c r="N151" s="9" t="s">
        <v>35</v>
      </c>
      <c r="Q151" s="10"/>
      <c r="R151" s="10"/>
      <c r="S151" s="9"/>
    </row>
    <row r="152" spans="2:19" s="5" customFormat="1" ht="16.5" hidden="1" customHeight="1">
      <c r="B152" s="9">
        <f>IF(C152="","",COUNTA($C$2:C152))</f>
        <v>151</v>
      </c>
      <c r="C152" s="47">
        <v>46087</v>
      </c>
      <c r="D152" s="9" t="s">
        <v>160</v>
      </c>
      <c r="E152" s="20" t="s">
        <v>168</v>
      </c>
      <c r="F152" s="20" t="s">
        <v>169</v>
      </c>
      <c r="G152" s="5" t="s">
        <v>52</v>
      </c>
      <c r="H152" s="44">
        <v>3230000</v>
      </c>
      <c r="I152" s="5">
        <f t="shared" ca="1" si="13"/>
        <v>39</v>
      </c>
      <c r="J152" s="11" t="str">
        <f t="shared" ca="1" si="14"/>
        <v>정상</v>
      </c>
      <c r="K152" s="10"/>
      <c r="L152" s="10">
        <v>46126</v>
      </c>
      <c r="M152" s="9"/>
      <c r="N152" s="9" t="s">
        <v>35</v>
      </c>
      <c r="Q152" s="10"/>
      <c r="R152" s="10"/>
      <c r="S152" s="9"/>
    </row>
    <row r="153" spans="2:19" s="5" customFormat="1" ht="16.5" hidden="1" customHeight="1">
      <c r="B153" s="9">
        <f>IF(C153="","",COUNTA($C$2:C153))</f>
        <v>152</v>
      </c>
      <c r="C153" s="47">
        <v>46087</v>
      </c>
      <c r="D153" s="9" t="s">
        <v>160</v>
      </c>
      <c r="E153" s="20" t="s">
        <v>142</v>
      </c>
      <c r="F153" s="20" t="s">
        <v>216</v>
      </c>
      <c r="G153" s="5" t="s">
        <v>52</v>
      </c>
      <c r="H153" s="44">
        <v>5030650</v>
      </c>
      <c r="I153" s="5">
        <f t="shared" ca="1" si="13"/>
        <v>0</v>
      </c>
      <c r="J153" s="11" t="str">
        <f t="shared" ca="1" si="14"/>
        <v>정상</v>
      </c>
      <c r="K153" s="10"/>
      <c r="L153" s="10">
        <v>46087</v>
      </c>
      <c r="M153" s="9"/>
      <c r="N153" s="9" t="s">
        <v>35</v>
      </c>
      <c r="Q153" s="10"/>
      <c r="R153" s="10"/>
      <c r="S153" s="9"/>
    </row>
    <row r="154" spans="2:19" s="5" customFormat="1" ht="16.5" hidden="1" customHeight="1">
      <c r="B154" s="9">
        <f>IF(C154="","",COUNTA($C$2:C154))</f>
        <v>153</v>
      </c>
      <c r="C154" s="47">
        <v>46087</v>
      </c>
      <c r="D154" s="9" t="s">
        <v>160</v>
      </c>
      <c r="E154" s="20" t="s">
        <v>217</v>
      </c>
      <c r="F154" s="20" t="s">
        <v>218</v>
      </c>
      <c r="G154" s="5" t="s">
        <v>52</v>
      </c>
      <c r="H154" s="44">
        <v>9140500</v>
      </c>
      <c r="I154" s="5">
        <f t="shared" ca="1" si="13"/>
        <v>10</v>
      </c>
      <c r="J154" s="11" t="str">
        <f t="shared" ca="1" si="14"/>
        <v>정상</v>
      </c>
      <c r="K154" s="10"/>
      <c r="L154" s="10">
        <v>46097</v>
      </c>
      <c r="M154" s="9"/>
      <c r="N154" s="9" t="s">
        <v>35</v>
      </c>
      <c r="Q154" s="10"/>
      <c r="R154" s="10"/>
      <c r="S154" s="9"/>
    </row>
    <row r="155" spans="2:19" s="5" customFormat="1" ht="16.5" hidden="1" customHeight="1">
      <c r="B155" s="9">
        <f>IF(C155="","",COUNTA($C$2:C155))</f>
        <v>154</v>
      </c>
      <c r="C155" s="47">
        <v>46087</v>
      </c>
      <c r="D155" s="9" t="s">
        <v>160</v>
      </c>
      <c r="E155" s="20" t="s">
        <v>190</v>
      </c>
      <c r="F155" s="20" t="s">
        <v>191</v>
      </c>
      <c r="G155" s="5" t="s">
        <v>52</v>
      </c>
      <c r="H155" s="44">
        <v>16695000</v>
      </c>
      <c r="I155" s="5">
        <f t="shared" ca="1" si="13"/>
        <v>25</v>
      </c>
      <c r="J155" s="11" t="str">
        <f t="shared" ca="1" si="14"/>
        <v>정상</v>
      </c>
      <c r="K155" s="10"/>
      <c r="L155" s="10">
        <v>46112</v>
      </c>
      <c r="M155" s="9"/>
      <c r="N155" s="9" t="s">
        <v>35</v>
      </c>
      <c r="Q155" s="10"/>
      <c r="R155" s="10"/>
      <c r="S155" s="9"/>
    </row>
    <row r="156" spans="2:19" s="5" customFormat="1" ht="16.5" hidden="1" customHeight="1">
      <c r="B156" s="9">
        <f>IF(C156="","",COUNTA($C$2:C156))</f>
        <v>155</v>
      </c>
      <c r="C156" s="47">
        <v>46087</v>
      </c>
      <c r="D156" s="9" t="s">
        <v>160</v>
      </c>
      <c r="E156" s="20" t="s">
        <v>190</v>
      </c>
      <c r="F156" s="20" t="s">
        <v>191</v>
      </c>
      <c r="G156" s="5" t="s">
        <v>52</v>
      </c>
      <c r="H156" s="44">
        <v>1870000</v>
      </c>
      <c r="I156" s="5">
        <f t="shared" ca="1" si="13"/>
        <v>25</v>
      </c>
      <c r="J156" s="11" t="str">
        <f t="shared" ca="1" si="14"/>
        <v>정상</v>
      </c>
      <c r="K156" s="10"/>
      <c r="L156" s="10">
        <v>46112</v>
      </c>
      <c r="M156" s="9"/>
      <c r="N156" s="9" t="s">
        <v>35</v>
      </c>
      <c r="Q156" s="10"/>
      <c r="R156" s="10"/>
      <c r="S156" s="9"/>
    </row>
    <row r="157" spans="2:19" s="5" customFormat="1" ht="16.5" hidden="1" customHeight="1">
      <c r="B157" s="9">
        <f>IF(C157="","",COUNTA($C$2:C157))</f>
        <v>156</v>
      </c>
      <c r="C157" s="47">
        <v>46087</v>
      </c>
      <c r="D157" s="9" t="s">
        <v>160</v>
      </c>
      <c r="E157" s="20" t="s">
        <v>92</v>
      </c>
      <c r="F157" s="20" t="s">
        <v>219</v>
      </c>
      <c r="G157" s="5" t="s">
        <v>52</v>
      </c>
      <c r="H157" s="44">
        <v>12478000</v>
      </c>
      <c r="I157" s="5">
        <f t="shared" ca="1" si="13"/>
        <v>62</v>
      </c>
      <c r="J157" s="11" t="str">
        <f t="shared" ca="1" si="14"/>
        <v>관리</v>
      </c>
      <c r="K157" s="10"/>
      <c r="L157" s="10">
        <v>46149</v>
      </c>
      <c r="M157" s="9"/>
      <c r="N157" s="9" t="s">
        <v>35</v>
      </c>
      <c r="Q157" s="10"/>
      <c r="R157" s="10"/>
      <c r="S157" s="9"/>
    </row>
    <row r="158" spans="2:19" s="5" customFormat="1" ht="16.5" hidden="1" customHeight="1">
      <c r="B158" s="9">
        <f>IF(C158="","",COUNTA($C$2:C158))</f>
        <v>157</v>
      </c>
      <c r="C158" s="29">
        <v>46090</v>
      </c>
      <c r="D158" s="9" t="str">
        <f>IF(G158="","",IF(OR(G158="선급금",G158="중도금",G158="잔금"),"A",IF(G158="자재","B",IF(G158="특허료","C",""))))</f>
        <v>A</v>
      </c>
      <c r="E158" s="5" t="s">
        <v>220</v>
      </c>
      <c r="F158" s="5" t="s">
        <v>221</v>
      </c>
      <c r="G158" s="5" t="s">
        <v>20</v>
      </c>
      <c r="H158" s="42">
        <v>29070400</v>
      </c>
      <c r="I158" s="5">
        <f t="shared" ca="1" si="13"/>
        <v>4</v>
      </c>
      <c r="J158" s="11" t="str">
        <f ca="1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0">
        <v>46110</v>
      </c>
      <c r="L158" s="10">
        <v>46094</v>
      </c>
      <c r="M158" s="9"/>
      <c r="N158" s="9" t="s">
        <v>35</v>
      </c>
      <c r="Q158" s="10"/>
      <c r="R158" s="10"/>
      <c r="S158" s="9"/>
    </row>
    <row r="159" spans="2:19" s="5" customFormat="1" ht="16.5" hidden="1" customHeight="1">
      <c r="B159" s="9">
        <f>IF(C159="","",COUNTA($C$2:C159))</f>
        <v>158</v>
      </c>
      <c r="C159" s="47">
        <v>46090</v>
      </c>
      <c r="D159" s="9" t="str">
        <f>IF(G159="","",IF(OR(G159="선급금",G159="중도금",G159="잔금"),"A",IF(G159="자재","B",IF(G159="특허료","C",""))))</f>
        <v>B</v>
      </c>
      <c r="E159" s="20" t="s">
        <v>170</v>
      </c>
      <c r="F159" s="20" t="s">
        <v>171</v>
      </c>
      <c r="G159" s="5" t="s">
        <v>52</v>
      </c>
      <c r="H159" s="44">
        <v>3390000</v>
      </c>
      <c r="I159" s="5">
        <f t="shared" ca="1" si="13"/>
        <v>52</v>
      </c>
      <c r="J159" s="11" t="str">
        <f t="shared" ref="J159:J189" ca="1" si="15">IF(I159="","",
IF(G159="선급금",
IF(I159&lt;=20,"정상",IF(I159&lt;=90,"관리","장기미수")),
IF(G159="자재",
IF(I159&lt;=40,"정상",IF(I159&lt;=90,"관리","장기미수")),
IF(I159&lt;=30,"정상",IF(I159&lt;=90,"관리","장기미수"))
)
)
)</f>
        <v>관리</v>
      </c>
      <c r="K159" s="10"/>
      <c r="L159" s="10">
        <v>46142</v>
      </c>
      <c r="M159" s="9"/>
      <c r="N159" s="9" t="s">
        <v>35</v>
      </c>
      <c r="Q159" s="10"/>
      <c r="R159" s="10"/>
      <c r="S159" s="9"/>
    </row>
    <row r="160" spans="2:19" s="5" customFormat="1" ht="16.5" hidden="1" customHeight="1">
      <c r="B160" s="9">
        <f>IF(C160="","",COUNTA($C$2:C160))</f>
        <v>159</v>
      </c>
      <c r="C160" s="47">
        <v>46090</v>
      </c>
      <c r="D160" s="9" t="str">
        <f>IF(G160="","",IF(OR(G160="선급금",G160="중도금",G160="잔금"),"A",IF(G160="자재","B",IF(G160="특허료","C",""))))</f>
        <v>B</v>
      </c>
      <c r="E160" s="20" t="s">
        <v>222</v>
      </c>
      <c r="F160" s="20" t="s">
        <v>218</v>
      </c>
      <c r="G160" s="5" t="s">
        <v>52</v>
      </c>
      <c r="H160" s="44">
        <v>9140500</v>
      </c>
      <c r="I160" s="5">
        <f t="shared" ca="1" si="13"/>
        <v>44</v>
      </c>
      <c r="J160" s="11" t="str">
        <f t="shared" ca="1" si="15"/>
        <v>관리</v>
      </c>
      <c r="K160" s="10"/>
      <c r="L160" s="10">
        <v>46134</v>
      </c>
      <c r="M160" s="9"/>
      <c r="N160" s="9" t="s">
        <v>35</v>
      </c>
      <c r="Q160" s="10"/>
      <c r="R160" s="10"/>
      <c r="S160" s="9"/>
    </row>
    <row r="161" spans="2:19" s="5" customFormat="1" ht="16.5" hidden="1" customHeight="1">
      <c r="B161" s="9">
        <f>IF(C161="","",COUNTA($C$2:C161))</f>
        <v>160</v>
      </c>
      <c r="C161" s="47">
        <v>46090</v>
      </c>
      <c r="D161" s="9" t="str">
        <f>IF(G161="","",IF(OR(G161="선급금",G161="중도금",G161="잔금"),"A",IF(G161="자재","B",IF(G161="특허료","C",""))))</f>
        <v>B</v>
      </c>
      <c r="E161" s="20" t="s">
        <v>175</v>
      </c>
      <c r="F161" s="20" t="s">
        <v>223</v>
      </c>
      <c r="G161" s="5" t="s">
        <v>52</v>
      </c>
      <c r="H161" s="44">
        <v>4719500</v>
      </c>
      <c r="I161" s="5">
        <f t="shared" ca="1" si="13"/>
        <v>52</v>
      </c>
      <c r="J161" s="11" t="str">
        <f t="shared" ca="1" si="15"/>
        <v>관리</v>
      </c>
      <c r="K161" s="10">
        <v>46142</v>
      </c>
      <c r="L161" s="10">
        <v>46142</v>
      </c>
      <c r="M161" s="9"/>
      <c r="N161" s="9" t="s">
        <v>35</v>
      </c>
      <c r="Q161" s="10"/>
      <c r="R161" s="10"/>
      <c r="S161" s="9"/>
    </row>
    <row r="162" spans="2:19" s="5" customFormat="1" ht="16.5" hidden="1" customHeight="1">
      <c r="B162" s="9">
        <f>IF(C162="","",COUNTA($C$2:C162))</f>
        <v>161</v>
      </c>
      <c r="C162" s="47">
        <v>46090</v>
      </c>
      <c r="D162" s="9" t="str">
        <f>IF(G162="","",IF(OR(G162="선급금",G162="중도금",G162="잔금"),"A",IF(G162="자재","B",IF(G162="특허료","C",""))))</f>
        <v>B</v>
      </c>
      <c r="E162" s="20" t="s">
        <v>224</v>
      </c>
      <c r="F162" s="20" t="s">
        <v>225</v>
      </c>
      <c r="G162" s="5" t="s">
        <v>52</v>
      </c>
      <c r="H162" s="44">
        <v>38534600</v>
      </c>
      <c r="I162" s="5">
        <f t="shared" ca="1" si="13"/>
        <v>1</v>
      </c>
      <c r="J162" s="11" t="str">
        <f t="shared" ca="1" si="15"/>
        <v>정상</v>
      </c>
      <c r="K162" s="10"/>
      <c r="L162" s="10">
        <v>46091</v>
      </c>
      <c r="M162" s="9"/>
      <c r="N162" s="9" t="s">
        <v>35</v>
      </c>
      <c r="Q162" s="10"/>
      <c r="R162" s="10"/>
      <c r="S162" s="9"/>
    </row>
    <row r="163" spans="2:19" s="5" customFormat="1" ht="16.5" hidden="1" customHeight="1">
      <c r="B163" s="9">
        <f>IF(C163="","",COUNTA($C$2:C163))</f>
        <v>162</v>
      </c>
      <c r="C163" s="47">
        <v>46091</v>
      </c>
      <c r="D163" s="9" t="s">
        <v>180</v>
      </c>
      <c r="E163" s="5" t="s">
        <v>157</v>
      </c>
      <c r="F163" s="5" t="s">
        <v>226</v>
      </c>
      <c r="G163" s="5" t="s">
        <v>20</v>
      </c>
      <c r="H163" s="42">
        <v>13694000</v>
      </c>
      <c r="I163" s="5">
        <f t="shared" ca="1" si="13"/>
        <v>3</v>
      </c>
      <c r="J163" s="11" t="str">
        <f t="shared" ca="1" si="15"/>
        <v>정상</v>
      </c>
      <c r="K163" s="10">
        <v>46111</v>
      </c>
      <c r="L163" s="10">
        <v>46094</v>
      </c>
      <c r="M163" s="9"/>
      <c r="N163" s="9" t="s">
        <v>35</v>
      </c>
      <c r="Q163" s="10"/>
      <c r="R163" s="10"/>
      <c r="S163" s="9"/>
    </row>
    <row r="164" spans="2:19" s="5" customFormat="1" ht="16.5" hidden="1" customHeight="1">
      <c r="B164" s="9">
        <f>IF(C164="","",COUNTA($C$2:C164))</f>
        <v>163</v>
      </c>
      <c r="C164" s="47">
        <v>46091</v>
      </c>
      <c r="D164" s="9" t="str">
        <f>IF(G164="","",IF(OR(G164="선급금",G164="중도금",G164="잔금"),"A",IF(G164="자재","B",IF(G164="특허료","C",""))))</f>
        <v>A</v>
      </c>
      <c r="E164" s="5" t="s">
        <v>227</v>
      </c>
      <c r="F164" s="5" t="s">
        <v>228</v>
      </c>
      <c r="G164" s="5" t="s">
        <v>20</v>
      </c>
      <c r="H164" s="42">
        <v>59166000</v>
      </c>
      <c r="I164" s="5">
        <f t="shared" ca="1" si="13"/>
        <v>3</v>
      </c>
      <c r="J164" s="11" t="str">
        <f t="shared" ca="1" si="15"/>
        <v>정상</v>
      </c>
      <c r="K164" s="10">
        <v>46111</v>
      </c>
      <c r="L164" s="10">
        <v>46094</v>
      </c>
      <c r="M164" s="9"/>
      <c r="N164" s="9" t="s">
        <v>35</v>
      </c>
      <c r="Q164" s="10"/>
      <c r="R164" s="10"/>
      <c r="S164" s="9"/>
    </row>
    <row r="165" spans="2:19" s="5" customFormat="1" ht="16.5" hidden="1" customHeight="1">
      <c r="B165" s="9">
        <f>IF(C165="","",COUNTA($C$2:C165))</f>
        <v>164</v>
      </c>
      <c r="C165" s="47">
        <v>46092</v>
      </c>
      <c r="D165" s="9" t="s">
        <v>153</v>
      </c>
      <c r="E165" s="5" t="s">
        <v>229</v>
      </c>
      <c r="F165" s="5" t="s">
        <v>230</v>
      </c>
      <c r="G165" s="5" t="s">
        <v>47</v>
      </c>
      <c r="H165" s="42">
        <v>4500000</v>
      </c>
      <c r="I165" s="5">
        <f t="shared" ca="1" si="13"/>
        <v>35</v>
      </c>
      <c r="J165" s="11" t="str">
        <f t="shared" ca="1" si="15"/>
        <v>관리</v>
      </c>
      <c r="K165" s="10">
        <v>46122</v>
      </c>
      <c r="L165" s="10">
        <v>46127</v>
      </c>
      <c r="M165" s="9"/>
      <c r="N165" s="9" t="s">
        <v>35</v>
      </c>
      <c r="Q165" s="10"/>
      <c r="R165" s="10"/>
      <c r="S165" s="9"/>
    </row>
    <row r="166" spans="2:19" s="5" customFormat="1" ht="16.5" customHeight="1">
      <c r="B166" s="9">
        <f>IF(C166="","",COUNTA($C$2:C166))</f>
        <v>165</v>
      </c>
      <c r="C166" s="47">
        <v>46091</v>
      </c>
      <c r="D166" s="9" t="str">
        <f t="shared" ref="D166:D197" si="16">IF(G166="","",IF(OR(G166="선급금",G166="중도금",G166="잔금"),"A",IF(G166="자재","B",IF(G166="특허료","C",""))))</f>
        <v>B</v>
      </c>
      <c r="E166" s="20" t="s">
        <v>186</v>
      </c>
      <c r="F166" s="20" t="s">
        <v>213</v>
      </c>
      <c r="G166" s="5" t="s">
        <v>52</v>
      </c>
      <c r="H166" s="44">
        <v>8400000</v>
      </c>
      <c r="I166" s="5">
        <f t="shared" ca="1" si="13"/>
        <v>69</v>
      </c>
      <c r="J166" s="11" t="str">
        <f t="shared" ca="1" si="15"/>
        <v>관리</v>
      </c>
      <c r="K166" s="10">
        <v>46173</v>
      </c>
      <c r="L166" s="10"/>
      <c r="M166" s="9"/>
      <c r="N166" s="9" t="s">
        <v>35</v>
      </c>
      <c r="Q166" s="10"/>
      <c r="R166" s="10"/>
      <c r="S166" s="9"/>
    </row>
    <row r="167" spans="2:19" s="5" customFormat="1" ht="16.5" customHeight="1">
      <c r="B167" s="9">
        <f>IF(C167="","",COUNTA($C$2:C167))</f>
        <v>166</v>
      </c>
      <c r="C167" s="47">
        <v>46091</v>
      </c>
      <c r="D167" s="9" t="str">
        <f t="shared" si="16"/>
        <v>B</v>
      </c>
      <c r="E167" s="20" t="s">
        <v>26</v>
      </c>
      <c r="F167" s="20" t="s">
        <v>95</v>
      </c>
      <c r="G167" s="5" t="s">
        <v>52</v>
      </c>
      <c r="H167" s="44">
        <v>46282000</v>
      </c>
      <c r="I167" s="5">
        <f t="shared" ca="1" si="13"/>
        <v>69</v>
      </c>
      <c r="J167" s="11" t="str">
        <f t="shared" ca="1" si="15"/>
        <v>관리</v>
      </c>
      <c r="K167" s="10"/>
      <c r="L167" s="10"/>
      <c r="M167" s="9"/>
      <c r="N167" s="9" t="s">
        <v>22</v>
      </c>
      <c r="O167" s="5" t="s">
        <v>61</v>
      </c>
      <c r="P167" s="5" t="s">
        <v>69</v>
      </c>
      <c r="Q167" s="10"/>
      <c r="R167" s="10"/>
      <c r="S167" s="9"/>
    </row>
    <row r="168" spans="2:19" s="5" customFormat="1" ht="16.5" hidden="1" customHeight="1">
      <c r="B168" s="9">
        <f>IF(C168="","",COUNTA($C$2:C168))</f>
        <v>167</v>
      </c>
      <c r="C168" s="47">
        <v>46091</v>
      </c>
      <c r="D168" s="9" t="str">
        <f t="shared" si="16"/>
        <v>B</v>
      </c>
      <c r="E168" s="20" t="s">
        <v>59</v>
      </c>
      <c r="F168" s="20" t="s">
        <v>231</v>
      </c>
      <c r="G168" s="5" t="s">
        <v>52</v>
      </c>
      <c r="H168" s="44">
        <v>1832500</v>
      </c>
      <c r="I168" s="5">
        <f t="shared" ca="1" si="13"/>
        <v>0</v>
      </c>
      <c r="J168" s="11" t="str">
        <f t="shared" ca="1" si="15"/>
        <v>정상</v>
      </c>
      <c r="K168" s="10"/>
      <c r="L168" s="10">
        <v>46091</v>
      </c>
      <c r="M168" s="9"/>
      <c r="N168" s="9" t="s">
        <v>35</v>
      </c>
      <c r="Q168" s="10"/>
      <c r="R168" s="10"/>
      <c r="S168" s="9"/>
    </row>
    <row r="169" spans="2:19" s="5" customFormat="1" ht="16.5" hidden="1" customHeight="1">
      <c r="B169" s="9">
        <f>IF(C169="","",COUNTA($C$2:C169))</f>
        <v>168</v>
      </c>
      <c r="C169" s="47">
        <v>46091</v>
      </c>
      <c r="D169" s="9" t="str">
        <f t="shared" si="16"/>
        <v>B</v>
      </c>
      <c r="E169" s="20" t="s">
        <v>134</v>
      </c>
      <c r="F169" s="20" t="s">
        <v>232</v>
      </c>
      <c r="G169" s="5" t="s">
        <v>52</v>
      </c>
      <c r="H169" s="44">
        <v>222000</v>
      </c>
      <c r="I169" s="5">
        <f t="shared" ca="1" si="13"/>
        <v>3</v>
      </c>
      <c r="J169" s="11" t="str">
        <f t="shared" ca="1" si="15"/>
        <v>정상</v>
      </c>
      <c r="K169" s="10"/>
      <c r="L169" s="10">
        <v>46094</v>
      </c>
      <c r="M169" s="9"/>
      <c r="N169" s="9" t="s">
        <v>35</v>
      </c>
      <c r="Q169" s="10"/>
      <c r="R169" s="10"/>
      <c r="S169" s="9"/>
    </row>
    <row r="170" spans="2:19" s="5" customFormat="1" ht="16.5" hidden="1" customHeight="1">
      <c r="B170" s="9">
        <f>IF(C170="","",COUNTA($C$2:C170))</f>
        <v>169</v>
      </c>
      <c r="C170" s="47">
        <v>46091</v>
      </c>
      <c r="D170" s="9" t="str">
        <f t="shared" si="16"/>
        <v>B</v>
      </c>
      <c r="E170" s="20" t="s">
        <v>222</v>
      </c>
      <c r="F170" s="20" t="s">
        <v>218</v>
      </c>
      <c r="G170" s="5" t="s">
        <v>52</v>
      </c>
      <c r="H170" s="44">
        <v>14080000</v>
      </c>
      <c r="I170" s="5">
        <f t="shared" ca="1" si="13"/>
        <v>37</v>
      </c>
      <c r="J170" s="11" t="str">
        <f t="shared" ca="1" si="15"/>
        <v>정상</v>
      </c>
      <c r="K170" s="10"/>
      <c r="L170" s="10">
        <v>46128</v>
      </c>
      <c r="M170" s="9"/>
      <c r="N170" s="9" t="s">
        <v>35</v>
      </c>
      <c r="Q170" s="10"/>
      <c r="R170" s="10"/>
      <c r="S170" s="9"/>
    </row>
    <row r="171" spans="2:19" s="5" customFormat="1" ht="16.5" hidden="1" customHeight="1">
      <c r="B171" s="9">
        <f>IF(C171="","",COUNTA($C$2:C171))</f>
        <v>170</v>
      </c>
      <c r="C171" s="47">
        <v>46091</v>
      </c>
      <c r="D171" s="9" t="str">
        <f t="shared" si="16"/>
        <v>B</v>
      </c>
      <c r="E171" s="20" t="s">
        <v>217</v>
      </c>
      <c r="F171" s="20" t="s">
        <v>218</v>
      </c>
      <c r="G171" s="5" t="s">
        <v>52</v>
      </c>
      <c r="H171" s="44">
        <v>14080000</v>
      </c>
      <c r="I171" s="5">
        <f t="shared" ca="1" si="13"/>
        <v>6</v>
      </c>
      <c r="J171" s="11" t="str">
        <f t="shared" ca="1" si="15"/>
        <v>정상</v>
      </c>
      <c r="K171" s="10"/>
      <c r="L171" s="10">
        <v>46097</v>
      </c>
      <c r="M171" s="9"/>
      <c r="N171" s="9" t="s">
        <v>35</v>
      </c>
      <c r="Q171" s="10"/>
      <c r="R171" s="10"/>
      <c r="S171" s="9"/>
    </row>
    <row r="172" spans="2:19" s="5" customFormat="1" ht="16.5" customHeight="1">
      <c r="B172" s="9">
        <f>IF(C172="","",COUNTA($C$2:C172))</f>
        <v>171</v>
      </c>
      <c r="C172" s="47">
        <v>46091</v>
      </c>
      <c r="D172" s="9" t="str">
        <f t="shared" si="16"/>
        <v>B</v>
      </c>
      <c r="E172" s="20" t="s">
        <v>197</v>
      </c>
      <c r="F172" s="20" t="s">
        <v>198</v>
      </c>
      <c r="G172" s="5" t="s">
        <v>52</v>
      </c>
      <c r="H172" s="44">
        <v>1186600</v>
      </c>
      <c r="I172" s="5">
        <f t="shared" ca="1" si="13"/>
        <v>69</v>
      </c>
      <c r="J172" s="11" t="str">
        <f t="shared" ca="1" si="15"/>
        <v>관리</v>
      </c>
      <c r="K172" s="10">
        <v>46164</v>
      </c>
      <c r="L172" s="10"/>
      <c r="M172" s="9"/>
      <c r="N172" s="9" t="s">
        <v>35</v>
      </c>
      <c r="Q172" s="10"/>
      <c r="R172" s="10"/>
      <c r="S172" s="9"/>
    </row>
    <row r="173" spans="2:19" s="5" customFormat="1" ht="16.5" hidden="1" customHeight="1">
      <c r="B173" s="9">
        <f>IF(C173="","",COUNTA($C$2:C173))</f>
        <v>172</v>
      </c>
      <c r="C173" s="47">
        <v>46091</v>
      </c>
      <c r="D173" s="9" t="str">
        <f t="shared" si="16"/>
        <v>B</v>
      </c>
      <c r="E173" s="20" t="s">
        <v>65</v>
      </c>
      <c r="F173" s="20" t="s">
        <v>233</v>
      </c>
      <c r="G173" s="5" t="s">
        <v>52</v>
      </c>
      <c r="H173" s="44">
        <v>270000</v>
      </c>
      <c r="I173" s="5">
        <f t="shared" ca="1" si="13"/>
        <v>45</v>
      </c>
      <c r="J173" s="11" t="str">
        <f t="shared" ca="1" si="15"/>
        <v>관리</v>
      </c>
      <c r="K173" s="10"/>
      <c r="L173" s="10">
        <v>46136</v>
      </c>
      <c r="M173" s="9"/>
      <c r="N173" s="9" t="s">
        <v>35</v>
      </c>
      <c r="Q173" s="10"/>
      <c r="R173" s="10"/>
      <c r="S173" s="9"/>
    </row>
    <row r="174" spans="2:19" s="5" customFormat="1" ht="16.5" customHeight="1">
      <c r="B174" s="9">
        <f>IF(C174="","",COUNTA($C$2:C174))</f>
        <v>173</v>
      </c>
      <c r="C174" s="47">
        <v>46091</v>
      </c>
      <c r="D174" s="9" t="str">
        <f t="shared" si="16"/>
        <v>B</v>
      </c>
      <c r="E174" s="20" t="s">
        <v>26</v>
      </c>
      <c r="F174" s="20" t="s">
        <v>95</v>
      </c>
      <c r="G174" s="5" t="s">
        <v>52</v>
      </c>
      <c r="H174" s="44">
        <v>5912000</v>
      </c>
      <c r="I174" s="5">
        <f t="shared" ca="1" si="13"/>
        <v>69</v>
      </c>
      <c r="J174" s="11" t="str">
        <f t="shared" ca="1" si="15"/>
        <v>관리</v>
      </c>
      <c r="K174" s="10"/>
      <c r="L174" s="10"/>
      <c r="M174" s="9"/>
      <c r="N174" s="9" t="s">
        <v>22</v>
      </c>
      <c r="O174" s="5" t="s">
        <v>61</v>
      </c>
      <c r="P174" s="5" t="s">
        <v>69</v>
      </c>
      <c r="Q174" s="10"/>
      <c r="R174" s="10"/>
      <c r="S174" s="9"/>
    </row>
    <row r="175" spans="2:19" s="5" customFormat="1" ht="16.5" customHeight="1">
      <c r="B175" s="9">
        <f>IF(C175="","",COUNTA($C$2:C175))</f>
        <v>174</v>
      </c>
      <c r="C175" s="47">
        <v>46091</v>
      </c>
      <c r="D175" s="9" t="str">
        <f t="shared" si="16"/>
        <v>B</v>
      </c>
      <c r="E175" s="20" t="s">
        <v>26</v>
      </c>
      <c r="F175" s="20" t="s">
        <v>95</v>
      </c>
      <c r="G175" s="5" t="s">
        <v>52</v>
      </c>
      <c r="H175" s="44">
        <v>4992000</v>
      </c>
      <c r="I175" s="5">
        <f t="shared" ca="1" si="13"/>
        <v>69</v>
      </c>
      <c r="J175" s="11" t="str">
        <f t="shared" ca="1" si="15"/>
        <v>관리</v>
      </c>
      <c r="K175" s="10"/>
      <c r="L175" s="10"/>
      <c r="M175" s="9"/>
      <c r="N175" s="9" t="s">
        <v>22</v>
      </c>
      <c r="O175" s="5" t="s">
        <v>61</v>
      </c>
      <c r="P175" s="5" t="s">
        <v>69</v>
      </c>
      <c r="Q175" s="10"/>
      <c r="R175" s="10"/>
      <c r="S175" s="9"/>
    </row>
    <row r="176" spans="2:19" s="5" customFormat="1" ht="16.5" hidden="1" customHeight="1">
      <c r="B176" s="9">
        <f>IF(C176="","",COUNTA($C$2:C176))</f>
        <v>175</v>
      </c>
      <c r="C176" s="47">
        <v>46091</v>
      </c>
      <c r="D176" s="9" t="str">
        <f t="shared" si="16"/>
        <v>B</v>
      </c>
      <c r="E176" s="20" t="s">
        <v>142</v>
      </c>
      <c r="F176" s="20" t="s">
        <v>216</v>
      </c>
      <c r="G176" s="5" t="s">
        <v>52</v>
      </c>
      <c r="H176" s="44">
        <v>950350</v>
      </c>
      <c r="I176" s="5">
        <f t="shared" ca="1" si="13"/>
        <v>0</v>
      </c>
      <c r="J176" s="11" t="str">
        <f t="shared" ca="1" si="15"/>
        <v>정상</v>
      </c>
      <c r="K176" s="10"/>
      <c r="L176" s="10">
        <v>46091</v>
      </c>
      <c r="M176" s="9"/>
      <c r="N176" s="9" t="s">
        <v>35</v>
      </c>
      <c r="Q176" s="10"/>
      <c r="R176" s="10"/>
      <c r="S176" s="9"/>
    </row>
    <row r="177" spans="2:19" s="5" customFormat="1" ht="16.5" hidden="1" customHeight="1">
      <c r="B177" s="9">
        <f>IF(C177="","",COUNTA($C$2:C177))</f>
        <v>176</v>
      </c>
      <c r="C177" s="47">
        <v>46091</v>
      </c>
      <c r="D177" s="9" t="str">
        <f t="shared" si="16"/>
        <v>B</v>
      </c>
      <c r="E177" s="20" t="s">
        <v>175</v>
      </c>
      <c r="F177" s="20" t="s">
        <v>176</v>
      </c>
      <c r="G177" s="5" t="s">
        <v>52</v>
      </c>
      <c r="H177" s="44">
        <v>770400</v>
      </c>
      <c r="I177" s="5">
        <f t="shared" ca="1" si="13"/>
        <v>51</v>
      </c>
      <c r="J177" s="11" t="str">
        <f t="shared" ca="1" si="15"/>
        <v>관리</v>
      </c>
      <c r="K177" s="10">
        <v>46142</v>
      </c>
      <c r="L177" s="10">
        <v>46142</v>
      </c>
      <c r="M177" s="9"/>
      <c r="N177" s="9" t="s">
        <v>35</v>
      </c>
      <c r="Q177" s="10"/>
      <c r="R177" s="10"/>
      <c r="S177" s="9"/>
    </row>
    <row r="178" spans="2:19" s="5" customFormat="1" ht="16.5" hidden="1" customHeight="1">
      <c r="B178" s="9">
        <f>IF(C178="","",COUNTA($C$2:C178))</f>
        <v>177</v>
      </c>
      <c r="C178" s="47">
        <v>46091</v>
      </c>
      <c r="D178" s="9" t="str">
        <f t="shared" si="16"/>
        <v>B</v>
      </c>
      <c r="E178" s="20" t="s">
        <v>234</v>
      </c>
      <c r="F178" s="20" t="s">
        <v>235</v>
      </c>
      <c r="G178" s="5" t="s">
        <v>52</v>
      </c>
      <c r="H178" s="44">
        <v>473600</v>
      </c>
      <c r="I178" s="5">
        <f t="shared" ca="1" si="13"/>
        <v>0</v>
      </c>
      <c r="J178" s="11" t="str">
        <f t="shared" ca="1" si="15"/>
        <v>정상</v>
      </c>
      <c r="K178" s="10"/>
      <c r="L178" s="10">
        <v>46091</v>
      </c>
      <c r="M178" s="9"/>
      <c r="N178" s="9" t="s">
        <v>35</v>
      </c>
      <c r="Q178" s="10"/>
      <c r="R178" s="10"/>
      <c r="S178" s="9"/>
    </row>
    <row r="179" spans="2:19" s="5" customFormat="1" ht="16.5" hidden="1" customHeight="1">
      <c r="B179" s="9">
        <f>IF(C179="","",COUNTA($C$2:C179))</f>
        <v>178</v>
      </c>
      <c r="C179" s="47">
        <v>46092</v>
      </c>
      <c r="D179" s="9" t="str">
        <f t="shared" si="16"/>
        <v>B</v>
      </c>
      <c r="E179" s="20" t="s">
        <v>236</v>
      </c>
      <c r="F179" s="20" t="s">
        <v>237</v>
      </c>
      <c r="G179" s="5" t="s">
        <v>52</v>
      </c>
      <c r="H179" s="44">
        <v>121500</v>
      </c>
      <c r="I179" s="5">
        <f t="shared" ca="1" si="13"/>
        <v>9</v>
      </c>
      <c r="J179" s="11" t="str">
        <f t="shared" ca="1" si="15"/>
        <v>정상</v>
      </c>
      <c r="K179" s="10"/>
      <c r="L179" s="10">
        <v>46101</v>
      </c>
      <c r="M179" s="9"/>
      <c r="N179" s="9" t="s">
        <v>35</v>
      </c>
      <c r="Q179" s="10"/>
      <c r="R179" s="10"/>
      <c r="S179" s="9"/>
    </row>
    <row r="180" spans="2:19" s="5" customFormat="1" ht="16.5" customHeight="1">
      <c r="B180" s="9">
        <f>IF(C180="","",COUNTA($C$2:C180))</f>
        <v>179</v>
      </c>
      <c r="C180" s="47">
        <v>46092</v>
      </c>
      <c r="D180" s="9" t="str">
        <f t="shared" si="16"/>
        <v>B</v>
      </c>
      <c r="E180" s="20" t="s">
        <v>238</v>
      </c>
      <c r="F180" s="20" t="s">
        <v>239</v>
      </c>
      <c r="G180" s="5" t="s">
        <v>52</v>
      </c>
      <c r="H180" s="44">
        <v>16818900</v>
      </c>
      <c r="I180" s="5">
        <f t="shared" ca="1" si="13"/>
        <v>68</v>
      </c>
      <c r="J180" s="11" t="str">
        <f t="shared" ca="1" si="15"/>
        <v>관리</v>
      </c>
      <c r="K180" s="10"/>
      <c r="L180" s="10"/>
      <c r="M180" s="9"/>
      <c r="N180" s="9" t="s">
        <v>35</v>
      </c>
      <c r="Q180" s="10"/>
      <c r="R180" s="10"/>
      <c r="S180" s="9"/>
    </row>
    <row r="181" spans="2:19" s="5" customFormat="1" ht="16.5" hidden="1" customHeight="1">
      <c r="B181" s="9">
        <f>IF(C181="","",COUNTA($C$2:C181))</f>
        <v>180</v>
      </c>
      <c r="C181" s="47">
        <v>46092</v>
      </c>
      <c r="D181" s="9" t="str">
        <f t="shared" si="16"/>
        <v>B</v>
      </c>
      <c r="E181" s="20" t="s">
        <v>18</v>
      </c>
      <c r="F181" s="20" t="s">
        <v>240</v>
      </c>
      <c r="G181" s="5" t="s">
        <v>52</v>
      </c>
      <c r="H181" s="44">
        <v>294800</v>
      </c>
      <c r="I181" s="5">
        <f t="shared" ca="1" si="13"/>
        <v>9</v>
      </c>
      <c r="J181" s="11" t="str">
        <f t="shared" ca="1" si="15"/>
        <v>정상</v>
      </c>
      <c r="K181" s="10"/>
      <c r="L181" s="10">
        <v>46101</v>
      </c>
      <c r="M181" s="9"/>
      <c r="N181" s="9" t="s">
        <v>35</v>
      </c>
      <c r="Q181" s="10"/>
      <c r="R181" s="10"/>
      <c r="S181" s="9"/>
    </row>
    <row r="182" spans="2:19" s="5" customFormat="1" ht="16.5" hidden="1" customHeight="1">
      <c r="B182" s="9">
        <f>IF(C182="","",COUNTA($C$2:C182))</f>
        <v>181</v>
      </c>
      <c r="C182" s="47">
        <v>46092</v>
      </c>
      <c r="D182" s="9" t="str">
        <f t="shared" si="16"/>
        <v>B</v>
      </c>
      <c r="E182" s="20" t="s">
        <v>130</v>
      </c>
      <c r="F182" s="20" t="s">
        <v>179</v>
      </c>
      <c r="G182" s="5" t="s">
        <v>52</v>
      </c>
      <c r="H182" s="44">
        <v>321000</v>
      </c>
      <c r="I182" s="5">
        <f t="shared" ca="1" si="13"/>
        <v>44</v>
      </c>
      <c r="J182" s="11" t="str">
        <f t="shared" ca="1" si="15"/>
        <v>관리</v>
      </c>
      <c r="K182" s="10"/>
      <c r="L182" s="10">
        <v>46136</v>
      </c>
      <c r="M182" s="9"/>
      <c r="N182" s="9" t="s">
        <v>35</v>
      </c>
      <c r="Q182" s="10"/>
      <c r="R182" s="10"/>
      <c r="S182" s="9"/>
    </row>
    <row r="183" spans="2:19" s="5" customFormat="1" ht="16.5" hidden="1" customHeight="1">
      <c r="B183" s="9">
        <f>IF(C183="","",COUNTA($C$2:C183))</f>
        <v>182</v>
      </c>
      <c r="C183" s="47">
        <v>46092</v>
      </c>
      <c r="D183" s="9" t="str">
        <f t="shared" si="16"/>
        <v>B</v>
      </c>
      <c r="E183" s="20" t="s">
        <v>241</v>
      </c>
      <c r="F183" s="20" t="s">
        <v>242</v>
      </c>
      <c r="G183" s="5" t="s">
        <v>52</v>
      </c>
      <c r="H183" s="44">
        <v>1275400</v>
      </c>
      <c r="I183" s="5">
        <f t="shared" ca="1" si="13"/>
        <v>62</v>
      </c>
      <c r="J183" s="11" t="str">
        <f t="shared" ca="1" si="15"/>
        <v>관리</v>
      </c>
      <c r="K183" s="10"/>
      <c r="L183" s="10">
        <v>46154</v>
      </c>
      <c r="M183" s="9"/>
      <c r="N183" s="9" t="s">
        <v>35</v>
      </c>
      <c r="Q183" s="10"/>
      <c r="R183" s="10"/>
      <c r="S183" s="9"/>
    </row>
    <row r="184" spans="2:19" s="5" customFormat="1" ht="16.5" customHeight="1">
      <c r="B184" s="9">
        <f>IF(C184="","",COUNTA($C$2:C184))</f>
        <v>183</v>
      </c>
      <c r="C184" s="47">
        <v>46092</v>
      </c>
      <c r="D184" s="9" t="str">
        <f t="shared" si="16"/>
        <v>B</v>
      </c>
      <c r="E184" s="20" t="s">
        <v>26</v>
      </c>
      <c r="F184" s="20" t="s">
        <v>95</v>
      </c>
      <c r="G184" s="5" t="s">
        <v>52</v>
      </c>
      <c r="H184" s="44">
        <v>11000000</v>
      </c>
      <c r="I184" s="5">
        <f t="shared" ca="1" si="13"/>
        <v>68</v>
      </c>
      <c r="J184" s="11" t="str">
        <f t="shared" ca="1" si="15"/>
        <v>관리</v>
      </c>
      <c r="K184" s="10"/>
      <c r="L184" s="10"/>
      <c r="M184" s="9"/>
      <c r="N184" s="9" t="s">
        <v>22</v>
      </c>
      <c r="O184" s="5" t="s">
        <v>61</v>
      </c>
      <c r="P184" s="5" t="s">
        <v>69</v>
      </c>
      <c r="Q184" s="10"/>
      <c r="R184" s="10"/>
      <c r="S184" s="9"/>
    </row>
    <row r="185" spans="2:19" s="5" customFormat="1" ht="16.5" customHeight="1">
      <c r="B185" s="9">
        <f>IF(C185="","",COUNTA($C$2:C185))</f>
        <v>184</v>
      </c>
      <c r="C185" s="47">
        <v>46092</v>
      </c>
      <c r="D185" s="9" t="str">
        <f t="shared" si="16"/>
        <v>B</v>
      </c>
      <c r="E185" s="20" t="s">
        <v>28</v>
      </c>
      <c r="F185" s="20" t="s">
        <v>209</v>
      </c>
      <c r="G185" s="5" t="s">
        <v>52</v>
      </c>
      <c r="H185" s="44">
        <v>5475500</v>
      </c>
      <c r="I185" s="5">
        <f t="shared" ca="1" si="13"/>
        <v>68</v>
      </c>
      <c r="J185" s="11" t="str">
        <f t="shared" ca="1" si="15"/>
        <v>관리</v>
      </c>
      <c r="K185" s="10"/>
      <c r="L185" s="10"/>
      <c r="M185" s="9"/>
      <c r="N185" s="9" t="s">
        <v>35</v>
      </c>
      <c r="P185" s="5" t="s">
        <v>91</v>
      </c>
      <c r="Q185" s="10"/>
      <c r="R185" s="10"/>
      <c r="S185" s="9"/>
    </row>
    <row r="186" spans="2:19" s="5" customFormat="1" ht="16.5" hidden="1" customHeight="1">
      <c r="B186" s="9">
        <f>IF(C186="","",COUNTA($C$2:C186))</f>
        <v>185</v>
      </c>
      <c r="C186" s="47">
        <v>46093</v>
      </c>
      <c r="D186" s="9" t="str">
        <f t="shared" si="16"/>
        <v>B</v>
      </c>
      <c r="E186" s="20" t="s">
        <v>234</v>
      </c>
      <c r="F186" s="20" t="s">
        <v>237</v>
      </c>
      <c r="G186" s="5" t="s">
        <v>52</v>
      </c>
      <c r="H186" s="44">
        <v>312000</v>
      </c>
      <c r="I186" s="5">
        <f t="shared" ca="1" si="13"/>
        <v>0</v>
      </c>
      <c r="J186" s="11" t="str">
        <f t="shared" ca="1" si="15"/>
        <v>정상</v>
      </c>
      <c r="K186" s="10"/>
      <c r="L186" s="10">
        <v>46093</v>
      </c>
      <c r="M186" s="9"/>
      <c r="N186" s="9" t="s">
        <v>35</v>
      </c>
      <c r="Q186" s="10"/>
      <c r="R186" s="10"/>
      <c r="S186" s="9"/>
    </row>
    <row r="187" spans="2:19" s="5" customFormat="1" ht="16.5" hidden="1" customHeight="1">
      <c r="B187" s="9">
        <f>IF(C187="","",COUNTA($C$2:C187))</f>
        <v>186</v>
      </c>
      <c r="C187" s="47">
        <v>46093</v>
      </c>
      <c r="D187" s="9" t="str">
        <f t="shared" si="16"/>
        <v>B</v>
      </c>
      <c r="E187" s="20" t="s">
        <v>32</v>
      </c>
      <c r="F187" s="20" t="s">
        <v>243</v>
      </c>
      <c r="G187" s="5" t="s">
        <v>52</v>
      </c>
      <c r="H187" s="44">
        <v>1000500</v>
      </c>
      <c r="I187" s="5">
        <f t="shared" ca="1" si="13"/>
        <v>49</v>
      </c>
      <c r="J187" s="11" t="str">
        <f t="shared" ca="1" si="15"/>
        <v>관리</v>
      </c>
      <c r="K187" s="10"/>
      <c r="L187" s="10">
        <v>46142</v>
      </c>
      <c r="M187" s="9"/>
      <c r="N187" s="9" t="s">
        <v>35</v>
      </c>
      <c r="Q187" s="10"/>
      <c r="R187" s="10"/>
      <c r="S187" s="9"/>
    </row>
    <row r="188" spans="2:19" s="5" customFormat="1" ht="16.5" hidden="1" customHeight="1">
      <c r="B188" s="9">
        <f>IF(C188="","",COUNTA($C$2:C188))</f>
        <v>187</v>
      </c>
      <c r="C188" s="47">
        <v>46093</v>
      </c>
      <c r="D188" s="9" t="str">
        <f t="shared" si="16"/>
        <v>B</v>
      </c>
      <c r="E188" s="20" t="s">
        <v>168</v>
      </c>
      <c r="F188" s="20" t="s">
        <v>169</v>
      </c>
      <c r="G188" s="5" t="s">
        <v>52</v>
      </c>
      <c r="H188" s="44">
        <v>5775000</v>
      </c>
      <c r="I188" s="5">
        <f t="shared" ca="1" si="13"/>
        <v>33</v>
      </c>
      <c r="J188" s="11" t="str">
        <f t="shared" ca="1" si="15"/>
        <v>정상</v>
      </c>
      <c r="K188" s="10"/>
      <c r="L188" s="10">
        <v>46126</v>
      </c>
      <c r="M188" s="9"/>
      <c r="N188" s="9" t="s">
        <v>35</v>
      </c>
      <c r="Q188" s="10"/>
      <c r="R188" s="10"/>
      <c r="S188" s="9"/>
    </row>
    <row r="189" spans="2:19" s="5" customFormat="1" ht="16.5" hidden="1" customHeight="1">
      <c r="B189" s="9">
        <f>IF(C189="","",COUNTA($C$2:C189))</f>
        <v>188</v>
      </c>
      <c r="C189" s="47">
        <v>46093</v>
      </c>
      <c r="D189" s="9" t="str">
        <f t="shared" si="16"/>
        <v>B</v>
      </c>
      <c r="E189" s="20" t="s">
        <v>170</v>
      </c>
      <c r="F189" s="20" t="s">
        <v>171</v>
      </c>
      <c r="G189" s="5" t="s">
        <v>52</v>
      </c>
      <c r="H189" s="44">
        <v>1190000</v>
      </c>
      <c r="I189" s="5">
        <f t="shared" ca="1" si="13"/>
        <v>49</v>
      </c>
      <c r="J189" s="11" t="str">
        <f t="shared" ca="1" si="15"/>
        <v>관리</v>
      </c>
      <c r="K189" s="10"/>
      <c r="L189" s="10">
        <v>46142</v>
      </c>
      <c r="M189" s="9"/>
      <c r="N189" s="9" t="s">
        <v>35</v>
      </c>
      <c r="Q189" s="10"/>
      <c r="R189" s="10"/>
      <c r="S189" s="9"/>
    </row>
    <row r="190" spans="2:19" s="5" customFormat="1" ht="16.5" hidden="1" customHeight="1">
      <c r="B190" s="9">
        <f>IF(C190="","",COUNTA($C$2:C190))</f>
        <v>189</v>
      </c>
      <c r="C190" s="47">
        <v>46093</v>
      </c>
      <c r="D190" s="9" t="str">
        <f t="shared" si="16"/>
        <v>B</v>
      </c>
      <c r="E190" s="20" t="s">
        <v>114</v>
      </c>
      <c r="F190" s="20" t="s">
        <v>244</v>
      </c>
      <c r="G190" s="5" t="s">
        <v>52</v>
      </c>
      <c r="H190" s="44">
        <v>11147800</v>
      </c>
      <c r="I190" s="5">
        <f t="shared" ca="1" si="13"/>
        <v>64</v>
      </c>
      <c r="J190" s="11" t="str">
        <f ca="1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0"/>
      <c r="L190" s="10">
        <v>46157</v>
      </c>
      <c r="M190" s="9"/>
      <c r="N190" s="9" t="s">
        <v>35</v>
      </c>
      <c r="Q190" s="10"/>
      <c r="R190" s="10"/>
      <c r="S190" s="9"/>
    </row>
    <row r="191" spans="2:19" s="5" customFormat="1" ht="16.5" customHeight="1">
      <c r="B191" s="9">
        <f>IF(C191="","",COUNTA($C$2:C191))</f>
        <v>190</v>
      </c>
      <c r="C191" s="47">
        <v>46093</v>
      </c>
      <c r="D191" s="9" t="str">
        <f t="shared" si="16"/>
        <v>B</v>
      </c>
      <c r="E191" s="20" t="s">
        <v>186</v>
      </c>
      <c r="F191" s="20" t="s">
        <v>189</v>
      </c>
      <c r="G191" s="5" t="s">
        <v>52</v>
      </c>
      <c r="H191" s="44">
        <v>2613000</v>
      </c>
      <c r="I191" s="5">
        <f t="shared" ref="I191:I254" ca="1" si="17">IF(C191="","",IF(L191="",TODAY()-C191,L191-C191))</f>
        <v>67</v>
      </c>
      <c r="J191" s="11" t="str">
        <f t="shared" ref="J191:J221" ca="1" si="18">IF(I191="","",
IF(G191="선급금",
IF(I191&lt;=20,"정상",IF(I191&lt;=90,"관리","장기미수")),
IF(G191="자재",
IF(I191&lt;=40,"정상",IF(I191&lt;=90,"관리","장기미수")),
IF(I191&lt;=30,"정상",IF(I191&lt;=90,"관리","장기미수"))
)
)
)</f>
        <v>관리</v>
      </c>
      <c r="K191" s="10">
        <v>46173</v>
      </c>
      <c r="L191" s="10"/>
      <c r="M191" s="9"/>
      <c r="N191" s="9" t="s">
        <v>35</v>
      </c>
      <c r="Q191" s="10"/>
      <c r="R191" s="10"/>
      <c r="S191" s="9"/>
    </row>
    <row r="192" spans="2:19" s="5" customFormat="1" ht="16.5" customHeight="1">
      <c r="B192" s="9">
        <f>IF(C192="","",COUNTA($C$2:C192))</f>
        <v>191</v>
      </c>
      <c r="C192" s="47">
        <v>46093</v>
      </c>
      <c r="D192" s="9" t="str">
        <f t="shared" si="16"/>
        <v>B</v>
      </c>
      <c r="E192" s="20" t="s">
        <v>124</v>
      </c>
      <c r="F192" s="20" t="s">
        <v>245</v>
      </c>
      <c r="G192" s="5" t="s">
        <v>52</v>
      </c>
      <c r="H192" s="44">
        <v>7339000</v>
      </c>
      <c r="I192" s="5">
        <f t="shared" ca="1" si="17"/>
        <v>67</v>
      </c>
      <c r="J192" s="11" t="str">
        <f t="shared" ca="1" si="18"/>
        <v>관리</v>
      </c>
      <c r="K192" s="10"/>
      <c r="L192" s="10"/>
      <c r="M192" s="9"/>
      <c r="N192" s="9" t="s">
        <v>35</v>
      </c>
      <c r="Q192" s="10"/>
      <c r="R192" s="10"/>
      <c r="S192" s="9"/>
    </row>
    <row r="193" spans="2:19" s="5" customFormat="1" ht="16.5" hidden="1" customHeight="1">
      <c r="B193" s="9">
        <f>IF(C193="","",COUNTA($C$2:C193))</f>
        <v>192</v>
      </c>
      <c r="C193" s="10">
        <v>46094</v>
      </c>
      <c r="D193" s="9" t="str">
        <f t="shared" si="16"/>
        <v>C</v>
      </c>
      <c r="E193" s="5" t="s">
        <v>246</v>
      </c>
      <c r="F193" s="5" t="s">
        <v>247</v>
      </c>
      <c r="G193" s="5" t="s">
        <v>47</v>
      </c>
      <c r="H193" s="42">
        <v>1291250</v>
      </c>
      <c r="I193" s="5">
        <f t="shared" ca="1" si="17"/>
        <v>18</v>
      </c>
      <c r="J193" s="11" t="str">
        <f t="shared" ca="1" si="18"/>
        <v>정상</v>
      </c>
      <c r="K193" s="10">
        <v>46124</v>
      </c>
      <c r="L193" s="10">
        <v>46112</v>
      </c>
      <c r="M193" s="9"/>
      <c r="N193" s="9" t="s">
        <v>35</v>
      </c>
      <c r="Q193" s="10"/>
      <c r="R193" s="10"/>
      <c r="S193" s="9"/>
    </row>
    <row r="194" spans="2:19" s="5" customFormat="1" ht="16.5" customHeight="1">
      <c r="B194" s="9">
        <f>IF(C194="","",COUNTA($C$2:C194))</f>
        <v>193</v>
      </c>
      <c r="C194" s="47">
        <v>46094</v>
      </c>
      <c r="D194" s="9" t="str">
        <f t="shared" si="16"/>
        <v>B</v>
      </c>
      <c r="E194" s="20" t="s">
        <v>248</v>
      </c>
      <c r="F194" s="20" t="s">
        <v>249</v>
      </c>
      <c r="G194" s="5" t="s">
        <v>52</v>
      </c>
      <c r="H194" s="44">
        <v>500500</v>
      </c>
      <c r="I194" s="5">
        <f t="shared" ca="1" si="17"/>
        <v>66</v>
      </c>
      <c r="J194" s="11" t="str">
        <f t="shared" ca="1" si="18"/>
        <v>관리</v>
      </c>
      <c r="K194" s="10"/>
      <c r="L194" s="10"/>
      <c r="M194" s="9"/>
      <c r="N194" s="9" t="s">
        <v>35</v>
      </c>
      <c r="Q194" s="10"/>
      <c r="R194" s="10"/>
      <c r="S194" s="9"/>
    </row>
    <row r="195" spans="2:19" s="5" customFormat="1" ht="16.5" customHeight="1">
      <c r="B195" s="9">
        <f>IF(C195="","",COUNTA($C$2:C195))</f>
        <v>194</v>
      </c>
      <c r="C195" s="47">
        <v>46094</v>
      </c>
      <c r="D195" s="9" t="str">
        <f t="shared" si="16"/>
        <v>B</v>
      </c>
      <c r="E195" s="20" t="s">
        <v>26</v>
      </c>
      <c r="F195" s="20" t="s">
        <v>250</v>
      </c>
      <c r="G195" s="5" t="s">
        <v>52</v>
      </c>
      <c r="H195" s="44">
        <v>3448000</v>
      </c>
      <c r="I195" s="5">
        <f t="shared" ca="1" si="17"/>
        <v>66</v>
      </c>
      <c r="J195" s="11" t="str">
        <f t="shared" ca="1" si="18"/>
        <v>관리</v>
      </c>
      <c r="K195" s="10"/>
      <c r="L195" s="10"/>
      <c r="M195" s="9"/>
      <c r="N195" s="9" t="s">
        <v>22</v>
      </c>
      <c r="O195" s="5" t="s">
        <v>61</v>
      </c>
      <c r="P195" s="5" t="s">
        <v>69</v>
      </c>
      <c r="Q195" s="10"/>
      <c r="R195" s="10"/>
      <c r="S195" s="9"/>
    </row>
    <row r="196" spans="2:19" s="5" customFormat="1" ht="16.5" customHeight="1">
      <c r="B196" s="9">
        <f>IF(C196="","",COUNTA($C$2:C196))</f>
        <v>195</v>
      </c>
      <c r="C196" s="47">
        <v>46094</v>
      </c>
      <c r="D196" s="9" t="str">
        <f t="shared" si="16"/>
        <v>B</v>
      </c>
      <c r="E196" s="20" t="s">
        <v>26</v>
      </c>
      <c r="F196" s="20" t="s">
        <v>95</v>
      </c>
      <c r="G196" s="5" t="s">
        <v>52</v>
      </c>
      <c r="H196" s="44">
        <v>28750000</v>
      </c>
      <c r="I196" s="5">
        <f t="shared" ca="1" si="17"/>
        <v>66</v>
      </c>
      <c r="J196" s="11" t="str">
        <f t="shared" ca="1" si="18"/>
        <v>관리</v>
      </c>
      <c r="K196" s="10"/>
      <c r="L196" s="10"/>
      <c r="M196" s="9"/>
      <c r="N196" s="9" t="s">
        <v>22</v>
      </c>
      <c r="O196" s="5" t="s">
        <v>61</v>
      </c>
      <c r="P196" s="5" t="s">
        <v>69</v>
      </c>
      <c r="Q196" s="10"/>
      <c r="R196" s="10"/>
      <c r="S196" s="9"/>
    </row>
    <row r="197" spans="2:19" s="5" customFormat="1" ht="16.5" hidden="1" customHeight="1">
      <c r="B197" s="9">
        <f>IF(C197="","",COUNTA($C$2:C197))</f>
        <v>196</v>
      </c>
      <c r="C197" s="47">
        <v>46094</v>
      </c>
      <c r="D197" s="9" t="str">
        <f t="shared" si="16"/>
        <v>B</v>
      </c>
      <c r="E197" s="20" t="s">
        <v>193</v>
      </c>
      <c r="F197" s="20" t="s">
        <v>251</v>
      </c>
      <c r="G197" s="5" t="s">
        <v>52</v>
      </c>
      <c r="H197" s="44">
        <v>3430000</v>
      </c>
      <c r="I197" s="5">
        <f t="shared" ca="1" si="17"/>
        <v>3</v>
      </c>
      <c r="J197" s="11" t="str">
        <f t="shared" ca="1" si="18"/>
        <v>정상</v>
      </c>
      <c r="K197" s="10"/>
      <c r="L197" s="10">
        <v>46097</v>
      </c>
      <c r="M197" s="9"/>
      <c r="N197" s="9" t="s">
        <v>35</v>
      </c>
      <c r="Q197" s="10"/>
      <c r="R197" s="10"/>
      <c r="S197" s="9"/>
    </row>
    <row r="198" spans="2:19" s="5" customFormat="1" ht="16.5" customHeight="1">
      <c r="B198" s="9">
        <f>IF(C198="","",COUNTA($C$2:C198))</f>
        <v>197</v>
      </c>
      <c r="C198" s="47">
        <v>46094</v>
      </c>
      <c r="D198" s="9" t="str">
        <f t="shared" ref="D198:D229" si="19">IF(G198="","",IF(OR(G198="선급금",G198="중도금",G198="잔금"),"A",IF(G198="자재","B",IF(G198="특허료","C",""))))</f>
        <v>B</v>
      </c>
      <c r="E198" s="20" t="s">
        <v>186</v>
      </c>
      <c r="F198" s="20" t="s">
        <v>213</v>
      </c>
      <c r="G198" s="5" t="s">
        <v>52</v>
      </c>
      <c r="H198" s="44">
        <v>14700000</v>
      </c>
      <c r="I198" s="5">
        <f t="shared" ca="1" si="17"/>
        <v>66</v>
      </c>
      <c r="J198" s="11" t="str">
        <f t="shared" ca="1" si="18"/>
        <v>관리</v>
      </c>
      <c r="K198" s="10">
        <v>46173</v>
      </c>
      <c r="L198" s="10"/>
      <c r="M198" s="9"/>
      <c r="N198" s="9" t="s">
        <v>35</v>
      </c>
      <c r="Q198" s="10"/>
      <c r="R198" s="10"/>
      <c r="S198" s="9"/>
    </row>
    <row r="199" spans="2:19" s="5" customFormat="1" ht="16.5" customHeight="1">
      <c r="B199" s="9">
        <f>IF(C199="","",COUNTA($C$2:C199))</f>
        <v>198</v>
      </c>
      <c r="C199" s="47">
        <v>46094</v>
      </c>
      <c r="D199" s="9" t="str">
        <f t="shared" si="19"/>
        <v>B</v>
      </c>
      <c r="E199" s="20" t="s">
        <v>252</v>
      </c>
      <c r="F199" s="20" t="s">
        <v>253</v>
      </c>
      <c r="G199" s="5" t="s">
        <v>52</v>
      </c>
      <c r="H199" s="44">
        <v>780000</v>
      </c>
      <c r="I199" s="5">
        <f t="shared" ca="1" si="17"/>
        <v>66</v>
      </c>
      <c r="J199" s="11" t="str">
        <f t="shared" ca="1" si="18"/>
        <v>관리</v>
      </c>
      <c r="K199" s="10"/>
      <c r="L199" s="10"/>
      <c r="M199" s="9"/>
      <c r="N199" s="9" t="s">
        <v>35</v>
      </c>
      <c r="Q199" s="10"/>
      <c r="R199" s="10"/>
      <c r="S199" s="9"/>
    </row>
    <row r="200" spans="2:19" s="5" customFormat="1" ht="16.5" hidden="1" customHeight="1">
      <c r="B200" s="9">
        <f>IF(C200="","",COUNTA($C$2:C200))</f>
        <v>199</v>
      </c>
      <c r="C200" s="47">
        <v>46094</v>
      </c>
      <c r="D200" s="9" t="str">
        <f t="shared" si="19"/>
        <v>B</v>
      </c>
      <c r="E200" s="20" t="s">
        <v>42</v>
      </c>
      <c r="F200" s="20" t="s">
        <v>254</v>
      </c>
      <c r="G200" s="5" t="s">
        <v>52</v>
      </c>
      <c r="H200" s="44">
        <v>220100</v>
      </c>
      <c r="I200" s="5">
        <f t="shared" ca="1" si="17"/>
        <v>18</v>
      </c>
      <c r="J200" s="11" t="str">
        <f t="shared" ca="1" si="18"/>
        <v>정상</v>
      </c>
      <c r="K200" s="10"/>
      <c r="L200" s="10">
        <v>46112</v>
      </c>
      <c r="M200" s="9"/>
      <c r="N200" s="9" t="s">
        <v>35</v>
      </c>
      <c r="Q200" s="10"/>
      <c r="R200" s="10"/>
      <c r="S200" s="9"/>
    </row>
    <row r="201" spans="2:19" s="5" customFormat="1" ht="16.5" hidden="1" customHeight="1">
      <c r="B201" s="9">
        <f>IF(C201="","",COUNTA($C$2:C201))</f>
        <v>200</v>
      </c>
      <c r="C201" s="47">
        <v>46097</v>
      </c>
      <c r="D201" s="9" t="str">
        <f t="shared" si="19"/>
        <v>A</v>
      </c>
      <c r="E201" s="5" t="s">
        <v>201</v>
      </c>
      <c r="F201" s="5" t="s">
        <v>202</v>
      </c>
      <c r="G201" s="5" t="s">
        <v>34</v>
      </c>
      <c r="H201" s="42">
        <v>22342800</v>
      </c>
      <c r="I201" s="5">
        <f t="shared" ca="1" si="17"/>
        <v>21</v>
      </c>
      <c r="J201" s="11" t="str">
        <f t="shared" ca="1" si="18"/>
        <v>정상</v>
      </c>
      <c r="K201" s="10">
        <v>46127</v>
      </c>
      <c r="L201" s="10">
        <v>46118</v>
      </c>
      <c r="M201" s="9"/>
      <c r="N201" s="9" t="s">
        <v>35</v>
      </c>
      <c r="Q201" s="10"/>
      <c r="R201" s="10"/>
      <c r="S201" s="9"/>
    </row>
    <row r="202" spans="2:19" s="5" customFormat="1" ht="16.5" hidden="1" customHeight="1">
      <c r="B202" s="9">
        <f>IF(C202="","",COUNTA($C$2:C202))</f>
        <v>201</v>
      </c>
      <c r="C202" s="47">
        <v>46098</v>
      </c>
      <c r="D202" s="9" t="str">
        <f t="shared" si="19"/>
        <v>B</v>
      </c>
      <c r="E202" s="20" t="s">
        <v>140</v>
      </c>
      <c r="F202" s="20" t="s">
        <v>255</v>
      </c>
      <c r="G202" s="5" t="s">
        <v>52</v>
      </c>
      <c r="H202" s="44">
        <v>19467400</v>
      </c>
      <c r="I202" s="5">
        <f t="shared" ca="1" si="17"/>
        <v>43</v>
      </c>
      <c r="J202" s="11" t="str">
        <f t="shared" ca="1" si="18"/>
        <v>관리</v>
      </c>
      <c r="K202" s="10"/>
      <c r="L202" s="10">
        <v>46141</v>
      </c>
      <c r="M202" s="9"/>
      <c r="N202" s="9" t="s">
        <v>35</v>
      </c>
      <c r="Q202" s="10"/>
      <c r="R202" s="10"/>
      <c r="S202" s="9"/>
    </row>
    <row r="203" spans="2:19" s="5" customFormat="1" ht="16.5" hidden="1" customHeight="1">
      <c r="B203" s="9">
        <f>IF(C203="","",COUNTA($C$2:C203))</f>
        <v>202</v>
      </c>
      <c r="C203" s="47">
        <v>46098</v>
      </c>
      <c r="D203" s="9" t="str">
        <f t="shared" si="19"/>
        <v>B</v>
      </c>
      <c r="E203" s="20" t="s">
        <v>140</v>
      </c>
      <c r="F203" s="20" t="s">
        <v>255</v>
      </c>
      <c r="G203" s="5" t="s">
        <v>52</v>
      </c>
      <c r="H203" s="44">
        <v>4765000</v>
      </c>
      <c r="I203" s="5">
        <f t="shared" ca="1" si="17"/>
        <v>43</v>
      </c>
      <c r="J203" s="11" t="str">
        <f t="shared" ca="1" si="18"/>
        <v>관리</v>
      </c>
      <c r="K203" s="10"/>
      <c r="L203" s="10">
        <v>46141</v>
      </c>
      <c r="M203" s="9"/>
      <c r="N203" s="9" t="s">
        <v>35</v>
      </c>
      <c r="Q203" s="10"/>
      <c r="R203" s="10"/>
      <c r="S203" s="9"/>
    </row>
    <row r="204" spans="2:19" s="5" customFormat="1" ht="16.5" customHeight="1">
      <c r="B204" s="9">
        <f>IF(C204="","",COUNTA($C$2:C204))</f>
        <v>203</v>
      </c>
      <c r="C204" s="47">
        <v>46098</v>
      </c>
      <c r="D204" s="9" t="str">
        <f t="shared" si="19"/>
        <v>B</v>
      </c>
      <c r="E204" s="20" t="s">
        <v>197</v>
      </c>
      <c r="F204" s="20" t="s">
        <v>198</v>
      </c>
      <c r="G204" s="5" t="s">
        <v>52</v>
      </c>
      <c r="H204" s="44">
        <v>954500</v>
      </c>
      <c r="I204" s="5">
        <f t="shared" ca="1" si="17"/>
        <v>62</v>
      </c>
      <c r="J204" s="11" t="str">
        <f t="shared" ca="1" si="18"/>
        <v>관리</v>
      </c>
      <c r="K204" s="10">
        <v>46164</v>
      </c>
      <c r="L204" s="10"/>
      <c r="M204" s="9"/>
      <c r="N204" s="9" t="s">
        <v>35</v>
      </c>
      <c r="Q204" s="10"/>
      <c r="R204" s="10"/>
      <c r="S204" s="9"/>
    </row>
    <row r="205" spans="2:19" s="5" customFormat="1" ht="16.5" hidden="1" customHeight="1">
      <c r="B205" s="9">
        <f>IF(C205="","",COUNTA($C$2:C205))</f>
        <v>204</v>
      </c>
      <c r="C205" s="47">
        <v>46098</v>
      </c>
      <c r="D205" s="9" t="str">
        <f t="shared" si="19"/>
        <v>B</v>
      </c>
      <c r="E205" s="20" t="s">
        <v>114</v>
      </c>
      <c r="F205" s="20" t="s">
        <v>256</v>
      </c>
      <c r="G205" s="5" t="s">
        <v>52</v>
      </c>
      <c r="H205" s="44">
        <v>9631000</v>
      </c>
      <c r="I205" s="5">
        <f t="shared" ca="1" si="17"/>
        <v>59</v>
      </c>
      <c r="J205" s="11" t="str">
        <f t="shared" ca="1" si="18"/>
        <v>관리</v>
      </c>
      <c r="K205" s="10"/>
      <c r="L205" s="10">
        <v>46157</v>
      </c>
      <c r="M205" s="9"/>
      <c r="N205" s="9" t="s">
        <v>35</v>
      </c>
      <c r="Q205" s="10"/>
      <c r="R205" s="10"/>
      <c r="S205" s="9"/>
    </row>
    <row r="206" spans="2:19" s="5" customFormat="1" ht="16.5" hidden="1" customHeight="1">
      <c r="B206" s="9">
        <f>IF(C206="","",COUNTA($C$2:C206))</f>
        <v>205</v>
      </c>
      <c r="C206" s="47">
        <v>46098</v>
      </c>
      <c r="D206" s="9" t="str">
        <f t="shared" si="19"/>
        <v>B</v>
      </c>
      <c r="E206" s="20" t="s">
        <v>32</v>
      </c>
      <c r="F206" s="20" t="s">
        <v>243</v>
      </c>
      <c r="G206" s="5" t="s">
        <v>52</v>
      </c>
      <c r="H206" s="44">
        <v>1745000</v>
      </c>
      <c r="I206" s="5">
        <f t="shared" ca="1" si="17"/>
        <v>44</v>
      </c>
      <c r="J206" s="11" t="str">
        <f t="shared" ca="1" si="18"/>
        <v>관리</v>
      </c>
      <c r="K206" s="10"/>
      <c r="L206" s="10">
        <v>46142</v>
      </c>
      <c r="M206" s="9"/>
      <c r="N206" s="9" t="s">
        <v>35</v>
      </c>
      <c r="Q206" s="10"/>
      <c r="R206" s="10"/>
      <c r="S206" s="9"/>
    </row>
    <row r="207" spans="2:19" s="5" customFormat="1" ht="16.5" hidden="1" customHeight="1">
      <c r="B207" s="9">
        <f>IF(C207="","",COUNTA($C$2:C207))</f>
        <v>206</v>
      </c>
      <c r="C207" s="47">
        <v>46098</v>
      </c>
      <c r="D207" s="9" t="str">
        <f t="shared" si="19"/>
        <v>B</v>
      </c>
      <c r="E207" s="20" t="s">
        <v>140</v>
      </c>
      <c r="F207" s="20" t="s">
        <v>257</v>
      </c>
      <c r="G207" s="5" t="s">
        <v>52</v>
      </c>
      <c r="H207" s="44">
        <v>493400</v>
      </c>
      <c r="I207" s="5">
        <f t="shared" ca="1" si="17"/>
        <v>43</v>
      </c>
      <c r="J207" s="11" t="str">
        <f t="shared" ca="1" si="18"/>
        <v>관리</v>
      </c>
      <c r="K207" s="10"/>
      <c r="L207" s="10">
        <v>46141</v>
      </c>
      <c r="M207" s="9"/>
      <c r="N207" s="9" t="s">
        <v>35</v>
      </c>
      <c r="Q207" s="10"/>
      <c r="R207" s="10"/>
      <c r="S207" s="9"/>
    </row>
    <row r="208" spans="2:19" s="5" customFormat="1" ht="16.5" hidden="1" customHeight="1">
      <c r="B208" s="9">
        <f>IF(C208="","",COUNTA($C$2:C208))</f>
        <v>207</v>
      </c>
      <c r="C208" s="47">
        <v>46098</v>
      </c>
      <c r="D208" s="9" t="str">
        <f t="shared" si="19"/>
        <v>B</v>
      </c>
      <c r="E208" s="20" t="s">
        <v>140</v>
      </c>
      <c r="F208" s="20" t="s">
        <v>258</v>
      </c>
      <c r="G208" s="5" t="s">
        <v>52</v>
      </c>
      <c r="H208" s="44">
        <v>3568200</v>
      </c>
      <c r="I208" s="5">
        <f t="shared" ca="1" si="17"/>
        <v>43</v>
      </c>
      <c r="J208" s="11" t="str">
        <f t="shared" ca="1" si="18"/>
        <v>관리</v>
      </c>
      <c r="K208" s="10"/>
      <c r="L208" s="10">
        <v>46141</v>
      </c>
      <c r="M208" s="9"/>
      <c r="N208" s="9" t="s">
        <v>35</v>
      </c>
      <c r="Q208" s="10"/>
      <c r="R208" s="10"/>
      <c r="S208" s="9"/>
    </row>
    <row r="209" spans="2:19" s="5" customFormat="1" ht="16.5" hidden="1" customHeight="1">
      <c r="B209" s="9">
        <f>IF(C209="","",COUNTA($C$2:C209))</f>
        <v>208</v>
      </c>
      <c r="C209" s="47">
        <v>46098</v>
      </c>
      <c r="D209" s="9" t="str">
        <f t="shared" si="19"/>
        <v>B</v>
      </c>
      <c r="E209" s="20" t="s">
        <v>140</v>
      </c>
      <c r="F209" s="20" t="s">
        <v>258</v>
      </c>
      <c r="G209" s="5" t="s">
        <v>52</v>
      </c>
      <c r="H209" s="44">
        <v>4110300</v>
      </c>
      <c r="I209" s="5">
        <f t="shared" ca="1" si="17"/>
        <v>43</v>
      </c>
      <c r="J209" s="11" t="str">
        <f t="shared" ca="1" si="18"/>
        <v>관리</v>
      </c>
      <c r="K209" s="10"/>
      <c r="L209" s="10">
        <v>46141</v>
      </c>
      <c r="M209" s="9"/>
      <c r="N209" s="9" t="s">
        <v>35</v>
      </c>
      <c r="Q209" s="10"/>
      <c r="R209" s="10"/>
      <c r="S209" s="9"/>
    </row>
    <row r="210" spans="2:19" s="5" customFormat="1" ht="16.5" hidden="1" customHeight="1">
      <c r="B210" s="9">
        <f>IF(C210="","",COUNTA($C$2:C210))</f>
        <v>209</v>
      </c>
      <c r="C210" s="47">
        <v>46098</v>
      </c>
      <c r="D210" s="9" t="str">
        <f t="shared" si="19"/>
        <v>B</v>
      </c>
      <c r="E210" s="20" t="s">
        <v>150</v>
      </c>
      <c r="F210" s="20" t="s">
        <v>259</v>
      </c>
      <c r="G210" s="5" t="s">
        <v>52</v>
      </c>
      <c r="H210" s="44">
        <v>1318600</v>
      </c>
      <c r="I210" s="5">
        <f t="shared" ca="1" si="17"/>
        <v>7</v>
      </c>
      <c r="J210" s="11" t="str">
        <f t="shared" ca="1" si="18"/>
        <v>정상</v>
      </c>
      <c r="K210" s="10"/>
      <c r="L210" s="10">
        <v>46105</v>
      </c>
      <c r="M210" s="9"/>
      <c r="N210" s="9" t="s">
        <v>35</v>
      </c>
      <c r="Q210" s="10"/>
      <c r="R210" s="10"/>
      <c r="S210" s="9"/>
    </row>
    <row r="211" spans="2:19" s="5" customFormat="1" ht="16.5" hidden="1" customHeight="1">
      <c r="B211" s="9">
        <f>IF(C211="","",COUNTA($C$2:C211))</f>
        <v>210</v>
      </c>
      <c r="C211" s="47">
        <v>46098</v>
      </c>
      <c r="D211" s="9" t="str">
        <f t="shared" si="19"/>
        <v>B</v>
      </c>
      <c r="E211" s="20" t="s">
        <v>260</v>
      </c>
      <c r="F211" s="20" t="s">
        <v>261</v>
      </c>
      <c r="G211" s="5" t="s">
        <v>52</v>
      </c>
      <c r="H211" s="44">
        <v>3541500</v>
      </c>
      <c r="I211" s="5">
        <f t="shared" ca="1" si="17"/>
        <v>28</v>
      </c>
      <c r="J211" s="11" t="str">
        <f t="shared" ca="1" si="18"/>
        <v>정상</v>
      </c>
      <c r="K211" s="10"/>
      <c r="L211" s="10">
        <v>46126</v>
      </c>
      <c r="M211" s="9"/>
      <c r="N211" s="9" t="s">
        <v>35</v>
      </c>
      <c r="Q211" s="10"/>
      <c r="R211" s="10"/>
      <c r="S211" s="9"/>
    </row>
    <row r="212" spans="2:19" s="5" customFormat="1" ht="16.5" hidden="1" customHeight="1">
      <c r="B212" s="9">
        <f>IF(C212="","",COUNTA($C$2:C212))</f>
        <v>211</v>
      </c>
      <c r="C212" s="47">
        <v>46098</v>
      </c>
      <c r="D212" s="9" t="str">
        <f t="shared" si="19"/>
        <v>B</v>
      </c>
      <c r="E212" s="20" t="s">
        <v>175</v>
      </c>
      <c r="F212" s="20" t="s">
        <v>262</v>
      </c>
      <c r="G212" s="5" t="s">
        <v>52</v>
      </c>
      <c r="H212" s="44">
        <v>3512300</v>
      </c>
      <c r="I212" s="5">
        <f t="shared" ca="1" si="17"/>
        <v>44</v>
      </c>
      <c r="J212" s="11" t="str">
        <f t="shared" ca="1" si="18"/>
        <v>관리</v>
      </c>
      <c r="K212" s="10">
        <v>46142</v>
      </c>
      <c r="L212" s="10">
        <v>46142</v>
      </c>
      <c r="M212" s="9"/>
      <c r="N212" s="9" t="s">
        <v>35</v>
      </c>
      <c r="Q212" s="10"/>
      <c r="R212" s="10"/>
      <c r="S212" s="9"/>
    </row>
    <row r="213" spans="2:19" s="5" customFormat="1" ht="16.5" hidden="1" customHeight="1">
      <c r="B213" s="9">
        <f>IF(C213="","",COUNTA($C$2:C213))</f>
        <v>212</v>
      </c>
      <c r="C213" s="47">
        <v>46098</v>
      </c>
      <c r="D213" s="9" t="str">
        <f t="shared" si="19"/>
        <v>B</v>
      </c>
      <c r="E213" s="20" t="s">
        <v>217</v>
      </c>
      <c r="F213" s="20" t="s">
        <v>218</v>
      </c>
      <c r="G213" s="5" t="s">
        <v>52</v>
      </c>
      <c r="H213" s="44">
        <v>11000000</v>
      </c>
      <c r="I213" s="5">
        <f t="shared" ca="1" si="17"/>
        <v>44</v>
      </c>
      <c r="J213" s="11" t="str">
        <f t="shared" ca="1" si="18"/>
        <v>관리</v>
      </c>
      <c r="K213" s="10">
        <v>46142</v>
      </c>
      <c r="L213" s="10">
        <v>46142</v>
      </c>
      <c r="M213" s="9"/>
      <c r="N213" s="9" t="s">
        <v>35</v>
      </c>
      <c r="Q213" s="10"/>
      <c r="R213" s="10"/>
      <c r="S213" s="9"/>
    </row>
    <row r="214" spans="2:19" s="5" customFormat="1" ht="16.5" customHeight="1">
      <c r="B214" s="9">
        <f>IF(C214="","",COUNTA($C$2:C214))</f>
        <v>213</v>
      </c>
      <c r="C214" s="47">
        <v>46098</v>
      </c>
      <c r="D214" s="9" t="str">
        <f t="shared" si="19"/>
        <v>B</v>
      </c>
      <c r="E214" s="20" t="s">
        <v>122</v>
      </c>
      <c r="F214" s="20" t="s">
        <v>159</v>
      </c>
      <c r="G214" s="5" t="s">
        <v>52</v>
      </c>
      <c r="H214" s="44">
        <v>21000000</v>
      </c>
      <c r="I214" s="5">
        <f t="shared" ca="1" si="17"/>
        <v>62</v>
      </c>
      <c r="J214" s="11" t="str">
        <f t="shared" ca="1" si="18"/>
        <v>관리</v>
      </c>
      <c r="K214" s="10">
        <v>46172</v>
      </c>
      <c r="L214" s="10"/>
      <c r="M214" s="9"/>
      <c r="N214" s="9" t="s">
        <v>35</v>
      </c>
      <c r="Q214" s="10"/>
      <c r="R214" s="10"/>
      <c r="S214" s="9"/>
    </row>
    <row r="215" spans="2:19" s="5" customFormat="1" ht="16.5" hidden="1" customHeight="1">
      <c r="B215" s="9">
        <f>IF(C215="","",COUNTA($C$2:C215))</f>
        <v>214</v>
      </c>
      <c r="C215" s="47">
        <v>46098</v>
      </c>
      <c r="D215" s="9" t="str">
        <f t="shared" si="19"/>
        <v>B</v>
      </c>
      <c r="E215" s="20" t="s">
        <v>130</v>
      </c>
      <c r="F215" s="20" t="s">
        <v>263</v>
      </c>
      <c r="G215" s="5" t="s">
        <v>52</v>
      </c>
      <c r="H215" s="44">
        <v>806000</v>
      </c>
      <c r="I215" s="5">
        <f t="shared" ca="1" si="17"/>
        <v>38</v>
      </c>
      <c r="J215" s="11" t="str">
        <f t="shared" ca="1" si="18"/>
        <v>정상</v>
      </c>
      <c r="K215" s="10"/>
      <c r="L215" s="10">
        <v>46136</v>
      </c>
      <c r="M215" s="9"/>
      <c r="N215" s="9" t="s">
        <v>35</v>
      </c>
      <c r="Q215" s="10"/>
      <c r="R215" s="10"/>
      <c r="S215" s="9"/>
    </row>
    <row r="216" spans="2:19" s="5" customFormat="1" ht="16.5" hidden="1" customHeight="1">
      <c r="B216" s="9">
        <f>IF(C216="","",COUNTA($C$2:C216))</f>
        <v>215</v>
      </c>
      <c r="C216" s="29">
        <v>46099</v>
      </c>
      <c r="D216" s="9" t="str">
        <f t="shared" si="19"/>
        <v>A</v>
      </c>
      <c r="E216" s="20" t="s">
        <v>184</v>
      </c>
      <c r="F216" s="30" t="s">
        <v>264</v>
      </c>
      <c r="G216" s="5" t="s">
        <v>20</v>
      </c>
      <c r="H216" s="51">
        <v>4354200</v>
      </c>
      <c r="I216" s="5">
        <f t="shared" ca="1" si="17"/>
        <v>28</v>
      </c>
      <c r="J216" s="11" t="str">
        <f t="shared" ca="1" si="18"/>
        <v>관리</v>
      </c>
      <c r="K216" s="10">
        <v>46119</v>
      </c>
      <c r="L216" s="10">
        <v>46127</v>
      </c>
      <c r="M216" s="9"/>
      <c r="N216" s="9" t="s">
        <v>35</v>
      </c>
      <c r="Q216" s="10"/>
      <c r="R216" s="10"/>
      <c r="S216" s="9"/>
    </row>
    <row r="217" spans="2:19" s="5" customFormat="1" ht="16.5" hidden="1" customHeight="1">
      <c r="B217" s="9">
        <f>IF(C217="","",COUNTA($C$2:C217))</f>
        <v>216</v>
      </c>
      <c r="C217" s="29">
        <v>46099</v>
      </c>
      <c r="D217" s="9" t="str">
        <f t="shared" si="19"/>
        <v>A</v>
      </c>
      <c r="E217" s="5" t="s">
        <v>130</v>
      </c>
      <c r="F217" s="5" t="s">
        <v>265</v>
      </c>
      <c r="G217" s="5" t="s">
        <v>20</v>
      </c>
      <c r="H217" s="42">
        <v>28530900</v>
      </c>
      <c r="I217" s="5">
        <f t="shared" ca="1" si="17"/>
        <v>16</v>
      </c>
      <c r="J217" s="11" t="str">
        <f t="shared" ca="1" si="18"/>
        <v>정상</v>
      </c>
      <c r="K217" s="10">
        <v>46119</v>
      </c>
      <c r="L217" s="10">
        <v>46115</v>
      </c>
      <c r="M217" s="9"/>
      <c r="N217" s="9" t="s">
        <v>35</v>
      </c>
      <c r="Q217" s="10"/>
      <c r="R217" s="10"/>
      <c r="S217" s="9"/>
    </row>
    <row r="218" spans="2:19" s="5" customFormat="1" ht="16.5" hidden="1" customHeight="1">
      <c r="B218" s="9">
        <f>IF(C218="","",COUNTA($C$2:C218))</f>
        <v>217</v>
      </c>
      <c r="C218" s="29">
        <v>46099</v>
      </c>
      <c r="D218" s="9" t="str">
        <f t="shared" si="19"/>
        <v>A</v>
      </c>
      <c r="E218" s="5" t="s">
        <v>266</v>
      </c>
      <c r="F218" s="5" t="s">
        <v>267</v>
      </c>
      <c r="G218" s="5" t="s">
        <v>20</v>
      </c>
      <c r="H218" s="42">
        <v>26089600</v>
      </c>
      <c r="I218" s="5">
        <f t="shared" ca="1" si="17"/>
        <v>0</v>
      </c>
      <c r="J218" s="11" t="str">
        <f t="shared" ca="1" si="18"/>
        <v>정상</v>
      </c>
      <c r="K218" s="10">
        <v>46119</v>
      </c>
      <c r="L218" s="10">
        <v>46099</v>
      </c>
      <c r="M218" s="9"/>
      <c r="N218" s="9" t="s">
        <v>35</v>
      </c>
      <c r="Q218" s="10"/>
      <c r="R218" s="10"/>
      <c r="S218" s="9"/>
    </row>
    <row r="219" spans="2:19" s="5" customFormat="1" ht="16.5" hidden="1" customHeight="1">
      <c r="B219" s="9">
        <f>IF(C219="","",COUNTA($C$2:C219))</f>
        <v>218</v>
      </c>
      <c r="C219" s="29">
        <v>46099</v>
      </c>
      <c r="D219" s="9" t="str">
        <f t="shared" si="19"/>
        <v>A</v>
      </c>
      <c r="E219" s="5" t="s">
        <v>268</v>
      </c>
      <c r="F219" s="5" t="s">
        <v>269</v>
      </c>
      <c r="G219" s="5" t="s">
        <v>20</v>
      </c>
      <c r="H219" s="42">
        <v>27749100</v>
      </c>
      <c r="I219" s="5">
        <f t="shared" ca="1" si="17"/>
        <v>16</v>
      </c>
      <c r="J219" s="11" t="str">
        <f t="shared" ca="1" si="18"/>
        <v>정상</v>
      </c>
      <c r="K219" s="10"/>
      <c r="L219" s="10">
        <v>46115</v>
      </c>
      <c r="M219" s="9"/>
      <c r="N219" s="9" t="s">
        <v>35</v>
      </c>
      <c r="Q219" s="10"/>
      <c r="R219" s="10"/>
      <c r="S219" s="9"/>
    </row>
    <row r="220" spans="2:19" s="5" customFormat="1" ht="16.5" hidden="1" customHeight="1">
      <c r="B220" s="9">
        <f>IF(C220="","",COUNTA($C$2:C220))</f>
        <v>219</v>
      </c>
      <c r="C220" s="10">
        <v>46099</v>
      </c>
      <c r="D220" s="9" t="str">
        <f t="shared" si="19"/>
        <v>B</v>
      </c>
      <c r="E220" s="20" t="s">
        <v>59</v>
      </c>
      <c r="F220" s="20" t="s">
        <v>231</v>
      </c>
      <c r="G220" s="5" t="s">
        <v>52</v>
      </c>
      <c r="H220" s="44">
        <v>1842500</v>
      </c>
      <c r="I220" s="5">
        <f t="shared" ca="1" si="17"/>
        <v>1</v>
      </c>
      <c r="J220" s="11" t="str">
        <f t="shared" ca="1" si="18"/>
        <v>정상</v>
      </c>
      <c r="K220" s="10"/>
      <c r="L220" s="10">
        <v>46100</v>
      </c>
      <c r="M220" s="9"/>
      <c r="N220" s="9" t="s">
        <v>35</v>
      </c>
      <c r="Q220" s="10"/>
      <c r="R220" s="10"/>
      <c r="S220" s="9"/>
    </row>
    <row r="221" spans="2:19" s="5" customFormat="1" ht="16.5" hidden="1" customHeight="1">
      <c r="B221" s="9">
        <f>IF(C221="","",COUNTA($C$2:C221))</f>
        <v>220</v>
      </c>
      <c r="C221" s="10">
        <v>46099</v>
      </c>
      <c r="D221" s="9" t="str">
        <f t="shared" si="19"/>
        <v>B</v>
      </c>
      <c r="E221" s="20" t="s">
        <v>140</v>
      </c>
      <c r="F221" s="20" t="s">
        <v>270</v>
      </c>
      <c r="G221" s="5" t="s">
        <v>52</v>
      </c>
      <c r="H221" s="44">
        <v>6583500</v>
      </c>
      <c r="I221" s="5">
        <f t="shared" ca="1" si="17"/>
        <v>42</v>
      </c>
      <c r="J221" s="11" t="str">
        <f t="shared" ca="1" si="18"/>
        <v>관리</v>
      </c>
      <c r="K221" s="10"/>
      <c r="L221" s="10">
        <v>46141</v>
      </c>
      <c r="M221" s="9"/>
      <c r="N221" s="9" t="s">
        <v>35</v>
      </c>
      <c r="Q221" s="10"/>
      <c r="R221" s="10"/>
      <c r="S221" s="9"/>
    </row>
    <row r="222" spans="2:19" s="5" customFormat="1" ht="16.5" hidden="1" customHeight="1">
      <c r="B222" s="9">
        <f>IF(C222="","",COUNTA($C$2:C222))</f>
        <v>221</v>
      </c>
      <c r="C222" s="10">
        <v>46099</v>
      </c>
      <c r="D222" s="9" t="str">
        <f t="shared" si="19"/>
        <v>B</v>
      </c>
      <c r="E222" s="20" t="s">
        <v>75</v>
      </c>
      <c r="F222" s="20" t="s">
        <v>271</v>
      </c>
      <c r="G222" s="5" t="s">
        <v>52</v>
      </c>
      <c r="H222" s="44">
        <v>2038700</v>
      </c>
      <c r="I222" s="5">
        <f t="shared" ca="1" si="17"/>
        <v>19</v>
      </c>
      <c r="J222" s="11" t="str">
        <f ca="1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0"/>
      <c r="L222" s="10">
        <v>46118</v>
      </c>
      <c r="M222" s="9"/>
      <c r="N222" s="9" t="s">
        <v>35</v>
      </c>
      <c r="Q222" s="10"/>
      <c r="R222" s="10"/>
      <c r="S222" s="9"/>
    </row>
    <row r="223" spans="2:19" s="5" customFormat="1" ht="16.5" hidden="1" customHeight="1">
      <c r="B223" s="9">
        <f>IF(C223="","",COUNTA($C$2:C223))</f>
        <v>222</v>
      </c>
      <c r="C223" s="10">
        <v>46099</v>
      </c>
      <c r="D223" s="9" t="str">
        <f t="shared" si="19"/>
        <v>B</v>
      </c>
      <c r="E223" s="20" t="s">
        <v>136</v>
      </c>
      <c r="F223" s="20" t="s">
        <v>137</v>
      </c>
      <c r="G223" s="5" t="s">
        <v>52</v>
      </c>
      <c r="H223" s="44">
        <v>4750000</v>
      </c>
      <c r="I223" s="5">
        <f t="shared" ca="1" si="17"/>
        <v>23</v>
      </c>
      <c r="J223" s="11" t="str">
        <f t="shared" ref="J223:J253" ca="1" si="20">IF(I223="","",
IF(G223="선급금",
IF(I223&lt;=20,"정상",IF(I223&lt;=90,"관리","장기미수")),
IF(G223="자재",
IF(I223&lt;=40,"정상",IF(I223&lt;=90,"관리","장기미수")),
IF(I223&lt;=30,"정상",IF(I223&lt;=90,"관리","장기미수"))
)
)
)</f>
        <v>정상</v>
      </c>
      <c r="K223" s="10"/>
      <c r="L223" s="10">
        <v>46122</v>
      </c>
      <c r="M223" s="9"/>
      <c r="N223" s="9" t="s">
        <v>35</v>
      </c>
      <c r="Q223" s="10"/>
      <c r="R223" s="10"/>
      <c r="S223" s="9"/>
    </row>
    <row r="224" spans="2:19" s="5" customFormat="1" ht="16.5" hidden="1" customHeight="1">
      <c r="B224" s="9">
        <f>IF(C224="","",COUNTA($C$2:C224))</f>
        <v>223</v>
      </c>
      <c r="C224" s="10">
        <v>46099</v>
      </c>
      <c r="D224" s="9" t="str">
        <f t="shared" si="19"/>
        <v>B</v>
      </c>
      <c r="E224" s="20" t="s">
        <v>140</v>
      </c>
      <c r="F224" s="20" t="s">
        <v>255</v>
      </c>
      <c r="G224" s="5" t="s">
        <v>52</v>
      </c>
      <c r="H224" s="44">
        <v>3572000</v>
      </c>
      <c r="I224" s="5">
        <f t="shared" ca="1" si="17"/>
        <v>42</v>
      </c>
      <c r="J224" s="11" t="str">
        <f t="shared" ca="1" si="20"/>
        <v>관리</v>
      </c>
      <c r="K224" s="10"/>
      <c r="L224" s="10">
        <v>46141</v>
      </c>
      <c r="M224" s="9"/>
      <c r="N224" s="9" t="s">
        <v>35</v>
      </c>
      <c r="Q224" s="10"/>
      <c r="R224" s="10"/>
      <c r="S224" s="9"/>
    </row>
    <row r="225" spans="2:19" s="5" customFormat="1" ht="16.5" customHeight="1">
      <c r="B225" s="9">
        <f>IF(C225="","",COUNTA($C$2:C225))</f>
        <v>224</v>
      </c>
      <c r="C225" s="10">
        <v>46099</v>
      </c>
      <c r="D225" s="9" t="str">
        <f t="shared" si="19"/>
        <v>B</v>
      </c>
      <c r="E225" s="20" t="s">
        <v>26</v>
      </c>
      <c r="F225" s="20" t="s">
        <v>272</v>
      </c>
      <c r="G225" s="5" t="s">
        <v>52</v>
      </c>
      <c r="H225" s="44">
        <v>435000</v>
      </c>
      <c r="I225" s="5">
        <f t="shared" ca="1" si="17"/>
        <v>61</v>
      </c>
      <c r="J225" s="11" t="str">
        <f t="shared" ca="1" si="20"/>
        <v>관리</v>
      </c>
      <c r="K225" s="10"/>
      <c r="L225" s="10"/>
      <c r="M225" s="9"/>
      <c r="N225" s="9" t="s">
        <v>35</v>
      </c>
      <c r="Q225" s="10"/>
      <c r="R225" s="10"/>
      <c r="S225" s="9"/>
    </row>
    <row r="226" spans="2:19" s="5" customFormat="1" ht="16.5" hidden="1" customHeight="1">
      <c r="B226" s="9">
        <f>IF(C226="","",COUNTA($C$2:C226))</f>
        <v>225</v>
      </c>
      <c r="C226" s="10">
        <v>46099</v>
      </c>
      <c r="D226" s="9" t="str">
        <f t="shared" si="19"/>
        <v>B</v>
      </c>
      <c r="E226" s="20" t="s">
        <v>273</v>
      </c>
      <c r="F226" s="20" t="s">
        <v>274</v>
      </c>
      <c r="G226" s="5" t="s">
        <v>52</v>
      </c>
      <c r="H226" s="44">
        <v>637000</v>
      </c>
      <c r="I226" s="5">
        <f t="shared" ca="1" si="17"/>
        <v>55</v>
      </c>
      <c r="J226" s="11" t="str">
        <f t="shared" ca="1" si="20"/>
        <v>관리</v>
      </c>
      <c r="K226" s="10"/>
      <c r="L226" s="10">
        <v>46154</v>
      </c>
      <c r="M226" s="9"/>
      <c r="N226" s="9" t="s">
        <v>35</v>
      </c>
      <c r="Q226" s="10"/>
      <c r="R226" s="10"/>
      <c r="S226" s="9"/>
    </row>
    <row r="227" spans="2:19" s="5" customFormat="1" ht="16.5" hidden="1" customHeight="1">
      <c r="B227" s="9">
        <f>IF(C227="","",COUNTA($C$2:C227))</f>
        <v>226</v>
      </c>
      <c r="C227" s="10">
        <v>46099</v>
      </c>
      <c r="D227" s="9" t="str">
        <f t="shared" si="19"/>
        <v>B</v>
      </c>
      <c r="E227" s="20" t="s">
        <v>275</v>
      </c>
      <c r="F227" s="20" t="s">
        <v>276</v>
      </c>
      <c r="G227" s="5" t="s">
        <v>52</v>
      </c>
      <c r="H227" s="44">
        <v>34583000</v>
      </c>
      <c r="I227" s="5">
        <f t="shared" ca="1" si="17"/>
        <v>19</v>
      </c>
      <c r="J227" s="11" t="str">
        <f t="shared" ca="1" si="20"/>
        <v>정상</v>
      </c>
      <c r="K227" s="10"/>
      <c r="L227" s="10">
        <v>46118</v>
      </c>
      <c r="M227" s="9"/>
      <c r="N227" s="9" t="s">
        <v>35</v>
      </c>
      <c r="Q227" s="10"/>
      <c r="R227" s="10"/>
      <c r="S227" s="9"/>
    </row>
    <row r="228" spans="2:19" s="5" customFormat="1" ht="16.5" hidden="1" customHeight="1">
      <c r="B228" s="9">
        <f>IF(C228="","",COUNTA($C$2:C228))</f>
        <v>227</v>
      </c>
      <c r="C228" s="10">
        <v>46099</v>
      </c>
      <c r="D228" s="9" t="str">
        <f t="shared" si="19"/>
        <v>B</v>
      </c>
      <c r="E228" s="20" t="s">
        <v>177</v>
      </c>
      <c r="F228" s="20" t="s">
        <v>277</v>
      </c>
      <c r="G228" s="5" t="s">
        <v>52</v>
      </c>
      <c r="H228" s="44">
        <v>6600000</v>
      </c>
      <c r="I228" s="5">
        <f t="shared" ca="1" si="17"/>
        <v>28</v>
      </c>
      <c r="J228" s="11" t="str">
        <f t="shared" ca="1" si="20"/>
        <v>정상</v>
      </c>
      <c r="K228" s="10"/>
      <c r="L228" s="10">
        <v>46127</v>
      </c>
      <c r="M228" s="9"/>
      <c r="N228" s="9" t="s">
        <v>35</v>
      </c>
      <c r="Q228" s="10"/>
      <c r="R228" s="10"/>
      <c r="S228" s="9"/>
    </row>
    <row r="229" spans="2:19" s="5" customFormat="1" ht="16.5" hidden="1" customHeight="1">
      <c r="B229" s="9">
        <f>IF(C229="","",COUNTA($C$2:C229))</f>
        <v>228</v>
      </c>
      <c r="C229" s="10">
        <v>46099</v>
      </c>
      <c r="D229" s="9" t="str">
        <f t="shared" si="19"/>
        <v>B</v>
      </c>
      <c r="E229" s="20" t="s">
        <v>195</v>
      </c>
      <c r="F229" s="20" t="s">
        <v>196</v>
      </c>
      <c r="G229" s="5" t="s">
        <v>52</v>
      </c>
      <c r="H229" s="44">
        <v>15802000</v>
      </c>
      <c r="I229" s="5">
        <f t="shared" ca="1" si="17"/>
        <v>43</v>
      </c>
      <c r="J229" s="11" t="str">
        <f t="shared" ca="1" si="20"/>
        <v>관리</v>
      </c>
      <c r="K229" s="10"/>
      <c r="L229" s="10">
        <v>46142</v>
      </c>
      <c r="M229" s="9"/>
      <c r="N229" s="9" t="s">
        <v>35</v>
      </c>
      <c r="Q229" s="10"/>
      <c r="R229" s="10"/>
      <c r="S229" s="9"/>
    </row>
    <row r="230" spans="2:19" s="5" customFormat="1" ht="16.5" customHeight="1">
      <c r="B230" s="9">
        <f>IF(C230="","",COUNTA($C$2:C230))</f>
        <v>229</v>
      </c>
      <c r="C230" s="10">
        <v>46100</v>
      </c>
      <c r="D230" s="9" t="str">
        <f t="shared" ref="D230:D243" si="21">IF(G230="","",IF(OR(G230="선급금",G230="중도금",G230="잔금"),"A",IF(G230="자재","B",IF(G230="특허료","C",""))))</f>
        <v>B</v>
      </c>
      <c r="E230" s="20" t="s">
        <v>186</v>
      </c>
      <c r="F230" s="20" t="s">
        <v>213</v>
      </c>
      <c r="G230" s="5" t="s">
        <v>52</v>
      </c>
      <c r="H230" s="44">
        <v>9450000</v>
      </c>
      <c r="I230" s="5">
        <f t="shared" ca="1" si="17"/>
        <v>60</v>
      </c>
      <c r="J230" s="11" t="str">
        <f t="shared" ca="1" si="20"/>
        <v>관리</v>
      </c>
      <c r="K230" s="10">
        <v>46173</v>
      </c>
      <c r="L230" s="10"/>
      <c r="M230" s="9"/>
      <c r="N230" s="9" t="s">
        <v>35</v>
      </c>
      <c r="Q230" s="10"/>
      <c r="R230" s="10"/>
      <c r="S230" s="9"/>
    </row>
    <row r="231" spans="2:19" s="5" customFormat="1" ht="16.5" hidden="1" customHeight="1">
      <c r="B231" s="9">
        <f>IF(C231="","",COUNTA($C$2:C231))</f>
        <v>230</v>
      </c>
      <c r="C231" s="10">
        <v>46100</v>
      </c>
      <c r="D231" s="9" t="str">
        <f t="shared" si="21"/>
        <v>B</v>
      </c>
      <c r="E231" s="20" t="s">
        <v>140</v>
      </c>
      <c r="F231" s="20" t="s">
        <v>255</v>
      </c>
      <c r="G231" s="5" t="s">
        <v>52</v>
      </c>
      <c r="H231" s="44">
        <v>521000</v>
      </c>
      <c r="I231" s="5">
        <f t="shared" ca="1" si="17"/>
        <v>41</v>
      </c>
      <c r="J231" s="11" t="str">
        <f t="shared" ca="1" si="20"/>
        <v>관리</v>
      </c>
      <c r="K231" s="10"/>
      <c r="L231" s="10">
        <v>46141</v>
      </c>
      <c r="M231" s="9"/>
      <c r="N231" s="9" t="s">
        <v>35</v>
      </c>
      <c r="Q231" s="10"/>
      <c r="R231" s="10"/>
      <c r="S231" s="9"/>
    </row>
    <row r="232" spans="2:19" s="5" customFormat="1" ht="16.5" hidden="1" customHeight="1">
      <c r="B232" s="9">
        <f>IF(C232="","",COUNTA($C$2:C232))</f>
        <v>231</v>
      </c>
      <c r="C232" s="10">
        <v>46100</v>
      </c>
      <c r="D232" s="9" t="str">
        <f t="shared" si="21"/>
        <v>B</v>
      </c>
      <c r="E232" s="20" t="s">
        <v>42</v>
      </c>
      <c r="F232" s="20" t="s">
        <v>278</v>
      </c>
      <c r="G232" s="5" t="s">
        <v>52</v>
      </c>
      <c r="H232" s="44">
        <v>333000</v>
      </c>
      <c r="I232" s="5">
        <f t="shared" ca="1" si="17"/>
        <v>12</v>
      </c>
      <c r="J232" s="11" t="str">
        <f t="shared" ca="1" si="20"/>
        <v>정상</v>
      </c>
      <c r="K232" s="10"/>
      <c r="L232" s="10">
        <v>46112</v>
      </c>
      <c r="M232" s="9"/>
      <c r="N232" s="9" t="s">
        <v>35</v>
      </c>
      <c r="Q232" s="10"/>
      <c r="R232" s="10"/>
      <c r="S232" s="9"/>
    </row>
    <row r="233" spans="2:19" s="5" customFormat="1" ht="16.5" hidden="1" customHeight="1">
      <c r="B233" s="9">
        <f>IF(C233="","",COUNTA($C$2:C233))</f>
        <v>232</v>
      </c>
      <c r="C233" s="10">
        <v>46100</v>
      </c>
      <c r="D233" s="9" t="str">
        <f t="shared" si="21"/>
        <v>B</v>
      </c>
      <c r="E233" s="20" t="s">
        <v>92</v>
      </c>
      <c r="F233" s="20" t="s">
        <v>219</v>
      </c>
      <c r="G233" s="5" t="s">
        <v>52</v>
      </c>
      <c r="H233" s="44">
        <v>2835000</v>
      </c>
      <c r="I233" s="5">
        <f t="shared" ca="1" si="17"/>
        <v>49</v>
      </c>
      <c r="J233" s="11" t="str">
        <f t="shared" ca="1" si="20"/>
        <v>관리</v>
      </c>
      <c r="K233" s="10"/>
      <c r="L233" s="10">
        <v>46149</v>
      </c>
      <c r="M233" s="9"/>
      <c r="N233" s="9" t="s">
        <v>35</v>
      </c>
      <c r="Q233" s="10"/>
      <c r="R233" s="10"/>
      <c r="S233" s="9"/>
    </row>
    <row r="234" spans="2:19" s="5" customFormat="1" ht="16.5" hidden="1" customHeight="1">
      <c r="B234" s="9">
        <f>IF(C234="","",COUNTA($C$2:C234))</f>
        <v>233</v>
      </c>
      <c r="C234" s="10">
        <v>46100</v>
      </c>
      <c r="D234" s="9" t="str">
        <f t="shared" si="21"/>
        <v>B</v>
      </c>
      <c r="E234" s="20" t="s">
        <v>142</v>
      </c>
      <c r="F234" s="20" t="s">
        <v>143</v>
      </c>
      <c r="G234" s="5" t="s">
        <v>52</v>
      </c>
      <c r="H234" s="44">
        <v>351900</v>
      </c>
      <c r="I234" s="5">
        <f t="shared" ca="1" si="17"/>
        <v>0</v>
      </c>
      <c r="J234" s="11" t="str">
        <f t="shared" ca="1" si="20"/>
        <v>정상</v>
      </c>
      <c r="K234" s="10"/>
      <c r="L234" s="10">
        <v>46100</v>
      </c>
      <c r="M234" s="9"/>
      <c r="N234" s="9" t="s">
        <v>35</v>
      </c>
      <c r="Q234" s="10"/>
      <c r="R234" s="10"/>
      <c r="S234" s="9"/>
    </row>
    <row r="235" spans="2:19" s="5" customFormat="1" ht="16.5" customHeight="1">
      <c r="B235" s="9">
        <f>IF(C235="","",COUNTA($C$2:C235))</f>
        <v>234</v>
      </c>
      <c r="C235" s="10">
        <v>46100</v>
      </c>
      <c r="D235" s="9" t="str">
        <f t="shared" si="21"/>
        <v>B</v>
      </c>
      <c r="E235" s="20" t="s">
        <v>18</v>
      </c>
      <c r="F235" s="20" t="s">
        <v>279</v>
      </c>
      <c r="G235" s="5" t="s">
        <v>52</v>
      </c>
      <c r="H235" s="44">
        <v>839000</v>
      </c>
      <c r="I235" s="5">
        <f t="shared" ca="1" si="17"/>
        <v>60</v>
      </c>
      <c r="J235" s="11" t="str">
        <f t="shared" ca="1" si="20"/>
        <v>관리</v>
      </c>
      <c r="K235" s="10"/>
      <c r="L235" s="10"/>
      <c r="M235" s="9"/>
      <c r="N235" s="9" t="s">
        <v>35</v>
      </c>
      <c r="Q235" s="10"/>
      <c r="R235" s="10"/>
      <c r="S235" s="9"/>
    </row>
    <row r="236" spans="2:19" s="5" customFormat="1" ht="16.5" hidden="1" customHeight="1">
      <c r="B236" s="9">
        <f>IF(C236="","",COUNTA($C$2:C236))</f>
        <v>235</v>
      </c>
      <c r="C236" s="10">
        <v>46100</v>
      </c>
      <c r="D236" s="9" t="str">
        <f t="shared" si="21"/>
        <v>B</v>
      </c>
      <c r="E236" s="20" t="s">
        <v>280</v>
      </c>
      <c r="F236" s="20" t="s">
        <v>281</v>
      </c>
      <c r="G236" s="5" t="s">
        <v>52</v>
      </c>
      <c r="H236" s="44">
        <v>1507200</v>
      </c>
      <c r="I236" s="5">
        <f t="shared" ca="1" si="17"/>
        <v>29</v>
      </c>
      <c r="J236" s="11" t="str">
        <f t="shared" ca="1" si="20"/>
        <v>정상</v>
      </c>
      <c r="K236" s="10"/>
      <c r="L236" s="10">
        <v>46129</v>
      </c>
      <c r="M236" s="9"/>
      <c r="N236" s="9" t="s">
        <v>35</v>
      </c>
      <c r="Q236" s="10"/>
      <c r="R236" s="10"/>
      <c r="S236" s="9"/>
    </row>
    <row r="237" spans="2:19" s="5" customFormat="1" ht="16.5" hidden="1" customHeight="1">
      <c r="B237" s="9">
        <f>IF(C237="","",COUNTA($C$2:C237))</f>
        <v>236</v>
      </c>
      <c r="C237" s="10">
        <v>46100</v>
      </c>
      <c r="D237" s="9" t="str">
        <f t="shared" si="21"/>
        <v>B</v>
      </c>
      <c r="E237" s="20" t="s">
        <v>190</v>
      </c>
      <c r="F237" s="20" t="s">
        <v>282</v>
      </c>
      <c r="G237" s="5" t="s">
        <v>52</v>
      </c>
      <c r="H237" s="44">
        <v>585000</v>
      </c>
      <c r="I237" s="5">
        <f t="shared" ca="1" si="17"/>
        <v>26</v>
      </c>
      <c r="J237" s="11" t="str">
        <f t="shared" ca="1" si="20"/>
        <v>정상</v>
      </c>
      <c r="K237" s="10"/>
      <c r="L237" s="10">
        <v>46126</v>
      </c>
      <c r="M237" s="9"/>
      <c r="N237" s="9" t="s">
        <v>35</v>
      </c>
      <c r="Q237" s="10"/>
      <c r="R237" s="10"/>
      <c r="S237" s="9"/>
    </row>
    <row r="238" spans="2:19" s="5" customFormat="1" ht="16.5" hidden="1" customHeight="1">
      <c r="B238" s="9">
        <f>IF(C238="","",COUNTA($C$2:C238))</f>
        <v>237</v>
      </c>
      <c r="C238" s="10">
        <v>46100</v>
      </c>
      <c r="D238" s="9" t="str">
        <f t="shared" si="21"/>
        <v>B</v>
      </c>
      <c r="E238" s="20" t="s">
        <v>195</v>
      </c>
      <c r="F238" s="20" t="s">
        <v>196</v>
      </c>
      <c r="G238" s="5" t="s">
        <v>52</v>
      </c>
      <c r="H238" s="44">
        <v>615000</v>
      </c>
      <c r="I238" s="5">
        <f t="shared" ca="1" si="17"/>
        <v>42</v>
      </c>
      <c r="J238" s="11" t="str">
        <f t="shared" ca="1" si="20"/>
        <v>관리</v>
      </c>
      <c r="K238" s="10"/>
      <c r="L238" s="10">
        <v>46142</v>
      </c>
      <c r="M238" s="9"/>
      <c r="N238" s="9" t="s">
        <v>35</v>
      </c>
      <c r="Q238" s="10"/>
      <c r="R238" s="10"/>
      <c r="S238" s="9"/>
    </row>
    <row r="239" spans="2:19" s="5" customFormat="1" ht="16.5" hidden="1" customHeight="1">
      <c r="B239" s="9">
        <f>IF(C239="","",COUNTA($C$2:C239))</f>
        <v>238</v>
      </c>
      <c r="C239" s="10">
        <v>46100</v>
      </c>
      <c r="D239" s="9" t="str">
        <f t="shared" si="21"/>
        <v>B</v>
      </c>
      <c r="E239" s="20" t="s">
        <v>190</v>
      </c>
      <c r="F239" s="20" t="s">
        <v>283</v>
      </c>
      <c r="G239" s="5" t="s">
        <v>52</v>
      </c>
      <c r="H239" s="44">
        <v>44793500</v>
      </c>
      <c r="I239" s="5">
        <f t="shared" ca="1" si="17"/>
        <v>26</v>
      </c>
      <c r="J239" s="11" t="str">
        <f t="shared" ca="1" si="20"/>
        <v>정상</v>
      </c>
      <c r="K239" s="10"/>
      <c r="L239" s="10">
        <v>46126</v>
      </c>
      <c r="M239" s="9"/>
      <c r="N239" s="9" t="s">
        <v>35</v>
      </c>
      <c r="Q239" s="10"/>
      <c r="R239" s="10"/>
      <c r="S239" s="9"/>
    </row>
    <row r="240" spans="2:19" s="5" customFormat="1" ht="16.5" hidden="1" customHeight="1">
      <c r="B240" s="9">
        <f>IF(C240="","",COUNTA($C$2:C240))</f>
        <v>239</v>
      </c>
      <c r="C240" s="10">
        <v>46100</v>
      </c>
      <c r="D240" s="9" t="str">
        <f t="shared" si="21"/>
        <v>B</v>
      </c>
      <c r="E240" s="20" t="s">
        <v>42</v>
      </c>
      <c r="F240" s="20" t="s">
        <v>284</v>
      </c>
      <c r="G240" s="5" t="s">
        <v>52</v>
      </c>
      <c r="H240" s="44">
        <v>602300</v>
      </c>
      <c r="I240" s="5">
        <f t="shared" ca="1" si="17"/>
        <v>12</v>
      </c>
      <c r="J240" s="11" t="str">
        <f t="shared" ca="1" si="20"/>
        <v>정상</v>
      </c>
      <c r="K240" s="10"/>
      <c r="L240" s="10">
        <v>46112</v>
      </c>
      <c r="M240" s="9"/>
      <c r="N240" s="9" t="s">
        <v>35</v>
      </c>
      <c r="Q240" s="10"/>
      <c r="R240" s="10"/>
      <c r="S240" s="9"/>
    </row>
    <row r="241" spans="2:19" s="5" customFormat="1" ht="16.5" customHeight="1">
      <c r="B241" s="9">
        <f>IF(C241="","",COUNTA($C$2:C241))</f>
        <v>240</v>
      </c>
      <c r="C241" s="10">
        <v>46100</v>
      </c>
      <c r="D241" s="9" t="str">
        <f t="shared" si="21"/>
        <v>B</v>
      </c>
      <c r="E241" s="20" t="s">
        <v>186</v>
      </c>
      <c r="F241" s="20" t="s">
        <v>187</v>
      </c>
      <c r="G241" s="5" t="s">
        <v>52</v>
      </c>
      <c r="H241" s="44">
        <v>1180000</v>
      </c>
      <c r="I241" s="5">
        <f t="shared" ca="1" si="17"/>
        <v>60</v>
      </c>
      <c r="J241" s="11" t="str">
        <f t="shared" ca="1" si="20"/>
        <v>관리</v>
      </c>
      <c r="K241" s="10">
        <v>46173</v>
      </c>
      <c r="L241" s="10"/>
      <c r="M241" s="9"/>
      <c r="N241" s="9" t="s">
        <v>35</v>
      </c>
      <c r="Q241" s="10"/>
      <c r="R241" s="10"/>
      <c r="S241" s="9"/>
    </row>
    <row r="242" spans="2:19" s="5" customFormat="1" ht="16.5" hidden="1" customHeight="1">
      <c r="B242" s="9">
        <f>IF(C242="","",COUNTA($C$2:C242))</f>
        <v>241</v>
      </c>
      <c r="C242" s="10">
        <v>46100</v>
      </c>
      <c r="D242" s="9" t="str">
        <f t="shared" si="21"/>
        <v>B</v>
      </c>
      <c r="E242" s="20" t="s">
        <v>260</v>
      </c>
      <c r="F242" s="20" t="s">
        <v>261</v>
      </c>
      <c r="G242" s="5" t="s">
        <v>52</v>
      </c>
      <c r="H242" s="44">
        <v>3300000</v>
      </c>
      <c r="I242" s="5">
        <f t="shared" ca="1" si="17"/>
        <v>26</v>
      </c>
      <c r="J242" s="11" t="str">
        <f t="shared" ca="1" si="20"/>
        <v>정상</v>
      </c>
      <c r="K242" s="10"/>
      <c r="L242" s="10">
        <v>46126</v>
      </c>
      <c r="M242" s="9"/>
      <c r="N242" s="9" t="s">
        <v>35</v>
      </c>
      <c r="Q242" s="10"/>
      <c r="R242" s="10"/>
      <c r="S242" s="9"/>
    </row>
    <row r="243" spans="2:19" s="5" customFormat="1" ht="16.5" customHeight="1">
      <c r="B243" s="9">
        <f>IF(C243="","",COUNTA($C$2:C243))</f>
        <v>242</v>
      </c>
      <c r="C243" s="10">
        <v>46100</v>
      </c>
      <c r="D243" s="9" t="str">
        <f t="shared" si="21"/>
        <v>B</v>
      </c>
      <c r="E243" s="20" t="s">
        <v>186</v>
      </c>
      <c r="F243" s="20" t="s">
        <v>189</v>
      </c>
      <c r="G243" s="5" t="s">
        <v>52</v>
      </c>
      <c r="H243" s="44">
        <v>1548500</v>
      </c>
      <c r="I243" s="5">
        <f t="shared" ca="1" si="17"/>
        <v>60</v>
      </c>
      <c r="J243" s="11" t="str">
        <f t="shared" ca="1" si="20"/>
        <v>관리</v>
      </c>
      <c r="K243" s="10">
        <v>46173</v>
      </c>
      <c r="L243" s="10"/>
      <c r="M243" s="9"/>
      <c r="N243" s="9" t="s">
        <v>35</v>
      </c>
      <c r="Q243" s="10"/>
      <c r="R243" s="10"/>
      <c r="S243" s="9"/>
    </row>
    <row r="244" spans="2:19" s="5" customFormat="1" ht="16.5" hidden="1" customHeight="1">
      <c r="B244" s="9">
        <f>IF(C244="","",COUNTA($C$2:C244))</f>
        <v>243</v>
      </c>
      <c r="C244" s="10">
        <v>46101</v>
      </c>
      <c r="D244" s="9" t="s">
        <v>180</v>
      </c>
      <c r="E244" s="5" t="s">
        <v>285</v>
      </c>
      <c r="F244" s="5" t="s">
        <v>214</v>
      </c>
      <c r="G244" s="5" t="s">
        <v>34</v>
      </c>
      <c r="H244" s="42">
        <v>10716800</v>
      </c>
      <c r="I244" s="5">
        <f t="shared" ca="1" si="17"/>
        <v>12</v>
      </c>
      <c r="J244" s="11" t="str">
        <f t="shared" ca="1" si="20"/>
        <v>정상</v>
      </c>
      <c r="K244" s="10">
        <v>46131</v>
      </c>
      <c r="L244" s="10">
        <v>46113</v>
      </c>
      <c r="M244" s="9"/>
      <c r="N244" s="9" t="s">
        <v>35</v>
      </c>
      <c r="Q244" s="10"/>
      <c r="R244" s="10"/>
      <c r="S244" s="9"/>
    </row>
    <row r="245" spans="2:19" s="5" customFormat="1" ht="16.5" hidden="1" customHeight="1">
      <c r="B245" s="9">
        <f>IF(C245="","",COUNTA($C$2:C245))</f>
        <v>244</v>
      </c>
      <c r="C245" s="29">
        <v>46101</v>
      </c>
      <c r="D245" s="9" t="s">
        <v>180</v>
      </c>
      <c r="E245" s="5" t="s">
        <v>286</v>
      </c>
      <c r="F245" s="5" t="s">
        <v>287</v>
      </c>
      <c r="G245" s="5" t="s">
        <v>20</v>
      </c>
      <c r="H245" s="42">
        <v>9029600</v>
      </c>
      <c r="I245" s="5">
        <f t="shared" ca="1" si="17"/>
        <v>13</v>
      </c>
      <c r="J245" s="11" t="str">
        <f t="shared" ca="1" si="20"/>
        <v>정상</v>
      </c>
      <c r="K245" s="10">
        <v>46121</v>
      </c>
      <c r="L245" s="10">
        <v>46114</v>
      </c>
      <c r="M245" s="9"/>
      <c r="N245" s="9" t="s">
        <v>35</v>
      </c>
      <c r="Q245" s="10"/>
      <c r="R245" s="10"/>
      <c r="S245" s="9"/>
    </row>
    <row r="246" spans="2:19" s="5" customFormat="1" ht="16.5" hidden="1" customHeight="1">
      <c r="B246" s="9">
        <f>IF(C246="","",COUNTA($C$2:C246))</f>
        <v>245</v>
      </c>
      <c r="C246" s="29">
        <v>46101</v>
      </c>
      <c r="D246" s="9" t="s">
        <v>180</v>
      </c>
      <c r="E246" s="5" t="s">
        <v>288</v>
      </c>
      <c r="F246" s="5" t="s">
        <v>289</v>
      </c>
      <c r="G246" s="5" t="s">
        <v>20</v>
      </c>
      <c r="H246" s="42">
        <v>6484400</v>
      </c>
      <c r="I246" s="5">
        <f t="shared" ca="1" si="17"/>
        <v>26</v>
      </c>
      <c r="J246" s="11" t="str">
        <f t="shared" ca="1" si="20"/>
        <v>관리</v>
      </c>
      <c r="K246" s="10">
        <v>46121</v>
      </c>
      <c r="L246" s="10">
        <v>46127</v>
      </c>
      <c r="M246" s="9"/>
      <c r="N246" s="9" t="s">
        <v>35</v>
      </c>
      <c r="Q246" s="10"/>
      <c r="R246" s="10"/>
      <c r="S246" s="9"/>
    </row>
    <row r="247" spans="2:19" s="5" customFormat="1" ht="16.5" hidden="1" customHeight="1">
      <c r="B247" s="9">
        <f>IF(C247="","",COUNTA($C$2:C247))</f>
        <v>246</v>
      </c>
      <c r="C247" s="29">
        <v>46101</v>
      </c>
      <c r="D247" s="9" t="s">
        <v>180</v>
      </c>
      <c r="E247" s="5" t="s">
        <v>290</v>
      </c>
      <c r="F247" s="5" t="s">
        <v>291</v>
      </c>
      <c r="G247" s="5" t="s">
        <v>20</v>
      </c>
      <c r="H247" s="42">
        <v>52857300</v>
      </c>
      <c r="I247" s="5">
        <f t="shared" ca="1" si="17"/>
        <v>11</v>
      </c>
      <c r="J247" s="11" t="str">
        <f t="shared" ca="1" si="20"/>
        <v>정상</v>
      </c>
      <c r="K247" s="10">
        <v>46121</v>
      </c>
      <c r="L247" s="10">
        <v>46112</v>
      </c>
      <c r="M247" s="9"/>
      <c r="N247" s="9" t="s">
        <v>35</v>
      </c>
      <c r="Q247" s="10"/>
      <c r="R247" s="10"/>
      <c r="S247" s="9"/>
    </row>
    <row r="248" spans="2:19" s="5" customFormat="1" ht="16.5" hidden="1" customHeight="1">
      <c r="B248" s="9">
        <f>IF(C248="","",COUNTA($C$2:C248))</f>
        <v>247</v>
      </c>
      <c r="C248" s="47">
        <v>46101</v>
      </c>
      <c r="D248" s="9" t="s">
        <v>160</v>
      </c>
      <c r="E248" s="20" t="s">
        <v>292</v>
      </c>
      <c r="F248" s="20" t="s">
        <v>293</v>
      </c>
      <c r="G248" s="5" t="s">
        <v>52</v>
      </c>
      <c r="H248" s="44">
        <v>114000</v>
      </c>
      <c r="I248" s="5">
        <f t="shared" ca="1" si="17"/>
        <v>21</v>
      </c>
      <c r="J248" s="11" t="str">
        <f t="shared" ca="1" si="20"/>
        <v>정상</v>
      </c>
      <c r="K248" s="10"/>
      <c r="L248" s="10">
        <v>46122</v>
      </c>
      <c r="M248" s="9"/>
      <c r="N248" s="9" t="s">
        <v>35</v>
      </c>
      <c r="Q248" s="10"/>
      <c r="R248" s="10"/>
      <c r="S248" s="9"/>
    </row>
    <row r="249" spans="2:19" s="5" customFormat="1" ht="16.5" customHeight="1">
      <c r="B249" s="9">
        <f>IF(C249="","",COUNTA($C$2:C249))</f>
        <v>248</v>
      </c>
      <c r="C249" s="47">
        <v>46101</v>
      </c>
      <c r="D249" s="9" t="s">
        <v>160</v>
      </c>
      <c r="E249" s="20" t="s">
        <v>26</v>
      </c>
      <c r="F249" s="20" t="s">
        <v>294</v>
      </c>
      <c r="G249" s="5" t="s">
        <v>52</v>
      </c>
      <c r="H249" s="44">
        <v>9563000</v>
      </c>
      <c r="I249" s="5">
        <f t="shared" ca="1" si="17"/>
        <v>59</v>
      </c>
      <c r="J249" s="11" t="str">
        <f t="shared" ca="1" si="20"/>
        <v>관리</v>
      </c>
      <c r="K249" s="10"/>
      <c r="L249" s="10"/>
      <c r="M249" s="9"/>
      <c r="N249" s="9" t="s">
        <v>35</v>
      </c>
      <c r="Q249" s="10"/>
      <c r="R249" s="10"/>
      <c r="S249" s="9"/>
    </row>
    <row r="250" spans="2:19" s="5" customFormat="1" ht="16.5" hidden="1" customHeight="1">
      <c r="B250" s="9">
        <f>IF(C250="","",COUNTA($C$2:C250))</f>
        <v>249</v>
      </c>
      <c r="C250" s="47">
        <v>46101</v>
      </c>
      <c r="D250" s="9" t="s">
        <v>160</v>
      </c>
      <c r="E250" s="20" t="s">
        <v>114</v>
      </c>
      <c r="F250" s="20" t="s">
        <v>244</v>
      </c>
      <c r="G250" s="5" t="s">
        <v>52</v>
      </c>
      <c r="H250" s="44">
        <v>2270000</v>
      </c>
      <c r="I250" s="5">
        <f t="shared" ca="1" si="17"/>
        <v>56</v>
      </c>
      <c r="J250" s="11" t="str">
        <f t="shared" ca="1" si="20"/>
        <v>관리</v>
      </c>
      <c r="K250" s="10"/>
      <c r="L250" s="10">
        <v>46157</v>
      </c>
      <c r="M250" s="9"/>
      <c r="N250" s="9" t="s">
        <v>35</v>
      </c>
      <c r="Q250" s="10"/>
      <c r="R250" s="10"/>
      <c r="S250" s="9"/>
    </row>
    <row r="251" spans="2:19" s="5" customFormat="1" ht="16.5" hidden="1" customHeight="1">
      <c r="B251" s="9">
        <f>IF(C251="","",COUNTA($C$2:C251))</f>
        <v>250</v>
      </c>
      <c r="C251" s="47">
        <v>46101</v>
      </c>
      <c r="D251" s="9" t="s">
        <v>160</v>
      </c>
      <c r="E251" s="20" t="s">
        <v>295</v>
      </c>
      <c r="F251" s="20" t="s">
        <v>296</v>
      </c>
      <c r="G251" s="5" t="s">
        <v>52</v>
      </c>
      <c r="H251" s="44">
        <v>121500</v>
      </c>
      <c r="I251" s="5">
        <f t="shared" ca="1" si="17"/>
        <v>0</v>
      </c>
      <c r="J251" s="11" t="str">
        <f t="shared" ca="1" si="20"/>
        <v>정상</v>
      </c>
      <c r="K251" s="10"/>
      <c r="L251" s="10">
        <v>46101</v>
      </c>
      <c r="M251" s="9"/>
      <c r="N251" s="9" t="s">
        <v>35</v>
      </c>
      <c r="Q251" s="10"/>
      <c r="R251" s="10"/>
      <c r="S251" s="9"/>
    </row>
    <row r="252" spans="2:19" s="5" customFormat="1" ht="16.5" hidden="1" customHeight="1">
      <c r="B252" s="9">
        <f>IF(C252="","",COUNTA($C$2:C252))</f>
        <v>251</v>
      </c>
      <c r="C252" s="47">
        <v>46101</v>
      </c>
      <c r="D252" s="9" t="s">
        <v>160</v>
      </c>
      <c r="E252" s="20" t="s">
        <v>136</v>
      </c>
      <c r="F252" s="20" t="s">
        <v>137</v>
      </c>
      <c r="G252" s="5" t="s">
        <v>52</v>
      </c>
      <c r="H252" s="44">
        <v>658000</v>
      </c>
      <c r="I252" s="5">
        <f t="shared" ca="1" si="17"/>
        <v>21</v>
      </c>
      <c r="J252" s="11" t="str">
        <f t="shared" ca="1" si="20"/>
        <v>정상</v>
      </c>
      <c r="K252" s="10"/>
      <c r="L252" s="10">
        <v>46122</v>
      </c>
      <c r="M252" s="9"/>
      <c r="N252" s="9" t="s">
        <v>35</v>
      </c>
      <c r="Q252" s="10"/>
      <c r="R252" s="10"/>
      <c r="S252" s="9"/>
    </row>
    <row r="253" spans="2:19" s="5" customFormat="1" ht="16.5" hidden="1" customHeight="1">
      <c r="B253" s="9">
        <f>IF(C253="","",COUNTA($C$2:C253))</f>
        <v>252</v>
      </c>
      <c r="C253" s="29">
        <v>46104</v>
      </c>
      <c r="D253" s="9" t="s">
        <v>180</v>
      </c>
      <c r="E253" s="5" t="s">
        <v>297</v>
      </c>
      <c r="F253" s="5" t="s">
        <v>298</v>
      </c>
      <c r="G253" s="5" t="s">
        <v>34</v>
      </c>
      <c r="H253" s="42">
        <v>23835400</v>
      </c>
      <c r="I253" s="5">
        <f t="shared" ca="1" si="17"/>
        <v>23</v>
      </c>
      <c r="J253" s="11" t="str">
        <f t="shared" ca="1" si="20"/>
        <v>정상</v>
      </c>
      <c r="K253" s="10">
        <v>46134</v>
      </c>
      <c r="L253" s="10">
        <v>46127</v>
      </c>
      <c r="M253" s="9"/>
      <c r="N253" s="9" t="s">
        <v>35</v>
      </c>
      <c r="Q253" s="10"/>
      <c r="R253" s="10"/>
      <c r="S253" s="9"/>
    </row>
    <row r="254" spans="2:19" s="5" customFormat="1" ht="16.5" hidden="1" customHeight="1">
      <c r="B254" s="9">
        <f>IF(C254="","",COUNTA($C$2:C254))</f>
        <v>253</v>
      </c>
      <c r="C254" s="29">
        <v>46104</v>
      </c>
      <c r="D254" s="9" t="s">
        <v>180</v>
      </c>
      <c r="E254" s="5" t="s">
        <v>184</v>
      </c>
      <c r="F254" s="5" t="s">
        <v>264</v>
      </c>
      <c r="G254" s="5" t="s">
        <v>34</v>
      </c>
      <c r="H254" s="42">
        <v>8708400</v>
      </c>
      <c r="I254" s="5">
        <f t="shared" ca="1" si="17"/>
        <v>23</v>
      </c>
      <c r="J254" s="11" t="str">
        <f ca="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0">
        <v>46134</v>
      </c>
      <c r="L254" s="10">
        <v>46127</v>
      </c>
      <c r="M254" s="9"/>
      <c r="N254" s="9" t="s">
        <v>35</v>
      </c>
      <c r="Q254" s="10"/>
      <c r="R254" s="10"/>
      <c r="S254" s="9"/>
    </row>
    <row r="255" spans="2:19" s="5" customFormat="1" ht="16.5" hidden="1" customHeight="1">
      <c r="B255" s="9">
        <f>IF(C255="","",COUNTA($C$2:C255))</f>
        <v>254</v>
      </c>
      <c r="C255" s="29">
        <v>46105</v>
      </c>
      <c r="D255" s="9" t="str">
        <f t="shared" ref="D255:D275" si="22">IF(G255="","",IF(OR(G255="선급금",G255="중도금",G255="잔금"),"A",IF(G255="자재","B",IF(G255="특허료","C",""))))</f>
        <v>A</v>
      </c>
      <c r="E255" s="5" t="s">
        <v>299</v>
      </c>
      <c r="F255" s="5" t="s">
        <v>300</v>
      </c>
      <c r="G255" s="5" t="s">
        <v>20</v>
      </c>
      <c r="H255" s="42">
        <v>8559000</v>
      </c>
      <c r="I255" s="5">
        <f t="shared" ref="I255:I318" ca="1" si="23">IF(C255="","",IF(L255="",TODAY()-C255,L255-C255))</f>
        <v>2</v>
      </c>
      <c r="J255" s="11" t="str">
        <f t="shared" ref="J255:J285" ca="1" si="24">IF(I255="","",
IF(G255="선급금",
IF(I255&lt;=20,"정상",IF(I255&lt;=90,"관리","장기미수")),
IF(G255="자재",
IF(I255&lt;=40,"정상",IF(I255&lt;=90,"관리","장기미수")),
IF(I255&lt;=30,"정상",IF(I255&lt;=90,"관리","장기미수"))
)
)
)</f>
        <v>정상</v>
      </c>
      <c r="K255" s="10">
        <v>46125</v>
      </c>
      <c r="L255" s="10">
        <v>46107</v>
      </c>
      <c r="M255" s="9"/>
      <c r="N255" s="9" t="s">
        <v>35</v>
      </c>
      <c r="Q255" s="10"/>
      <c r="R255" s="10"/>
      <c r="S255" s="9"/>
    </row>
    <row r="256" spans="2:19" s="5" customFormat="1" ht="16.5" hidden="1" customHeight="1">
      <c r="B256" s="9">
        <f>IF(C256="","",COUNTA($C$2:C256))</f>
        <v>255</v>
      </c>
      <c r="C256" s="29">
        <v>46105</v>
      </c>
      <c r="D256" s="9" t="str">
        <f t="shared" si="22"/>
        <v>A</v>
      </c>
      <c r="E256" s="5" t="s">
        <v>301</v>
      </c>
      <c r="F256" s="5" t="s">
        <v>302</v>
      </c>
      <c r="G256" s="5" t="s">
        <v>20</v>
      </c>
      <c r="H256" s="42">
        <v>3281000</v>
      </c>
      <c r="I256" s="5">
        <f t="shared" ca="1" si="23"/>
        <v>22</v>
      </c>
      <c r="J256" s="11" t="str">
        <f t="shared" ca="1" si="24"/>
        <v>관리</v>
      </c>
      <c r="K256" s="10">
        <v>46125</v>
      </c>
      <c r="L256" s="10">
        <v>46127</v>
      </c>
      <c r="M256" s="9"/>
      <c r="N256" s="9" t="s">
        <v>35</v>
      </c>
      <c r="Q256" s="10"/>
      <c r="R256" s="10"/>
      <c r="S256" s="9"/>
    </row>
    <row r="257" spans="2:19" s="5" customFormat="1" ht="16.5" customHeight="1">
      <c r="B257" s="9">
        <f>IF(C257="","",COUNTA($C$2:C257))</f>
        <v>256</v>
      </c>
      <c r="C257" s="10">
        <v>46104</v>
      </c>
      <c r="D257" s="9" t="str">
        <f t="shared" si="22"/>
        <v>B</v>
      </c>
      <c r="E257" s="5" t="s">
        <v>186</v>
      </c>
      <c r="F257" s="20" t="s">
        <v>213</v>
      </c>
      <c r="G257" s="5" t="s">
        <v>52</v>
      </c>
      <c r="H257" s="42">
        <v>4290000</v>
      </c>
      <c r="I257" s="5">
        <f t="shared" ca="1" si="23"/>
        <v>56</v>
      </c>
      <c r="J257" s="11" t="str">
        <f t="shared" ca="1" si="24"/>
        <v>관리</v>
      </c>
      <c r="K257" s="10">
        <v>46173</v>
      </c>
      <c r="L257" s="10"/>
      <c r="M257" s="9"/>
      <c r="N257" s="9" t="s">
        <v>35</v>
      </c>
      <c r="Q257" s="10"/>
      <c r="R257" s="10"/>
      <c r="S257" s="9"/>
    </row>
    <row r="258" spans="2:19" s="5" customFormat="1" ht="16.5" hidden="1" customHeight="1">
      <c r="B258" s="9">
        <f>IF(C258="","",COUNTA($C$2:C258))</f>
        <v>257</v>
      </c>
      <c r="C258" s="10">
        <v>46104</v>
      </c>
      <c r="D258" s="9" t="str">
        <f t="shared" si="22"/>
        <v>B</v>
      </c>
      <c r="E258" s="5" t="s">
        <v>303</v>
      </c>
      <c r="F258" s="20" t="s">
        <v>304</v>
      </c>
      <c r="G258" s="5" t="s">
        <v>52</v>
      </c>
      <c r="H258" s="42">
        <v>8800000</v>
      </c>
      <c r="I258" s="5">
        <f t="shared" ca="1" si="23"/>
        <v>2</v>
      </c>
      <c r="J258" s="11" t="str">
        <f t="shared" ca="1" si="24"/>
        <v>정상</v>
      </c>
      <c r="K258" s="10"/>
      <c r="L258" s="10">
        <v>46106</v>
      </c>
      <c r="M258" s="9"/>
      <c r="N258" s="9" t="s">
        <v>35</v>
      </c>
      <c r="Q258" s="10"/>
      <c r="R258" s="10"/>
      <c r="S258" s="9"/>
    </row>
    <row r="259" spans="2:19" s="5" customFormat="1" ht="16.5" customHeight="1">
      <c r="B259" s="9">
        <f>IF(C259="","",COUNTA($C$2:C259))</f>
        <v>258</v>
      </c>
      <c r="C259" s="10">
        <v>46104</v>
      </c>
      <c r="D259" s="9" t="str">
        <f t="shared" si="22"/>
        <v>B</v>
      </c>
      <c r="E259" s="5" t="s">
        <v>28</v>
      </c>
      <c r="F259" s="20" t="s">
        <v>305</v>
      </c>
      <c r="G259" s="5" t="s">
        <v>52</v>
      </c>
      <c r="H259" s="42">
        <v>465000</v>
      </c>
      <c r="I259" s="5">
        <f t="shared" ca="1" si="23"/>
        <v>56</v>
      </c>
      <c r="J259" s="11" t="str">
        <f t="shared" ca="1" si="24"/>
        <v>관리</v>
      </c>
      <c r="K259" s="10"/>
      <c r="L259" s="10"/>
      <c r="M259" s="9"/>
      <c r="N259" s="9" t="s">
        <v>35</v>
      </c>
      <c r="P259" s="5" t="s">
        <v>91</v>
      </c>
      <c r="Q259" s="10"/>
      <c r="R259" s="10"/>
      <c r="S259" s="9"/>
    </row>
    <row r="260" spans="2:19" s="5" customFormat="1" ht="16.5" hidden="1" customHeight="1">
      <c r="B260" s="9">
        <f>IF(C260="","",COUNTA($C$2:C260))</f>
        <v>259</v>
      </c>
      <c r="C260" s="10">
        <v>46104</v>
      </c>
      <c r="D260" s="9" t="str">
        <f t="shared" si="22"/>
        <v>B</v>
      </c>
      <c r="E260" s="5" t="s">
        <v>140</v>
      </c>
      <c r="F260" s="20" t="s">
        <v>306</v>
      </c>
      <c r="G260" s="5" t="s">
        <v>52</v>
      </c>
      <c r="H260" s="42">
        <v>5765500</v>
      </c>
      <c r="I260" s="5">
        <f t="shared" ca="1" si="23"/>
        <v>37</v>
      </c>
      <c r="J260" s="11" t="str">
        <f t="shared" ca="1" si="24"/>
        <v>정상</v>
      </c>
      <c r="K260" s="10"/>
      <c r="L260" s="10">
        <v>46141</v>
      </c>
      <c r="M260" s="9"/>
      <c r="N260" s="9" t="s">
        <v>35</v>
      </c>
      <c r="Q260" s="10"/>
      <c r="R260" s="10"/>
      <c r="S260" s="9"/>
    </row>
    <row r="261" spans="2:19" s="5" customFormat="1" ht="16.5" hidden="1" customHeight="1">
      <c r="B261" s="9">
        <f>IF(C261="","",COUNTA($C$2:C261))</f>
        <v>260</v>
      </c>
      <c r="C261" s="10">
        <v>46104</v>
      </c>
      <c r="D261" s="9" t="str">
        <f t="shared" si="22"/>
        <v>B</v>
      </c>
      <c r="E261" s="5" t="s">
        <v>134</v>
      </c>
      <c r="F261" s="20" t="s">
        <v>307</v>
      </c>
      <c r="G261" s="5" t="s">
        <v>52</v>
      </c>
      <c r="H261" s="42">
        <v>222000</v>
      </c>
      <c r="I261" s="5">
        <f t="shared" ca="1" si="23"/>
        <v>11</v>
      </c>
      <c r="J261" s="11" t="str">
        <f t="shared" ca="1" si="24"/>
        <v>정상</v>
      </c>
      <c r="K261" s="10"/>
      <c r="L261" s="10">
        <v>46115</v>
      </c>
      <c r="M261" s="9"/>
      <c r="N261" s="9" t="s">
        <v>35</v>
      </c>
      <c r="Q261" s="10"/>
      <c r="R261" s="10"/>
      <c r="S261" s="9"/>
    </row>
    <row r="262" spans="2:19" s="5" customFormat="1" ht="16.5" hidden="1" customHeight="1">
      <c r="B262" s="9">
        <f>IF(C262="","",COUNTA($C$2:C262))</f>
        <v>261</v>
      </c>
      <c r="C262" s="10">
        <v>46104</v>
      </c>
      <c r="D262" s="9" t="str">
        <f t="shared" si="22"/>
        <v>B</v>
      </c>
      <c r="E262" s="5" t="s">
        <v>175</v>
      </c>
      <c r="F262" s="20" t="s">
        <v>176</v>
      </c>
      <c r="G262" s="5" t="s">
        <v>52</v>
      </c>
      <c r="H262" s="42">
        <v>1866000</v>
      </c>
      <c r="I262" s="5">
        <f t="shared" ca="1" si="23"/>
        <v>38</v>
      </c>
      <c r="J262" s="11" t="str">
        <f t="shared" ca="1" si="24"/>
        <v>정상</v>
      </c>
      <c r="K262" s="10">
        <v>46142</v>
      </c>
      <c r="L262" s="10">
        <v>46142</v>
      </c>
      <c r="M262" s="9"/>
      <c r="N262" s="9" t="s">
        <v>35</v>
      </c>
      <c r="Q262" s="10"/>
      <c r="R262" s="10"/>
      <c r="S262" s="9"/>
    </row>
    <row r="263" spans="2:19" s="5" customFormat="1" ht="16.5" hidden="1" customHeight="1">
      <c r="B263" s="9">
        <f>IF(C263="","",COUNTA($C$2:C263))</f>
        <v>262</v>
      </c>
      <c r="C263" s="10">
        <v>46104</v>
      </c>
      <c r="D263" s="9" t="str">
        <f t="shared" si="22"/>
        <v>B</v>
      </c>
      <c r="E263" s="5" t="s">
        <v>161</v>
      </c>
      <c r="F263" s="20" t="s">
        <v>308</v>
      </c>
      <c r="G263" s="5" t="s">
        <v>52</v>
      </c>
      <c r="H263" s="42">
        <v>798500</v>
      </c>
      <c r="I263" s="5">
        <f t="shared" ca="1" si="23"/>
        <v>18</v>
      </c>
      <c r="J263" s="11" t="str">
        <f t="shared" ca="1" si="24"/>
        <v>정상</v>
      </c>
      <c r="K263" s="10"/>
      <c r="L263" s="10">
        <v>46122</v>
      </c>
      <c r="M263" s="9"/>
      <c r="N263" s="9" t="s">
        <v>35</v>
      </c>
      <c r="Q263" s="10"/>
      <c r="R263" s="10"/>
      <c r="S263" s="9"/>
    </row>
    <row r="264" spans="2:19" s="5" customFormat="1" ht="16.5" hidden="1" customHeight="1">
      <c r="B264" s="9">
        <f>IF(C264="","",COUNTA($C$2:C264))</f>
        <v>263</v>
      </c>
      <c r="C264" s="10">
        <v>46104</v>
      </c>
      <c r="D264" s="9" t="str">
        <f t="shared" si="22"/>
        <v>B</v>
      </c>
      <c r="E264" s="5" t="s">
        <v>309</v>
      </c>
      <c r="F264" s="20" t="s">
        <v>310</v>
      </c>
      <c r="G264" s="5" t="s">
        <v>52</v>
      </c>
      <c r="H264" s="42">
        <v>5442500</v>
      </c>
      <c r="I264" s="5">
        <f t="shared" ca="1" si="23"/>
        <v>18</v>
      </c>
      <c r="J264" s="11" t="str">
        <f t="shared" ca="1" si="24"/>
        <v>정상</v>
      </c>
      <c r="K264" s="10"/>
      <c r="L264" s="10">
        <v>46122</v>
      </c>
      <c r="M264" s="9"/>
      <c r="N264" s="9" t="s">
        <v>35</v>
      </c>
      <c r="Q264" s="10"/>
      <c r="R264" s="10"/>
      <c r="S264" s="9"/>
    </row>
    <row r="265" spans="2:19" s="5" customFormat="1" ht="16.5" hidden="1" customHeight="1">
      <c r="B265" s="9">
        <f>IF(C265="","",COUNTA($C$2:C265))</f>
        <v>264</v>
      </c>
      <c r="C265" s="10">
        <v>46104</v>
      </c>
      <c r="D265" s="9" t="str">
        <f t="shared" si="22"/>
        <v>B</v>
      </c>
      <c r="E265" s="5" t="s">
        <v>177</v>
      </c>
      <c r="F265" s="20" t="s">
        <v>311</v>
      </c>
      <c r="G265" s="5" t="s">
        <v>52</v>
      </c>
      <c r="H265" s="42">
        <v>2969500</v>
      </c>
      <c r="I265" s="5">
        <f t="shared" ca="1" si="23"/>
        <v>23</v>
      </c>
      <c r="J265" s="11" t="str">
        <f t="shared" ca="1" si="24"/>
        <v>정상</v>
      </c>
      <c r="K265" s="10"/>
      <c r="L265" s="10">
        <v>46127</v>
      </c>
      <c r="M265" s="9"/>
      <c r="N265" s="9" t="s">
        <v>35</v>
      </c>
      <c r="Q265" s="10"/>
      <c r="R265" s="10"/>
      <c r="S265" s="9"/>
    </row>
    <row r="266" spans="2:19" s="5" customFormat="1" ht="16.5" hidden="1" customHeight="1">
      <c r="B266" s="9">
        <f>IF(C266="","",COUNTA($C$2:C266))</f>
        <v>265</v>
      </c>
      <c r="C266" s="10">
        <v>46104</v>
      </c>
      <c r="D266" s="9" t="str">
        <f t="shared" si="22"/>
        <v>B</v>
      </c>
      <c r="E266" s="5" t="s">
        <v>168</v>
      </c>
      <c r="F266" s="20" t="s">
        <v>312</v>
      </c>
      <c r="G266" s="5" t="s">
        <v>52</v>
      </c>
      <c r="H266" s="42">
        <v>10451300</v>
      </c>
      <c r="I266" s="5">
        <f t="shared" ca="1" si="23"/>
        <v>35</v>
      </c>
      <c r="J266" s="11" t="str">
        <f t="shared" ca="1" si="24"/>
        <v>정상</v>
      </c>
      <c r="K266" s="10"/>
      <c r="L266" s="10">
        <v>46139</v>
      </c>
      <c r="M266" s="9"/>
      <c r="N266" s="9" t="s">
        <v>35</v>
      </c>
      <c r="Q266" s="10"/>
      <c r="R266" s="10"/>
      <c r="S266" s="9"/>
    </row>
    <row r="267" spans="2:19" s="5" customFormat="1" ht="16.5" customHeight="1">
      <c r="B267" s="9">
        <f>IF(C267="","",COUNTA($C$2:C267))</f>
        <v>266</v>
      </c>
      <c r="C267" s="10">
        <v>46104</v>
      </c>
      <c r="D267" s="9" t="str">
        <f t="shared" si="22"/>
        <v>B</v>
      </c>
      <c r="E267" s="5" t="s">
        <v>122</v>
      </c>
      <c r="F267" s="20" t="s">
        <v>313</v>
      </c>
      <c r="G267" s="5" t="s">
        <v>52</v>
      </c>
      <c r="H267" s="42">
        <v>2250000</v>
      </c>
      <c r="I267" s="5">
        <f t="shared" ca="1" si="23"/>
        <v>56</v>
      </c>
      <c r="J267" s="11" t="str">
        <f t="shared" ca="1" si="24"/>
        <v>관리</v>
      </c>
      <c r="K267" s="10">
        <v>46172</v>
      </c>
      <c r="L267" s="10"/>
      <c r="M267" s="9"/>
      <c r="N267" s="9" t="s">
        <v>35</v>
      </c>
      <c r="Q267" s="10"/>
      <c r="R267" s="10"/>
      <c r="S267" s="9"/>
    </row>
    <row r="268" spans="2:19" s="5" customFormat="1" ht="16.5" hidden="1" customHeight="1">
      <c r="B268" s="9">
        <f>IF(C268="","",COUNTA($C$2:C268))</f>
        <v>267</v>
      </c>
      <c r="C268" s="10">
        <v>46105</v>
      </c>
      <c r="D268" s="9" t="str">
        <f t="shared" si="22"/>
        <v>B</v>
      </c>
      <c r="E268" s="5" t="s">
        <v>140</v>
      </c>
      <c r="F268" s="20" t="s">
        <v>270</v>
      </c>
      <c r="G268" s="5" t="s">
        <v>52</v>
      </c>
      <c r="H268" s="42">
        <v>2711000</v>
      </c>
      <c r="I268" s="5">
        <f t="shared" ca="1" si="23"/>
        <v>36</v>
      </c>
      <c r="J268" s="11" t="str">
        <f t="shared" ca="1" si="24"/>
        <v>정상</v>
      </c>
      <c r="K268" s="10"/>
      <c r="L268" s="10">
        <v>46141</v>
      </c>
      <c r="M268" s="9"/>
      <c r="N268" s="9" t="s">
        <v>35</v>
      </c>
      <c r="Q268" s="10"/>
      <c r="R268" s="10"/>
      <c r="S268" s="9"/>
    </row>
    <row r="269" spans="2:19" s="5" customFormat="1" ht="16.5" hidden="1" customHeight="1">
      <c r="B269" s="9">
        <f>IF(C269="","",COUNTA($C$2:C269))</f>
        <v>268</v>
      </c>
      <c r="C269" s="10">
        <v>46105</v>
      </c>
      <c r="D269" s="9" t="str">
        <f t="shared" si="22"/>
        <v>B</v>
      </c>
      <c r="E269" s="5" t="s">
        <v>140</v>
      </c>
      <c r="F269" s="20" t="s">
        <v>258</v>
      </c>
      <c r="G269" s="5" t="s">
        <v>52</v>
      </c>
      <c r="H269" s="42">
        <v>10539000</v>
      </c>
      <c r="I269" s="5">
        <f t="shared" ca="1" si="23"/>
        <v>36</v>
      </c>
      <c r="J269" s="11" t="str">
        <f t="shared" ca="1" si="24"/>
        <v>정상</v>
      </c>
      <c r="K269" s="10"/>
      <c r="L269" s="10">
        <v>46141</v>
      </c>
      <c r="M269" s="9"/>
      <c r="N269" s="9" t="s">
        <v>35</v>
      </c>
      <c r="Q269" s="10"/>
      <c r="R269" s="10"/>
      <c r="S269" s="9"/>
    </row>
    <row r="270" spans="2:19" s="5" customFormat="1" ht="16.5" customHeight="1">
      <c r="B270" s="9">
        <f>IF(C270="","",COUNTA($C$2:C270))</f>
        <v>269</v>
      </c>
      <c r="C270" s="10">
        <v>46105</v>
      </c>
      <c r="D270" s="9" t="str">
        <f t="shared" si="22"/>
        <v>B</v>
      </c>
      <c r="E270" s="5" t="s">
        <v>314</v>
      </c>
      <c r="F270" s="20" t="s">
        <v>315</v>
      </c>
      <c r="G270" s="5" t="s">
        <v>52</v>
      </c>
      <c r="H270" s="42">
        <v>1021000</v>
      </c>
      <c r="I270" s="5">
        <f t="shared" ca="1" si="23"/>
        <v>55</v>
      </c>
      <c r="J270" s="11" t="str">
        <f t="shared" ca="1" si="24"/>
        <v>관리</v>
      </c>
      <c r="K270" s="10"/>
      <c r="L270" s="10"/>
      <c r="M270" s="9"/>
      <c r="N270" s="9" t="s">
        <v>35</v>
      </c>
      <c r="Q270" s="10"/>
      <c r="R270" s="10"/>
      <c r="S270" s="9"/>
    </row>
    <row r="271" spans="2:19" s="5" customFormat="1" ht="16.5" hidden="1" customHeight="1">
      <c r="B271" s="9">
        <f>IF(C271="","",COUNTA($C$2:C271))</f>
        <v>270</v>
      </c>
      <c r="C271" s="10">
        <v>46105</v>
      </c>
      <c r="D271" s="9" t="str">
        <f t="shared" si="22"/>
        <v>B</v>
      </c>
      <c r="E271" s="5" t="s">
        <v>112</v>
      </c>
      <c r="F271" s="20" t="s">
        <v>316</v>
      </c>
      <c r="G271" s="5" t="s">
        <v>52</v>
      </c>
      <c r="H271" s="42">
        <v>427800</v>
      </c>
      <c r="I271" s="5">
        <f t="shared" ca="1" si="23"/>
        <v>52</v>
      </c>
      <c r="J271" s="11" t="str">
        <f t="shared" ca="1" si="24"/>
        <v>관리</v>
      </c>
      <c r="K271" s="10"/>
      <c r="L271" s="10">
        <v>46157</v>
      </c>
      <c r="M271" s="9"/>
      <c r="N271" s="9" t="s">
        <v>35</v>
      </c>
      <c r="Q271" s="10"/>
      <c r="R271" s="10"/>
      <c r="S271" s="9"/>
    </row>
    <row r="272" spans="2:19" s="5" customFormat="1" ht="16.5" customHeight="1">
      <c r="B272" s="9">
        <f>IF(C272="","",COUNTA($C$2:C272))</f>
        <v>271</v>
      </c>
      <c r="C272" s="10">
        <v>46105</v>
      </c>
      <c r="D272" s="9" t="str">
        <f t="shared" si="22"/>
        <v>B</v>
      </c>
      <c r="E272" s="5" t="s">
        <v>186</v>
      </c>
      <c r="F272" s="20" t="s">
        <v>187</v>
      </c>
      <c r="G272" s="5" t="s">
        <v>52</v>
      </c>
      <c r="H272" s="42">
        <v>1180000</v>
      </c>
      <c r="I272" s="5">
        <f t="shared" ca="1" si="23"/>
        <v>55</v>
      </c>
      <c r="J272" s="11" t="str">
        <f t="shared" ca="1" si="24"/>
        <v>관리</v>
      </c>
      <c r="K272" s="10">
        <v>46173</v>
      </c>
      <c r="L272" s="10"/>
      <c r="M272" s="9"/>
      <c r="N272" s="9" t="s">
        <v>35</v>
      </c>
      <c r="Q272" s="10"/>
      <c r="R272" s="10"/>
      <c r="S272" s="9"/>
    </row>
    <row r="273" spans="2:19" s="5" customFormat="1" ht="16.5" hidden="1" customHeight="1">
      <c r="B273" s="9">
        <f>IF(C273="","",COUNTA($C$2:C273))</f>
        <v>272</v>
      </c>
      <c r="C273" s="10">
        <v>46105</v>
      </c>
      <c r="D273" s="9" t="str">
        <f t="shared" si="22"/>
        <v>B</v>
      </c>
      <c r="E273" s="5" t="s">
        <v>177</v>
      </c>
      <c r="F273" s="20" t="s">
        <v>317</v>
      </c>
      <c r="G273" s="5" t="s">
        <v>52</v>
      </c>
      <c r="H273" s="42">
        <v>4520000</v>
      </c>
      <c r="I273" s="5">
        <f t="shared" ca="1" si="23"/>
        <v>22</v>
      </c>
      <c r="J273" s="11" t="str">
        <f t="shared" ca="1" si="24"/>
        <v>정상</v>
      </c>
      <c r="K273" s="10"/>
      <c r="L273" s="10">
        <v>46127</v>
      </c>
      <c r="M273" s="9"/>
      <c r="N273" s="9" t="s">
        <v>35</v>
      </c>
      <c r="Q273" s="10"/>
      <c r="R273" s="10"/>
      <c r="S273" s="9"/>
    </row>
    <row r="274" spans="2:19" s="5" customFormat="1" ht="16.5" hidden="1" customHeight="1">
      <c r="B274" s="9">
        <f>IF(C274="","",COUNTA($C$2:C274))</f>
        <v>273</v>
      </c>
      <c r="C274" s="10">
        <v>46105</v>
      </c>
      <c r="D274" s="9" t="str">
        <f t="shared" si="22"/>
        <v>B</v>
      </c>
      <c r="E274" s="5" t="s">
        <v>140</v>
      </c>
      <c r="F274" s="20" t="s">
        <v>318</v>
      </c>
      <c r="G274" s="5" t="s">
        <v>52</v>
      </c>
      <c r="H274" s="42">
        <v>157000</v>
      </c>
      <c r="I274" s="5">
        <f t="shared" ca="1" si="23"/>
        <v>36</v>
      </c>
      <c r="J274" s="11" t="str">
        <f t="shared" ca="1" si="24"/>
        <v>정상</v>
      </c>
      <c r="K274" s="10"/>
      <c r="L274" s="10">
        <v>46141</v>
      </c>
      <c r="M274" s="9"/>
      <c r="N274" s="9" t="s">
        <v>35</v>
      </c>
      <c r="Q274" s="10"/>
      <c r="R274" s="10"/>
      <c r="S274" s="9"/>
    </row>
    <row r="275" spans="2:19" s="5" customFormat="1" ht="16.5" customHeight="1">
      <c r="B275" s="9">
        <f>IF(C275="","",COUNTA($C$2:C275))</f>
        <v>274</v>
      </c>
      <c r="C275" s="10">
        <v>46105</v>
      </c>
      <c r="D275" s="9" t="str">
        <f t="shared" si="22"/>
        <v>B</v>
      </c>
      <c r="E275" s="5" t="s">
        <v>197</v>
      </c>
      <c r="F275" s="20" t="s">
        <v>198</v>
      </c>
      <c r="G275" s="5" t="s">
        <v>52</v>
      </c>
      <c r="H275" s="42">
        <v>2380000</v>
      </c>
      <c r="I275" s="5">
        <f t="shared" ca="1" si="23"/>
        <v>55</v>
      </c>
      <c r="J275" s="11" t="str">
        <f t="shared" ca="1" si="24"/>
        <v>관리</v>
      </c>
      <c r="K275" s="10">
        <v>46173</v>
      </c>
      <c r="L275" s="10"/>
      <c r="M275" s="9"/>
      <c r="N275" s="9" t="s">
        <v>35</v>
      </c>
      <c r="Q275" s="10"/>
      <c r="R275" s="10"/>
      <c r="S275" s="9"/>
    </row>
    <row r="276" spans="2:19" s="5" customFormat="1" ht="16.5" hidden="1" customHeight="1">
      <c r="B276" s="9">
        <f>IF(C276="","",COUNTA($C$2:C276))</f>
        <v>275</v>
      </c>
      <c r="C276" s="10">
        <v>46106</v>
      </c>
      <c r="D276" s="9" t="s">
        <v>180</v>
      </c>
      <c r="E276" s="5" t="s">
        <v>319</v>
      </c>
      <c r="F276" s="5" t="s">
        <v>320</v>
      </c>
      <c r="G276" s="5" t="s">
        <v>20</v>
      </c>
      <c r="H276" s="42">
        <v>8080000</v>
      </c>
      <c r="I276" s="5">
        <f t="shared" ca="1" si="23"/>
        <v>7</v>
      </c>
      <c r="J276" s="11" t="str">
        <f t="shared" ca="1" si="24"/>
        <v>정상</v>
      </c>
      <c r="K276" s="10">
        <v>46126</v>
      </c>
      <c r="L276" s="10">
        <v>46113</v>
      </c>
      <c r="M276" s="9"/>
      <c r="N276" s="9" t="s">
        <v>35</v>
      </c>
      <c r="Q276" s="10"/>
      <c r="R276" s="10"/>
      <c r="S276" s="9"/>
    </row>
    <row r="277" spans="2:19" s="5" customFormat="1" ht="16.5" hidden="1" customHeight="1">
      <c r="B277" s="9">
        <f>IF(C277="","",COUNTA($C$2:C277))</f>
        <v>276</v>
      </c>
      <c r="C277" s="10">
        <v>46107</v>
      </c>
      <c r="D277" s="9" t="s">
        <v>180</v>
      </c>
      <c r="E277" s="5" t="s">
        <v>321</v>
      </c>
      <c r="F277" s="5" t="s">
        <v>322</v>
      </c>
      <c r="G277" s="5" t="s">
        <v>20</v>
      </c>
      <c r="H277" s="42">
        <v>2878800</v>
      </c>
      <c r="I277" s="5">
        <f t="shared" ca="1" si="23"/>
        <v>47</v>
      </c>
      <c r="J277" s="11" t="str">
        <f t="shared" ca="1" si="24"/>
        <v>관리</v>
      </c>
      <c r="K277" s="10">
        <v>46127</v>
      </c>
      <c r="L277" s="10">
        <v>46154</v>
      </c>
      <c r="M277" s="9"/>
      <c r="N277" s="9" t="s">
        <v>35</v>
      </c>
      <c r="Q277" s="10"/>
      <c r="R277" s="10"/>
      <c r="S277" s="9"/>
    </row>
    <row r="278" spans="2:19" s="5" customFormat="1" ht="16.5" hidden="1" customHeight="1">
      <c r="B278" s="9">
        <f>IF(C278="","",COUNTA($C$2:C278))</f>
        <v>277</v>
      </c>
      <c r="C278" s="10">
        <v>46106</v>
      </c>
      <c r="D278" s="9" t="s">
        <v>160</v>
      </c>
      <c r="E278" s="5" t="s">
        <v>172</v>
      </c>
      <c r="F278" s="5" t="s">
        <v>188</v>
      </c>
      <c r="G278" s="5" t="s">
        <v>52</v>
      </c>
      <c r="H278" s="42">
        <v>350000</v>
      </c>
      <c r="I278" s="5">
        <f t="shared" ca="1" si="23"/>
        <v>0</v>
      </c>
      <c r="J278" s="11" t="str">
        <f t="shared" ca="1" si="24"/>
        <v>정상</v>
      </c>
      <c r="K278" s="10"/>
      <c r="L278" s="10">
        <v>46106</v>
      </c>
      <c r="M278" s="9"/>
      <c r="N278" s="9" t="s">
        <v>35</v>
      </c>
      <c r="Q278" s="10"/>
      <c r="R278" s="10"/>
      <c r="S278" s="9"/>
    </row>
    <row r="279" spans="2:19" s="5" customFormat="1" ht="16.5" hidden="1" customHeight="1">
      <c r="B279" s="9">
        <f>IF(C279="","",COUNTA($C$2:C279))</f>
        <v>278</v>
      </c>
      <c r="C279" s="10">
        <v>46106</v>
      </c>
      <c r="D279" s="9" t="s">
        <v>160</v>
      </c>
      <c r="E279" s="5" t="s">
        <v>140</v>
      </c>
      <c r="F279" s="5" t="s">
        <v>306</v>
      </c>
      <c r="G279" s="5" t="s">
        <v>52</v>
      </c>
      <c r="H279" s="42">
        <v>4748300</v>
      </c>
      <c r="I279" s="5">
        <f t="shared" ca="1" si="23"/>
        <v>35</v>
      </c>
      <c r="J279" s="11" t="str">
        <f t="shared" ca="1" si="24"/>
        <v>정상</v>
      </c>
      <c r="K279" s="10"/>
      <c r="L279" s="10">
        <v>46141</v>
      </c>
      <c r="M279" s="9"/>
      <c r="N279" s="9" t="s">
        <v>35</v>
      </c>
      <c r="Q279" s="10"/>
      <c r="R279" s="10"/>
      <c r="S279" s="9"/>
    </row>
    <row r="280" spans="2:19" s="5" customFormat="1" ht="16.5" hidden="1" customHeight="1">
      <c r="B280" s="9">
        <f>IF(C280="","",COUNTA($C$2:C280))</f>
        <v>279</v>
      </c>
      <c r="C280" s="10">
        <v>46106</v>
      </c>
      <c r="D280" s="9" t="s">
        <v>160</v>
      </c>
      <c r="E280" s="5" t="s">
        <v>120</v>
      </c>
      <c r="F280" s="5" t="s">
        <v>323</v>
      </c>
      <c r="G280" s="5" t="s">
        <v>52</v>
      </c>
      <c r="H280" s="42">
        <v>396000</v>
      </c>
      <c r="I280" s="5">
        <f t="shared" ca="1" si="23"/>
        <v>6</v>
      </c>
      <c r="J280" s="11" t="str">
        <f t="shared" ca="1" si="24"/>
        <v>정상</v>
      </c>
      <c r="K280" s="10"/>
      <c r="L280" s="10">
        <v>46112</v>
      </c>
      <c r="M280" s="9"/>
      <c r="N280" s="9" t="s">
        <v>35</v>
      </c>
      <c r="Q280" s="10"/>
      <c r="R280" s="10"/>
      <c r="S280" s="9"/>
    </row>
    <row r="281" spans="2:19" s="5" customFormat="1" ht="16.5" hidden="1" customHeight="1">
      <c r="B281" s="9">
        <f>IF(C281="","",COUNTA($C$2:C281))</f>
        <v>280</v>
      </c>
      <c r="C281" s="10">
        <v>46106</v>
      </c>
      <c r="D281" s="9" t="s">
        <v>160</v>
      </c>
      <c r="E281" s="5" t="s">
        <v>140</v>
      </c>
      <c r="F281" s="5" t="s">
        <v>324</v>
      </c>
      <c r="G281" s="5" t="s">
        <v>52</v>
      </c>
      <c r="H281" s="42">
        <v>1414500</v>
      </c>
      <c r="I281" s="5">
        <f t="shared" ca="1" si="23"/>
        <v>35</v>
      </c>
      <c r="J281" s="11" t="str">
        <f t="shared" ca="1" si="24"/>
        <v>정상</v>
      </c>
      <c r="K281" s="10"/>
      <c r="L281" s="10">
        <v>46141</v>
      </c>
      <c r="M281" s="9"/>
      <c r="N281" s="9" t="s">
        <v>35</v>
      </c>
      <c r="Q281" s="10"/>
      <c r="R281" s="10"/>
      <c r="S281" s="9"/>
    </row>
    <row r="282" spans="2:19" s="5" customFormat="1" ht="16.5" hidden="1" customHeight="1">
      <c r="B282" s="9">
        <f>IF(C282="","",COUNTA($C$2:C282))</f>
        <v>281</v>
      </c>
      <c r="C282" s="10">
        <v>46106</v>
      </c>
      <c r="D282" s="9" t="s">
        <v>160</v>
      </c>
      <c r="E282" s="5" t="s">
        <v>217</v>
      </c>
      <c r="F282" s="5" t="s">
        <v>325</v>
      </c>
      <c r="G282" s="5" t="s">
        <v>52</v>
      </c>
      <c r="H282" s="42">
        <v>936000</v>
      </c>
      <c r="I282" s="5">
        <f t="shared" ca="1" si="23"/>
        <v>36</v>
      </c>
      <c r="J282" s="11" t="str">
        <f t="shared" ca="1" si="24"/>
        <v>정상</v>
      </c>
      <c r="K282" s="10">
        <v>46142</v>
      </c>
      <c r="L282" s="10">
        <v>46142</v>
      </c>
      <c r="M282" s="9"/>
      <c r="N282" s="9" t="s">
        <v>35</v>
      </c>
      <c r="Q282" s="10"/>
      <c r="R282" s="10"/>
      <c r="S282" s="9"/>
    </row>
    <row r="283" spans="2:19" s="5" customFormat="1" ht="16.5" hidden="1" customHeight="1">
      <c r="B283" s="9">
        <f>IF(C283="","",COUNTA($C$2:C283))</f>
        <v>282</v>
      </c>
      <c r="C283" s="10">
        <v>46106</v>
      </c>
      <c r="D283" s="9" t="s">
        <v>160</v>
      </c>
      <c r="E283" s="5" t="s">
        <v>140</v>
      </c>
      <c r="F283" s="5" t="s">
        <v>326</v>
      </c>
      <c r="G283" s="5" t="s">
        <v>52</v>
      </c>
      <c r="H283" s="42">
        <v>8336500</v>
      </c>
      <c r="I283" s="5">
        <f t="shared" ca="1" si="23"/>
        <v>35</v>
      </c>
      <c r="J283" s="11" t="str">
        <f t="shared" ca="1" si="24"/>
        <v>정상</v>
      </c>
      <c r="K283" s="10"/>
      <c r="L283" s="10">
        <v>46141</v>
      </c>
      <c r="M283" s="9"/>
      <c r="N283" s="9" t="s">
        <v>35</v>
      </c>
      <c r="Q283" s="10"/>
      <c r="R283" s="10"/>
      <c r="S283" s="9"/>
    </row>
    <row r="284" spans="2:19" s="5" customFormat="1" ht="16.5" hidden="1" customHeight="1">
      <c r="B284" s="9">
        <f>IF(C284="","",COUNTA($C$2:C284))</f>
        <v>283</v>
      </c>
      <c r="C284" s="10">
        <v>46106</v>
      </c>
      <c r="D284" s="9" t="s">
        <v>160</v>
      </c>
      <c r="E284" s="5" t="s">
        <v>140</v>
      </c>
      <c r="F284" s="5" t="s">
        <v>327</v>
      </c>
      <c r="G284" s="5" t="s">
        <v>52</v>
      </c>
      <c r="H284" s="42">
        <v>555000</v>
      </c>
      <c r="I284" s="5">
        <f t="shared" ca="1" si="23"/>
        <v>35</v>
      </c>
      <c r="J284" s="11" t="str">
        <f t="shared" ca="1" si="24"/>
        <v>정상</v>
      </c>
      <c r="K284" s="10"/>
      <c r="L284" s="10">
        <v>46141</v>
      </c>
      <c r="M284" s="9"/>
      <c r="N284" s="9" t="s">
        <v>35</v>
      </c>
      <c r="Q284" s="10"/>
      <c r="R284" s="10"/>
      <c r="S284" s="9"/>
    </row>
    <row r="285" spans="2:19" s="5" customFormat="1" ht="16.5" hidden="1" customHeight="1">
      <c r="B285" s="9">
        <f>IF(C285="","",COUNTA($C$2:C285))</f>
        <v>284</v>
      </c>
      <c r="C285" s="10">
        <v>46106</v>
      </c>
      <c r="D285" s="9" t="s">
        <v>160</v>
      </c>
      <c r="E285" s="5" t="s">
        <v>175</v>
      </c>
      <c r="F285" s="5" t="s">
        <v>328</v>
      </c>
      <c r="G285" s="5" t="s">
        <v>52</v>
      </c>
      <c r="H285" s="42">
        <v>508400</v>
      </c>
      <c r="I285" s="5">
        <f t="shared" ca="1" si="23"/>
        <v>36</v>
      </c>
      <c r="J285" s="11" t="str">
        <f t="shared" ca="1" si="24"/>
        <v>정상</v>
      </c>
      <c r="K285" s="10">
        <v>46142</v>
      </c>
      <c r="L285" s="10">
        <v>46142</v>
      </c>
      <c r="M285" s="9"/>
      <c r="N285" s="9" t="s">
        <v>35</v>
      </c>
      <c r="Q285" s="10"/>
      <c r="R285" s="10"/>
      <c r="S285" s="9"/>
    </row>
    <row r="286" spans="2:19" s="5" customFormat="1" ht="16.5" hidden="1" customHeight="1">
      <c r="B286" s="9">
        <f>IF(C286="","",COUNTA($C$2:C286))</f>
        <v>285</v>
      </c>
      <c r="C286" s="10">
        <v>46106</v>
      </c>
      <c r="D286" s="9" t="s">
        <v>160</v>
      </c>
      <c r="E286" s="5" t="s">
        <v>329</v>
      </c>
      <c r="F286" s="5" t="s">
        <v>330</v>
      </c>
      <c r="G286" s="5" t="s">
        <v>52</v>
      </c>
      <c r="H286" s="42">
        <v>6771000</v>
      </c>
      <c r="I286" s="5">
        <f t="shared" ca="1" si="23"/>
        <v>34</v>
      </c>
      <c r="J286" s="11" t="str">
        <f ca="1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0"/>
      <c r="L286" s="10">
        <v>46140</v>
      </c>
      <c r="M286" s="9"/>
      <c r="N286" s="9" t="s">
        <v>35</v>
      </c>
      <c r="Q286" s="10"/>
      <c r="R286" s="10"/>
      <c r="S286" s="9"/>
    </row>
    <row r="287" spans="2:19" s="5" customFormat="1" ht="16.5" customHeight="1">
      <c r="B287" s="9">
        <f>IF(C287="","",COUNTA($C$2:C287))</f>
        <v>286</v>
      </c>
      <c r="C287" s="10">
        <v>46106</v>
      </c>
      <c r="D287" s="9" t="s">
        <v>160</v>
      </c>
      <c r="E287" s="5" t="s">
        <v>26</v>
      </c>
      <c r="F287" s="5" t="s">
        <v>331</v>
      </c>
      <c r="G287" s="5" t="s">
        <v>52</v>
      </c>
      <c r="H287" s="42">
        <v>2997000</v>
      </c>
      <c r="I287" s="5">
        <f t="shared" ca="1" si="23"/>
        <v>54</v>
      </c>
      <c r="J287" s="11" t="str">
        <f t="shared" ref="J287:J318" ca="1" si="25">IF(I287="","",
IF(G287="선급금",
IF(I287&lt;=20,"정상",IF(I287&lt;=90,"관리","장기미수")),
IF(G287="자재",
IF(I287&lt;=40,"정상",IF(I287&lt;=90,"관리","장기미수")),
IF(I287&lt;=30,"정상",IF(I287&lt;=90,"관리","장기미수"))
)
)
)</f>
        <v>관리</v>
      </c>
      <c r="K287" s="10"/>
      <c r="L287" s="10"/>
      <c r="M287" s="9"/>
      <c r="N287" s="9" t="s">
        <v>35</v>
      </c>
      <c r="Q287" s="10"/>
      <c r="R287" s="10"/>
      <c r="S287" s="9"/>
    </row>
    <row r="288" spans="2:19" s="5" customFormat="1" ht="16.5" hidden="1" customHeight="1">
      <c r="B288" s="9">
        <f>IF(C288="","",COUNTA($C$2:C288))</f>
        <v>287</v>
      </c>
      <c r="C288" s="10">
        <v>46106</v>
      </c>
      <c r="D288" s="9" t="s">
        <v>180</v>
      </c>
      <c r="E288" s="5" t="s">
        <v>207</v>
      </c>
      <c r="F288" s="5" t="s">
        <v>208</v>
      </c>
      <c r="G288" s="5" t="s">
        <v>34</v>
      </c>
      <c r="H288" s="42">
        <v>30186600</v>
      </c>
      <c r="I288" s="5">
        <f t="shared" ca="1" si="23"/>
        <v>54</v>
      </c>
      <c r="J288" s="11" t="str">
        <f t="shared" ca="1" si="25"/>
        <v>관리</v>
      </c>
      <c r="K288" s="10">
        <v>46136</v>
      </c>
      <c r="L288" s="10"/>
      <c r="M288" s="9"/>
      <c r="N288" s="9" t="s">
        <v>35</v>
      </c>
      <c r="Q288" s="10"/>
      <c r="R288" s="10"/>
      <c r="S288" s="9"/>
    </row>
    <row r="289" spans="2:19" s="5" customFormat="1" ht="16.5" hidden="1" customHeight="1">
      <c r="B289" s="9">
        <f>IF(C289="","",COUNTA($C$2:C289))</f>
        <v>288</v>
      </c>
      <c r="C289" s="10" t="s">
        <v>332</v>
      </c>
      <c r="D289" s="9" t="str">
        <f t="shared" ref="D289:D307" si="26">IF(G289="","",IF(OR(G289="선급금",G289="중도금",G289="잔금"),"A",IF(G289="자재","B",IF(G289="특허료","C",""))))</f>
        <v>B</v>
      </c>
      <c r="E289" s="5" t="s">
        <v>190</v>
      </c>
      <c r="F289" s="20" t="s">
        <v>283</v>
      </c>
      <c r="G289" s="5" t="s">
        <v>52</v>
      </c>
      <c r="H289" s="44">
        <v>111000</v>
      </c>
      <c r="I289" s="5">
        <f t="shared" ca="1" si="23"/>
        <v>19</v>
      </c>
      <c r="J289" s="11" t="str">
        <f t="shared" ca="1" si="25"/>
        <v>정상</v>
      </c>
      <c r="K289" s="10"/>
      <c r="L289" s="10">
        <v>46126</v>
      </c>
      <c r="M289" s="9"/>
      <c r="N289" s="9" t="s">
        <v>35</v>
      </c>
      <c r="Q289" s="10"/>
      <c r="R289" s="10"/>
      <c r="S289" s="9"/>
    </row>
    <row r="290" spans="2:19" s="5" customFormat="1" ht="16.5" hidden="1" customHeight="1">
      <c r="B290" s="9">
        <f>IF(C290="","",COUNTA($C$2:C290))</f>
        <v>289</v>
      </c>
      <c r="C290" s="10" t="s">
        <v>332</v>
      </c>
      <c r="D290" s="9" t="str">
        <f t="shared" si="26"/>
        <v>B</v>
      </c>
      <c r="E290" s="5" t="s">
        <v>195</v>
      </c>
      <c r="F290" s="20" t="s">
        <v>196</v>
      </c>
      <c r="G290" s="5" t="s">
        <v>52</v>
      </c>
      <c r="H290" s="44">
        <v>1135000</v>
      </c>
      <c r="I290" s="5">
        <f t="shared" ca="1" si="23"/>
        <v>35</v>
      </c>
      <c r="J290" s="11" t="str">
        <f t="shared" ca="1" si="25"/>
        <v>정상</v>
      </c>
      <c r="K290" s="10"/>
      <c r="L290" s="10">
        <v>46142</v>
      </c>
      <c r="M290" s="9"/>
      <c r="N290" s="9" t="s">
        <v>35</v>
      </c>
      <c r="Q290" s="10"/>
      <c r="R290" s="10"/>
      <c r="S290" s="9"/>
    </row>
    <row r="291" spans="2:19" s="5" customFormat="1" ht="16.5" hidden="1" customHeight="1">
      <c r="B291" s="9">
        <f>IF(C291="","",COUNTA($C$2:C291))</f>
        <v>290</v>
      </c>
      <c r="C291" s="10" t="s">
        <v>332</v>
      </c>
      <c r="D291" s="9" t="str">
        <f t="shared" si="26"/>
        <v>B</v>
      </c>
      <c r="E291" s="5" t="s">
        <v>217</v>
      </c>
      <c r="F291" s="20" t="s">
        <v>325</v>
      </c>
      <c r="G291" s="5" t="s">
        <v>52</v>
      </c>
      <c r="H291" s="44">
        <v>14380000</v>
      </c>
      <c r="I291" s="5">
        <f t="shared" ca="1" si="23"/>
        <v>35</v>
      </c>
      <c r="J291" s="11" t="str">
        <f t="shared" ca="1" si="25"/>
        <v>정상</v>
      </c>
      <c r="K291" s="10">
        <v>46142</v>
      </c>
      <c r="L291" s="10">
        <v>46142</v>
      </c>
      <c r="M291" s="9"/>
      <c r="N291" s="9" t="s">
        <v>35</v>
      </c>
      <c r="Q291" s="10"/>
      <c r="R291" s="10"/>
      <c r="S291" s="9"/>
    </row>
    <row r="292" spans="2:19" s="5" customFormat="1" ht="16.5" hidden="1" customHeight="1">
      <c r="B292" s="9">
        <f>IF(C292="","",COUNTA($C$2:C292))</f>
        <v>291</v>
      </c>
      <c r="C292" s="10" t="s">
        <v>332</v>
      </c>
      <c r="D292" s="9" t="str">
        <f t="shared" si="26"/>
        <v>B</v>
      </c>
      <c r="E292" s="5" t="s">
        <v>195</v>
      </c>
      <c r="F292" s="20" t="s">
        <v>196</v>
      </c>
      <c r="G292" s="5" t="s">
        <v>52</v>
      </c>
      <c r="H292" s="44">
        <v>4175400</v>
      </c>
      <c r="I292" s="5">
        <f t="shared" ca="1" si="23"/>
        <v>35</v>
      </c>
      <c r="J292" s="11" t="str">
        <f t="shared" ca="1" si="25"/>
        <v>정상</v>
      </c>
      <c r="K292" s="10"/>
      <c r="L292" s="10">
        <v>46142</v>
      </c>
      <c r="M292" s="9"/>
      <c r="N292" s="9" t="s">
        <v>35</v>
      </c>
      <c r="Q292" s="10"/>
      <c r="R292" s="10"/>
      <c r="S292" s="9"/>
    </row>
    <row r="293" spans="2:19" s="5" customFormat="1" ht="16.5" customHeight="1">
      <c r="B293" s="9">
        <f>IF(C293="","",COUNTA($C$2:C293))</f>
        <v>292</v>
      </c>
      <c r="C293" s="10" t="s">
        <v>332</v>
      </c>
      <c r="D293" s="9" t="str">
        <f t="shared" si="26"/>
        <v>B</v>
      </c>
      <c r="E293" s="5" t="s">
        <v>184</v>
      </c>
      <c r="F293" s="20" t="s">
        <v>333</v>
      </c>
      <c r="G293" s="5" t="s">
        <v>52</v>
      </c>
      <c r="H293" s="44">
        <v>5473000</v>
      </c>
      <c r="I293" s="5">
        <f t="shared" ca="1" si="23"/>
        <v>53</v>
      </c>
      <c r="J293" s="11" t="str">
        <f t="shared" ca="1" si="25"/>
        <v>관리</v>
      </c>
      <c r="K293" s="10"/>
      <c r="L293" s="10"/>
      <c r="M293" s="9"/>
      <c r="N293" s="9" t="s">
        <v>35</v>
      </c>
      <c r="Q293" s="10"/>
      <c r="R293" s="10"/>
      <c r="S293" s="9"/>
    </row>
    <row r="294" spans="2:19" s="5" customFormat="1" ht="16.5" customHeight="1">
      <c r="B294" s="9">
        <f>IF(C294="","",COUNTA($C$2:C294))</f>
        <v>293</v>
      </c>
      <c r="C294" s="10" t="s">
        <v>332</v>
      </c>
      <c r="D294" s="9" t="str">
        <f t="shared" si="26"/>
        <v>B</v>
      </c>
      <c r="E294" s="5" t="s">
        <v>26</v>
      </c>
      <c r="F294" s="20" t="s">
        <v>95</v>
      </c>
      <c r="G294" s="5" t="s">
        <v>52</v>
      </c>
      <c r="H294" s="44">
        <v>52914000</v>
      </c>
      <c r="I294" s="5">
        <f t="shared" ca="1" si="23"/>
        <v>53</v>
      </c>
      <c r="J294" s="11" t="str">
        <f t="shared" ca="1" si="25"/>
        <v>관리</v>
      </c>
      <c r="K294" s="10"/>
      <c r="L294" s="10"/>
      <c r="M294" s="9"/>
      <c r="N294" s="9" t="s">
        <v>22</v>
      </c>
      <c r="O294" s="5" t="s">
        <v>61</v>
      </c>
      <c r="P294" s="5" t="s">
        <v>69</v>
      </c>
      <c r="Q294" s="10"/>
      <c r="R294" s="10"/>
      <c r="S294" s="9"/>
    </row>
    <row r="295" spans="2:19" s="5" customFormat="1" ht="16.5" customHeight="1">
      <c r="B295" s="9">
        <f>IF(C295="","",COUNTA($C$2:C295))</f>
        <v>294</v>
      </c>
      <c r="C295" s="10" t="s">
        <v>332</v>
      </c>
      <c r="D295" s="9" t="str">
        <f t="shared" si="26"/>
        <v>B</v>
      </c>
      <c r="E295" s="5" t="s">
        <v>238</v>
      </c>
      <c r="F295" s="20" t="s">
        <v>239</v>
      </c>
      <c r="G295" s="5" t="s">
        <v>52</v>
      </c>
      <c r="H295" s="44">
        <v>427500</v>
      </c>
      <c r="I295" s="5">
        <f t="shared" ca="1" si="23"/>
        <v>53</v>
      </c>
      <c r="J295" s="11" t="str">
        <f t="shared" ca="1" si="25"/>
        <v>관리</v>
      </c>
      <c r="K295" s="10"/>
      <c r="L295" s="10"/>
      <c r="M295" s="9"/>
      <c r="N295" s="9" t="s">
        <v>35</v>
      </c>
      <c r="Q295" s="10"/>
      <c r="R295" s="10"/>
      <c r="S295" s="9"/>
    </row>
    <row r="296" spans="2:19" s="5" customFormat="1" ht="16.5" customHeight="1">
      <c r="B296" s="9">
        <f>IF(C296="","",COUNTA($C$2:C296))</f>
        <v>295</v>
      </c>
      <c r="C296" s="10" t="s">
        <v>332</v>
      </c>
      <c r="D296" s="9" t="str">
        <f t="shared" si="26"/>
        <v>B</v>
      </c>
      <c r="E296" s="5" t="s">
        <v>168</v>
      </c>
      <c r="F296" s="20" t="s">
        <v>334</v>
      </c>
      <c r="G296" s="5" t="s">
        <v>52</v>
      </c>
      <c r="H296" s="44">
        <v>5032500</v>
      </c>
      <c r="I296" s="5">
        <f t="shared" ca="1" si="23"/>
        <v>53</v>
      </c>
      <c r="J296" s="11" t="str">
        <f t="shared" ca="1" si="25"/>
        <v>관리</v>
      </c>
      <c r="K296" s="10"/>
      <c r="L296" s="10"/>
      <c r="M296" s="9"/>
      <c r="N296" s="9" t="s">
        <v>35</v>
      </c>
      <c r="Q296" s="10"/>
      <c r="R296" s="10"/>
      <c r="S296" s="9"/>
    </row>
    <row r="297" spans="2:19" s="5" customFormat="1" ht="16.5" hidden="1" customHeight="1">
      <c r="B297" s="9">
        <f>IF(C297="","",COUNTA($C$2:C297))</f>
        <v>296</v>
      </c>
      <c r="C297" s="10" t="s">
        <v>332</v>
      </c>
      <c r="D297" s="9" t="str">
        <f t="shared" si="26"/>
        <v>B</v>
      </c>
      <c r="E297" s="5" t="s">
        <v>59</v>
      </c>
      <c r="F297" s="20" t="s">
        <v>335</v>
      </c>
      <c r="G297" s="5" t="s">
        <v>52</v>
      </c>
      <c r="H297" s="44">
        <v>987000</v>
      </c>
      <c r="I297" s="5">
        <f t="shared" ca="1" si="23"/>
        <v>0</v>
      </c>
      <c r="J297" s="11" t="str">
        <f t="shared" ca="1" si="25"/>
        <v>정상</v>
      </c>
      <c r="K297" s="10"/>
      <c r="L297" s="10">
        <v>46107</v>
      </c>
      <c r="M297" s="9"/>
      <c r="N297" s="9" t="s">
        <v>35</v>
      </c>
      <c r="Q297" s="10"/>
      <c r="R297" s="10"/>
      <c r="S297" s="9"/>
    </row>
    <row r="298" spans="2:19" s="5" customFormat="1" ht="16.5" hidden="1" customHeight="1">
      <c r="B298" s="9">
        <f>IF(C298="","",COUNTA($C$2:C298))</f>
        <v>297</v>
      </c>
      <c r="C298" s="10" t="s">
        <v>332</v>
      </c>
      <c r="D298" s="9" t="str">
        <f t="shared" si="26"/>
        <v>B</v>
      </c>
      <c r="E298" s="5" t="s">
        <v>336</v>
      </c>
      <c r="F298" s="20" t="s">
        <v>337</v>
      </c>
      <c r="G298" s="5" t="s">
        <v>52</v>
      </c>
      <c r="H298" s="44">
        <v>2884600</v>
      </c>
      <c r="I298" s="5">
        <f t="shared" ca="1" si="23"/>
        <v>32</v>
      </c>
      <c r="J298" s="11" t="str">
        <f t="shared" ca="1" si="25"/>
        <v>정상</v>
      </c>
      <c r="K298" s="10"/>
      <c r="L298" s="10">
        <v>46139</v>
      </c>
      <c r="M298" s="9"/>
      <c r="N298" s="9" t="s">
        <v>35</v>
      </c>
      <c r="Q298" s="10"/>
      <c r="R298" s="10"/>
      <c r="S298" s="9"/>
    </row>
    <row r="299" spans="2:19" s="5" customFormat="1" ht="16.5" hidden="1" customHeight="1">
      <c r="B299" s="9">
        <f>IF(C299="","",COUNTA($C$2:C299))</f>
        <v>298</v>
      </c>
      <c r="C299" s="10" t="s">
        <v>332</v>
      </c>
      <c r="D299" s="9" t="str">
        <f t="shared" si="26"/>
        <v>B</v>
      </c>
      <c r="E299" s="5" t="s">
        <v>112</v>
      </c>
      <c r="F299" s="20" t="s">
        <v>338</v>
      </c>
      <c r="G299" s="5" t="s">
        <v>52</v>
      </c>
      <c r="H299" s="44">
        <v>180000</v>
      </c>
      <c r="I299" s="5">
        <f t="shared" ca="1" si="23"/>
        <v>35</v>
      </c>
      <c r="J299" s="11" t="str">
        <f t="shared" ca="1" si="25"/>
        <v>정상</v>
      </c>
      <c r="K299" s="10"/>
      <c r="L299" s="10">
        <v>46142</v>
      </c>
      <c r="M299" s="9"/>
      <c r="N299" s="9" t="s">
        <v>35</v>
      </c>
      <c r="Q299" s="10"/>
      <c r="R299" s="10"/>
      <c r="S299" s="9"/>
    </row>
    <row r="300" spans="2:19" s="5" customFormat="1" ht="16.5" hidden="1" customHeight="1">
      <c r="B300" s="9">
        <f>IF(C300="","",COUNTA($C$2:C300))</f>
        <v>299</v>
      </c>
      <c r="C300" s="10" t="s">
        <v>332</v>
      </c>
      <c r="D300" s="9" t="str">
        <f t="shared" si="26"/>
        <v>B</v>
      </c>
      <c r="E300" s="5" t="s">
        <v>140</v>
      </c>
      <c r="F300" s="20" t="s">
        <v>258</v>
      </c>
      <c r="G300" s="5" t="s">
        <v>52</v>
      </c>
      <c r="H300" s="44">
        <v>24591000</v>
      </c>
      <c r="I300" s="5">
        <f t="shared" ca="1" si="23"/>
        <v>34</v>
      </c>
      <c r="J300" s="11" t="str">
        <f t="shared" ca="1" si="25"/>
        <v>정상</v>
      </c>
      <c r="K300" s="10"/>
      <c r="L300" s="10">
        <v>46141</v>
      </c>
      <c r="M300" s="9"/>
      <c r="N300" s="9" t="s">
        <v>35</v>
      </c>
      <c r="Q300" s="10"/>
      <c r="R300" s="10"/>
      <c r="S300" s="9"/>
    </row>
    <row r="301" spans="2:19" s="5" customFormat="1" ht="16.5" hidden="1" customHeight="1">
      <c r="B301" s="9">
        <f>IF(C301="","",COUNTA($C$2:C301))</f>
        <v>300</v>
      </c>
      <c r="C301" s="10" t="s">
        <v>332</v>
      </c>
      <c r="D301" s="9" t="str">
        <f t="shared" si="26"/>
        <v>B</v>
      </c>
      <c r="E301" s="5" t="s">
        <v>177</v>
      </c>
      <c r="F301" s="20" t="s">
        <v>339</v>
      </c>
      <c r="G301" s="5" t="s">
        <v>52</v>
      </c>
      <c r="H301" s="44">
        <v>3390000</v>
      </c>
      <c r="I301" s="5">
        <f t="shared" ca="1" si="23"/>
        <v>20</v>
      </c>
      <c r="J301" s="11" t="str">
        <f t="shared" ca="1" si="25"/>
        <v>정상</v>
      </c>
      <c r="K301" s="10"/>
      <c r="L301" s="10">
        <v>46127</v>
      </c>
      <c r="M301" s="9"/>
      <c r="N301" s="9" t="s">
        <v>35</v>
      </c>
      <c r="Q301" s="10"/>
      <c r="R301" s="10"/>
      <c r="S301" s="9"/>
    </row>
    <row r="302" spans="2:19" s="5" customFormat="1" ht="16.5" customHeight="1">
      <c r="B302" s="9">
        <f>IF(C302="","",COUNTA($C$2:C302))</f>
        <v>301</v>
      </c>
      <c r="C302" s="10" t="s">
        <v>332</v>
      </c>
      <c r="D302" s="9" t="str">
        <f t="shared" si="26"/>
        <v>B</v>
      </c>
      <c r="E302" s="5" t="s">
        <v>197</v>
      </c>
      <c r="F302" s="20" t="s">
        <v>198</v>
      </c>
      <c r="G302" s="5" t="s">
        <v>52</v>
      </c>
      <c r="H302" s="44">
        <v>4637500</v>
      </c>
      <c r="I302" s="5">
        <f t="shared" ca="1" si="23"/>
        <v>53</v>
      </c>
      <c r="J302" s="11" t="str">
        <f t="shared" ca="1" si="25"/>
        <v>관리</v>
      </c>
      <c r="K302" s="10">
        <v>46173</v>
      </c>
      <c r="L302" s="10"/>
      <c r="M302" s="9"/>
      <c r="N302" s="9" t="s">
        <v>35</v>
      </c>
      <c r="Q302" s="10"/>
      <c r="R302" s="10"/>
      <c r="S302" s="9"/>
    </row>
    <row r="303" spans="2:19" s="5" customFormat="1" ht="16.5" hidden="1" customHeight="1">
      <c r="B303" s="9">
        <f>IF(C303="","",COUNTA($C$2:C303))</f>
        <v>302</v>
      </c>
      <c r="C303" s="10" t="s">
        <v>340</v>
      </c>
      <c r="D303" s="9" t="str">
        <f t="shared" si="26"/>
        <v>B</v>
      </c>
      <c r="E303" s="5" t="s">
        <v>92</v>
      </c>
      <c r="F303" s="20" t="s">
        <v>341</v>
      </c>
      <c r="G303" s="5" t="s">
        <v>52</v>
      </c>
      <c r="H303" s="44">
        <v>121500</v>
      </c>
      <c r="I303" s="5">
        <f t="shared" ca="1" si="23"/>
        <v>41</v>
      </c>
      <c r="J303" s="11" t="str">
        <f t="shared" ca="1" si="25"/>
        <v>관리</v>
      </c>
      <c r="K303" s="10"/>
      <c r="L303" s="10">
        <v>46149</v>
      </c>
      <c r="M303" s="9"/>
      <c r="N303" s="9" t="s">
        <v>35</v>
      </c>
      <c r="Q303" s="10"/>
      <c r="R303" s="10"/>
      <c r="S303" s="9"/>
    </row>
    <row r="304" spans="2:19" s="5" customFormat="1" ht="16.5" customHeight="1">
      <c r="B304" s="9">
        <f>IF(C304="","",COUNTA($C$2:C304))</f>
        <v>303</v>
      </c>
      <c r="C304" s="10" t="s">
        <v>340</v>
      </c>
      <c r="D304" s="9" t="str">
        <f t="shared" si="26"/>
        <v>B</v>
      </c>
      <c r="E304" s="5" t="s">
        <v>342</v>
      </c>
      <c r="F304" s="20" t="s">
        <v>343</v>
      </c>
      <c r="G304" s="5" t="s">
        <v>52</v>
      </c>
      <c r="H304" s="44">
        <v>13647200</v>
      </c>
      <c r="I304" s="5">
        <f t="shared" ca="1" si="23"/>
        <v>52</v>
      </c>
      <c r="J304" s="11" t="str">
        <f t="shared" ca="1" si="25"/>
        <v>관리</v>
      </c>
      <c r="K304" s="10" t="s">
        <v>344</v>
      </c>
      <c r="L304" s="10"/>
      <c r="M304" s="9"/>
      <c r="N304" s="9" t="s">
        <v>35</v>
      </c>
      <c r="Q304" s="10"/>
      <c r="R304" s="10"/>
      <c r="S304" s="9"/>
    </row>
    <row r="305" spans="2:19" s="5" customFormat="1" ht="16.5" customHeight="1">
      <c r="B305" s="9">
        <f>IF(C305="","",COUNTA($C$2:C305))</f>
        <v>304</v>
      </c>
      <c r="C305" s="10" t="s">
        <v>340</v>
      </c>
      <c r="D305" s="9" t="str">
        <f t="shared" si="26"/>
        <v>B</v>
      </c>
      <c r="E305" s="5" t="s">
        <v>122</v>
      </c>
      <c r="F305" s="20" t="s">
        <v>313</v>
      </c>
      <c r="G305" s="5" t="s">
        <v>52</v>
      </c>
      <c r="H305" s="44">
        <v>1810000</v>
      </c>
      <c r="I305" s="5">
        <f t="shared" ca="1" si="23"/>
        <v>52</v>
      </c>
      <c r="J305" s="11" t="str">
        <f t="shared" ca="1" si="25"/>
        <v>관리</v>
      </c>
      <c r="K305" s="10">
        <v>46172</v>
      </c>
      <c r="L305" s="10"/>
      <c r="M305" s="9"/>
      <c r="N305" s="9" t="s">
        <v>35</v>
      </c>
      <c r="Q305" s="10"/>
      <c r="R305" s="10"/>
      <c r="S305" s="9"/>
    </row>
    <row r="306" spans="2:19" s="5" customFormat="1" ht="16.5" customHeight="1">
      <c r="B306" s="9">
        <f>IF(C306="","",COUNTA($C$2:C306))</f>
        <v>305</v>
      </c>
      <c r="C306" s="10" t="s">
        <v>340</v>
      </c>
      <c r="D306" s="9" t="str">
        <f t="shared" si="26"/>
        <v>B</v>
      </c>
      <c r="E306" s="5" t="s">
        <v>122</v>
      </c>
      <c r="F306" s="20" t="s">
        <v>313</v>
      </c>
      <c r="G306" s="5" t="s">
        <v>52</v>
      </c>
      <c r="H306" s="44">
        <v>33000000</v>
      </c>
      <c r="I306" s="5">
        <f t="shared" ca="1" si="23"/>
        <v>52</v>
      </c>
      <c r="J306" s="11" t="str">
        <f t="shared" ca="1" si="25"/>
        <v>관리</v>
      </c>
      <c r="K306" s="10">
        <v>46172</v>
      </c>
      <c r="L306" s="10"/>
      <c r="M306" s="9"/>
      <c r="N306" s="9" t="s">
        <v>35</v>
      </c>
      <c r="Q306" s="10"/>
      <c r="R306" s="10"/>
      <c r="S306" s="9"/>
    </row>
    <row r="307" spans="2:19" s="5" customFormat="1" ht="16.5" hidden="1" customHeight="1">
      <c r="B307" s="9">
        <f>IF(C307="","",COUNTA($C$2:C307))</f>
        <v>306</v>
      </c>
      <c r="C307" s="10" t="s">
        <v>340</v>
      </c>
      <c r="D307" s="9" t="str">
        <f t="shared" si="26"/>
        <v>B</v>
      </c>
      <c r="E307" s="5" t="s">
        <v>345</v>
      </c>
      <c r="F307" s="20" t="s">
        <v>346</v>
      </c>
      <c r="G307" s="5" t="s">
        <v>52</v>
      </c>
      <c r="H307" s="44">
        <v>548000</v>
      </c>
      <c r="I307" s="5">
        <f t="shared" ca="1" si="23"/>
        <v>24</v>
      </c>
      <c r="J307" s="11" t="str">
        <f t="shared" ca="1" si="25"/>
        <v>정상</v>
      </c>
      <c r="K307" s="10"/>
      <c r="L307" s="10">
        <v>46132</v>
      </c>
      <c r="M307" s="9"/>
      <c r="N307" s="9" t="s">
        <v>35</v>
      </c>
      <c r="Q307" s="10"/>
      <c r="R307" s="10"/>
      <c r="S307" s="9"/>
    </row>
    <row r="308" spans="2:19" s="5" customFormat="1" ht="16.5" hidden="1" customHeight="1">
      <c r="B308" s="9">
        <f>IF(C308="","",COUNTA($C$2:C308))</f>
        <v>307</v>
      </c>
      <c r="C308" s="10" t="s">
        <v>347</v>
      </c>
      <c r="D308" s="9" t="str">
        <f>IF(G309="","",IF(OR(G309="선급금",G309="중도금",G309="잔금"),"A",IF(G309="자재","B",IF(G309="특허료","C",""))))</f>
        <v>B</v>
      </c>
      <c r="E308" s="5" t="s">
        <v>348</v>
      </c>
      <c r="F308" s="20" t="s">
        <v>349</v>
      </c>
      <c r="G308" s="5" t="s">
        <v>52</v>
      </c>
      <c r="H308" s="44">
        <v>216000</v>
      </c>
      <c r="I308" s="5">
        <f t="shared" ca="1" si="23"/>
        <v>0</v>
      </c>
      <c r="J308" s="11" t="str">
        <f t="shared" ca="1" si="25"/>
        <v>정상</v>
      </c>
      <c r="K308" s="10"/>
      <c r="L308" s="10">
        <v>46111</v>
      </c>
      <c r="M308" s="9"/>
      <c r="N308" s="9" t="s">
        <v>35</v>
      </c>
      <c r="Q308" s="10"/>
      <c r="R308" s="10"/>
      <c r="S308" s="9"/>
    </row>
    <row r="309" spans="2:19" s="5" customFormat="1" ht="16.5" customHeight="1">
      <c r="B309" s="9">
        <f>IF(C309="","",COUNTA($C$2:C309))</f>
        <v>308</v>
      </c>
      <c r="C309" s="10" t="s">
        <v>347</v>
      </c>
      <c r="D309" s="9" t="s">
        <v>160</v>
      </c>
      <c r="E309" s="5" t="s">
        <v>350</v>
      </c>
      <c r="F309" s="20" t="s">
        <v>351</v>
      </c>
      <c r="G309" s="5" t="s">
        <v>52</v>
      </c>
      <c r="H309" s="44">
        <v>35839300</v>
      </c>
      <c r="I309" s="5">
        <f t="shared" ca="1" si="23"/>
        <v>49</v>
      </c>
      <c r="J309" s="11" t="str">
        <f t="shared" ca="1" si="25"/>
        <v>관리</v>
      </c>
      <c r="K309" s="10">
        <v>46157</v>
      </c>
      <c r="L309" s="10"/>
      <c r="M309" s="9"/>
      <c r="N309" s="9" t="s">
        <v>35</v>
      </c>
      <c r="Q309" s="10"/>
      <c r="R309" s="10"/>
      <c r="S309" s="9"/>
    </row>
    <row r="310" spans="2:19" s="5" customFormat="1" ht="16.5" hidden="1" customHeight="1">
      <c r="B310" s="9">
        <f>IF(C310="","",COUNTA($C$2:C310))</f>
        <v>309</v>
      </c>
      <c r="C310" s="10">
        <v>46111</v>
      </c>
      <c r="D310" s="9" t="s">
        <v>180</v>
      </c>
      <c r="E310" s="5" t="s">
        <v>352</v>
      </c>
      <c r="F310" s="5" t="s">
        <v>353</v>
      </c>
      <c r="G310" s="5" t="s">
        <v>34</v>
      </c>
      <c r="H310" s="42">
        <v>109031200</v>
      </c>
      <c r="I310" s="5">
        <f t="shared" ca="1" si="23"/>
        <v>16</v>
      </c>
      <c r="J310" s="11" t="str">
        <f t="shared" ca="1" si="25"/>
        <v>정상</v>
      </c>
      <c r="K310" s="10">
        <v>46141</v>
      </c>
      <c r="L310" s="10">
        <v>46127</v>
      </c>
      <c r="M310" s="9"/>
      <c r="N310" s="9" t="s">
        <v>35</v>
      </c>
      <c r="Q310" s="10"/>
      <c r="R310" s="10"/>
      <c r="S310" s="9"/>
    </row>
    <row r="311" spans="2:19" s="5" customFormat="1" ht="16.5" hidden="1" customHeight="1">
      <c r="B311" s="9">
        <f>IF(C311="","",COUNTA($C$2:C311))</f>
        <v>310</v>
      </c>
      <c r="C311" s="10">
        <v>46112</v>
      </c>
      <c r="D311" s="9" t="s">
        <v>180</v>
      </c>
      <c r="E311" s="5" t="s">
        <v>301</v>
      </c>
      <c r="F311" s="5" t="s">
        <v>302</v>
      </c>
      <c r="G311" s="5" t="s">
        <v>34</v>
      </c>
      <c r="H311" s="42">
        <v>6562000</v>
      </c>
      <c r="I311" s="5">
        <f t="shared" ca="1" si="23"/>
        <v>15</v>
      </c>
      <c r="J311" s="11" t="str">
        <f t="shared" ca="1" si="25"/>
        <v>정상</v>
      </c>
      <c r="K311" s="10">
        <v>46142</v>
      </c>
      <c r="L311" s="10">
        <v>46127</v>
      </c>
      <c r="M311" s="9"/>
      <c r="N311" s="9" t="s">
        <v>35</v>
      </c>
      <c r="Q311" s="10"/>
      <c r="R311" s="10"/>
      <c r="S311" s="9"/>
    </row>
    <row r="312" spans="2:19" s="5" customFormat="1" ht="16.5" hidden="1" customHeight="1">
      <c r="B312" s="9">
        <f>IF(C312="","",COUNTA($C$2:C312))</f>
        <v>311</v>
      </c>
      <c r="C312" s="10" t="s">
        <v>354</v>
      </c>
      <c r="D312" s="9" t="s">
        <v>160</v>
      </c>
      <c r="E312" s="5" t="s">
        <v>355</v>
      </c>
      <c r="F312" s="5" t="s">
        <v>356</v>
      </c>
      <c r="G312" s="5" t="s">
        <v>52</v>
      </c>
      <c r="H312" s="44">
        <v>380000</v>
      </c>
      <c r="I312" s="5">
        <f t="shared" ca="1" si="23"/>
        <v>0</v>
      </c>
      <c r="J312" s="11" t="str">
        <f t="shared" ca="1" si="25"/>
        <v>정상</v>
      </c>
      <c r="K312" s="10"/>
      <c r="L312" s="10">
        <v>46114</v>
      </c>
      <c r="M312" s="9"/>
      <c r="N312" s="9" t="s">
        <v>35</v>
      </c>
      <c r="Q312" s="10"/>
      <c r="R312" s="10"/>
      <c r="S312" s="9"/>
    </row>
    <row r="313" spans="2:19" s="5" customFormat="1" ht="16.5" customHeight="1">
      <c r="B313" s="9">
        <f>IF(C313="","",COUNTA($C$2:C313))</f>
        <v>312</v>
      </c>
      <c r="C313" s="10" t="s">
        <v>357</v>
      </c>
      <c r="D313" s="9" t="s">
        <v>160</v>
      </c>
      <c r="E313" s="5" t="s">
        <v>140</v>
      </c>
      <c r="F313" s="5" t="s">
        <v>358</v>
      </c>
      <c r="G313" s="5" t="s">
        <v>52</v>
      </c>
      <c r="H313" s="44">
        <v>1182500</v>
      </c>
      <c r="I313" s="5">
        <f t="shared" ca="1" si="23"/>
        <v>45</v>
      </c>
      <c r="J313" s="11" t="str">
        <f t="shared" ca="1" si="25"/>
        <v>관리</v>
      </c>
      <c r="K313" s="10"/>
      <c r="L313" s="10"/>
      <c r="M313" s="9"/>
      <c r="N313" s="9" t="s">
        <v>35</v>
      </c>
      <c r="Q313" s="10"/>
      <c r="R313" s="10"/>
      <c r="S313" s="9"/>
    </row>
    <row r="314" spans="2:19" s="5" customFormat="1" ht="16.5" customHeight="1">
      <c r="B314" s="9">
        <f>IF(C314="","",COUNTA($C$2:C314))</f>
        <v>313</v>
      </c>
      <c r="C314" s="10" t="s">
        <v>357</v>
      </c>
      <c r="D314" s="9" t="s">
        <v>160</v>
      </c>
      <c r="E314" s="5" t="s">
        <v>359</v>
      </c>
      <c r="F314" s="5" t="s">
        <v>360</v>
      </c>
      <c r="G314" s="5" t="s">
        <v>52</v>
      </c>
      <c r="H314" s="44">
        <v>4300000</v>
      </c>
      <c r="I314" s="5">
        <f t="shared" ca="1" si="23"/>
        <v>45</v>
      </c>
      <c r="J314" s="11" t="str">
        <f t="shared" ca="1" si="25"/>
        <v>관리</v>
      </c>
      <c r="K314" s="10"/>
      <c r="L314" s="10"/>
      <c r="M314" s="9"/>
      <c r="N314" s="9" t="s">
        <v>35</v>
      </c>
      <c r="Q314" s="10"/>
      <c r="R314" s="10"/>
      <c r="S314" s="9"/>
    </row>
    <row r="315" spans="2:19" s="5" customFormat="1" ht="16.5" customHeight="1">
      <c r="B315" s="9">
        <f>IF(C315="","",COUNTA($C$2:C315))</f>
        <v>314</v>
      </c>
      <c r="C315" s="10" t="s">
        <v>357</v>
      </c>
      <c r="D315" s="9" t="s">
        <v>160</v>
      </c>
      <c r="E315" s="5" t="s">
        <v>361</v>
      </c>
      <c r="F315" s="5" t="s">
        <v>362</v>
      </c>
      <c r="G315" s="5" t="s">
        <v>52</v>
      </c>
      <c r="H315" s="44">
        <v>550950</v>
      </c>
      <c r="I315" s="5">
        <f t="shared" ca="1" si="23"/>
        <v>45</v>
      </c>
      <c r="J315" s="11" t="str">
        <f t="shared" ca="1" si="25"/>
        <v>관리</v>
      </c>
      <c r="K315" s="10"/>
      <c r="L315" s="10"/>
      <c r="M315" s="9"/>
      <c r="N315" s="9" t="s">
        <v>35</v>
      </c>
      <c r="Q315" s="10"/>
      <c r="R315" s="10"/>
      <c r="S315" s="9"/>
    </row>
    <row r="316" spans="2:19" s="5" customFormat="1" ht="16.5" hidden="1" customHeight="1">
      <c r="B316" s="9">
        <f>IF(C316="","",COUNTA($C$2:C316))</f>
        <v>315</v>
      </c>
      <c r="C316" s="10" t="s">
        <v>357</v>
      </c>
      <c r="D316" s="9" t="s">
        <v>160</v>
      </c>
      <c r="E316" s="5" t="s">
        <v>363</v>
      </c>
      <c r="F316" s="5" t="s">
        <v>364</v>
      </c>
      <c r="G316" s="5" t="s">
        <v>52</v>
      </c>
      <c r="H316" s="44">
        <v>736000</v>
      </c>
      <c r="I316" s="5">
        <f t="shared" ca="1" si="23"/>
        <v>0</v>
      </c>
      <c r="J316" s="11" t="str">
        <f t="shared" ca="1" si="25"/>
        <v>정상</v>
      </c>
      <c r="K316" s="10"/>
      <c r="L316" s="10">
        <v>46115</v>
      </c>
      <c r="M316" s="9"/>
      <c r="N316" s="9" t="s">
        <v>35</v>
      </c>
      <c r="Q316" s="10"/>
      <c r="R316" s="10"/>
      <c r="S316" s="9"/>
    </row>
    <row r="317" spans="2:19" s="5" customFormat="1" ht="16.5" hidden="1" customHeight="1">
      <c r="B317" s="9">
        <f>IF(C317="","",COUNTA($C$2:C317))</f>
        <v>316</v>
      </c>
      <c r="C317" s="10" t="s">
        <v>357</v>
      </c>
      <c r="D317" s="9" t="s">
        <v>160</v>
      </c>
      <c r="E317" s="5" t="s">
        <v>142</v>
      </c>
      <c r="F317" s="5" t="s">
        <v>365</v>
      </c>
      <c r="G317" s="5" t="s">
        <v>52</v>
      </c>
      <c r="H317" s="44">
        <v>1432700</v>
      </c>
      <c r="I317" s="5">
        <f t="shared" ca="1" si="23"/>
        <v>3</v>
      </c>
      <c r="J317" s="11" t="str">
        <f t="shared" ca="1" si="25"/>
        <v>정상</v>
      </c>
      <c r="K317" s="10"/>
      <c r="L317" s="10">
        <v>46118</v>
      </c>
      <c r="M317" s="9"/>
      <c r="N317" s="9" t="s">
        <v>35</v>
      </c>
      <c r="Q317" s="10"/>
      <c r="R317" s="10"/>
      <c r="S317" s="9"/>
    </row>
    <row r="318" spans="2:19" s="5" customFormat="1" ht="16.5" customHeight="1">
      <c r="B318" s="9">
        <f>IF(C318="","",COUNTA($C$2:C318))</f>
        <v>317</v>
      </c>
      <c r="C318" s="10" t="s">
        <v>357</v>
      </c>
      <c r="D318" s="9" t="s">
        <v>160</v>
      </c>
      <c r="E318" s="5" t="s">
        <v>309</v>
      </c>
      <c r="F318" s="5" t="s">
        <v>310</v>
      </c>
      <c r="G318" s="5" t="s">
        <v>52</v>
      </c>
      <c r="H318" s="44">
        <v>18900000</v>
      </c>
      <c r="I318" s="5">
        <f t="shared" ca="1" si="23"/>
        <v>45</v>
      </c>
      <c r="J318" s="11" t="str">
        <f t="shared" ca="1" si="25"/>
        <v>관리</v>
      </c>
      <c r="K318" s="10"/>
      <c r="L318" s="10"/>
      <c r="M318" s="9"/>
      <c r="N318" s="9" t="s">
        <v>35</v>
      </c>
      <c r="Q318" s="10"/>
      <c r="R318" s="10"/>
      <c r="S318" s="9"/>
    </row>
    <row r="319" spans="2:19" s="5" customFormat="1" ht="16.5" customHeight="1">
      <c r="B319" s="9">
        <f>IF(C319="","",COUNTA($C$2:C319))</f>
        <v>318</v>
      </c>
      <c r="C319" s="10" t="s">
        <v>357</v>
      </c>
      <c r="D319" s="9" t="s">
        <v>160</v>
      </c>
      <c r="E319" s="5" t="s">
        <v>114</v>
      </c>
      <c r="F319" s="5" t="s">
        <v>256</v>
      </c>
      <c r="G319" s="5" t="s">
        <v>52</v>
      </c>
      <c r="H319" s="44">
        <v>1478000</v>
      </c>
      <c r="I319" s="5">
        <f t="shared" ref="I319:I381" ca="1" si="27">IF(C319="","",IF(L319="",TODAY()-C319,L319-C319))</f>
        <v>45</v>
      </c>
      <c r="J319" s="11" t="str">
        <f t="shared" ref="J319:J348" ca="1" si="28">IF(I319="","",
IF(G319="선급금",
IF(I319&lt;=20,"정상",IF(I319&lt;=90,"관리","장기미수")),
IF(G319="자재",
IF(I319&lt;=40,"정상",IF(I319&lt;=90,"관리","장기미수")),
IF(I319&lt;=30,"정상",IF(I319&lt;=90,"관리","장기미수"))
)
)
)</f>
        <v>관리</v>
      </c>
      <c r="K319" s="10"/>
      <c r="L319" s="10"/>
      <c r="M319" s="9"/>
      <c r="N319" s="9" t="s">
        <v>35</v>
      </c>
      <c r="Q319" s="10"/>
      <c r="R319" s="10"/>
      <c r="S319" s="9"/>
    </row>
    <row r="320" spans="2:19" s="5" customFormat="1" ht="16.5" customHeight="1">
      <c r="B320" s="9">
        <f>IF(C320="","",COUNTA($C$2:C320))</f>
        <v>319</v>
      </c>
      <c r="C320" s="10" t="s">
        <v>357</v>
      </c>
      <c r="D320" s="9" t="s">
        <v>160</v>
      </c>
      <c r="E320" s="5" t="s">
        <v>26</v>
      </c>
      <c r="F320" s="5" t="s">
        <v>331</v>
      </c>
      <c r="G320" s="5" t="s">
        <v>52</v>
      </c>
      <c r="H320" s="44">
        <v>2261000</v>
      </c>
      <c r="I320" s="5">
        <f t="shared" ca="1" si="27"/>
        <v>45</v>
      </c>
      <c r="J320" s="11" t="str">
        <f t="shared" ca="1" si="28"/>
        <v>관리</v>
      </c>
      <c r="K320" s="10"/>
      <c r="L320" s="10"/>
      <c r="M320" s="9"/>
      <c r="N320" s="9" t="s">
        <v>22</v>
      </c>
      <c r="O320" s="5" t="s">
        <v>61</v>
      </c>
      <c r="P320" s="5" t="s">
        <v>69</v>
      </c>
      <c r="Q320" s="10"/>
      <c r="R320" s="10"/>
      <c r="S320" s="9"/>
    </row>
    <row r="321" spans="2:19" s="5" customFormat="1" ht="16.5" customHeight="1">
      <c r="B321" s="9">
        <f>IF(C321="","",COUNTA($C$2:C321))</f>
        <v>320</v>
      </c>
      <c r="C321" s="10" t="s">
        <v>357</v>
      </c>
      <c r="D321" s="9" t="s">
        <v>160</v>
      </c>
      <c r="E321" s="5" t="s">
        <v>26</v>
      </c>
      <c r="F321" s="5" t="s">
        <v>331</v>
      </c>
      <c r="G321" s="5" t="s">
        <v>52</v>
      </c>
      <c r="H321" s="44">
        <v>5104500</v>
      </c>
      <c r="I321" s="5">
        <f t="shared" ca="1" si="27"/>
        <v>45</v>
      </c>
      <c r="J321" s="11" t="str">
        <f t="shared" ca="1" si="28"/>
        <v>관리</v>
      </c>
      <c r="K321" s="10"/>
      <c r="L321" s="10"/>
      <c r="M321" s="9"/>
      <c r="N321" s="9" t="s">
        <v>22</v>
      </c>
      <c r="O321" s="5" t="s">
        <v>61</v>
      </c>
      <c r="P321" s="5" t="s">
        <v>69</v>
      </c>
      <c r="Q321" s="10"/>
      <c r="R321" s="10"/>
      <c r="S321" s="9"/>
    </row>
    <row r="322" spans="2:19" s="5" customFormat="1" ht="16.5" customHeight="1">
      <c r="B322" s="9">
        <f>IF(C322="","",COUNTA($C$2:C322))</f>
        <v>321</v>
      </c>
      <c r="C322" s="10" t="s">
        <v>357</v>
      </c>
      <c r="D322" s="9" t="s">
        <v>160</v>
      </c>
      <c r="E322" s="5" t="s">
        <v>140</v>
      </c>
      <c r="F322" s="5" t="s">
        <v>258</v>
      </c>
      <c r="G322" s="5" t="s">
        <v>52</v>
      </c>
      <c r="H322" s="44">
        <v>1575000</v>
      </c>
      <c r="I322" s="5">
        <f t="shared" ca="1" si="27"/>
        <v>45</v>
      </c>
      <c r="J322" s="11" t="str">
        <f t="shared" ca="1" si="28"/>
        <v>관리</v>
      </c>
      <c r="K322" s="10"/>
      <c r="L322" s="10"/>
      <c r="M322" s="9"/>
      <c r="N322" s="9" t="s">
        <v>35</v>
      </c>
      <c r="Q322" s="10"/>
      <c r="R322" s="10"/>
      <c r="S322" s="9"/>
    </row>
    <row r="323" spans="2:19" s="5" customFormat="1" ht="16.5" hidden="1" customHeight="1">
      <c r="B323" s="9">
        <f>IF(C323="","",COUNTA($C$2:C323))</f>
        <v>322</v>
      </c>
      <c r="C323" s="10" t="s">
        <v>357</v>
      </c>
      <c r="D323" s="9" t="s">
        <v>160</v>
      </c>
      <c r="E323" s="5" t="s">
        <v>275</v>
      </c>
      <c r="F323" s="5" t="s">
        <v>276</v>
      </c>
      <c r="G323" s="5" t="s">
        <v>52</v>
      </c>
      <c r="H323" s="44">
        <v>16446000</v>
      </c>
      <c r="I323" s="5">
        <f t="shared" ca="1" si="27"/>
        <v>3</v>
      </c>
      <c r="J323" s="11" t="str">
        <f t="shared" ca="1" si="28"/>
        <v>정상</v>
      </c>
      <c r="K323" s="10"/>
      <c r="L323" s="10">
        <v>46118</v>
      </c>
      <c r="M323" s="9"/>
      <c r="N323" s="9" t="s">
        <v>35</v>
      </c>
      <c r="Q323" s="10"/>
      <c r="R323" s="10"/>
      <c r="S323" s="9"/>
    </row>
    <row r="324" spans="2:19" s="5" customFormat="1" ht="16.5" hidden="1" customHeight="1">
      <c r="B324" s="9">
        <f>IF(C324="","",COUNTA($C$2:C324))</f>
        <v>323</v>
      </c>
      <c r="C324" s="10" t="s">
        <v>357</v>
      </c>
      <c r="D324" s="9" t="s">
        <v>160</v>
      </c>
      <c r="E324" s="5" t="s">
        <v>175</v>
      </c>
      <c r="F324" s="5" t="s">
        <v>366</v>
      </c>
      <c r="G324" s="5" t="s">
        <v>52</v>
      </c>
      <c r="H324" s="44">
        <v>156900</v>
      </c>
      <c r="I324" s="5">
        <f t="shared" ca="1" si="27"/>
        <v>27</v>
      </c>
      <c r="J324" s="11" t="str">
        <f t="shared" ca="1" si="28"/>
        <v>정상</v>
      </c>
      <c r="K324" s="10">
        <v>46142</v>
      </c>
      <c r="L324" s="10">
        <v>46142</v>
      </c>
      <c r="M324" s="9"/>
      <c r="N324" s="9" t="s">
        <v>35</v>
      </c>
      <c r="Q324" s="10"/>
      <c r="R324" s="10"/>
      <c r="S324" s="9"/>
    </row>
    <row r="325" spans="2:19" s="5" customFormat="1" ht="16.5" customHeight="1">
      <c r="B325" s="9">
        <f>IF(C325="","",COUNTA($C$2:C325))</f>
        <v>324</v>
      </c>
      <c r="C325" s="10" t="s">
        <v>357</v>
      </c>
      <c r="D325" s="9" t="s">
        <v>160</v>
      </c>
      <c r="E325" s="5" t="s">
        <v>42</v>
      </c>
      <c r="F325" s="5" t="s">
        <v>367</v>
      </c>
      <c r="G325" s="5" t="s">
        <v>52</v>
      </c>
      <c r="H325" s="44">
        <v>2137500</v>
      </c>
      <c r="I325" s="5">
        <f t="shared" ca="1" si="27"/>
        <v>45</v>
      </c>
      <c r="J325" s="11" t="str">
        <f t="shared" ca="1" si="28"/>
        <v>관리</v>
      </c>
      <c r="K325" s="10"/>
      <c r="L325" s="10"/>
      <c r="M325" s="9"/>
      <c r="N325" s="9" t="s">
        <v>35</v>
      </c>
      <c r="Q325" s="10"/>
      <c r="R325" s="10"/>
      <c r="S325" s="9"/>
    </row>
    <row r="326" spans="2:19" s="5" customFormat="1" ht="16.5" customHeight="1">
      <c r="B326" s="9">
        <f>IF(C326="","",COUNTA($C$2:C326))</f>
        <v>325</v>
      </c>
      <c r="C326" s="10" t="s">
        <v>357</v>
      </c>
      <c r="D326" s="9" t="s">
        <v>160</v>
      </c>
      <c r="E326" s="5" t="s">
        <v>124</v>
      </c>
      <c r="F326" s="5" t="s">
        <v>368</v>
      </c>
      <c r="G326" s="5" t="s">
        <v>52</v>
      </c>
      <c r="H326" s="44">
        <v>1469400</v>
      </c>
      <c r="I326" s="5">
        <f t="shared" ca="1" si="27"/>
        <v>45</v>
      </c>
      <c r="J326" s="11" t="str">
        <f t="shared" ca="1" si="28"/>
        <v>관리</v>
      </c>
      <c r="K326" s="10"/>
      <c r="L326" s="10"/>
      <c r="M326" s="9"/>
      <c r="N326" s="9" t="s">
        <v>35</v>
      </c>
      <c r="Q326" s="10"/>
      <c r="R326" s="10"/>
      <c r="S326" s="9"/>
    </row>
    <row r="327" spans="2:19" s="5" customFormat="1" ht="16.5" customHeight="1">
      <c r="B327" s="9">
        <f>IF(C327="","",COUNTA($C$2:C327))</f>
        <v>326</v>
      </c>
      <c r="C327" s="10" t="s">
        <v>357</v>
      </c>
      <c r="D327" s="9" t="s">
        <v>160</v>
      </c>
      <c r="E327" s="5" t="s">
        <v>140</v>
      </c>
      <c r="F327" s="5" t="s">
        <v>258</v>
      </c>
      <c r="G327" s="5" t="s">
        <v>52</v>
      </c>
      <c r="H327" s="44">
        <v>24591000</v>
      </c>
      <c r="I327" s="5">
        <f t="shared" ca="1" si="27"/>
        <v>45</v>
      </c>
      <c r="J327" s="11" t="str">
        <f t="shared" ca="1" si="28"/>
        <v>관리</v>
      </c>
      <c r="K327" s="10"/>
      <c r="L327" s="10"/>
      <c r="M327" s="9"/>
      <c r="N327" s="9" t="s">
        <v>35</v>
      </c>
      <c r="Q327" s="10"/>
      <c r="R327" s="10"/>
      <c r="S327" s="9"/>
    </row>
    <row r="328" spans="2:19" s="5" customFormat="1" ht="16.5" customHeight="1">
      <c r="B328" s="9">
        <f>IF(C328="","",COUNTA($C$2:C328))</f>
        <v>327</v>
      </c>
      <c r="C328" s="10" t="s">
        <v>357</v>
      </c>
      <c r="D328" s="9" t="s">
        <v>160</v>
      </c>
      <c r="E328" s="5" t="s">
        <v>140</v>
      </c>
      <c r="F328" s="5" t="s">
        <v>257</v>
      </c>
      <c r="G328" s="5" t="s">
        <v>52</v>
      </c>
      <c r="H328" s="44">
        <v>5661500</v>
      </c>
      <c r="I328" s="5">
        <f t="shared" ca="1" si="27"/>
        <v>45</v>
      </c>
      <c r="J328" s="11" t="str">
        <f t="shared" ca="1" si="28"/>
        <v>관리</v>
      </c>
      <c r="K328" s="10"/>
      <c r="L328" s="10"/>
      <c r="M328" s="9"/>
      <c r="N328" s="9" t="s">
        <v>35</v>
      </c>
      <c r="Q328" s="10"/>
      <c r="R328" s="10"/>
      <c r="S328" s="9"/>
    </row>
    <row r="329" spans="2:19" s="5" customFormat="1" ht="16.5" customHeight="1">
      <c r="B329" s="9">
        <f>IF(C329="","",COUNTA($C$2:C329))</f>
        <v>328</v>
      </c>
      <c r="C329" s="10" t="s">
        <v>357</v>
      </c>
      <c r="D329" s="9" t="s">
        <v>160</v>
      </c>
      <c r="E329" s="5" t="s">
        <v>114</v>
      </c>
      <c r="F329" s="5" t="s">
        <v>256</v>
      </c>
      <c r="G329" s="5" t="s">
        <v>52</v>
      </c>
      <c r="H329" s="44">
        <v>1700000</v>
      </c>
      <c r="I329" s="5">
        <f t="shared" ca="1" si="27"/>
        <v>45</v>
      </c>
      <c r="J329" s="11" t="str">
        <f t="shared" ca="1" si="28"/>
        <v>관리</v>
      </c>
      <c r="K329" s="10"/>
      <c r="L329" s="10"/>
      <c r="M329" s="9"/>
      <c r="N329" s="9" t="s">
        <v>35</v>
      </c>
      <c r="Q329" s="10"/>
      <c r="R329" s="10"/>
      <c r="S329" s="9"/>
    </row>
    <row r="330" spans="2:19" s="5" customFormat="1" ht="16.5" hidden="1" customHeight="1">
      <c r="B330" s="9">
        <f>IF(C330="","",COUNTA($C$2:C330))</f>
        <v>329</v>
      </c>
      <c r="C330" s="10" t="s">
        <v>357</v>
      </c>
      <c r="D330" s="9" t="s">
        <v>160</v>
      </c>
      <c r="E330" s="5" t="s">
        <v>168</v>
      </c>
      <c r="F330" s="5" t="s">
        <v>369</v>
      </c>
      <c r="G330" s="5" t="s">
        <v>52</v>
      </c>
      <c r="H330" s="44">
        <v>5060000</v>
      </c>
      <c r="I330" s="5">
        <f t="shared" ca="1" si="27"/>
        <v>25</v>
      </c>
      <c r="J330" s="11" t="str">
        <f t="shared" ca="1" si="28"/>
        <v>정상</v>
      </c>
      <c r="K330" s="10"/>
      <c r="L330" s="10">
        <v>46140</v>
      </c>
      <c r="M330" s="9"/>
      <c r="N330" s="9" t="s">
        <v>35</v>
      </c>
      <c r="Q330" s="10"/>
      <c r="R330" s="10"/>
      <c r="S330" s="9"/>
    </row>
    <row r="331" spans="2:19" s="5" customFormat="1" ht="16.5" hidden="1" customHeight="1">
      <c r="B331" s="9">
        <f>IF(C331="","",COUNTA($C$2:C331))</f>
        <v>330</v>
      </c>
      <c r="C331" s="10" t="s">
        <v>357</v>
      </c>
      <c r="D331" s="9" t="s">
        <v>160</v>
      </c>
      <c r="E331" s="5" t="s">
        <v>150</v>
      </c>
      <c r="F331" s="5" t="s">
        <v>370</v>
      </c>
      <c r="G331" s="5" t="s">
        <v>52</v>
      </c>
      <c r="H331" s="44">
        <v>6050000</v>
      </c>
      <c r="I331" s="5">
        <f t="shared" ca="1" si="27"/>
        <v>4</v>
      </c>
      <c r="J331" s="11" t="str">
        <f t="shared" ca="1" si="28"/>
        <v>정상</v>
      </c>
      <c r="K331" s="10"/>
      <c r="L331" s="10">
        <v>46119</v>
      </c>
      <c r="M331" s="9"/>
      <c r="N331" s="9" t="s">
        <v>35</v>
      </c>
      <c r="Q331" s="10"/>
      <c r="R331" s="10"/>
      <c r="S331" s="9"/>
    </row>
    <row r="332" spans="2:19" s="5" customFormat="1" ht="16.5" customHeight="1">
      <c r="B332" s="9">
        <f>IF(C332="","",COUNTA($C$2:C332))</f>
        <v>331</v>
      </c>
      <c r="C332" s="10" t="s">
        <v>357</v>
      </c>
      <c r="D332" s="9" t="s">
        <v>160</v>
      </c>
      <c r="E332" s="5" t="s">
        <v>252</v>
      </c>
      <c r="F332" s="5" t="s">
        <v>253</v>
      </c>
      <c r="G332" s="5" t="s">
        <v>52</v>
      </c>
      <c r="H332" s="44">
        <v>585000</v>
      </c>
      <c r="I332" s="5">
        <f t="shared" ca="1" si="27"/>
        <v>45</v>
      </c>
      <c r="J332" s="11" t="str">
        <f t="shared" ca="1" si="28"/>
        <v>관리</v>
      </c>
      <c r="K332" s="10"/>
      <c r="L332" s="10"/>
      <c r="M332" s="9"/>
      <c r="N332" s="9" t="s">
        <v>35</v>
      </c>
      <c r="Q332" s="10"/>
      <c r="R332" s="10"/>
      <c r="S332" s="9"/>
    </row>
    <row r="333" spans="2:19" s="5" customFormat="1" ht="16.5" customHeight="1">
      <c r="B333" s="9">
        <f>IF(C333="","",COUNTA($C$2:C333))</f>
        <v>332</v>
      </c>
      <c r="C333" s="10" t="s">
        <v>357</v>
      </c>
      <c r="D333" s="9" t="s">
        <v>160</v>
      </c>
      <c r="E333" s="5" t="s">
        <v>329</v>
      </c>
      <c r="F333" s="5" t="s">
        <v>371</v>
      </c>
      <c r="G333" s="5" t="s">
        <v>52</v>
      </c>
      <c r="H333" s="44">
        <v>33428500</v>
      </c>
      <c r="I333" s="5">
        <f t="shared" ca="1" si="27"/>
        <v>45</v>
      </c>
      <c r="J333" s="11" t="str">
        <f t="shared" ca="1" si="28"/>
        <v>관리</v>
      </c>
      <c r="K333" s="10"/>
      <c r="L333" s="10"/>
      <c r="M333" s="9"/>
      <c r="N333" s="9" t="s">
        <v>35</v>
      </c>
      <c r="Q333" s="10"/>
      <c r="R333" s="10"/>
      <c r="S333" s="9"/>
    </row>
    <row r="334" spans="2:19" s="5" customFormat="1" ht="16.5" customHeight="1">
      <c r="B334" s="9">
        <f>IF(C334="","",COUNTA($C$2:C334))</f>
        <v>333</v>
      </c>
      <c r="C334" s="10" t="s">
        <v>372</v>
      </c>
      <c r="D334" s="9" t="s">
        <v>160</v>
      </c>
      <c r="E334" s="5" t="s">
        <v>345</v>
      </c>
      <c r="F334" s="5" t="s">
        <v>346</v>
      </c>
      <c r="G334" s="5" t="s">
        <v>52</v>
      </c>
      <c r="H334" s="44">
        <v>835000</v>
      </c>
      <c r="I334" s="5">
        <f t="shared" ca="1" si="27"/>
        <v>42</v>
      </c>
      <c r="J334" s="11" t="str">
        <f t="shared" ca="1" si="28"/>
        <v>관리</v>
      </c>
      <c r="K334" s="10"/>
      <c r="L334" s="10"/>
      <c r="M334" s="9"/>
      <c r="N334" s="9" t="s">
        <v>35</v>
      </c>
      <c r="Q334" s="10"/>
      <c r="R334" s="10"/>
      <c r="S334" s="9"/>
    </row>
    <row r="335" spans="2:19" s="5" customFormat="1" ht="16.5" hidden="1" customHeight="1">
      <c r="B335" s="9">
        <f>IF(C335="","",COUNTA($C$2:C335))</f>
        <v>334</v>
      </c>
      <c r="C335" s="10" t="s">
        <v>372</v>
      </c>
      <c r="D335" s="9" t="s">
        <v>160</v>
      </c>
      <c r="E335" s="5" t="s">
        <v>373</v>
      </c>
      <c r="F335" s="5" t="s">
        <v>374</v>
      </c>
      <c r="G335" s="5" t="s">
        <v>52</v>
      </c>
      <c r="H335" s="44">
        <v>1295800</v>
      </c>
      <c r="I335" s="5">
        <f t="shared" ca="1" si="27"/>
        <v>24</v>
      </c>
      <c r="J335" s="11" t="str">
        <f t="shared" ca="1" si="28"/>
        <v>정상</v>
      </c>
      <c r="K335" s="10"/>
      <c r="L335" s="10">
        <v>46142</v>
      </c>
      <c r="M335" s="9"/>
      <c r="N335" s="9" t="s">
        <v>35</v>
      </c>
      <c r="Q335" s="10"/>
      <c r="R335" s="10"/>
      <c r="S335" s="9"/>
    </row>
    <row r="336" spans="2:19" s="5" customFormat="1" ht="16.5" customHeight="1">
      <c r="B336" s="9">
        <f>IF(C336="","",COUNTA($C$2:C336))</f>
        <v>335</v>
      </c>
      <c r="C336" s="10" t="s">
        <v>372</v>
      </c>
      <c r="D336" s="9" t="s">
        <v>160</v>
      </c>
      <c r="E336" s="5" t="s">
        <v>140</v>
      </c>
      <c r="F336" s="5" t="s">
        <v>257</v>
      </c>
      <c r="G336" s="5" t="s">
        <v>52</v>
      </c>
      <c r="H336" s="44">
        <v>3180000</v>
      </c>
      <c r="I336" s="5">
        <f t="shared" ca="1" si="27"/>
        <v>42</v>
      </c>
      <c r="J336" s="11" t="str">
        <f t="shared" ca="1" si="28"/>
        <v>관리</v>
      </c>
      <c r="K336" s="10"/>
      <c r="L336" s="10"/>
      <c r="M336" s="9"/>
      <c r="N336" s="9" t="s">
        <v>35</v>
      </c>
      <c r="Q336" s="10"/>
      <c r="R336" s="10"/>
      <c r="S336" s="9"/>
    </row>
    <row r="337" spans="2:19" s="5" customFormat="1" ht="16.5" customHeight="1">
      <c r="B337" s="9">
        <f>IF(C337="","",COUNTA($C$2:C337))</f>
        <v>336</v>
      </c>
      <c r="C337" s="10" t="s">
        <v>372</v>
      </c>
      <c r="D337" s="9" t="s">
        <v>160</v>
      </c>
      <c r="E337" s="5" t="s">
        <v>329</v>
      </c>
      <c r="F337" s="5" t="s">
        <v>375</v>
      </c>
      <c r="G337" s="5" t="s">
        <v>52</v>
      </c>
      <c r="H337" s="44">
        <v>40027000</v>
      </c>
      <c r="I337" s="5">
        <f t="shared" ca="1" si="27"/>
        <v>42</v>
      </c>
      <c r="J337" s="11" t="str">
        <f t="shared" ca="1" si="28"/>
        <v>관리</v>
      </c>
      <c r="K337" s="10"/>
      <c r="L337" s="10"/>
      <c r="M337" s="9"/>
      <c r="N337" s="9" t="s">
        <v>35</v>
      </c>
      <c r="Q337" s="10"/>
      <c r="R337" s="10"/>
      <c r="S337" s="9"/>
    </row>
    <row r="338" spans="2:19" s="5" customFormat="1" ht="16.5" customHeight="1">
      <c r="B338" s="9">
        <f>IF(C338="","",COUNTA($C$2:C338))</f>
        <v>337</v>
      </c>
      <c r="C338" s="10" t="s">
        <v>372</v>
      </c>
      <c r="D338" s="9" t="s">
        <v>160</v>
      </c>
      <c r="E338" s="5" t="s">
        <v>96</v>
      </c>
      <c r="F338" s="5" t="s">
        <v>376</v>
      </c>
      <c r="G338" s="5" t="s">
        <v>52</v>
      </c>
      <c r="H338" s="44">
        <v>63450600</v>
      </c>
      <c r="I338" s="5">
        <f t="shared" ca="1" si="27"/>
        <v>42</v>
      </c>
      <c r="J338" s="11" t="str">
        <f t="shared" ca="1" si="28"/>
        <v>관리</v>
      </c>
      <c r="K338" s="10"/>
      <c r="L338" s="10"/>
      <c r="M338" s="9"/>
      <c r="N338" s="9" t="s">
        <v>35</v>
      </c>
      <c r="Q338" s="10"/>
      <c r="R338" s="10"/>
      <c r="S338" s="9"/>
    </row>
    <row r="339" spans="2:19" s="5" customFormat="1" ht="16.5" hidden="1" customHeight="1">
      <c r="B339" s="9">
        <f>IF(C339="","",COUNTA($C$2:C339))</f>
        <v>338</v>
      </c>
      <c r="C339" s="10" t="s">
        <v>372</v>
      </c>
      <c r="D339" s="9" t="s">
        <v>160</v>
      </c>
      <c r="E339" s="5" t="s">
        <v>193</v>
      </c>
      <c r="F339" s="5" t="s">
        <v>194</v>
      </c>
      <c r="G339" s="5" t="s">
        <v>52</v>
      </c>
      <c r="H339" s="44">
        <v>3060000</v>
      </c>
      <c r="I339" s="5">
        <f t="shared" ca="1" si="27"/>
        <v>4</v>
      </c>
      <c r="J339" s="11" t="str">
        <f t="shared" ca="1" si="28"/>
        <v>정상</v>
      </c>
      <c r="K339" s="10"/>
      <c r="L339" s="10">
        <v>46122</v>
      </c>
      <c r="M339" s="9"/>
      <c r="N339" s="9" t="s">
        <v>35</v>
      </c>
      <c r="Q339" s="10"/>
      <c r="R339" s="10"/>
      <c r="S339" s="9"/>
    </row>
    <row r="340" spans="2:19" s="5" customFormat="1" ht="16.5" hidden="1" customHeight="1">
      <c r="B340" s="9">
        <f>IF(C340="","",COUNTA($C$2:C340))</f>
        <v>339</v>
      </c>
      <c r="C340" s="10" t="s">
        <v>372</v>
      </c>
      <c r="D340" s="9" t="s">
        <v>160</v>
      </c>
      <c r="E340" s="5" t="s">
        <v>168</v>
      </c>
      <c r="F340" s="5" t="s">
        <v>369</v>
      </c>
      <c r="G340" s="5" t="s">
        <v>52</v>
      </c>
      <c r="H340" s="44">
        <v>310800</v>
      </c>
      <c r="I340" s="5">
        <f t="shared" ca="1" si="27"/>
        <v>9</v>
      </c>
      <c r="J340" s="11" t="str">
        <f t="shared" ca="1" si="28"/>
        <v>정상</v>
      </c>
      <c r="K340" s="10"/>
      <c r="L340" s="10">
        <v>46127</v>
      </c>
      <c r="M340" s="9"/>
      <c r="N340" s="9" t="s">
        <v>35</v>
      </c>
      <c r="Q340" s="10"/>
      <c r="R340" s="10"/>
      <c r="S340" s="9"/>
    </row>
    <row r="341" spans="2:19" s="5" customFormat="1" ht="16.5" hidden="1" customHeight="1">
      <c r="B341" s="9">
        <f>IF(C341="","",COUNTA($C$2:C341))</f>
        <v>340</v>
      </c>
      <c r="C341" s="10" t="s">
        <v>372</v>
      </c>
      <c r="D341" s="9" t="s">
        <v>160</v>
      </c>
      <c r="E341" s="5" t="s">
        <v>32</v>
      </c>
      <c r="F341" s="5" t="s">
        <v>377</v>
      </c>
      <c r="G341" s="5" t="s">
        <v>52</v>
      </c>
      <c r="H341" s="44">
        <v>381000</v>
      </c>
      <c r="I341" s="5">
        <f t="shared" ca="1" si="27"/>
        <v>24</v>
      </c>
      <c r="J341" s="11" t="str">
        <f t="shared" ca="1" si="28"/>
        <v>정상</v>
      </c>
      <c r="K341" s="10"/>
      <c r="L341" s="10">
        <v>46142</v>
      </c>
      <c r="M341" s="9"/>
      <c r="N341" s="9" t="s">
        <v>35</v>
      </c>
      <c r="Q341" s="10"/>
      <c r="R341" s="10"/>
      <c r="S341" s="9"/>
    </row>
    <row r="342" spans="2:19" s="5" customFormat="1" ht="16.5" customHeight="1">
      <c r="B342" s="9">
        <f>IF(C342="","",COUNTA($C$2:C342))</f>
        <v>341</v>
      </c>
      <c r="C342" s="10" t="s">
        <v>372</v>
      </c>
      <c r="D342" s="9" t="s">
        <v>160</v>
      </c>
      <c r="E342" s="5" t="s">
        <v>378</v>
      </c>
      <c r="F342" s="5" t="s">
        <v>379</v>
      </c>
      <c r="G342" s="5" t="s">
        <v>52</v>
      </c>
      <c r="H342" s="44">
        <v>295000</v>
      </c>
      <c r="I342" s="5">
        <f t="shared" ca="1" si="27"/>
        <v>42</v>
      </c>
      <c r="J342" s="11" t="str">
        <f t="shared" ca="1" si="28"/>
        <v>관리</v>
      </c>
      <c r="K342" s="10"/>
      <c r="L342" s="10"/>
      <c r="M342" s="9"/>
      <c r="N342" s="9" t="s">
        <v>35</v>
      </c>
      <c r="Q342" s="10"/>
      <c r="R342" s="10"/>
      <c r="S342" s="9"/>
    </row>
    <row r="343" spans="2:19" s="5" customFormat="1" ht="16.5" hidden="1" customHeight="1">
      <c r="B343" s="9">
        <f>IF(C343="","",COUNTA($C$2:C343))</f>
        <v>342</v>
      </c>
      <c r="C343" s="10" t="s">
        <v>372</v>
      </c>
      <c r="D343" s="9" t="s">
        <v>160</v>
      </c>
      <c r="E343" s="5" t="s">
        <v>175</v>
      </c>
      <c r="F343" s="5" t="s">
        <v>380</v>
      </c>
      <c r="G343" s="5" t="s">
        <v>52</v>
      </c>
      <c r="H343" s="44">
        <v>5664000</v>
      </c>
      <c r="I343" s="5">
        <f t="shared" ca="1" si="27"/>
        <v>24</v>
      </c>
      <c r="J343" s="11" t="str">
        <f t="shared" ca="1" si="28"/>
        <v>정상</v>
      </c>
      <c r="K343" s="10"/>
      <c r="L343" s="10">
        <v>46142</v>
      </c>
      <c r="M343" s="9"/>
      <c r="N343" s="9" t="s">
        <v>35</v>
      </c>
      <c r="Q343" s="10"/>
      <c r="R343" s="10"/>
      <c r="S343" s="9"/>
    </row>
    <row r="344" spans="2:19" s="5" customFormat="1" ht="16.5" hidden="1" customHeight="1">
      <c r="B344" s="9">
        <f>IF(C344="","",COUNTA($C$2:C344))</f>
        <v>343</v>
      </c>
      <c r="C344" s="10" t="s">
        <v>372</v>
      </c>
      <c r="D344" s="9" t="s">
        <v>160</v>
      </c>
      <c r="E344" s="5" t="s">
        <v>18</v>
      </c>
      <c r="F344" s="5" t="s">
        <v>381</v>
      </c>
      <c r="G344" s="5" t="s">
        <v>52</v>
      </c>
      <c r="H344" s="44">
        <v>216900</v>
      </c>
      <c r="I344" s="5">
        <f t="shared" ca="1" si="27"/>
        <v>1</v>
      </c>
      <c r="J344" s="11" t="str">
        <f t="shared" ca="1" si="28"/>
        <v>정상</v>
      </c>
      <c r="K344" s="10"/>
      <c r="L344" s="10">
        <v>46119</v>
      </c>
      <c r="M344" s="9"/>
      <c r="N344" s="9" t="s">
        <v>35</v>
      </c>
      <c r="Q344" s="10"/>
      <c r="R344" s="10"/>
      <c r="S344" s="9"/>
    </row>
    <row r="345" spans="2:19" s="5" customFormat="1" ht="16.5" customHeight="1">
      <c r="B345" s="9">
        <f>IF(C345="","",COUNTA($C$2:C345))</f>
        <v>344</v>
      </c>
      <c r="C345" s="10" t="s">
        <v>372</v>
      </c>
      <c r="D345" s="9" t="s">
        <v>160</v>
      </c>
      <c r="E345" s="5" t="s">
        <v>26</v>
      </c>
      <c r="F345" s="5" t="s">
        <v>95</v>
      </c>
      <c r="G345" s="5" t="s">
        <v>52</v>
      </c>
      <c r="H345" s="44">
        <v>4160000</v>
      </c>
      <c r="I345" s="5">
        <f t="shared" ca="1" si="27"/>
        <v>42</v>
      </c>
      <c r="J345" s="11" t="str">
        <f t="shared" ca="1" si="28"/>
        <v>관리</v>
      </c>
      <c r="K345" s="10"/>
      <c r="L345" s="10"/>
      <c r="M345" s="9"/>
      <c r="N345" s="9" t="s">
        <v>22</v>
      </c>
      <c r="O345" s="5" t="s">
        <v>61</v>
      </c>
      <c r="P345" s="5" t="s">
        <v>69</v>
      </c>
      <c r="Q345" s="10"/>
      <c r="R345" s="10"/>
      <c r="S345" s="9"/>
    </row>
    <row r="346" spans="2:19" s="5" customFormat="1" ht="16.5" customHeight="1">
      <c r="B346" s="9">
        <f>IF(C346="","",COUNTA($C$2:C346))</f>
        <v>345</v>
      </c>
      <c r="C346" s="10" t="s">
        <v>372</v>
      </c>
      <c r="D346" s="9" t="s">
        <v>160</v>
      </c>
      <c r="E346" s="5" t="s">
        <v>28</v>
      </c>
      <c r="F346" s="5" t="s">
        <v>382</v>
      </c>
      <c r="G346" s="5" t="s">
        <v>52</v>
      </c>
      <c r="H346" s="44">
        <v>1460000</v>
      </c>
      <c r="I346" s="5">
        <f t="shared" ca="1" si="27"/>
        <v>42</v>
      </c>
      <c r="J346" s="11" t="str">
        <f t="shared" ca="1" si="28"/>
        <v>관리</v>
      </c>
      <c r="K346" s="10"/>
      <c r="L346" s="10"/>
      <c r="M346" s="9"/>
      <c r="N346" s="9" t="s">
        <v>35</v>
      </c>
      <c r="P346" s="5" t="s">
        <v>91</v>
      </c>
      <c r="Q346" s="10"/>
      <c r="R346" s="10"/>
      <c r="S346" s="9"/>
    </row>
    <row r="347" spans="2:19" s="5" customFormat="1" ht="16.5" customHeight="1">
      <c r="B347" s="9">
        <f>IF(C347="","",COUNTA($C$2:C347))</f>
        <v>346</v>
      </c>
      <c r="C347" s="10" t="s">
        <v>372</v>
      </c>
      <c r="D347" s="9" t="s">
        <v>160</v>
      </c>
      <c r="E347" s="5" t="s">
        <v>28</v>
      </c>
      <c r="F347" s="5" t="s">
        <v>383</v>
      </c>
      <c r="G347" s="5" t="s">
        <v>52</v>
      </c>
      <c r="H347" s="44">
        <v>720000</v>
      </c>
      <c r="I347" s="5">
        <f t="shared" ca="1" si="27"/>
        <v>42</v>
      </c>
      <c r="J347" s="11" t="str">
        <f t="shared" ca="1" si="28"/>
        <v>관리</v>
      </c>
      <c r="K347" s="10"/>
      <c r="L347" s="10"/>
      <c r="M347" s="9"/>
      <c r="N347" s="9" t="s">
        <v>35</v>
      </c>
      <c r="P347" s="5" t="s">
        <v>91</v>
      </c>
      <c r="Q347" s="10"/>
      <c r="R347" s="10"/>
      <c r="S347" s="9"/>
    </row>
    <row r="348" spans="2:19" s="5" customFormat="1" ht="16.5" hidden="1" customHeight="1">
      <c r="B348" s="9">
        <f>IF(C348="","",COUNTA($C$2:C348))</f>
        <v>347</v>
      </c>
      <c r="C348" s="10" t="s">
        <v>372</v>
      </c>
      <c r="D348" s="9" t="s">
        <v>160</v>
      </c>
      <c r="E348" s="5" t="s">
        <v>288</v>
      </c>
      <c r="F348" s="5" t="s">
        <v>317</v>
      </c>
      <c r="G348" s="5" t="s">
        <v>52</v>
      </c>
      <c r="H348" s="44">
        <v>3380000</v>
      </c>
      <c r="I348" s="5">
        <f t="shared" ca="1" si="27"/>
        <v>9</v>
      </c>
      <c r="J348" s="11" t="str">
        <f t="shared" ca="1" si="28"/>
        <v>정상</v>
      </c>
      <c r="K348" s="10"/>
      <c r="L348" s="10">
        <v>46127</v>
      </c>
      <c r="M348" s="9"/>
      <c r="N348" s="9" t="s">
        <v>35</v>
      </c>
      <c r="Q348" s="10"/>
      <c r="R348" s="10"/>
      <c r="S348" s="9"/>
    </row>
    <row r="349" spans="2:19" s="5" customFormat="1" ht="16.5" customHeight="1">
      <c r="B349" s="9">
        <f>IF(C349="","",COUNTA($C$2:C349))</f>
        <v>348</v>
      </c>
      <c r="C349" s="10" t="s">
        <v>372</v>
      </c>
      <c r="D349" s="9" t="s">
        <v>160</v>
      </c>
      <c r="E349" s="5" t="s">
        <v>140</v>
      </c>
      <c r="F349" s="5" t="s">
        <v>384</v>
      </c>
      <c r="G349" s="5" t="s">
        <v>52</v>
      </c>
      <c r="H349" s="44">
        <v>1230000</v>
      </c>
      <c r="I349" s="5">
        <f t="shared" ca="1" si="27"/>
        <v>42</v>
      </c>
      <c r="J349" s="11" t="str">
        <f ca="1">IF(I349="","",
 IF(G349="선급금",
   IF(I349&lt;=20,"정상",IF(I349&lt;=90,"관리","장기미수")),
 IF(G349="자재",
   IF(I349&lt;=40,"정상",IF(I349&lt;=90,"관리","장기미수")),
   IF(I349&lt;=30,"정상",IF(I349&lt;=90,"관리","장기미수"))
  )
 )
)</f>
        <v>관리</v>
      </c>
      <c r="K349" s="10"/>
      <c r="L349" s="10"/>
      <c r="M349" s="9"/>
      <c r="N349" s="9" t="s">
        <v>35</v>
      </c>
      <c r="Q349" s="10"/>
      <c r="R349" s="10"/>
      <c r="S349" s="9"/>
    </row>
    <row r="350" spans="2:19" s="5" customFormat="1" ht="16.5" customHeight="1">
      <c r="B350" s="9">
        <f>IF(C350="","",COUNTA($C$2:C350))</f>
        <v>349</v>
      </c>
      <c r="C350" s="10" t="s">
        <v>372</v>
      </c>
      <c r="D350" s="9" t="s">
        <v>160</v>
      </c>
      <c r="E350" s="5" t="s">
        <v>114</v>
      </c>
      <c r="F350" s="5" t="s">
        <v>256</v>
      </c>
      <c r="G350" s="5" t="s">
        <v>52</v>
      </c>
      <c r="H350" s="44">
        <v>2378500</v>
      </c>
      <c r="I350" s="5">
        <f t="shared" ca="1" si="27"/>
        <v>42</v>
      </c>
      <c r="J350" s="11" t="str">
        <f t="shared" ref="J350:J381" ca="1" si="29">IF(I350="","",
IF(G350="선급금",
IF(I350&lt;=20,"정상",IF(I350&lt;=90,"관리","장기미수")),
IF(G350="자재",
IF(I350&lt;=40,"정상",IF(I350&lt;=90,"관리","장기미수")),
IF(I350&lt;=30,"정상",IF(I350&lt;=90,"관리","장기미수"))
)
)
)</f>
        <v>관리</v>
      </c>
      <c r="K350" s="10"/>
      <c r="L350" s="10"/>
      <c r="M350" s="9"/>
      <c r="N350" s="9" t="s">
        <v>35</v>
      </c>
      <c r="Q350" s="10"/>
      <c r="R350" s="10"/>
      <c r="S350" s="9"/>
    </row>
    <row r="351" spans="2:19" s="5" customFormat="1" ht="16.5" customHeight="1">
      <c r="B351" s="9">
        <f>IF(C351="","",COUNTA($C$2:C351))</f>
        <v>350</v>
      </c>
      <c r="C351" s="10" t="s">
        <v>372</v>
      </c>
      <c r="D351" s="9" t="s">
        <v>160</v>
      </c>
      <c r="E351" s="5" t="s">
        <v>329</v>
      </c>
      <c r="F351" s="5" t="s">
        <v>375</v>
      </c>
      <c r="G351" s="5" t="s">
        <v>52</v>
      </c>
      <c r="H351" s="44">
        <v>957000</v>
      </c>
      <c r="I351" s="5">
        <f t="shared" ca="1" si="27"/>
        <v>42</v>
      </c>
      <c r="J351" s="11" t="str">
        <f t="shared" ca="1" si="29"/>
        <v>관리</v>
      </c>
      <c r="K351" s="10"/>
      <c r="L351" s="10"/>
      <c r="M351" s="9"/>
      <c r="N351" s="9" t="s">
        <v>35</v>
      </c>
      <c r="Q351" s="10"/>
      <c r="R351" s="10"/>
      <c r="S351" s="9"/>
    </row>
    <row r="352" spans="2:19" s="5" customFormat="1" ht="16.5" customHeight="1">
      <c r="B352" s="9">
        <f>IF(C352="","",COUNTA($C$2:C352))</f>
        <v>351</v>
      </c>
      <c r="C352" s="10" t="s">
        <v>372</v>
      </c>
      <c r="D352" s="9" t="s">
        <v>160</v>
      </c>
      <c r="E352" s="5" t="s">
        <v>59</v>
      </c>
      <c r="F352" s="5" t="s">
        <v>385</v>
      </c>
      <c r="G352" s="5" t="s">
        <v>52</v>
      </c>
      <c r="H352" s="44">
        <v>2975000</v>
      </c>
      <c r="I352" s="5">
        <f t="shared" ca="1" si="27"/>
        <v>42</v>
      </c>
      <c r="J352" s="11" t="str">
        <f t="shared" ca="1" si="29"/>
        <v>관리</v>
      </c>
      <c r="K352" s="10"/>
      <c r="L352" s="10"/>
      <c r="M352" s="9"/>
      <c r="N352" s="9" t="s">
        <v>35</v>
      </c>
      <c r="Q352" s="10"/>
      <c r="R352" s="10"/>
      <c r="S352" s="9"/>
    </row>
    <row r="353" spans="2:19" s="5" customFormat="1" ht="16.5" hidden="1" customHeight="1">
      <c r="B353" s="9">
        <f>IF(C353="","",COUNTA($C$2:C353))</f>
        <v>352</v>
      </c>
      <c r="C353" s="10">
        <v>46115</v>
      </c>
      <c r="D353" s="9" t="s">
        <v>180</v>
      </c>
      <c r="E353" s="5" t="s">
        <v>28</v>
      </c>
      <c r="F353" s="5" t="s">
        <v>204</v>
      </c>
      <c r="G353" s="5" t="s">
        <v>34</v>
      </c>
      <c r="H353" s="42">
        <v>22230800</v>
      </c>
      <c r="I353" s="5">
        <f t="shared" ca="1" si="27"/>
        <v>12</v>
      </c>
      <c r="J353" s="11" t="str">
        <f t="shared" ca="1" si="29"/>
        <v>정상</v>
      </c>
      <c r="K353" s="10">
        <v>46145</v>
      </c>
      <c r="L353" s="10">
        <v>46127</v>
      </c>
      <c r="M353" s="9"/>
      <c r="N353" s="9" t="s">
        <v>35</v>
      </c>
      <c r="Q353" s="10"/>
      <c r="R353" s="10"/>
      <c r="S353" s="9"/>
    </row>
    <row r="354" spans="2:19" s="5" customFormat="1" ht="16.5" hidden="1" customHeight="1">
      <c r="B354" s="9">
        <f>IF(C354="","",COUNTA($C$2:C354))</f>
        <v>353</v>
      </c>
      <c r="C354" s="10">
        <v>46118</v>
      </c>
      <c r="D354" s="9" t="s">
        <v>180</v>
      </c>
      <c r="E354" s="5" t="s">
        <v>157</v>
      </c>
      <c r="F354" s="5" t="s">
        <v>226</v>
      </c>
      <c r="G354" s="5" t="s">
        <v>41</v>
      </c>
      <c r="H354" s="42">
        <v>26011000</v>
      </c>
      <c r="I354" s="5">
        <f t="shared" ca="1" si="27"/>
        <v>42</v>
      </c>
      <c r="J354" s="11" t="str">
        <f t="shared" ca="1" si="29"/>
        <v>관리</v>
      </c>
      <c r="K354" s="10">
        <v>46148</v>
      </c>
      <c r="L354" s="10"/>
      <c r="M354" s="9"/>
      <c r="N354" s="9" t="s">
        <v>35</v>
      </c>
      <c r="Q354" s="10"/>
      <c r="R354" s="10"/>
      <c r="S354" s="9"/>
    </row>
    <row r="355" spans="2:19" s="5" customFormat="1" ht="16.5" hidden="1" customHeight="1">
      <c r="B355" s="9">
        <f>IF(C355="","",COUNTA($C$2:C355))</f>
        <v>354</v>
      </c>
      <c r="C355" s="10">
        <v>46113</v>
      </c>
      <c r="D355" s="9" t="s">
        <v>180</v>
      </c>
      <c r="E355" s="5" t="s">
        <v>201</v>
      </c>
      <c r="F355" s="5" t="s">
        <v>202</v>
      </c>
      <c r="G355" s="5" t="s">
        <v>41</v>
      </c>
      <c r="H355" s="42">
        <v>22092800</v>
      </c>
      <c r="I355" s="5">
        <f t="shared" ca="1" si="27"/>
        <v>23</v>
      </c>
      <c r="J355" s="11" t="str">
        <f t="shared" ca="1" si="29"/>
        <v>정상</v>
      </c>
      <c r="K355" s="10">
        <v>46143</v>
      </c>
      <c r="L355" s="10">
        <v>46136</v>
      </c>
      <c r="M355" s="9"/>
      <c r="N355" s="9" t="s">
        <v>35</v>
      </c>
      <c r="Q355" s="10"/>
      <c r="R355" s="10"/>
      <c r="S355" s="9"/>
    </row>
    <row r="356" spans="2:19" s="5" customFormat="1" ht="16.5" hidden="1" customHeight="1">
      <c r="B356" s="9">
        <f>IF(C356="","",COUNTA($C$2:C356))</f>
        <v>355</v>
      </c>
      <c r="C356" s="10">
        <v>46118</v>
      </c>
      <c r="D356" s="9" t="s">
        <v>180</v>
      </c>
      <c r="E356" s="5" t="s">
        <v>175</v>
      </c>
      <c r="F356" s="5" t="s">
        <v>214</v>
      </c>
      <c r="G356" s="5" t="s">
        <v>41</v>
      </c>
      <c r="H356" s="42">
        <v>10316800</v>
      </c>
      <c r="I356" s="5">
        <f t="shared" ca="1" si="27"/>
        <v>38</v>
      </c>
      <c r="J356" s="11" t="str">
        <f t="shared" ca="1" si="29"/>
        <v>관리</v>
      </c>
      <c r="K356" s="10">
        <v>46148</v>
      </c>
      <c r="L356" s="10">
        <v>46156</v>
      </c>
      <c r="M356" s="9"/>
      <c r="N356" s="9" t="s">
        <v>35</v>
      </c>
      <c r="Q356" s="10"/>
      <c r="R356" s="10"/>
      <c r="S356" s="9"/>
    </row>
    <row r="357" spans="2:19" s="5" customFormat="1" ht="16.5" hidden="1" customHeight="1">
      <c r="B357" s="9">
        <f>IF(C357="","",COUNTA($C$2:C357))</f>
        <v>356</v>
      </c>
      <c r="C357" s="10">
        <v>46115</v>
      </c>
      <c r="D357" s="9" t="s">
        <v>180</v>
      </c>
      <c r="E357" s="5" t="s">
        <v>227</v>
      </c>
      <c r="F357" s="5" t="s">
        <v>228</v>
      </c>
      <c r="G357" s="5" t="s">
        <v>34</v>
      </c>
      <c r="H357" s="42">
        <v>39444000</v>
      </c>
      <c r="I357" s="5">
        <f t="shared" ca="1" si="27"/>
        <v>12</v>
      </c>
      <c r="J357" s="11" t="str">
        <f t="shared" ca="1" si="29"/>
        <v>정상</v>
      </c>
      <c r="K357" s="10">
        <v>46145</v>
      </c>
      <c r="L357" s="10">
        <v>46127</v>
      </c>
      <c r="M357" s="9"/>
      <c r="N357" s="9" t="s">
        <v>35</v>
      </c>
      <c r="Q357" s="10"/>
      <c r="R357" s="10"/>
      <c r="S357" s="9"/>
    </row>
    <row r="358" spans="2:19" s="5" customFormat="1" ht="16.5" hidden="1" customHeight="1">
      <c r="B358" s="9">
        <f>IF(C358="","",COUNTA($C$2:C358))</f>
        <v>357</v>
      </c>
      <c r="C358" s="10">
        <v>46115</v>
      </c>
      <c r="D358" s="9" t="s">
        <v>180</v>
      </c>
      <c r="E358" s="5" t="s">
        <v>386</v>
      </c>
      <c r="F358" s="5" t="s">
        <v>269</v>
      </c>
      <c r="G358" s="5" t="s">
        <v>34</v>
      </c>
      <c r="H358" s="42">
        <v>36998800</v>
      </c>
      <c r="I358" s="5">
        <f t="shared" ca="1" si="27"/>
        <v>27</v>
      </c>
      <c r="J358" s="11" t="str">
        <f t="shared" ca="1" si="29"/>
        <v>정상</v>
      </c>
      <c r="K358" s="10">
        <v>46145</v>
      </c>
      <c r="L358" s="10">
        <v>46142</v>
      </c>
      <c r="M358" s="9"/>
      <c r="N358" s="9" t="s">
        <v>35</v>
      </c>
      <c r="Q358" s="10"/>
      <c r="R358" s="10"/>
      <c r="S358" s="9"/>
    </row>
    <row r="359" spans="2:19" s="5" customFormat="1" ht="16.5" hidden="1" customHeight="1">
      <c r="B359" s="9">
        <f>IF(C359="","",COUNTA($C$2:C359))</f>
        <v>358</v>
      </c>
      <c r="C359" s="10">
        <v>46115</v>
      </c>
      <c r="D359" s="9" t="str">
        <f>IF(G359="","",IF(OR(G359="선급금",G359="중도금",G359="잔금"),"A",IF(G359="자재","B",IF(G359="특허료","C",""))))</f>
        <v>A</v>
      </c>
      <c r="E359" s="5" t="s">
        <v>286</v>
      </c>
      <c r="F359" s="5" t="s">
        <v>287</v>
      </c>
      <c r="G359" s="5" t="s">
        <v>34</v>
      </c>
      <c r="H359" s="42">
        <v>18059200</v>
      </c>
      <c r="I359" s="5">
        <f t="shared" ca="1" si="27"/>
        <v>45</v>
      </c>
      <c r="J359" s="11" t="str">
        <f t="shared" ca="1" si="29"/>
        <v>관리</v>
      </c>
      <c r="K359" s="10">
        <v>46145</v>
      </c>
      <c r="L359" s="10"/>
      <c r="M359" s="9"/>
      <c r="N359" s="9" t="s">
        <v>35</v>
      </c>
      <c r="Q359" s="10"/>
      <c r="R359" s="10"/>
      <c r="S359" s="9"/>
    </row>
    <row r="360" spans="2:19" s="5" customFormat="1" ht="16.5" hidden="1" customHeight="1">
      <c r="B360" s="9">
        <f>IF(C360="","",COUNTA($C$2:C360))</f>
        <v>359</v>
      </c>
      <c r="C360" s="10">
        <v>46113</v>
      </c>
      <c r="D360" s="9" t="str">
        <f>IF(G360="","",IF(OR(G360="선급금",G360="중도금",G360="잔금"),"A",IF(G360="자재","B",IF(G360="특허료","C",""))))</f>
        <v>A</v>
      </c>
      <c r="E360" s="5" t="s">
        <v>288</v>
      </c>
      <c r="F360" s="5" t="s">
        <v>289</v>
      </c>
      <c r="G360" s="5" t="s">
        <v>34</v>
      </c>
      <c r="H360" s="42">
        <v>12968800</v>
      </c>
      <c r="I360" s="5">
        <f t="shared" ca="1" si="27"/>
        <v>14</v>
      </c>
      <c r="J360" s="11" t="str">
        <f t="shared" ca="1" si="29"/>
        <v>정상</v>
      </c>
      <c r="K360" s="10">
        <v>46143</v>
      </c>
      <c r="L360" s="10">
        <v>46127</v>
      </c>
      <c r="M360" s="9"/>
      <c r="N360" s="9" t="s">
        <v>35</v>
      </c>
      <c r="Q360" s="10"/>
      <c r="R360" s="10"/>
      <c r="S360" s="9"/>
    </row>
    <row r="361" spans="2:19" s="5" customFormat="1" ht="16.5" hidden="1" customHeight="1">
      <c r="B361" s="9">
        <f>IF(C361="","",COUNTA($C$2:C361))</f>
        <v>360</v>
      </c>
      <c r="C361" s="10">
        <v>46114</v>
      </c>
      <c r="D361" s="9" t="str">
        <f>IF(G361="","",IF(OR(G361="선급금",G361="중도금",G361="잔금"),"A",IF(G361="자재","B",IF(G361="특허료","C",""))))</f>
        <v>A</v>
      </c>
      <c r="E361" s="5" t="s">
        <v>319</v>
      </c>
      <c r="F361" s="5" t="s">
        <v>320</v>
      </c>
      <c r="G361" s="5" t="s">
        <v>34</v>
      </c>
      <c r="H361" s="42">
        <v>16160000</v>
      </c>
      <c r="I361" s="5">
        <f t="shared" ca="1" si="27"/>
        <v>36</v>
      </c>
      <c r="J361" s="11" t="str">
        <f t="shared" ca="1" si="29"/>
        <v>관리</v>
      </c>
      <c r="K361" s="10">
        <v>46143</v>
      </c>
      <c r="L361" s="10">
        <v>46150</v>
      </c>
      <c r="M361" s="9"/>
      <c r="N361" s="9" t="s">
        <v>35</v>
      </c>
      <c r="Q361" s="10"/>
      <c r="R361" s="10"/>
      <c r="S361" s="9"/>
    </row>
    <row r="362" spans="2:19" s="5" customFormat="1" ht="16.5" hidden="1" customHeight="1">
      <c r="B362" s="9">
        <f>IF(C362="","",COUNTA($C$2:C362))</f>
        <v>361</v>
      </c>
      <c r="C362" s="10">
        <v>46118</v>
      </c>
      <c r="D362" s="9" t="str">
        <f>IF(G362="","",IF(OR(G362="선급금",G362="중도금",G362="잔금"),"A",IF(G362="자재","B",IF(G362="특허료","C",""))))</f>
        <v>A</v>
      </c>
      <c r="E362" s="5" t="s">
        <v>321</v>
      </c>
      <c r="F362" s="5" t="s">
        <v>322</v>
      </c>
      <c r="G362" s="5" t="s">
        <v>34</v>
      </c>
      <c r="H362" s="42">
        <v>5757600</v>
      </c>
      <c r="I362" s="5">
        <f t="shared" ca="1" si="27"/>
        <v>36</v>
      </c>
      <c r="J362" s="11" t="str">
        <f t="shared" ca="1" si="29"/>
        <v>관리</v>
      </c>
      <c r="K362" s="10">
        <v>46148</v>
      </c>
      <c r="L362" s="10">
        <v>46154</v>
      </c>
      <c r="M362" s="9"/>
      <c r="N362" s="9" t="s">
        <v>35</v>
      </c>
      <c r="Q362" s="10"/>
      <c r="R362" s="10"/>
      <c r="S362" s="9"/>
    </row>
    <row r="363" spans="2:19" s="5" customFormat="1" ht="16.5" hidden="1" customHeight="1">
      <c r="B363" s="9">
        <f>IF(C363="","",COUNTA($C$2:C363))</f>
        <v>362</v>
      </c>
      <c r="C363" s="10">
        <v>46113</v>
      </c>
      <c r="D363" s="9" t="str">
        <f>IF(G363="","",IF(OR(G363="선급금",G363="중도금",G363="잔금"),"A",IF(G363="자재","B",IF(G363="특허료","C",""))))</f>
        <v>A</v>
      </c>
      <c r="E363" s="5" t="s">
        <v>168</v>
      </c>
      <c r="F363" s="5" t="s">
        <v>387</v>
      </c>
      <c r="G363" s="5" t="s">
        <v>20</v>
      </c>
      <c r="H363" s="42">
        <v>17723800</v>
      </c>
      <c r="I363" s="5">
        <f t="shared" ca="1" si="27"/>
        <v>14</v>
      </c>
      <c r="J363" s="11" t="str">
        <f t="shared" ca="1" si="29"/>
        <v>정상</v>
      </c>
      <c r="K363" s="10">
        <v>46133</v>
      </c>
      <c r="L363" s="10">
        <v>46127</v>
      </c>
      <c r="M363" s="9"/>
      <c r="N363" s="9" t="s">
        <v>35</v>
      </c>
      <c r="Q363" s="10"/>
      <c r="R363" s="10"/>
      <c r="S363" s="9"/>
    </row>
    <row r="364" spans="2:19" s="5" customFormat="1" ht="16.5" hidden="1" customHeight="1">
      <c r="B364" s="9">
        <f>IF(C364="","",COUNTA($C$2:C364))</f>
        <v>363</v>
      </c>
      <c r="C364" s="10">
        <v>46113</v>
      </c>
      <c r="D364" s="9" t="s">
        <v>180</v>
      </c>
      <c r="E364" s="5" t="s">
        <v>177</v>
      </c>
      <c r="F364" s="5" t="s">
        <v>388</v>
      </c>
      <c r="G364" s="5" t="s">
        <v>20</v>
      </c>
      <c r="H364" s="42">
        <v>48448200</v>
      </c>
      <c r="I364" s="5">
        <f t="shared" ca="1" si="27"/>
        <v>14</v>
      </c>
      <c r="J364" s="11" t="str">
        <f t="shared" ca="1" si="29"/>
        <v>정상</v>
      </c>
      <c r="K364" s="10">
        <v>46133</v>
      </c>
      <c r="L364" s="10">
        <v>46127</v>
      </c>
      <c r="M364" s="9"/>
      <c r="N364" s="9" t="s">
        <v>35</v>
      </c>
      <c r="Q364" s="10"/>
      <c r="R364" s="10"/>
      <c r="S364" s="9"/>
    </row>
    <row r="365" spans="2:19" s="5" customFormat="1" ht="16.5" hidden="1" customHeight="1">
      <c r="B365" s="9">
        <f>IF(C365="","",COUNTA($C$2:C365))</f>
        <v>364</v>
      </c>
      <c r="C365" s="10">
        <v>46114</v>
      </c>
      <c r="D365" s="9" t="s">
        <v>180</v>
      </c>
      <c r="E365" s="5" t="s">
        <v>161</v>
      </c>
      <c r="F365" s="5" t="s">
        <v>389</v>
      </c>
      <c r="G365" s="5" t="s">
        <v>20</v>
      </c>
      <c r="H365" s="42">
        <v>23838400</v>
      </c>
      <c r="I365" s="5">
        <f t="shared" ca="1" si="27"/>
        <v>0</v>
      </c>
      <c r="J365" s="11" t="str">
        <f t="shared" ca="1" si="29"/>
        <v>정상</v>
      </c>
      <c r="K365" s="10">
        <v>46134</v>
      </c>
      <c r="L365" s="10">
        <v>46114</v>
      </c>
      <c r="M365" s="9"/>
      <c r="N365" s="9" t="s">
        <v>35</v>
      </c>
      <c r="Q365" s="10"/>
      <c r="R365" s="10"/>
      <c r="S365" s="9"/>
    </row>
    <row r="366" spans="2:19" s="5" customFormat="1" ht="16.5" hidden="1" customHeight="1">
      <c r="B366" s="9">
        <f>IF(C366="","",COUNTA($C$2:C366))</f>
        <v>365</v>
      </c>
      <c r="C366" s="10">
        <v>46114</v>
      </c>
      <c r="D366" s="9" t="s">
        <v>180</v>
      </c>
      <c r="E366" s="5" t="s">
        <v>390</v>
      </c>
      <c r="F366" s="5" t="s">
        <v>391</v>
      </c>
      <c r="G366" s="5" t="s">
        <v>20</v>
      </c>
      <c r="H366" s="42">
        <v>23050000</v>
      </c>
      <c r="I366" s="5">
        <f t="shared" ca="1" si="27"/>
        <v>1</v>
      </c>
      <c r="J366" s="11" t="str">
        <f t="shared" ca="1" si="29"/>
        <v>정상</v>
      </c>
      <c r="K366" s="10">
        <v>46134</v>
      </c>
      <c r="L366" s="10">
        <v>46115</v>
      </c>
      <c r="M366" s="9"/>
      <c r="N366" s="9" t="s">
        <v>35</v>
      </c>
      <c r="Q366" s="10"/>
      <c r="R366" s="10"/>
      <c r="S366" s="9"/>
    </row>
    <row r="367" spans="2:19" s="5" customFormat="1" ht="16.5" hidden="1" customHeight="1">
      <c r="B367" s="9">
        <f>IF(C367="","",COUNTA($C$2:C367))</f>
        <v>366</v>
      </c>
      <c r="C367" s="10">
        <v>46119</v>
      </c>
      <c r="D367" s="9" t="s">
        <v>180</v>
      </c>
      <c r="E367" s="5" t="s">
        <v>301</v>
      </c>
      <c r="F367" s="5" t="s">
        <v>302</v>
      </c>
      <c r="G367" s="5" t="s">
        <v>41</v>
      </c>
      <c r="H367" s="42">
        <v>4218000</v>
      </c>
      <c r="I367" s="5">
        <f t="shared" ca="1" si="27"/>
        <v>38</v>
      </c>
      <c r="J367" s="11" t="str">
        <f t="shared" ca="1" si="29"/>
        <v>관리</v>
      </c>
      <c r="K367" s="10">
        <v>46149</v>
      </c>
      <c r="L367" s="10">
        <v>46157</v>
      </c>
      <c r="M367" s="9"/>
      <c r="N367" s="9" t="s">
        <v>35</v>
      </c>
      <c r="Q367" s="10"/>
      <c r="R367" s="10"/>
      <c r="S367" s="9"/>
    </row>
    <row r="368" spans="2:19" s="5" customFormat="1" ht="16.5" hidden="1" customHeight="1">
      <c r="B368" s="9">
        <f>IF(C368="","",COUNTA($C$2:C368))</f>
        <v>367</v>
      </c>
      <c r="C368" s="10">
        <v>46119</v>
      </c>
      <c r="D368" s="9" t="s">
        <v>180</v>
      </c>
      <c r="E368" s="5" t="s">
        <v>18</v>
      </c>
      <c r="F368" s="5" t="s">
        <v>392</v>
      </c>
      <c r="G368" s="5" t="s">
        <v>20</v>
      </c>
      <c r="H368" s="42">
        <v>2040000</v>
      </c>
      <c r="I368" s="5">
        <f t="shared" ca="1" si="27"/>
        <v>8</v>
      </c>
      <c r="J368" s="11" t="str">
        <f t="shared" ca="1" si="29"/>
        <v>정상</v>
      </c>
      <c r="K368" s="10">
        <v>46139</v>
      </c>
      <c r="L368" s="10">
        <v>46127</v>
      </c>
      <c r="M368" s="9"/>
      <c r="N368" s="9" t="s">
        <v>35</v>
      </c>
      <c r="Q368" s="10"/>
      <c r="R368" s="10"/>
      <c r="S368" s="9"/>
    </row>
    <row r="369" spans="2:19" s="5" customFormat="1" ht="16.5" hidden="1" customHeight="1">
      <c r="B369" s="9">
        <f>IF(C369="","",COUNTA($C$2:C369))</f>
        <v>368</v>
      </c>
      <c r="C369" s="10" t="s">
        <v>393</v>
      </c>
      <c r="D369" s="9" t="s">
        <v>160</v>
      </c>
      <c r="E369" s="5" t="s">
        <v>386</v>
      </c>
      <c r="F369" s="5" t="s">
        <v>394</v>
      </c>
      <c r="G369" s="5" t="s">
        <v>52</v>
      </c>
      <c r="H369" s="42">
        <v>1019800</v>
      </c>
      <c r="I369" s="5">
        <f t="shared" ca="1" si="27"/>
        <v>40</v>
      </c>
      <c r="J369" s="11" t="str">
        <f t="shared" ca="1" si="29"/>
        <v>정상</v>
      </c>
      <c r="K369" s="10"/>
      <c r="L369" s="10"/>
      <c r="M369" s="9"/>
      <c r="N369" s="9" t="s">
        <v>35</v>
      </c>
      <c r="Q369" s="10"/>
      <c r="R369" s="10"/>
      <c r="S369" s="9"/>
    </row>
    <row r="370" spans="2:19" s="5" customFormat="1" ht="16.5" hidden="1" customHeight="1">
      <c r="B370" s="9">
        <f>IF(C370="","",COUNTA($C$2:C370))</f>
        <v>369</v>
      </c>
      <c r="C370" s="10" t="s">
        <v>393</v>
      </c>
      <c r="D370" s="9" t="s">
        <v>160</v>
      </c>
      <c r="E370" s="5" t="s">
        <v>140</v>
      </c>
      <c r="F370" s="5" t="s">
        <v>258</v>
      </c>
      <c r="G370" s="5" t="s">
        <v>52</v>
      </c>
      <c r="H370" s="42">
        <v>565000</v>
      </c>
      <c r="I370" s="5">
        <f t="shared" ca="1" si="27"/>
        <v>40</v>
      </c>
      <c r="J370" s="11" t="str">
        <f t="shared" ca="1" si="29"/>
        <v>정상</v>
      </c>
      <c r="K370" s="10"/>
      <c r="L370" s="10"/>
      <c r="M370" s="9"/>
      <c r="N370" s="9" t="s">
        <v>35</v>
      </c>
      <c r="Q370" s="10"/>
      <c r="R370" s="10"/>
      <c r="S370" s="9"/>
    </row>
    <row r="371" spans="2:19" s="5" customFormat="1" ht="16.5" hidden="1" customHeight="1">
      <c r="B371" s="9">
        <f>IF(C371="","",COUNTA($C$2:C371))</f>
        <v>370</v>
      </c>
      <c r="C371" s="10" t="s">
        <v>393</v>
      </c>
      <c r="D371" s="9" t="s">
        <v>160</v>
      </c>
      <c r="E371" s="5" t="s">
        <v>195</v>
      </c>
      <c r="F371" s="5" t="s">
        <v>196</v>
      </c>
      <c r="G371" s="5" t="s">
        <v>52</v>
      </c>
      <c r="H371" s="42">
        <v>102368000</v>
      </c>
      <c r="I371" s="5">
        <f t="shared" ca="1" si="27"/>
        <v>40</v>
      </c>
      <c r="J371" s="11" t="str">
        <f t="shared" ca="1" si="29"/>
        <v>정상</v>
      </c>
      <c r="K371" s="10"/>
      <c r="L371" s="10"/>
      <c r="M371" s="9"/>
      <c r="N371" s="9" t="s">
        <v>35</v>
      </c>
      <c r="Q371" s="10"/>
      <c r="R371" s="10"/>
      <c r="S371" s="9"/>
    </row>
    <row r="372" spans="2:19" s="5" customFormat="1" ht="16.5" hidden="1" customHeight="1">
      <c r="B372" s="9">
        <f>IF(C372="","",COUNTA($C$2:C372))</f>
        <v>371</v>
      </c>
      <c r="C372" s="10" t="s">
        <v>393</v>
      </c>
      <c r="D372" s="9" t="s">
        <v>160</v>
      </c>
      <c r="E372" s="5" t="s">
        <v>222</v>
      </c>
      <c r="F372" s="5" t="s">
        <v>218</v>
      </c>
      <c r="G372" s="5" t="s">
        <v>52</v>
      </c>
      <c r="H372" s="42">
        <v>11000000</v>
      </c>
      <c r="I372" s="5">
        <f t="shared" ca="1" si="27"/>
        <v>14</v>
      </c>
      <c r="J372" s="11" t="str">
        <f t="shared" ca="1" si="29"/>
        <v>정상</v>
      </c>
      <c r="K372" s="10"/>
      <c r="L372" s="10">
        <v>46134</v>
      </c>
      <c r="M372" s="9"/>
      <c r="N372" s="9" t="s">
        <v>35</v>
      </c>
      <c r="Q372" s="10"/>
      <c r="R372" s="10"/>
      <c r="S372" s="9"/>
    </row>
    <row r="373" spans="2:19" s="5" customFormat="1" ht="16.5" hidden="1" customHeight="1">
      <c r="B373" s="9">
        <f>IF(C373="","",COUNTA($C$2:C373))</f>
        <v>372</v>
      </c>
      <c r="C373" s="10" t="s">
        <v>393</v>
      </c>
      <c r="D373" s="9" t="s">
        <v>160</v>
      </c>
      <c r="E373" s="5" t="s">
        <v>217</v>
      </c>
      <c r="F373" s="5" t="s">
        <v>218</v>
      </c>
      <c r="G373" s="5" t="s">
        <v>52</v>
      </c>
      <c r="H373" s="42">
        <v>22000000</v>
      </c>
      <c r="I373" s="5">
        <f t="shared" ca="1" si="27"/>
        <v>40</v>
      </c>
      <c r="J373" s="11" t="str">
        <f t="shared" ca="1" si="29"/>
        <v>정상</v>
      </c>
      <c r="K373" s="10">
        <v>46173</v>
      </c>
      <c r="L373" s="10"/>
      <c r="M373" s="9"/>
      <c r="N373" s="9" t="s">
        <v>35</v>
      </c>
      <c r="Q373" s="10"/>
      <c r="R373" s="10"/>
      <c r="S373" s="9"/>
    </row>
    <row r="374" spans="2:19" s="5" customFormat="1" ht="16.5" hidden="1" customHeight="1">
      <c r="B374" s="9">
        <f>IF(C374="","",COUNTA($C$2:C374))</f>
        <v>373</v>
      </c>
      <c r="C374" s="10" t="s">
        <v>393</v>
      </c>
      <c r="D374" s="9" t="s">
        <v>160</v>
      </c>
      <c r="E374" s="5" t="s">
        <v>177</v>
      </c>
      <c r="F374" s="5" t="s">
        <v>395</v>
      </c>
      <c r="G374" s="5" t="s">
        <v>52</v>
      </c>
      <c r="H374" s="43">
        <v>22000000</v>
      </c>
      <c r="I374" s="5">
        <f t="shared" ca="1" si="27"/>
        <v>7</v>
      </c>
      <c r="J374" s="11" t="str">
        <f t="shared" ca="1" si="29"/>
        <v>정상</v>
      </c>
      <c r="K374" s="10"/>
      <c r="L374" s="10">
        <v>46127</v>
      </c>
      <c r="M374" s="9"/>
      <c r="N374" s="9" t="s">
        <v>35</v>
      </c>
      <c r="Q374" s="10"/>
      <c r="R374" s="10"/>
      <c r="S374" s="9"/>
    </row>
    <row r="375" spans="2:19" s="5" customFormat="1" ht="16.5" hidden="1" customHeight="1">
      <c r="B375" s="9">
        <f>IF(C375="","",COUNTA($C$2:C375))</f>
        <v>374</v>
      </c>
      <c r="C375" s="10" t="s">
        <v>393</v>
      </c>
      <c r="D375" s="9" t="s">
        <v>160</v>
      </c>
      <c r="E375" s="5" t="s">
        <v>140</v>
      </c>
      <c r="F375" s="5" t="s">
        <v>306</v>
      </c>
      <c r="G375" s="5" t="s">
        <v>52</v>
      </c>
      <c r="H375" s="43">
        <v>3689400</v>
      </c>
      <c r="I375" s="5">
        <f t="shared" ca="1" si="27"/>
        <v>40</v>
      </c>
      <c r="J375" s="11" t="str">
        <f t="shared" ca="1" si="29"/>
        <v>정상</v>
      </c>
      <c r="K375" s="10"/>
      <c r="L375" s="10"/>
      <c r="M375" s="9"/>
      <c r="N375" s="9" t="s">
        <v>35</v>
      </c>
      <c r="Q375" s="10"/>
      <c r="R375" s="10"/>
      <c r="S375" s="9"/>
    </row>
    <row r="376" spans="2:19" s="5" customFormat="1" ht="16.5" hidden="1" customHeight="1">
      <c r="B376" s="9">
        <f>IF(C376="","",COUNTA($C$2:C376))</f>
        <v>375</v>
      </c>
      <c r="C376" s="10" t="s">
        <v>393</v>
      </c>
      <c r="D376" s="9" t="s">
        <v>160</v>
      </c>
      <c r="E376" s="5" t="s">
        <v>26</v>
      </c>
      <c r="F376" s="5" t="s">
        <v>95</v>
      </c>
      <c r="G376" s="5" t="s">
        <v>52</v>
      </c>
      <c r="H376" s="43">
        <v>416000</v>
      </c>
      <c r="I376" s="5">
        <f t="shared" ca="1" si="27"/>
        <v>40</v>
      </c>
      <c r="J376" s="11" t="str">
        <f t="shared" ca="1" si="29"/>
        <v>정상</v>
      </c>
      <c r="K376" s="10"/>
      <c r="L376" s="10"/>
      <c r="M376" s="9"/>
      <c r="N376" s="9" t="s">
        <v>35</v>
      </c>
      <c r="Q376" s="10"/>
      <c r="R376" s="10"/>
      <c r="S376" s="9"/>
    </row>
    <row r="377" spans="2:19" s="5" customFormat="1" ht="16.5" hidden="1" customHeight="1">
      <c r="B377" s="9">
        <f>IF(C377="","",COUNTA($C$2:C377))</f>
        <v>376</v>
      </c>
      <c r="C377" s="10" t="s">
        <v>393</v>
      </c>
      <c r="D377" s="9" t="s">
        <v>160</v>
      </c>
      <c r="E377" s="5" t="s">
        <v>26</v>
      </c>
      <c r="F377" s="5" t="s">
        <v>95</v>
      </c>
      <c r="G377" s="5" t="s">
        <v>52</v>
      </c>
      <c r="H377" s="43">
        <v>1754000</v>
      </c>
      <c r="I377" s="5">
        <f t="shared" ca="1" si="27"/>
        <v>40</v>
      </c>
      <c r="J377" s="11" t="str">
        <f t="shared" ca="1" si="29"/>
        <v>정상</v>
      </c>
      <c r="K377" s="10"/>
      <c r="L377" s="10"/>
      <c r="M377" s="9"/>
      <c r="N377" s="9" t="s">
        <v>35</v>
      </c>
      <c r="Q377" s="10"/>
      <c r="R377" s="10"/>
      <c r="S377" s="9"/>
    </row>
    <row r="378" spans="2:19" s="5" customFormat="1" ht="16.5" hidden="1" customHeight="1">
      <c r="B378" s="9">
        <f>IF(C378="","",COUNTA($C$2:C378))</f>
        <v>377</v>
      </c>
      <c r="C378" s="10" t="s">
        <v>393</v>
      </c>
      <c r="D378" s="9" t="s">
        <v>160</v>
      </c>
      <c r="E378" s="5" t="s">
        <v>396</v>
      </c>
      <c r="F378" s="5" t="s">
        <v>397</v>
      </c>
      <c r="G378" s="5" t="s">
        <v>52</v>
      </c>
      <c r="H378" s="43">
        <v>6917000</v>
      </c>
      <c r="I378" s="5">
        <f t="shared" ca="1" si="27"/>
        <v>13</v>
      </c>
      <c r="J378" s="11" t="str">
        <f t="shared" ca="1" si="29"/>
        <v>정상</v>
      </c>
      <c r="K378" s="10"/>
      <c r="L378" s="10">
        <v>46133</v>
      </c>
      <c r="M378" s="9"/>
      <c r="N378" s="9" t="s">
        <v>35</v>
      </c>
      <c r="Q378" s="10"/>
      <c r="R378" s="10"/>
      <c r="S378" s="9"/>
    </row>
    <row r="379" spans="2:19" s="5" customFormat="1" ht="16.5" hidden="1" customHeight="1">
      <c r="B379" s="9">
        <f>IF(C379="","",COUNTA($C$2:C379))</f>
        <v>378</v>
      </c>
      <c r="C379" s="10" t="s">
        <v>393</v>
      </c>
      <c r="D379" s="9" t="s">
        <v>160</v>
      </c>
      <c r="E379" s="5" t="s">
        <v>398</v>
      </c>
      <c r="F379" s="5" t="s">
        <v>399</v>
      </c>
      <c r="G379" s="5" t="s">
        <v>52</v>
      </c>
      <c r="H379" s="43">
        <v>13478000</v>
      </c>
      <c r="I379" s="5">
        <f t="shared" ca="1" si="27"/>
        <v>2</v>
      </c>
      <c r="J379" s="11" t="str">
        <f t="shared" ca="1" si="29"/>
        <v>정상</v>
      </c>
      <c r="K379" s="10"/>
      <c r="L379" s="10">
        <v>46122</v>
      </c>
      <c r="M379" s="9"/>
      <c r="N379" s="9" t="s">
        <v>35</v>
      </c>
      <c r="Q379" s="10"/>
      <c r="R379" s="10"/>
      <c r="S379" s="9"/>
    </row>
    <row r="380" spans="2:19" s="5" customFormat="1" ht="16.5" hidden="1" customHeight="1">
      <c r="B380" s="9">
        <f>IF(C380="","",COUNTA($C$2:C380))</f>
        <v>379</v>
      </c>
      <c r="C380" s="10" t="s">
        <v>393</v>
      </c>
      <c r="D380" s="9" t="s">
        <v>160</v>
      </c>
      <c r="E380" s="5" t="s">
        <v>140</v>
      </c>
      <c r="F380" s="5" t="s">
        <v>400</v>
      </c>
      <c r="G380" s="5" t="s">
        <v>52</v>
      </c>
      <c r="H380" s="43">
        <v>11211800</v>
      </c>
      <c r="I380" s="5">
        <f t="shared" ca="1" si="27"/>
        <v>40</v>
      </c>
      <c r="J380" s="11" t="str">
        <f t="shared" ca="1" si="29"/>
        <v>정상</v>
      </c>
      <c r="K380" s="10"/>
      <c r="L380" s="10"/>
      <c r="M380" s="9"/>
      <c r="N380" s="9" t="s">
        <v>35</v>
      </c>
      <c r="Q380" s="10"/>
      <c r="R380" s="10"/>
      <c r="S380" s="9"/>
    </row>
    <row r="381" spans="2:19" s="5" customFormat="1" ht="16.5" hidden="1" customHeight="1">
      <c r="B381" s="9">
        <f>IF(C381="","",COUNTA($C$2:C381))</f>
        <v>380</v>
      </c>
      <c r="C381" s="10">
        <v>46120</v>
      </c>
      <c r="D381" s="9" t="s">
        <v>180</v>
      </c>
      <c r="E381" s="5" t="s">
        <v>157</v>
      </c>
      <c r="F381" s="5" t="s">
        <v>298</v>
      </c>
      <c r="G381" s="5" t="s">
        <v>41</v>
      </c>
      <c r="H381" s="43">
        <v>20237900</v>
      </c>
      <c r="I381" s="5">
        <f t="shared" ca="1" si="27"/>
        <v>40</v>
      </c>
      <c r="J381" s="11" t="str">
        <f t="shared" ca="1" si="29"/>
        <v>관리</v>
      </c>
      <c r="K381" s="10">
        <v>46150</v>
      </c>
      <c r="L381" s="10"/>
      <c r="M381" s="9"/>
      <c r="N381" s="9" t="s">
        <v>35</v>
      </c>
      <c r="Q381" s="10"/>
      <c r="R381" s="10"/>
      <c r="S381" s="9"/>
    </row>
    <row r="382" spans="2:19" s="5" customFormat="1" ht="16.5" hidden="1" customHeight="1">
      <c r="B382" s="9">
        <f>IF(C382="","",COUNTA($C$2:C382))</f>
        <v>381</v>
      </c>
      <c r="C382" s="10">
        <v>46120</v>
      </c>
      <c r="D382" s="9" t="s">
        <v>180</v>
      </c>
      <c r="E382" s="5" t="s">
        <v>401</v>
      </c>
      <c r="F382" s="5" t="s">
        <v>402</v>
      </c>
      <c r="G382" s="5" t="s">
        <v>20</v>
      </c>
      <c r="H382" s="43">
        <v>6013200</v>
      </c>
      <c r="I382" s="5">
        <f t="shared" ref="I382:I446" ca="1" si="30">IF(C382="","",IF(L382="",TODAY()-C382,L382-C382))</f>
        <v>1</v>
      </c>
      <c r="J382" s="11" t="str">
        <f t="shared" ref="J382:J409" ca="1" si="31">IF(I382="","",
IF(G382="선급금",
IF(I382&lt;=20,"정상",IF(I382&lt;=90,"관리","장기미수")),
IF(G382="자재",
IF(I382&lt;=40,"정상",IF(I382&lt;=90,"관리","장기미수")),
IF(I382&lt;=30,"정상",IF(I382&lt;=90,"관리","장기미수"))
)
)
)</f>
        <v>정상</v>
      </c>
      <c r="K382" s="10">
        <v>46140</v>
      </c>
      <c r="L382" s="10">
        <v>46121</v>
      </c>
      <c r="M382" s="9"/>
      <c r="N382" s="9" t="s">
        <v>35</v>
      </c>
      <c r="Q382" s="10"/>
      <c r="R382" s="10"/>
      <c r="S382" s="9"/>
    </row>
    <row r="383" spans="2:19" s="5" customFormat="1" ht="16.5" hidden="1" customHeight="1">
      <c r="B383" s="9">
        <f>IF(C383="","",COUNTA($C$2:C383))</f>
        <v>382</v>
      </c>
      <c r="C383" s="10" t="s">
        <v>403</v>
      </c>
      <c r="D383" s="9" t="s">
        <v>160</v>
      </c>
      <c r="E383" s="5" t="s">
        <v>26</v>
      </c>
      <c r="F383" s="5" t="s">
        <v>404</v>
      </c>
      <c r="G383" s="5" t="s">
        <v>52</v>
      </c>
      <c r="H383" s="43">
        <v>4492000</v>
      </c>
      <c r="I383" s="5">
        <f t="shared" ca="1" si="30"/>
        <v>39</v>
      </c>
      <c r="J383" s="11" t="str">
        <f t="shared" ca="1" si="31"/>
        <v>정상</v>
      </c>
      <c r="K383" s="10"/>
      <c r="L383" s="10"/>
      <c r="M383" s="9"/>
      <c r="N383" s="9" t="s">
        <v>35</v>
      </c>
      <c r="Q383" s="10"/>
      <c r="R383" s="10"/>
      <c r="S383" s="9"/>
    </row>
    <row r="384" spans="2:19" s="5" customFormat="1" ht="16.5" hidden="1" customHeight="1">
      <c r="B384" s="9">
        <f>IF(C384="","",COUNTA($C$2:C384))</f>
        <v>383</v>
      </c>
      <c r="C384" s="10" t="s">
        <v>403</v>
      </c>
      <c r="D384" s="9" t="s">
        <v>160</v>
      </c>
      <c r="E384" s="5" t="s">
        <v>398</v>
      </c>
      <c r="F384" s="5" t="s">
        <v>405</v>
      </c>
      <c r="G384" s="5" t="s">
        <v>52</v>
      </c>
      <c r="H384" s="43">
        <v>31045500</v>
      </c>
      <c r="I384" s="5">
        <f t="shared" ca="1" si="30"/>
        <v>39</v>
      </c>
      <c r="J384" s="11" t="str">
        <f t="shared" ca="1" si="31"/>
        <v>정상</v>
      </c>
      <c r="K384" s="10"/>
      <c r="L384" s="10"/>
      <c r="M384" s="9"/>
      <c r="N384" s="9" t="s">
        <v>35</v>
      </c>
      <c r="Q384" s="10"/>
      <c r="R384" s="10"/>
      <c r="S384" s="9"/>
    </row>
    <row r="385" spans="2:19" s="5" customFormat="1" ht="16.5" hidden="1" customHeight="1">
      <c r="B385" s="9">
        <f>IF(C385="","",COUNTA($C$2:C385))</f>
        <v>384</v>
      </c>
      <c r="C385" s="10" t="s">
        <v>403</v>
      </c>
      <c r="D385" s="9" t="s">
        <v>160</v>
      </c>
      <c r="E385" s="5" t="s">
        <v>398</v>
      </c>
      <c r="F385" s="5" t="s">
        <v>406</v>
      </c>
      <c r="G385" s="5" t="s">
        <v>52</v>
      </c>
      <c r="H385" s="43">
        <v>574800</v>
      </c>
      <c r="I385" s="5">
        <f t="shared" ca="1" si="30"/>
        <v>34</v>
      </c>
      <c r="J385" s="11" t="str">
        <f t="shared" ca="1" si="31"/>
        <v>정상</v>
      </c>
      <c r="K385" s="10"/>
      <c r="L385" s="10">
        <v>46155</v>
      </c>
      <c r="M385" s="9"/>
      <c r="N385" s="9" t="s">
        <v>35</v>
      </c>
      <c r="Q385" s="10"/>
      <c r="R385" s="10"/>
      <c r="S385" s="9"/>
    </row>
    <row r="386" spans="2:19" s="5" customFormat="1" ht="16.5" hidden="1" customHeight="1">
      <c r="B386" s="9">
        <f>IF(C386="","",COUNTA($C$2:C386))</f>
        <v>385</v>
      </c>
      <c r="C386" s="10" t="s">
        <v>403</v>
      </c>
      <c r="D386" s="9" t="s">
        <v>160</v>
      </c>
      <c r="E386" s="5" t="s">
        <v>142</v>
      </c>
      <c r="F386" s="5" t="s">
        <v>407</v>
      </c>
      <c r="G386" s="5" t="s">
        <v>52</v>
      </c>
      <c r="H386" s="43">
        <v>3687500</v>
      </c>
      <c r="I386" s="5">
        <f t="shared" ca="1" si="30"/>
        <v>5</v>
      </c>
      <c r="J386" s="11" t="str">
        <f t="shared" ca="1" si="31"/>
        <v>정상</v>
      </c>
      <c r="K386" s="10"/>
      <c r="L386" s="10">
        <v>46126</v>
      </c>
      <c r="M386" s="9"/>
      <c r="N386" s="9" t="s">
        <v>35</v>
      </c>
      <c r="Q386" s="10"/>
      <c r="R386" s="10"/>
      <c r="S386" s="9"/>
    </row>
    <row r="387" spans="2:19" s="5" customFormat="1" ht="16.5" hidden="1" customHeight="1">
      <c r="B387" s="9">
        <f>IF(C387="","",COUNTA($C$2:C387))</f>
        <v>386</v>
      </c>
      <c r="C387" s="10" t="s">
        <v>403</v>
      </c>
      <c r="D387" s="9" t="s">
        <v>160</v>
      </c>
      <c r="E387" s="5" t="s">
        <v>177</v>
      </c>
      <c r="F387" s="5" t="s">
        <v>408</v>
      </c>
      <c r="G387" s="5" t="s">
        <v>52</v>
      </c>
      <c r="H387" s="43">
        <v>21780000</v>
      </c>
      <c r="I387" s="5">
        <f t="shared" ca="1" si="30"/>
        <v>6</v>
      </c>
      <c r="J387" s="11" t="str">
        <f t="shared" ca="1" si="31"/>
        <v>정상</v>
      </c>
      <c r="K387" s="10"/>
      <c r="L387" s="10">
        <v>46127</v>
      </c>
      <c r="M387" s="9"/>
      <c r="N387" s="9" t="s">
        <v>35</v>
      </c>
      <c r="Q387" s="10"/>
      <c r="R387" s="10"/>
      <c r="S387" s="9"/>
    </row>
    <row r="388" spans="2:19" s="5" customFormat="1" ht="16.5" hidden="1" customHeight="1">
      <c r="B388" s="9">
        <f>IF(C388="","",COUNTA($C$2:C388))</f>
        <v>387</v>
      </c>
      <c r="C388" s="10" t="s">
        <v>403</v>
      </c>
      <c r="D388" s="9" t="s">
        <v>160</v>
      </c>
      <c r="E388" s="5" t="s">
        <v>409</v>
      </c>
      <c r="F388" s="5" t="s">
        <v>410</v>
      </c>
      <c r="G388" s="5" t="s">
        <v>52</v>
      </c>
      <c r="H388" s="43">
        <v>1630000</v>
      </c>
      <c r="I388" s="5">
        <f t="shared" ca="1" si="30"/>
        <v>36</v>
      </c>
      <c r="J388" s="11" t="str">
        <f t="shared" ca="1" si="31"/>
        <v>정상</v>
      </c>
      <c r="K388" s="10"/>
      <c r="L388" s="10">
        <v>46157</v>
      </c>
      <c r="M388" s="9"/>
      <c r="N388" s="9" t="s">
        <v>35</v>
      </c>
      <c r="Q388" s="10"/>
      <c r="R388" s="10"/>
      <c r="S388" s="9"/>
    </row>
    <row r="389" spans="2:19" s="5" customFormat="1" ht="16.5" hidden="1" customHeight="1">
      <c r="B389" s="9">
        <f>IF(C389="","",COUNTA($C$2:C389))</f>
        <v>388</v>
      </c>
      <c r="C389" s="10" t="s">
        <v>403</v>
      </c>
      <c r="D389" s="9" t="s">
        <v>160</v>
      </c>
      <c r="E389" s="5" t="s">
        <v>309</v>
      </c>
      <c r="F389" s="5" t="s">
        <v>411</v>
      </c>
      <c r="G389" s="5" t="s">
        <v>52</v>
      </c>
      <c r="H389" s="43">
        <v>20219600</v>
      </c>
      <c r="I389" s="5">
        <f t="shared" ca="1" si="30"/>
        <v>39</v>
      </c>
      <c r="J389" s="11" t="str">
        <f t="shared" ca="1" si="31"/>
        <v>정상</v>
      </c>
      <c r="K389" s="10"/>
      <c r="L389" s="10"/>
      <c r="M389" s="9"/>
      <c r="N389" s="9" t="s">
        <v>35</v>
      </c>
      <c r="Q389" s="10"/>
      <c r="R389" s="10"/>
      <c r="S389" s="9"/>
    </row>
    <row r="390" spans="2:19" s="5" customFormat="1" ht="16.5" hidden="1" customHeight="1">
      <c r="B390" s="9">
        <f>IF(C390="","",COUNTA($C$2:C390))</f>
        <v>389</v>
      </c>
      <c r="C390" s="10" t="s">
        <v>403</v>
      </c>
      <c r="D390" s="9" t="s">
        <v>160</v>
      </c>
      <c r="E390" s="5" t="s">
        <v>140</v>
      </c>
      <c r="F390" s="5" t="s">
        <v>412</v>
      </c>
      <c r="G390" s="5" t="s">
        <v>52</v>
      </c>
      <c r="H390" s="43">
        <v>963200</v>
      </c>
      <c r="I390" s="5">
        <f t="shared" ca="1" si="30"/>
        <v>39</v>
      </c>
      <c r="J390" s="11" t="str">
        <f t="shared" ca="1" si="31"/>
        <v>정상</v>
      </c>
      <c r="K390" s="10"/>
      <c r="L390" s="10"/>
      <c r="M390" s="9"/>
      <c r="N390" s="9" t="s">
        <v>35</v>
      </c>
      <c r="Q390" s="10"/>
      <c r="R390" s="10"/>
      <c r="S390" s="9"/>
    </row>
    <row r="391" spans="2:19" s="5" customFormat="1" ht="16.5" hidden="1" customHeight="1">
      <c r="B391" s="9">
        <f>IF(C391="","",COUNTA($C$2:C391))</f>
        <v>390</v>
      </c>
      <c r="C391" s="10" t="s">
        <v>403</v>
      </c>
      <c r="D391" s="9" t="s">
        <v>160</v>
      </c>
      <c r="E391" s="5" t="s">
        <v>413</v>
      </c>
      <c r="F391" s="5" t="s">
        <v>414</v>
      </c>
      <c r="G391" s="5" t="s">
        <v>52</v>
      </c>
      <c r="H391" s="43">
        <v>1380000</v>
      </c>
      <c r="I391" s="5">
        <f t="shared" ca="1" si="30"/>
        <v>15</v>
      </c>
      <c r="J391" s="11" t="str">
        <f t="shared" ca="1" si="31"/>
        <v>정상</v>
      </c>
      <c r="K391" s="10"/>
      <c r="L391" s="10">
        <v>46136</v>
      </c>
      <c r="M391" s="9"/>
      <c r="N391" s="9" t="s">
        <v>35</v>
      </c>
      <c r="Q391" s="10"/>
      <c r="R391" s="10"/>
      <c r="S391" s="9"/>
    </row>
    <row r="392" spans="2:19" s="5" customFormat="1" ht="16.5" hidden="1" customHeight="1">
      <c r="B392" s="9">
        <f>IF(C392="","",COUNTA($C$2:C392))</f>
        <v>391</v>
      </c>
      <c r="C392" s="10" t="s">
        <v>415</v>
      </c>
      <c r="D392" s="9" t="s">
        <v>160</v>
      </c>
      <c r="E392" s="5" t="s">
        <v>65</v>
      </c>
      <c r="F392" s="5" t="s">
        <v>416</v>
      </c>
      <c r="G392" s="5" t="s">
        <v>52</v>
      </c>
      <c r="H392" s="43">
        <v>410000</v>
      </c>
      <c r="I392" s="5">
        <f t="shared" ca="1" si="30"/>
        <v>14</v>
      </c>
      <c r="J392" s="11" t="str">
        <f t="shared" ca="1" si="31"/>
        <v>정상</v>
      </c>
      <c r="K392" s="10"/>
      <c r="L392" s="10">
        <v>46136</v>
      </c>
      <c r="M392" s="9"/>
      <c r="N392" s="9" t="s">
        <v>35</v>
      </c>
      <c r="Q392" s="10"/>
      <c r="R392" s="10"/>
      <c r="S392" s="9"/>
    </row>
    <row r="393" spans="2:19" s="5" customFormat="1" ht="16.5" hidden="1" customHeight="1">
      <c r="B393" s="9">
        <f>IF(C393="","",COUNTA($C$2:C393))</f>
        <v>392</v>
      </c>
      <c r="C393" s="10" t="s">
        <v>415</v>
      </c>
      <c r="D393" s="9" t="s">
        <v>160</v>
      </c>
      <c r="E393" s="5" t="s">
        <v>140</v>
      </c>
      <c r="F393" s="5" t="s">
        <v>257</v>
      </c>
      <c r="G393" s="5" t="s">
        <v>52</v>
      </c>
      <c r="H393" s="43">
        <v>464000</v>
      </c>
      <c r="I393" s="5">
        <f t="shared" ca="1" si="30"/>
        <v>38</v>
      </c>
      <c r="J393" s="11" t="str">
        <f t="shared" ca="1" si="31"/>
        <v>정상</v>
      </c>
      <c r="K393" s="10"/>
      <c r="L393" s="10"/>
      <c r="M393" s="9"/>
      <c r="N393" s="9" t="s">
        <v>35</v>
      </c>
      <c r="Q393" s="10"/>
      <c r="R393" s="10"/>
      <c r="S393" s="9"/>
    </row>
    <row r="394" spans="2:19" s="5" customFormat="1" ht="16.5" hidden="1" customHeight="1">
      <c r="B394" s="9">
        <f>IF(C394="","",COUNTA($C$2:C394))</f>
        <v>393</v>
      </c>
      <c r="C394" s="10" t="s">
        <v>415</v>
      </c>
      <c r="D394" s="9" t="s">
        <v>160</v>
      </c>
      <c r="E394" s="5" t="s">
        <v>175</v>
      </c>
      <c r="F394" s="5" t="s">
        <v>417</v>
      </c>
      <c r="G394" s="5" t="s">
        <v>52</v>
      </c>
      <c r="H394" s="43">
        <v>1261000</v>
      </c>
      <c r="I394" s="5">
        <f t="shared" ca="1" si="30"/>
        <v>20</v>
      </c>
      <c r="J394" s="11" t="str">
        <f t="shared" ca="1" si="31"/>
        <v>정상</v>
      </c>
      <c r="K394" s="10"/>
      <c r="L394" s="10">
        <v>46142</v>
      </c>
      <c r="M394" s="9"/>
      <c r="N394" s="9" t="s">
        <v>35</v>
      </c>
      <c r="Q394" s="10"/>
      <c r="R394" s="10"/>
      <c r="S394" s="9"/>
    </row>
    <row r="395" spans="2:19" s="5" customFormat="1" ht="16.5" hidden="1" customHeight="1">
      <c r="B395" s="9">
        <f>IF(C395="","",COUNTA($C$2:C395))</f>
        <v>394</v>
      </c>
      <c r="C395" s="10" t="s">
        <v>415</v>
      </c>
      <c r="D395" s="9" t="str">
        <f>IF(G395="","",IF(OR(G395="선급금",G395="중도금",G395="잔금"),"A",IF(G395="자재","B",IF(G395="특허료","C",""))))</f>
        <v>B</v>
      </c>
      <c r="E395" s="5" t="s">
        <v>138</v>
      </c>
      <c r="F395" s="5" t="s">
        <v>418</v>
      </c>
      <c r="G395" s="5" t="s">
        <v>52</v>
      </c>
      <c r="H395" s="43">
        <v>866400</v>
      </c>
      <c r="I395" s="5">
        <f t="shared" ca="1" si="30"/>
        <v>0</v>
      </c>
      <c r="J395" s="11" t="str">
        <f t="shared" ca="1" si="31"/>
        <v>정상</v>
      </c>
      <c r="K395" s="10"/>
      <c r="L395" s="10">
        <v>46122</v>
      </c>
      <c r="M395" s="9"/>
      <c r="N395" s="9" t="s">
        <v>35</v>
      </c>
      <c r="Q395" s="10"/>
      <c r="R395" s="10"/>
      <c r="S395" s="9"/>
    </row>
    <row r="396" spans="2:19" s="34" customFormat="1" ht="13.5" hidden="1" customHeight="1">
      <c r="B396" s="9">
        <f>IF(C396="","",COUNTA($C$2:C396))</f>
        <v>395</v>
      </c>
      <c r="C396" s="10" t="s">
        <v>415</v>
      </c>
      <c r="D396" s="9" t="str">
        <f>IF(G396="","",IF(OR(G396="선급금",G396="중도금",G396="잔금"),"A",IF(G396="자재","B",IF(G396="특허료","C",""))))</f>
        <v>B</v>
      </c>
      <c r="E396" s="34" t="s">
        <v>140</v>
      </c>
      <c r="F396" s="34" t="s">
        <v>270</v>
      </c>
      <c r="G396" s="5" t="s">
        <v>52</v>
      </c>
      <c r="H396" s="43">
        <v>-785400</v>
      </c>
      <c r="I396" s="34">
        <f t="shared" ca="1" si="30"/>
        <v>38</v>
      </c>
      <c r="J396" s="11" t="str">
        <f t="shared" ca="1" si="31"/>
        <v>정상</v>
      </c>
      <c r="K396" s="10"/>
      <c r="L396" s="10"/>
      <c r="M396" s="37"/>
      <c r="N396" s="9" t="s">
        <v>35</v>
      </c>
      <c r="Q396" s="10"/>
      <c r="R396" s="10"/>
    </row>
    <row r="397" spans="2:19" s="34" customFormat="1" ht="13.5" hidden="1" customHeight="1">
      <c r="B397" s="9">
        <f>IF(C397="","",COUNTA($C$2:C397))</f>
        <v>396</v>
      </c>
      <c r="C397" s="10" t="s">
        <v>415</v>
      </c>
      <c r="D397" s="9" t="s">
        <v>153</v>
      </c>
      <c r="E397" s="34" t="s">
        <v>319</v>
      </c>
      <c r="F397" s="34" t="s">
        <v>419</v>
      </c>
      <c r="G397" s="5" t="s">
        <v>47</v>
      </c>
      <c r="H397" s="43">
        <v>2421500</v>
      </c>
      <c r="I397" s="34">
        <f t="shared" ca="1" si="30"/>
        <v>5</v>
      </c>
      <c r="J397" s="11" t="str">
        <f t="shared" ca="1" si="31"/>
        <v>정상</v>
      </c>
      <c r="K397" s="10">
        <v>46152</v>
      </c>
      <c r="L397" s="10">
        <v>46127</v>
      </c>
      <c r="M397" s="37"/>
      <c r="N397" s="9" t="s">
        <v>35</v>
      </c>
      <c r="Q397" s="10"/>
      <c r="R397" s="10"/>
    </row>
    <row r="398" spans="2:19" s="34" customFormat="1" ht="13.5" hidden="1" customHeight="1">
      <c r="B398" s="9">
        <f>IF(C398="","",COUNTA($C$2:C398))</f>
        <v>397</v>
      </c>
      <c r="C398" s="10">
        <v>46122</v>
      </c>
      <c r="D398" s="37" t="s">
        <v>180</v>
      </c>
      <c r="E398" s="31" t="s">
        <v>220</v>
      </c>
      <c r="F398" s="31" t="s">
        <v>221</v>
      </c>
      <c r="G398" s="5" t="s">
        <v>34</v>
      </c>
      <c r="H398" s="43">
        <v>72676000</v>
      </c>
      <c r="I398" s="34">
        <f t="shared" ca="1" si="30"/>
        <v>5</v>
      </c>
      <c r="J398" s="11" t="str">
        <f t="shared" ca="1" si="31"/>
        <v>정상</v>
      </c>
      <c r="K398" s="32">
        <v>46152</v>
      </c>
      <c r="L398" s="32">
        <v>46127</v>
      </c>
      <c r="M398" s="37"/>
      <c r="N398" s="9" t="s">
        <v>35</v>
      </c>
      <c r="Q398" s="10"/>
      <c r="R398" s="10"/>
    </row>
    <row r="399" spans="2:19" s="34" customFormat="1" ht="13.5" hidden="1" customHeight="1">
      <c r="B399" s="9">
        <f>IF(C399="","",COUNTA($C$2:C399))</f>
        <v>398</v>
      </c>
      <c r="C399" s="10">
        <v>46122</v>
      </c>
      <c r="D399" s="37" t="s">
        <v>180</v>
      </c>
      <c r="E399" s="34" t="s">
        <v>140</v>
      </c>
      <c r="F399" s="34" t="s">
        <v>320</v>
      </c>
      <c r="G399" s="34" t="s">
        <v>41</v>
      </c>
      <c r="H399" s="43">
        <v>14760000</v>
      </c>
      <c r="I399" s="34">
        <f t="shared" ca="1" si="30"/>
        <v>38</v>
      </c>
      <c r="J399" s="11" t="str">
        <f t="shared" ca="1" si="31"/>
        <v>관리</v>
      </c>
      <c r="K399" s="32">
        <v>46152</v>
      </c>
      <c r="L399" s="32"/>
      <c r="M399" s="37"/>
      <c r="N399" s="9" t="s">
        <v>35</v>
      </c>
      <c r="Q399" s="10"/>
      <c r="R399" s="10"/>
    </row>
    <row r="400" spans="2:19" s="34" customFormat="1" ht="13.5" hidden="1" customHeight="1">
      <c r="B400" s="9">
        <f>IF(C400="","",COUNTA($C$2:C400))</f>
        <v>399</v>
      </c>
      <c r="C400" s="10">
        <v>46122</v>
      </c>
      <c r="D400" s="37" t="s">
        <v>180</v>
      </c>
      <c r="E400" s="34" t="s">
        <v>321</v>
      </c>
      <c r="F400" s="34" t="s">
        <v>420</v>
      </c>
      <c r="G400" s="34" t="s">
        <v>41</v>
      </c>
      <c r="H400" s="43">
        <v>2480000</v>
      </c>
      <c r="I400" s="34">
        <f t="shared" ca="1" si="30"/>
        <v>5</v>
      </c>
      <c r="J400" s="11" t="str">
        <f t="shared" ca="1" si="31"/>
        <v>정상</v>
      </c>
      <c r="K400" s="32">
        <v>46152</v>
      </c>
      <c r="L400" s="32">
        <v>46127</v>
      </c>
      <c r="M400" s="37"/>
      <c r="N400" s="9" t="s">
        <v>35</v>
      </c>
      <c r="Q400" s="10"/>
      <c r="R400" s="10"/>
    </row>
    <row r="401" spans="2:18" s="34" customFormat="1" ht="13.5" hidden="1" customHeight="1">
      <c r="B401" s="9">
        <f>IF(C401="","",COUNTA($C$2:C401))</f>
        <v>400</v>
      </c>
      <c r="C401" s="52" t="s">
        <v>421</v>
      </c>
      <c r="D401" s="37" t="str">
        <f t="shared" ref="D401:D418" si="32">IF(G401="","",IF(OR(G401="선급금",G401="중도금",G401="잔금"),"A",IF(G401="자재","B",IF(G401="특허료","C",""))))</f>
        <v>B</v>
      </c>
      <c r="E401" s="34" t="s">
        <v>140</v>
      </c>
      <c r="F401" s="34" t="s">
        <v>258</v>
      </c>
      <c r="G401" s="5" t="s">
        <v>52</v>
      </c>
      <c r="H401" s="43">
        <v>52695000</v>
      </c>
      <c r="I401" s="34">
        <f t="shared" ca="1" si="30"/>
        <v>34</v>
      </c>
      <c r="J401" s="11" t="str">
        <f t="shared" ca="1" si="31"/>
        <v>정상</v>
      </c>
      <c r="K401" s="32"/>
      <c r="L401" s="32"/>
      <c r="M401" s="37"/>
      <c r="N401" s="9" t="s">
        <v>35</v>
      </c>
      <c r="Q401" s="10"/>
      <c r="R401" s="10"/>
    </row>
    <row r="402" spans="2:18" s="34" customFormat="1" ht="16.5" hidden="1" customHeight="1">
      <c r="B402" s="9">
        <f>IF(C402="","",COUNTA($C$2:C402))</f>
        <v>401</v>
      </c>
      <c r="C402" s="52" t="s">
        <v>421</v>
      </c>
      <c r="D402" s="37" t="str">
        <f t="shared" si="32"/>
        <v>B</v>
      </c>
      <c r="E402" s="34" t="s">
        <v>422</v>
      </c>
      <c r="F402" s="28" t="s">
        <v>423</v>
      </c>
      <c r="G402" s="5" t="s">
        <v>52</v>
      </c>
      <c r="H402" s="43">
        <v>1217300</v>
      </c>
      <c r="I402" s="34">
        <f t="shared" ca="1" si="30"/>
        <v>16</v>
      </c>
      <c r="J402" s="11" t="str">
        <f t="shared" ca="1" si="31"/>
        <v>정상</v>
      </c>
      <c r="K402" s="32"/>
      <c r="L402" s="32">
        <v>46142</v>
      </c>
      <c r="M402" s="37"/>
      <c r="N402" s="9" t="s">
        <v>35</v>
      </c>
      <c r="Q402" s="33"/>
      <c r="R402" s="33"/>
    </row>
    <row r="403" spans="2:18" s="34" customFormat="1" ht="16.5" hidden="1" customHeight="1">
      <c r="B403" s="9">
        <f>IF(C403="","",COUNTA($C$2:C403))</f>
        <v>402</v>
      </c>
      <c r="C403" s="52" t="s">
        <v>421</v>
      </c>
      <c r="D403" s="37" t="str">
        <f t="shared" si="32"/>
        <v>B</v>
      </c>
      <c r="E403" s="34" t="s">
        <v>424</v>
      </c>
      <c r="F403" s="34" t="s">
        <v>425</v>
      </c>
      <c r="G403" s="5" t="s">
        <v>52</v>
      </c>
      <c r="H403" s="43">
        <v>7826000</v>
      </c>
      <c r="I403" s="34">
        <f t="shared" ca="1" si="30"/>
        <v>1</v>
      </c>
      <c r="J403" s="11" t="str">
        <f t="shared" ca="1" si="31"/>
        <v>정상</v>
      </c>
      <c r="K403" s="32"/>
      <c r="L403" s="32">
        <v>46127</v>
      </c>
      <c r="M403" s="37"/>
      <c r="N403" s="9" t="s">
        <v>35</v>
      </c>
      <c r="Q403" s="33"/>
      <c r="R403" s="33"/>
    </row>
    <row r="404" spans="2:18" s="34" customFormat="1" ht="16.5" hidden="1" customHeight="1">
      <c r="B404" s="9">
        <f>IF(C404="","",COUNTA($C$2:C404))</f>
        <v>403</v>
      </c>
      <c r="C404" s="52" t="s">
        <v>426</v>
      </c>
      <c r="D404" s="37" t="str">
        <f t="shared" si="32"/>
        <v>B</v>
      </c>
      <c r="E404" s="34" t="s">
        <v>217</v>
      </c>
      <c r="F404" s="34" t="s">
        <v>325</v>
      </c>
      <c r="G404" s="5" t="s">
        <v>52</v>
      </c>
      <c r="H404" s="43">
        <v>44522500</v>
      </c>
      <c r="I404" s="34">
        <f t="shared" ca="1" si="30"/>
        <v>35</v>
      </c>
      <c r="J404" s="11" t="str">
        <f t="shared" ca="1" si="31"/>
        <v>정상</v>
      </c>
      <c r="K404" s="32">
        <v>46173</v>
      </c>
      <c r="L404" s="32"/>
      <c r="M404" s="37"/>
      <c r="N404" s="9" t="s">
        <v>35</v>
      </c>
      <c r="Q404" s="33"/>
      <c r="R404" s="33"/>
    </row>
    <row r="405" spans="2:18" s="34" customFormat="1" ht="16.5" hidden="1" customHeight="1">
      <c r="B405" s="9">
        <f>IF(C405="","",COUNTA($C$2:C405))</f>
        <v>404</v>
      </c>
      <c r="C405" s="47" t="s">
        <v>426</v>
      </c>
      <c r="D405" s="37" t="str">
        <f t="shared" si="32"/>
        <v>B</v>
      </c>
      <c r="E405" s="34" t="s">
        <v>427</v>
      </c>
      <c r="F405" s="34" t="s">
        <v>428</v>
      </c>
      <c r="G405" s="5" t="s">
        <v>52</v>
      </c>
      <c r="H405" s="43">
        <v>10572000</v>
      </c>
      <c r="I405" s="34">
        <f t="shared" ca="1" si="30"/>
        <v>1</v>
      </c>
      <c r="J405" s="11" t="str">
        <f t="shared" ca="1" si="31"/>
        <v>정상</v>
      </c>
      <c r="K405" s="32"/>
      <c r="L405" s="32">
        <v>46126</v>
      </c>
      <c r="M405" s="37"/>
      <c r="N405" s="9" t="s">
        <v>35</v>
      </c>
      <c r="Q405" s="33"/>
      <c r="R405" s="33"/>
    </row>
    <row r="406" spans="2:18" s="34" customFormat="1" ht="16.5" hidden="1" customHeight="1">
      <c r="B406" s="9">
        <f>IF(C406="","",COUNTA($C$2:C406))</f>
        <v>405</v>
      </c>
      <c r="C406" s="47" t="s">
        <v>426</v>
      </c>
      <c r="D406" s="37" t="str">
        <f t="shared" si="32"/>
        <v>B</v>
      </c>
      <c r="E406" s="34" t="s">
        <v>429</v>
      </c>
      <c r="F406" s="34" t="s">
        <v>188</v>
      </c>
      <c r="G406" s="5" t="s">
        <v>52</v>
      </c>
      <c r="H406" s="43">
        <v>280000</v>
      </c>
      <c r="I406" s="34">
        <f t="shared" ca="1" si="30"/>
        <v>0</v>
      </c>
      <c r="J406" s="11" t="str">
        <f t="shared" ca="1" si="31"/>
        <v>정상</v>
      </c>
      <c r="K406" s="32"/>
      <c r="L406" s="32">
        <v>46125</v>
      </c>
      <c r="M406" s="37"/>
      <c r="N406" s="9" t="s">
        <v>35</v>
      </c>
      <c r="Q406" s="33"/>
      <c r="R406" s="33"/>
    </row>
    <row r="407" spans="2:18" s="34" customFormat="1" ht="16.5" hidden="1" customHeight="1">
      <c r="B407" s="9">
        <f>IF(C407="","",COUNTA($C$2:C407))</f>
        <v>406</v>
      </c>
      <c r="C407" s="47" t="s">
        <v>426</v>
      </c>
      <c r="D407" s="37" t="str">
        <f t="shared" si="32"/>
        <v>B</v>
      </c>
      <c r="E407" s="34" t="s">
        <v>309</v>
      </c>
      <c r="F407" s="34" t="s">
        <v>310</v>
      </c>
      <c r="G407" s="5" t="s">
        <v>52</v>
      </c>
      <c r="H407" s="43">
        <v>7665000</v>
      </c>
      <c r="I407" s="34">
        <f t="shared" ca="1" si="30"/>
        <v>35</v>
      </c>
      <c r="J407" s="11" t="str">
        <f t="shared" ca="1" si="31"/>
        <v>정상</v>
      </c>
      <c r="K407" s="32"/>
      <c r="L407" s="32"/>
      <c r="M407" s="37"/>
      <c r="N407" s="9" t="s">
        <v>35</v>
      </c>
      <c r="Q407" s="33"/>
      <c r="R407" s="33"/>
    </row>
    <row r="408" spans="2:18" s="34" customFormat="1" ht="16.5" hidden="1" customHeight="1">
      <c r="B408" s="9">
        <f>IF(C408="","",COUNTA($C$2:C408))</f>
        <v>407</v>
      </c>
      <c r="C408" s="47" t="s">
        <v>426</v>
      </c>
      <c r="D408" s="37" t="str">
        <f t="shared" si="32"/>
        <v>B</v>
      </c>
      <c r="E408" s="34" t="s">
        <v>430</v>
      </c>
      <c r="F408" s="34" t="s">
        <v>431</v>
      </c>
      <c r="G408" s="5" t="s">
        <v>52</v>
      </c>
      <c r="H408" s="43">
        <v>481100</v>
      </c>
      <c r="I408" s="34">
        <f t="shared" ca="1" si="30"/>
        <v>17</v>
      </c>
      <c r="J408" s="11" t="str">
        <f t="shared" ca="1" si="31"/>
        <v>정상</v>
      </c>
      <c r="K408" s="32"/>
      <c r="L408" s="32">
        <v>46142</v>
      </c>
      <c r="M408" s="37"/>
      <c r="N408" s="9" t="s">
        <v>35</v>
      </c>
      <c r="Q408" s="33"/>
      <c r="R408" s="33"/>
    </row>
    <row r="409" spans="2:18" s="34" customFormat="1" ht="16.5" hidden="1" customHeight="1">
      <c r="B409" s="9">
        <f>IF(C409="","",COUNTA($C$2:C409))</f>
        <v>408</v>
      </c>
      <c r="C409" s="47" t="s">
        <v>426</v>
      </c>
      <c r="D409" s="37" t="str">
        <f t="shared" si="32"/>
        <v>B</v>
      </c>
      <c r="E409" s="34" t="s">
        <v>329</v>
      </c>
      <c r="F409" s="34" t="s">
        <v>330</v>
      </c>
      <c r="G409" s="5" t="s">
        <v>52</v>
      </c>
      <c r="H409" s="43">
        <v>3109500</v>
      </c>
      <c r="I409" s="34">
        <f t="shared" ca="1" si="30"/>
        <v>35</v>
      </c>
      <c r="J409" s="11" t="str">
        <f t="shared" ca="1" si="31"/>
        <v>정상</v>
      </c>
      <c r="K409" s="32"/>
      <c r="L409" s="32"/>
      <c r="M409" s="37"/>
      <c r="N409" s="9" t="s">
        <v>35</v>
      </c>
      <c r="Q409" s="33"/>
      <c r="R409" s="33"/>
    </row>
    <row r="410" spans="2:18" s="34" customFormat="1" ht="16.5" hidden="1" customHeight="1">
      <c r="B410" s="9">
        <f>IF(C410="","",COUNTA($C$2:C410))</f>
        <v>409</v>
      </c>
      <c r="C410" s="47" t="s">
        <v>426</v>
      </c>
      <c r="D410" s="37" t="str">
        <f t="shared" si="32"/>
        <v>B</v>
      </c>
      <c r="E410" s="34" t="s">
        <v>432</v>
      </c>
      <c r="F410" s="34" t="s">
        <v>423</v>
      </c>
      <c r="G410" s="5" t="s">
        <v>52</v>
      </c>
      <c r="H410" s="43">
        <v>399900</v>
      </c>
      <c r="I410" s="34">
        <f t="shared" ca="1" si="30"/>
        <v>35</v>
      </c>
      <c r="J410" s="11" t="str">
        <f ca="1">IF(I410="","",
 IF(G410="선급금",
   IF(I410&lt;=20,"정상",IF(I410&lt;=90,"관리","장기미수")),
 IF(G410="자재",
   IF(I410&lt;=40,"정상",IF(I410&lt;=90,"관리","장기미수")),
   IF(I410&lt;=30,"정상",IF(I410&lt;=90,"관리","장기미수"))
  )
 )
)</f>
        <v>정상</v>
      </c>
      <c r="K410" s="32"/>
      <c r="L410" s="32"/>
      <c r="M410" s="37"/>
      <c r="N410" s="9" t="s">
        <v>35</v>
      </c>
      <c r="Q410" s="33"/>
      <c r="R410" s="33"/>
    </row>
    <row r="411" spans="2:18" s="34" customFormat="1" ht="16.5" hidden="1" customHeight="1">
      <c r="B411" s="9">
        <f>IF(C411="","",COUNTA($C$2:C411))</f>
        <v>410</v>
      </c>
      <c r="C411" s="47" t="s">
        <v>426</v>
      </c>
      <c r="D411" s="37" t="str">
        <f t="shared" si="32"/>
        <v>B</v>
      </c>
      <c r="E411" s="34" t="s">
        <v>433</v>
      </c>
      <c r="F411" s="34" t="s">
        <v>434</v>
      </c>
      <c r="G411" s="5" t="s">
        <v>52</v>
      </c>
      <c r="H411" s="43">
        <v>4678300</v>
      </c>
      <c r="I411" s="34">
        <f t="shared" ca="1" si="30"/>
        <v>35</v>
      </c>
      <c r="J411" s="11" t="str">
        <f t="shared" ref="J411:J443" ca="1" si="33">IF(I411="","",
IF(G411="선급금",
IF(I411&lt;=20,"정상",IF(I411&lt;=90,"관리","장기미수")),
IF(G411="자재",
IF(I411&lt;=40,"정상",IF(I411&lt;=90,"관리","장기미수")),
IF(I411&lt;=30,"정상",IF(I411&lt;=90,"관리","장기미수"))
)
)
)</f>
        <v>정상</v>
      </c>
      <c r="K411" s="32"/>
      <c r="L411" s="32"/>
      <c r="M411" s="37"/>
      <c r="N411" s="9" t="s">
        <v>35</v>
      </c>
      <c r="Q411" s="33"/>
      <c r="R411" s="33"/>
    </row>
    <row r="412" spans="2:18" s="34" customFormat="1" ht="16.5" hidden="1" customHeight="1">
      <c r="B412" s="9">
        <f>IF(C412="","",COUNTA($C$2:C412))</f>
        <v>411</v>
      </c>
      <c r="C412" s="47" t="s">
        <v>426</v>
      </c>
      <c r="D412" s="37" t="str">
        <f t="shared" si="32"/>
        <v>B</v>
      </c>
      <c r="E412" s="34" t="s">
        <v>433</v>
      </c>
      <c r="F412" s="34" t="s">
        <v>435</v>
      </c>
      <c r="G412" s="5" t="s">
        <v>52</v>
      </c>
      <c r="H412" s="43">
        <v>941200</v>
      </c>
      <c r="I412" s="34">
        <f t="shared" ca="1" si="30"/>
        <v>35</v>
      </c>
      <c r="J412" s="11" t="str">
        <f t="shared" ca="1" si="33"/>
        <v>정상</v>
      </c>
      <c r="K412" s="32"/>
      <c r="L412" s="32"/>
      <c r="M412" s="37"/>
      <c r="N412" s="9" t="s">
        <v>35</v>
      </c>
      <c r="Q412" s="33"/>
      <c r="R412" s="33"/>
    </row>
    <row r="413" spans="2:18" s="34" customFormat="1" ht="16.5" hidden="1" customHeight="1">
      <c r="B413" s="9">
        <f>IF(C413="","",COUNTA($C$2:C413))</f>
        <v>412</v>
      </c>
      <c r="C413" s="47" t="s">
        <v>426</v>
      </c>
      <c r="D413" s="37" t="str">
        <f t="shared" si="32"/>
        <v>B</v>
      </c>
      <c r="E413" s="34" t="s">
        <v>142</v>
      </c>
      <c r="F413" s="34" t="s">
        <v>143</v>
      </c>
      <c r="G413" s="5" t="s">
        <v>52</v>
      </c>
      <c r="H413" s="43">
        <v>1885800</v>
      </c>
      <c r="I413" s="34">
        <f t="shared" ca="1" si="30"/>
        <v>1</v>
      </c>
      <c r="J413" s="11" t="str">
        <f t="shared" ca="1" si="33"/>
        <v>정상</v>
      </c>
      <c r="K413" s="32"/>
      <c r="L413" s="32">
        <v>46126</v>
      </c>
      <c r="M413" s="37"/>
      <c r="N413" s="9" t="s">
        <v>35</v>
      </c>
      <c r="Q413" s="33"/>
      <c r="R413" s="33"/>
    </row>
    <row r="414" spans="2:18" s="34" customFormat="1" ht="16.5" hidden="1" customHeight="1">
      <c r="B414" s="9">
        <f>IF(C414="","",COUNTA($C$2:C414))</f>
        <v>413</v>
      </c>
      <c r="C414" s="47" t="s">
        <v>426</v>
      </c>
      <c r="D414" s="37" t="str">
        <f t="shared" si="32"/>
        <v>B</v>
      </c>
      <c r="E414" s="34" t="s">
        <v>42</v>
      </c>
      <c r="F414" s="34" t="s">
        <v>436</v>
      </c>
      <c r="G414" s="5" t="s">
        <v>52</v>
      </c>
      <c r="H414" s="43">
        <v>332400</v>
      </c>
      <c r="I414" s="34">
        <f t="shared" ca="1" si="30"/>
        <v>35</v>
      </c>
      <c r="J414" s="11" t="str">
        <f t="shared" ca="1" si="33"/>
        <v>정상</v>
      </c>
      <c r="K414" s="32"/>
      <c r="L414" s="32"/>
      <c r="M414" s="37"/>
      <c r="N414" s="9" t="s">
        <v>35</v>
      </c>
      <c r="Q414" s="33"/>
      <c r="R414" s="33"/>
    </row>
    <row r="415" spans="2:18" s="34" customFormat="1" ht="16.5" hidden="1" customHeight="1">
      <c r="B415" s="9">
        <f>IF(C415="","",COUNTA($C$2:C415))</f>
        <v>414</v>
      </c>
      <c r="C415" s="47" t="s">
        <v>426</v>
      </c>
      <c r="D415" s="37" t="str">
        <f t="shared" si="32"/>
        <v>B</v>
      </c>
      <c r="E415" s="34" t="s">
        <v>303</v>
      </c>
      <c r="F415" s="34" t="s">
        <v>437</v>
      </c>
      <c r="G415" s="5" t="s">
        <v>52</v>
      </c>
      <c r="H415" s="43">
        <v>1254000</v>
      </c>
      <c r="I415" s="34">
        <f t="shared" ca="1" si="30"/>
        <v>1</v>
      </c>
      <c r="J415" s="11" t="str">
        <f t="shared" ca="1" si="33"/>
        <v>정상</v>
      </c>
      <c r="K415" s="32"/>
      <c r="L415" s="32">
        <v>46126</v>
      </c>
      <c r="M415" s="37"/>
      <c r="N415" s="9" t="s">
        <v>35</v>
      </c>
      <c r="Q415" s="33"/>
      <c r="R415" s="33"/>
    </row>
    <row r="416" spans="2:18" s="34" customFormat="1" ht="16.5" hidden="1" customHeight="1">
      <c r="B416" s="9">
        <f>IF(C416="","",COUNTA($C$2:C416))</f>
        <v>415</v>
      </c>
      <c r="C416" s="47" t="s">
        <v>426</v>
      </c>
      <c r="D416" s="37" t="str">
        <f t="shared" si="32"/>
        <v>B</v>
      </c>
      <c r="E416" s="34" t="s">
        <v>96</v>
      </c>
      <c r="F416" s="34" t="s">
        <v>376</v>
      </c>
      <c r="G416" s="5" t="s">
        <v>52</v>
      </c>
      <c r="H416" s="43">
        <v>7680000</v>
      </c>
      <c r="I416" s="34">
        <f t="shared" ca="1" si="30"/>
        <v>35</v>
      </c>
      <c r="J416" s="11" t="str">
        <f t="shared" ca="1" si="33"/>
        <v>정상</v>
      </c>
      <c r="K416" s="32"/>
      <c r="L416" s="32"/>
      <c r="M416" s="37"/>
      <c r="N416" s="9" t="s">
        <v>35</v>
      </c>
      <c r="Q416" s="33"/>
      <c r="R416" s="33"/>
    </row>
    <row r="417" spans="2:18" s="34" customFormat="1" ht="16.5" hidden="1" customHeight="1">
      <c r="B417" s="9">
        <f>IF(C417="","",COUNTA($C$2:C417))</f>
        <v>416</v>
      </c>
      <c r="C417" s="47" t="s">
        <v>426</v>
      </c>
      <c r="D417" s="37" t="str">
        <f t="shared" si="32"/>
        <v>B</v>
      </c>
      <c r="E417" s="34" t="s">
        <v>168</v>
      </c>
      <c r="F417" s="34" t="s">
        <v>438</v>
      </c>
      <c r="G417" s="5" t="s">
        <v>52</v>
      </c>
      <c r="H417" s="43">
        <v>720200</v>
      </c>
      <c r="I417" s="34">
        <f t="shared" ca="1" si="30"/>
        <v>35</v>
      </c>
      <c r="J417" s="11" t="str">
        <f t="shared" ca="1" si="33"/>
        <v>정상</v>
      </c>
      <c r="K417" s="32"/>
      <c r="L417" s="32"/>
      <c r="M417" s="37"/>
      <c r="N417" s="9" t="s">
        <v>35</v>
      </c>
      <c r="Q417" s="33"/>
      <c r="R417" s="33"/>
    </row>
    <row r="418" spans="2:18" s="34" customFormat="1" ht="16.5" hidden="1" customHeight="1">
      <c r="B418" s="9">
        <f>IF(C418="","",COUNTA($C$2:C418))</f>
        <v>417</v>
      </c>
      <c r="C418" s="47">
        <v>46125</v>
      </c>
      <c r="D418" s="37" t="str">
        <f t="shared" si="32"/>
        <v/>
      </c>
      <c r="E418" s="34" t="s">
        <v>625</v>
      </c>
      <c r="F418" s="34" t="s">
        <v>626</v>
      </c>
      <c r="G418" s="5" t="s">
        <v>627</v>
      </c>
      <c r="H418" s="43">
        <v>7940000</v>
      </c>
      <c r="I418" s="34">
        <f t="shared" ca="1" si="30"/>
        <v>35</v>
      </c>
      <c r="J418" s="11" t="str">
        <f t="shared" ca="1" si="33"/>
        <v>관리</v>
      </c>
      <c r="K418" s="32"/>
      <c r="L418" s="32"/>
      <c r="M418" s="37"/>
      <c r="N418" s="9" t="s">
        <v>35</v>
      </c>
      <c r="Q418" s="33"/>
      <c r="R418" s="33"/>
    </row>
    <row r="419" spans="2:18" s="34" customFormat="1" ht="16.5" hidden="1" customHeight="1">
      <c r="B419" s="9">
        <f>IF(C419="","",COUNTA($C$2:C419))</f>
        <v>418</v>
      </c>
      <c r="C419" s="32">
        <v>46125</v>
      </c>
      <c r="D419" s="37" t="s">
        <v>180</v>
      </c>
      <c r="E419" s="34" t="s">
        <v>227</v>
      </c>
      <c r="F419" s="34" t="s">
        <v>228</v>
      </c>
      <c r="G419" s="34" t="s">
        <v>439</v>
      </c>
      <c r="H419" s="43">
        <v>59166000</v>
      </c>
      <c r="I419" s="34">
        <f t="shared" ca="1" si="30"/>
        <v>35</v>
      </c>
      <c r="J419" s="11" t="str">
        <f t="shared" ca="1" si="33"/>
        <v>관리</v>
      </c>
      <c r="K419" s="32">
        <v>46155</v>
      </c>
      <c r="L419" s="32"/>
      <c r="M419" s="37"/>
      <c r="N419" s="9" t="s">
        <v>35</v>
      </c>
      <c r="Q419" s="33"/>
      <c r="R419" s="33"/>
    </row>
    <row r="420" spans="2:18" s="34" customFormat="1" ht="16.5" hidden="1" customHeight="1">
      <c r="B420" s="9">
        <f>IF(C420="","",COUNTA($C$2:C420))</f>
        <v>419</v>
      </c>
      <c r="C420" s="32">
        <v>46125</v>
      </c>
      <c r="D420" s="37" t="s">
        <v>180</v>
      </c>
      <c r="E420" s="34" t="s">
        <v>288</v>
      </c>
      <c r="F420" s="34" t="s">
        <v>289</v>
      </c>
      <c r="G420" s="34" t="s">
        <v>41</v>
      </c>
      <c r="H420" s="43">
        <v>12618800</v>
      </c>
      <c r="I420" s="34">
        <f t="shared" ca="1" si="30"/>
        <v>32</v>
      </c>
      <c r="J420" s="11" t="str">
        <f t="shared" ca="1" si="33"/>
        <v>관리</v>
      </c>
      <c r="K420" s="32">
        <v>46155</v>
      </c>
      <c r="L420" s="32">
        <v>46157</v>
      </c>
      <c r="M420" s="37"/>
      <c r="N420" s="9" t="s">
        <v>35</v>
      </c>
      <c r="Q420" s="33"/>
      <c r="R420" s="33"/>
    </row>
    <row r="421" spans="2:18" s="34" customFormat="1" ht="16.5" hidden="1" customHeight="1">
      <c r="B421" s="9">
        <f>IF(C421="","",COUNTA($C$2:C421))</f>
        <v>420</v>
      </c>
      <c r="C421" s="32">
        <v>46125</v>
      </c>
      <c r="D421" s="37" t="s">
        <v>180</v>
      </c>
      <c r="E421" s="34" t="s">
        <v>401</v>
      </c>
      <c r="F421" s="34" t="s">
        <v>402</v>
      </c>
      <c r="G421" s="34" t="s">
        <v>34</v>
      </c>
      <c r="H421" s="43">
        <v>12026400</v>
      </c>
      <c r="I421" s="34">
        <f t="shared" ca="1" si="30"/>
        <v>35</v>
      </c>
      <c r="J421" s="11" t="str">
        <f t="shared" ca="1" si="33"/>
        <v>관리</v>
      </c>
      <c r="K421" s="32">
        <v>46155</v>
      </c>
      <c r="L421" s="32"/>
      <c r="M421" s="37"/>
      <c r="N421" s="9" t="s">
        <v>35</v>
      </c>
      <c r="Q421" s="33"/>
      <c r="R421" s="33"/>
    </row>
    <row r="422" spans="2:18" s="34" customFormat="1" ht="16.5" hidden="1" customHeight="1">
      <c r="B422" s="9">
        <f>IF(C422="","",COUNTA($C$2:C422))</f>
        <v>421</v>
      </c>
      <c r="C422" s="32">
        <v>46125</v>
      </c>
      <c r="D422" s="37" t="s">
        <v>180</v>
      </c>
      <c r="E422" s="5" t="s">
        <v>301</v>
      </c>
      <c r="F422" s="34" t="s">
        <v>440</v>
      </c>
      <c r="G422" s="34" t="s">
        <v>20</v>
      </c>
      <c r="H422" s="43">
        <v>5365000</v>
      </c>
      <c r="I422" s="34">
        <f t="shared" ca="1" si="30"/>
        <v>17</v>
      </c>
      <c r="J422" s="11" t="str">
        <f t="shared" ca="1" si="33"/>
        <v>정상</v>
      </c>
      <c r="K422" s="32">
        <v>46145</v>
      </c>
      <c r="L422" s="32">
        <v>46142</v>
      </c>
      <c r="M422" s="37"/>
      <c r="N422" s="9" t="s">
        <v>35</v>
      </c>
      <c r="Q422" s="33"/>
      <c r="R422" s="33"/>
    </row>
    <row r="423" spans="2:18" ht="16.5" hidden="1" customHeight="1">
      <c r="B423" s="9">
        <f>IF(C423="","",COUNTA($C$2:C423))</f>
        <v>422</v>
      </c>
      <c r="C423" s="32" t="s">
        <v>421</v>
      </c>
      <c r="D423" s="37" t="s">
        <v>160</v>
      </c>
      <c r="E423" s="34" t="s">
        <v>168</v>
      </c>
      <c r="F423" s="34" t="s">
        <v>438</v>
      </c>
      <c r="G423" s="34" t="s">
        <v>52</v>
      </c>
      <c r="H423" s="42">
        <v>802000</v>
      </c>
      <c r="I423" s="34">
        <f t="shared" ca="1" si="30"/>
        <v>34</v>
      </c>
      <c r="J423" s="11" t="str">
        <f t="shared" ca="1" si="33"/>
        <v>정상</v>
      </c>
      <c r="N423" s="9" t="s">
        <v>35</v>
      </c>
    </row>
    <row r="424" spans="2:18" ht="16.5" hidden="1" customHeight="1">
      <c r="B424" s="9">
        <f>IF(C424="","",COUNTA($C$2:C424))</f>
        <v>423</v>
      </c>
      <c r="C424" s="32" t="s">
        <v>421</v>
      </c>
      <c r="D424" s="37" t="s">
        <v>160</v>
      </c>
      <c r="E424" s="34" t="s">
        <v>386</v>
      </c>
      <c r="F424" s="34" t="s">
        <v>394</v>
      </c>
      <c r="G424" s="34" t="s">
        <v>52</v>
      </c>
      <c r="H424" s="42">
        <v>990000</v>
      </c>
      <c r="I424" s="34">
        <f t="shared" ca="1" si="30"/>
        <v>34</v>
      </c>
      <c r="J424" s="11" t="str">
        <f t="shared" ca="1" si="33"/>
        <v>정상</v>
      </c>
      <c r="N424" s="9" t="s">
        <v>35</v>
      </c>
    </row>
    <row r="425" spans="2:18" ht="16.5" hidden="1" customHeight="1">
      <c r="B425" s="9">
        <f>IF(C425="","",COUNTA($C$2:C425))</f>
        <v>424</v>
      </c>
      <c r="C425" s="32" t="s">
        <v>421</v>
      </c>
      <c r="D425" s="37" t="s">
        <v>160</v>
      </c>
      <c r="E425" s="34" t="s">
        <v>441</v>
      </c>
      <c r="F425" s="34" t="s">
        <v>442</v>
      </c>
      <c r="G425" s="34" t="s">
        <v>52</v>
      </c>
      <c r="H425" s="42">
        <v>3592300</v>
      </c>
      <c r="I425" s="34">
        <f t="shared" ca="1" si="30"/>
        <v>0</v>
      </c>
      <c r="J425" s="11" t="str">
        <f t="shared" ca="1" si="33"/>
        <v>정상</v>
      </c>
      <c r="L425" s="32">
        <v>46126</v>
      </c>
      <c r="N425" s="9" t="s">
        <v>35</v>
      </c>
    </row>
    <row r="426" spans="2:18" ht="16.5" hidden="1" customHeight="1">
      <c r="B426" s="9">
        <f>IF(C426="","",COUNTA($C$2:C426))</f>
        <v>425</v>
      </c>
      <c r="C426" s="32" t="s">
        <v>421</v>
      </c>
      <c r="D426" s="37" t="s">
        <v>160</v>
      </c>
      <c r="E426" s="34" t="s">
        <v>303</v>
      </c>
      <c r="F426" s="34" t="s">
        <v>437</v>
      </c>
      <c r="G426" s="34" t="s">
        <v>52</v>
      </c>
      <c r="H426" s="42">
        <v>11000000</v>
      </c>
      <c r="I426" s="34">
        <f t="shared" ca="1" si="30"/>
        <v>0</v>
      </c>
      <c r="J426" s="11" t="str">
        <f t="shared" ca="1" si="33"/>
        <v>정상</v>
      </c>
      <c r="L426" s="32">
        <v>46126</v>
      </c>
      <c r="N426" s="9" t="s">
        <v>35</v>
      </c>
    </row>
    <row r="427" spans="2:18" ht="16.5" hidden="1" customHeight="1">
      <c r="B427" s="9">
        <f>IF(C427="","",COUNTA($C$2:C427))</f>
        <v>426</v>
      </c>
      <c r="C427" s="32" t="s">
        <v>421</v>
      </c>
      <c r="D427" s="37" t="s">
        <v>160</v>
      </c>
      <c r="E427" s="34" t="s">
        <v>114</v>
      </c>
      <c r="F427" s="34" t="s">
        <v>443</v>
      </c>
      <c r="G427" s="34" t="s">
        <v>52</v>
      </c>
      <c r="H427" s="42">
        <v>11295600</v>
      </c>
      <c r="I427" s="34">
        <f t="shared" ca="1" si="30"/>
        <v>34</v>
      </c>
      <c r="J427" s="11" t="str">
        <f t="shared" ca="1" si="33"/>
        <v>정상</v>
      </c>
      <c r="N427" s="9" t="s">
        <v>35</v>
      </c>
    </row>
    <row r="428" spans="2:18" ht="16.5" hidden="1" customHeight="1">
      <c r="B428" s="9">
        <f>IF(C428="","",COUNTA($C$2:C428))</f>
        <v>427</v>
      </c>
      <c r="C428" s="32" t="s">
        <v>421</v>
      </c>
      <c r="D428" s="37" t="s">
        <v>160</v>
      </c>
      <c r="E428" s="34" t="s">
        <v>288</v>
      </c>
      <c r="F428" s="34" t="s">
        <v>317</v>
      </c>
      <c r="G428" s="34" t="s">
        <v>52</v>
      </c>
      <c r="H428" s="42">
        <v>23634000</v>
      </c>
      <c r="I428" s="34">
        <f t="shared" ca="1" si="30"/>
        <v>1</v>
      </c>
      <c r="J428" s="11" t="str">
        <f t="shared" ca="1" si="33"/>
        <v>정상</v>
      </c>
      <c r="L428" s="32">
        <v>46127</v>
      </c>
      <c r="N428" s="9" t="s">
        <v>35</v>
      </c>
    </row>
    <row r="429" spans="2:18" s="34" customFormat="1" ht="16.5" hidden="1" customHeight="1">
      <c r="B429" s="9">
        <f>IF(C429="","",COUNTA($C$2:C429))</f>
        <v>428</v>
      </c>
      <c r="C429" s="32" t="s">
        <v>421</v>
      </c>
      <c r="D429" s="37" t="s">
        <v>153</v>
      </c>
      <c r="E429" s="34" t="s">
        <v>444</v>
      </c>
      <c r="F429" s="34" t="s">
        <v>445</v>
      </c>
      <c r="G429" s="34" t="s">
        <v>47</v>
      </c>
      <c r="H429" s="43">
        <v>299600</v>
      </c>
      <c r="I429" s="34">
        <f t="shared" ca="1" si="30"/>
        <v>16</v>
      </c>
      <c r="J429" s="11" t="str">
        <f t="shared" ca="1" si="33"/>
        <v>정상</v>
      </c>
      <c r="K429" s="32">
        <v>46156</v>
      </c>
      <c r="L429" s="32">
        <v>46142</v>
      </c>
      <c r="M429" s="37"/>
      <c r="N429" s="9" t="s">
        <v>35</v>
      </c>
      <c r="Q429" s="33"/>
      <c r="R429" s="33"/>
    </row>
    <row r="430" spans="2:18" s="34" customFormat="1" ht="16.5" hidden="1" customHeight="1">
      <c r="B430" s="9">
        <f>IF(C430="","",COUNTA($C$2:C430))</f>
        <v>429</v>
      </c>
      <c r="C430" s="32" t="s">
        <v>421</v>
      </c>
      <c r="D430" s="37" t="s">
        <v>180</v>
      </c>
      <c r="E430" s="34" t="s">
        <v>184</v>
      </c>
      <c r="F430" s="34" t="s">
        <v>264</v>
      </c>
      <c r="G430" s="34" t="s">
        <v>41</v>
      </c>
      <c r="H430" s="43">
        <v>7532400</v>
      </c>
      <c r="I430" s="34">
        <f t="shared" ca="1" si="30"/>
        <v>28</v>
      </c>
      <c r="J430" s="11" t="str">
        <f t="shared" ca="1" si="33"/>
        <v>정상</v>
      </c>
      <c r="K430" s="32">
        <v>46156</v>
      </c>
      <c r="L430" s="32">
        <v>46154</v>
      </c>
      <c r="M430" s="37"/>
      <c r="N430" s="9" t="s">
        <v>35</v>
      </c>
      <c r="Q430" s="33"/>
      <c r="R430" s="33"/>
    </row>
    <row r="431" spans="2:18" s="34" customFormat="1" ht="16.5" hidden="1" customHeight="1">
      <c r="B431" s="9">
        <f>IF(C431="","",COUNTA($C$2:C431))</f>
        <v>430</v>
      </c>
      <c r="C431" s="32" t="s">
        <v>421</v>
      </c>
      <c r="D431" s="37" t="s">
        <v>180</v>
      </c>
      <c r="E431" s="34" t="s">
        <v>290</v>
      </c>
      <c r="F431" s="34" t="s">
        <v>291</v>
      </c>
      <c r="G431" s="34" t="s">
        <v>34</v>
      </c>
      <c r="H431" s="43">
        <v>70476400</v>
      </c>
      <c r="I431" s="34">
        <f t="shared" ca="1" si="30"/>
        <v>20</v>
      </c>
      <c r="J431" s="11" t="str">
        <f t="shared" ca="1" si="33"/>
        <v>정상</v>
      </c>
      <c r="K431" s="32">
        <v>46156</v>
      </c>
      <c r="L431" s="32">
        <v>46146</v>
      </c>
      <c r="M431" s="37"/>
      <c r="N431" s="9" t="s">
        <v>35</v>
      </c>
      <c r="Q431" s="33"/>
      <c r="R431" s="33"/>
    </row>
    <row r="432" spans="2:18" s="34" customFormat="1" ht="16.5" hidden="1" customHeight="1">
      <c r="B432" s="9">
        <f>IF(C432="","",COUNTA($C$2:C432))</f>
        <v>431</v>
      </c>
      <c r="C432" s="32" t="s">
        <v>421</v>
      </c>
      <c r="D432" s="37" t="s">
        <v>180</v>
      </c>
      <c r="E432" s="34" t="s">
        <v>184</v>
      </c>
      <c r="F432" s="34" t="s">
        <v>322</v>
      </c>
      <c r="G432" s="34" t="s">
        <v>41</v>
      </c>
      <c r="H432" s="43">
        <v>7287600</v>
      </c>
      <c r="I432" s="34">
        <f t="shared" ca="1" si="30"/>
        <v>28</v>
      </c>
      <c r="J432" s="11" t="str">
        <f t="shared" ca="1" si="33"/>
        <v>정상</v>
      </c>
      <c r="K432" s="32">
        <v>46156</v>
      </c>
      <c r="L432" s="32">
        <v>46154</v>
      </c>
      <c r="M432" s="37"/>
      <c r="N432" s="9" t="s">
        <v>35</v>
      </c>
      <c r="Q432" s="33"/>
      <c r="R432" s="33"/>
    </row>
    <row r="433" spans="2:18" s="34" customFormat="1" ht="16.5" hidden="1" customHeight="1">
      <c r="B433" s="9">
        <f>IF(C433="","",COUNTA($C$2:C433))</f>
        <v>432</v>
      </c>
      <c r="C433" s="32" t="s">
        <v>421</v>
      </c>
      <c r="D433" s="37" t="s">
        <v>180</v>
      </c>
      <c r="E433" s="5" t="s">
        <v>301</v>
      </c>
      <c r="F433" s="34" t="s">
        <v>392</v>
      </c>
      <c r="G433" s="34" t="s">
        <v>34</v>
      </c>
      <c r="H433" s="43">
        <v>4080000</v>
      </c>
      <c r="I433" s="34">
        <f t="shared" ca="1" si="30"/>
        <v>31</v>
      </c>
      <c r="J433" s="11" t="str">
        <f t="shared" ca="1" si="33"/>
        <v>관리</v>
      </c>
      <c r="K433" s="32">
        <v>46156</v>
      </c>
      <c r="L433" s="32">
        <v>46157</v>
      </c>
      <c r="M433" s="37"/>
      <c r="N433" s="9" t="s">
        <v>35</v>
      </c>
      <c r="Q433" s="33"/>
      <c r="R433" s="33"/>
    </row>
    <row r="434" spans="2:18" ht="16.5" hidden="1" customHeight="1">
      <c r="B434" s="9">
        <f>IF(C434="","",COUNTA($C$2:C434))</f>
        <v>433</v>
      </c>
      <c r="C434" s="47" t="s">
        <v>446</v>
      </c>
      <c r="D434" s="37" t="s">
        <v>160</v>
      </c>
      <c r="E434" s="20" t="s">
        <v>303</v>
      </c>
      <c r="F434" s="20" t="s">
        <v>437</v>
      </c>
      <c r="G434" s="34" t="s">
        <v>52</v>
      </c>
      <c r="H434" s="42">
        <v>4826000</v>
      </c>
      <c r="I434" s="34">
        <f t="shared" ca="1" si="30"/>
        <v>33</v>
      </c>
      <c r="J434" s="11" t="str">
        <f t="shared" ca="1" si="33"/>
        <v>정상</v>
      </c>
      <c r="N434" s="9" t="s">
        <v>35</v>
      </c>
    </row>
    <row r="435" spans="2:18" ht="16.5" hidden="1" customHeight="1">
      <c r="B435" s="9">
        <f>IF(C435="","",COUNTA($C$2:C435))</f>
        <v>434</v>
      </c>
      <c r="C435" s="47" t="s">
        <v>446</v>
      </c>
      <c r="D435" s="37" t="s">
        <v>160</v>
      </c>
      <c r="E435" s="20" t="s">
        <v>217</v>
      </c>
      <c r="F435" s="20" t="s">
        <v>325</v>
      </c>
      <c r="G435" s="34" t="s">
        <v>52</v>
      </c>
      <c r="H435" s="42">
        <v>266400</v>
      </c>
      <c r="I435" s="34">
        <f t="shared" ca="1" si="30"/>
        <v>33</v>
      </c>
      <c r="J435" s="11" t="str">
        <f t="shared" ca="1" si="33"/>
        <v>정상</v>
      </c>
      <c r="K435" s="32">
        <v>46173</v>
      </c>
      <c r="N435" s="9" t="s">
        <v>35</v>
      </c>
    </row>
    <row r="436" spans="2:18" ht="16.5" hidden="1" customHeight="1">
      <c r="B436" s="9">
        <f>IF(C436="","",COUNTA($C$2:C436))</f>
        <v>435</v>
      </c>
      <c r="C436" s="47" t="s">
        <v>446</v>
      </c>
      <c r="D436" s="37" t="s">
        <v>160</v>
      </c>
      <c r="E436" s="20" t="s">
        <v>350</v>
      </c>
      <c r="F436" s="20" t="s">
        <v>447</v>
      </c>
      <c r="G436" s="34" t="s">
        <v>52</v>
      </c>
      <c r="H436" s="42">
        <v>1013300</v>
      </c>
      <c r="I436" s="34">
        <f t="shared" ca="1" si="30"/>
        <v>33</v>
      </c>
      <c r="J436" s="11" t="str">
        <f t="shared" ca="1" si="33"/>
        <v>정상</v>
      </c>
      <c r="N436" s="9" t="s">
        <v>35</v>
      </c>
    </row>
    <row r="437" spans="2:18" ht="16.5" hidden="1" customHeight="1">
      <c r="B437" s="9">
        <f>IF(C437="","",COUNTA($C$2:C437))</f>
        <v>436</v>
      </c>
      <c r="C437" s="47" t="s">
        <v>446</v>
      </c>
      <c r="D437" s="37" t="s">
        <v>160</v>
      </c>
      <c r="E437" s="20" t="s">
        <v>92</v>
      </c>
      <c r="F437" s="20" t="s">
        <v>93</v>
      </c>
      <c r="G437" s="34" t="s">
        <v>52</v>
      </c>
      <c r="H437" s="42">
        <v>449400</v>
      </c>
      <c r="I437" s="34">
        <f t="shared" ca="1" si="30"/>
        <v>22</v>
      </c>
      <c r="J437" s="11" t="str">
        <f t="shared" ca="1" si="33"/>
        <v>정상</v>
      </c>
      <c r="L437" s="32">
        <v>46149</v>
      </c>
      <c r="N437" s="9" t="s">
        <v>35</v>
      </c>
    </row>
    <row r="438" spans="2:18" ht="16.5" hidden="1" customHeight="1">
      <c r="B438" s="9">
        <f>IF(C438="","",COUNTA($C$2:C438))</f>
        <v>437</v>
      </c>
      <c r="C438" s="47" t="s">
        <v>446</v>
      </c>
      <c r="D438" s="37" t="s">
        <v>160</v>
      </c>
      <c r="E438" s="20" t="s">
        <v>177</v>
      </c>
      <c r="F438" s="20" t="s">
        <v>408</v>
      </c>
      <c r="G438" s="34" t="s">
        <v>52</v>
      </c>
      <c r="H438" s="42">
        <v>-7260000</v>
      </c>
      <c r="I438" s="34">
        <f t="shared" ca="1" si="30"/>
        <v>33</v>
      </c>
      <c r="J438" s="11" t="str">
        <f t="shared" ca="1" si="33"/>
        <v>정상</v>
      </c>
      <c r="N438" s="9" t="s">
        <v>35</v>
      </c>
    </row>
    <row r="439" spans="2:18" ht="16.5" hidden="1" customHeight="1">
      <c r="B439" s="9">
        <f>IF(C439="","",COUNTA($C$2:C439))</f>
        <v>438</v>
      </c>
      <c r="C439" s="47" t="s">
        <v>446</v>
      </c>
      <c r="D439" s="37" t="s">
        <v>160</v>
      </c>
      <c r="E439" s="20" t="s">
        <v>184</v>
      </c>
      <c r="F439" s="20" t="s">
        <v>333</v>
      </c>
      <c r="G439" s="34" t="s">
        <v>52</v>
      </c>
      <c r="H439" s="42">
        <v>10770000</v>
      </c>
      <c r="I439" s="34">
        <f t="shared" ca="1" si="30"/>
        <v>33</v>
      </c>
      <c r="J439" s="11" t="str">
        <f t="shared" ca="1" si="33"/>
        <v>정상</v>
      </c>
      <c r="N439" s="9" t="s">
        <v>35</v>
      </c>
    </row>
    <row r="440" spans="2:18" ht="16.5" hidden="1" customHeight="1">
      <c r="B440" s="9">
        <f>IF(C440="","",COUNTA($C$2:C440))</f>
        <v>439</v>
      </c>
      <c r="C440" s="47" t="s">
        <v>446</v>
      </c>
      <c r="D440" s="37" t="s">
        <v>160</v>
      </c>
      <c r="E440" s="20" t="s">
        <v>448</v>
      </c>
      <c r="F440" s="20" t="s">
        <v>449</v>
      </c>
      <c r="G440" s="34" t="s">
        <v>52</v>
      </c>
      <c r="H440" s="42">
        <v>46300</v>
      </c>
      <c r="I440" s="34">
        <f t="shared" ca="1" si="30"/>
        <v>15</v>
      </c>
      <c r="J440" s="11" t="str">
        <f t="shared" ca="1" si="33"/>
        <v>정상</v>
      </c>
      <c r="L440" s="32">
        <v>46142</v>
      </c>
      <c r="N440" s="9" t="s">
        <v>35</v>
      </c>
    </row>
    <row r="441" spans="2:18" ht="16.5" hidden="1" customHeight="1">
      <c r="B441" s="9">
        <f>IF(C441="","",COUNTA($C$2:C441))</f>
        <v>440</v>
      </c>
      <c r="C441" s="47" t="s">
        <v>446</v>
      </c>
      <c r="D441" s="37" t="s">
        <v>160</v>
      </c>
      <c r="E441" s="20" t="s">
        <v>140</v>
      </c>
      <c r="F441" s="20" t="s">
        <v>255</v>
      </c>
      <c r="G441" s="34" t="s">
        <v>52</v>
      </c>
      <c r="H441" s="42">
        <v>11690000</v>
      </c>
      <c r="I441" s="34">
        <f t="shared" ca="1" si="30"/>
        <v>33</v>
      </c>
      <c r="J441" s="11" t="str">
        <f t="shared" ca="1" si="33"/>
        <v>정상</v>
      </c>
      <c r="N441" s="9" t="s">
        <v>35</v>
      </c>
    </row>
    <row r="442" spans="2:18" ht="16.5" hidden="1" customHeight="1">
      <c r="B442" s="9">
        <f>IF(C442="","",COUNTA($C$2:C442))</f>
        <v>441</v>
      </c>
      <c r="C442" s="47" t="s">
        <v>450</v>
      </c>
      <c r="D442" s="37" t="s">
        <v>160</v>
      </c>
      <c r="E442" s="20" t="s">
        <v>451</v>
      </c>
      <c r="F442" s="20" t="s">
        <v>452</v>
      </c>
      <c r="G442" s="34" t="s">
        <v>52</v>
      </c>
      <c r="H442" s="42">
        <v>2000200</v>
      </c>
      <c r="I442" s="34">
        <f t="shared" ca="1" si="30"/>
        <v>0</v>
      </c>
      <c r="J442" s="11" t="str">
        <f t="shared" ca="1" si="33"/>
        <v>정상</v>
      </c>
      <c r="L442" s="32">
        <v>46128</v>
      </c>
      <c r="N442" s="9" t="s">
        <v>35</v>
      </c>
    </row>
    <row r="443" spans="2:18" ht="16.5" hidden="1" customHeight="1">
      <c r="B443" s="9">
        <f>IF(C443="","",COUNTA($C$2:C443))</f>
        <v>442</v>
      </c>
      <c r="C443" s="47" t="s">
        <v>450</v>
      </c>
      <c r="D443" s="37" t="s">
        <v>160</v>
      </c>
      <c r="E443" s="20" t="s">
        <v>329</v>
      </c>
      <c r="F443" s="20" t="s">
        <v>375</v>
      </c>
      <c r="G443" s="34" t="s">
        <v>52</v>
      </c>
      <c r="H443" s="42">
        <v>8651000</v>
      </c>
      <c r="I443" s="34">
        <f t="shared" ca="1" si="30"/>
        <v>32</v>
      </c>
      <c r="J443" s="11" t="str">
        <f t="shared" ca="1" si="33"/>
        <v>정상</v>
      </c>
      <c r="N443" s="9" t="s">
        <v>35</v>
      </c>
    </row>
    <row r="444" spans="2:18" ht="16.5" hidden="1" customHeight="1">
      <c r="B444" s="9">
        <f>IF(C444="","",COUNTA($C$2:C444))</f>
        <v>443</v>
      </c>
      <c r="C444" s="47" t="s">
        <v>450</v>
      </c>
      <c r="D444" s="37" t="s">
        <v>160</v>
      </c>
      <c r="E444" s="20" t="s">
        <v>217</v>
      </c>
      <c r="F444" s="20" t="s">
        <v>325</v>
      </c>
      <c r="G444" s="34" t="s">
        <v>52</v>
      </c>
      <c r="H444" s="42">
        <v>2110000</v>
      </c>
      <c r="I444" s="34">
        <f t="shared" ca="1" si="30"/>
        <v>32</v>
      </c>
      <c r="J444" s="11" t="str">
        <f t="shared" ref="J444:J468" ca="1" si="34">IF(I444="","",
IF(G444="선급금",
IF(I444&lt;=20,"정상",IF(I444&lt;=90,"관리","장기미수")),
IF(G444="자재",
IF(I444&lt;=40,"정상",IF(I444&lt;=90,"관리","장기미수")),
IF(I444&lt;=30,"정상",IF(I444&lt;=90,"관리","장기미수"))
)
)
)</f>
        <v>정상</v>
      </c>
      <c r="K444" s="32">
        <v>46173</v>
      </c>
      <c r="N444" s="9" t="s">
        <v>35</v>
      </c>
    </row>
    <row r="445" spans="2:18" ht="16.5" hidden="1" customHeight="1">
      <c r="B445" s="9">
        <f>IF(C445="","",COUNTA($C$2:C445))</f>
        <v>444</v>
      </c>
      <c r="C445" s="47" t="s">
        <v>450</v>
      </c>
      <c r="D445" s="37" t="s">
        <v>160</v>
      </c>
      <c r="E445" s="20" t="s">
        <v>26</v>
      </c>
      <c r="F445" s="20" t="s">
        <v>331</v>
      </c>
      <c r="G445" s="34" t="s">
        <v>52</v>
      </c>
      <c r="H445" s="42">
        <v>1006400</v>
      </c>
      <c r="I445" s="34">
        <f t="shared" ca="1" si="30"/>
        <v>32</v>
      </c>
      <c r="J445" s="11" t="str">
        <f t="shared" ca="1" si="34"/>
        <v>정상</v>
      </c>
      <c r="N445" s="9" t="s">
        <v>35</v>
      </c>
    </row>
    <row r="446" spans="2:18" s="34" customFormat="1" ht="16.5" hidden="1" customHeight="1">
      <c r="B446" s="9">
        <f>IF(C446="","",COUNTA($C$2:C446))</f>
        <v>445</v>
      </c>
      <c r="C446" s="47" t="s">
        <v>453</v>
      </c>
      <c r="D446" s="37" t="s">
        <v>180</v>
      </c>
      <c r="E446" s="35" t="s">
        <v>454</v>
      </c>
      <c r="F446" s="35" t="s">
        <v>267</v>
      </c>
      <c r="G446" s="34" t="s">
        <v>34</v>
      </c>
      <c r="H446" s="43">
        <v>65224000</v>
      </c>
      <c r="I446" s="34">
        <f t="shared" ca="1" si="30"/>
        <v>11</v>
      </c>
      <c r="J446" s="11" t="str">
        <f t="shared" ca="1" si="34"/>
        <v>정상</v>
      </c>
      <c r="K446" s="32">
        <v>46159</v>
      </c>
      <c r="L446" s="32">
        <v>46140</v>
      </c>
      <c r="M446" s="37"/>
      <c r="N446" s="9" t="s">
        <v>35</v>
      </c>
      <c r="Q446" s="33"/>
      <c r="R446" s="33"/>
    </row>
    <row r="447" spans="2:18" s="34" customFormat="1" ht="16.5" hidden="1" customHeight="1">
      <c r="B447" s="9">
        <f>IF(C447="","",COUNTA($C$2:C447))</f>
        <v>446</v>
      </c>
      <c r="C447" s="47">
        <v>46129</v>
      </c>
      <c r="D447" s="37" t="s">
        <v>180</v>
      </c>
      <c r="E447" s="34" t="s">
        <v>227</v>
      </c>
      <c r="F447" s="34" t="s">
        <v>455</v>
      </c>
      <c r="G447" s="34" t="s">
        <v>20</v>
      </c>
      <c r="H447" s="43">
        <v>104823750</v>
      </c>
      <c r="I447" s="34">
        <f t="shared" ref="I447:I510" ca="1" si="35">IF(C447="","",IF(L447="",TODAY()-C447,L447-C447))</f>
        <v>7</v>
      </c>
      <c r="J447" s="11" t="str">
        <f t="shared" ca="1" si="34"/>
        <v>정상</v>
      </c>
      <c r="K447" s="32">
        <v>46149</v>
      </c>
      <c r="L447" s="32">
        <v>46136</v>
      </c>
      <c r="M447" s="37"/>
      <c r="N447" s="9" t="s">
        <v>35</v>
      </c>
      <c r="Q447" s="33"/>
      <c r="R447" s="33"/>
    </row>
    <row r="448" spans="2:18" s="34" customFormat="1" ht="16.5" hidden="1" customHeight="1">
      <c r="B448" s="9">
        <f>IF(C448="","",COUNTA($C$2:C448))</f>
        <v>447</v>
      </c>
      <c r="C448" s="47" t="s">
        <v>453</v>
      </c>
      <c r="D448" s="37" t="s">
        <v>160</v>
      </c>
      <c r="E448" s="20" t="s">
        <v>172</v>
      </c>
      <c r="G448" s="34" t="s">
        <v>52</v>
      </c>
      <c r="H448" s="43">
        <v>700000</v>
      </c>
      <c r="I448" s="34">
        <f t="shared" ca="1" si="35"/>
        <v>0</v>
      </c>
      <c r="J448" s="11" t="str">
        <f t="shared" ca="1" si="34"/>
        <v>정상</v>
      </c>
      <c r="K448" s="32"/>
      <c r="L448" s="32">
        <v>46129</v>
      </c>
      <c r="M448" s="37"/>
      <c r="N448" s="9" t="s">
        <v>35</v>
      </c>
      <c r="Q448" s="33"/>
      <c r="R448" s="33"/>
    </row>
    <row r="449" spans="2:18" s="34" customFormat="1" ht="16.5" hidden="1" customHeight="1">
      <c r="B449" s="9">
        <f>IF(C449="","",COUNTA($C$2:C449))</f>
        <v>448</v>
      </c>
      <c r="C449" s="47" t="s">
        <v>453</v>
      </c>
      <c r="D449" s="37" t="s">
        <v>160</v>
      </c>
      <c r="E449" s="20" t="s">
        <v>456</v>
      </c>
      <c r="F449" s="34" t="s">
        <v>457</v>
      </c>
      <c r="G449" s="34" t="s">
        <v>52</v>
      </c>
      <c r="H449" s="43">
        <v>12079800</v>
      </c>
      <c r="I449" s="34">
        <f t="shared" ca="1" si="35"/>
        <v>0</v>
      </c>
      <c r="J449" s="11" t="str">
        <f t="shared" ca="1" si="34"/>
        <v>정상</v>
      </c>
      <c r="K449" s="32"/>
      <c r="L449" s="32">
        <v>46129</v>
      </c>
      <c r="M449" s="37"/>
      <c r="N449" s="9" t="s">
        <v>35</v>
      </c>
      <c r="Q449" s="33"/>
      <c r="R449" s="33"/>
    </row>
    <row r="450" spans="2:18" s="34" customFormat="1" ht="16.5" hidden="1" customHeight="1">
      <c r="B450" s="9">
        <f>IF(C450="","",COUNTA($C$2:C450))</f>
        <v>449</v>
      </c>
      <c r="C450" s="47" t="s">
        <v>453</v>
      </c>
      <c r="D450" s="37" t="s">
        <v>160</v>
      </c>
      <c r="E450" s="20" t="s">
        <v>186</v>
      </c>
      <c r="F450" s="34" t="s">
        <v>458</v>
      </c>
      <c r="G450" s="34" t="s">
        <v>52</v>
      </c>
      <c r="H450" s="43">
        <v>167600</v>
      </c>
      <c r="I450" s="34">
        <f t="shared" ca="1" si="35"/>
        <v>31</v>
      </c>
      <c r="J450" s="11" t="str">
        <f t="shared" ca="1" si="34"/>
        <v>정상</v>
      </c>
      <c r="K450" s="32"/>
      <c r="L450" s="32"/>
      <c r="M450" s="37"/>
      <c r="N450" s="9" t="s">
        <v>35</v>
      </c>
      <c r="Q450" s="33"/>
      <c r="R450" s="33"/>
    </row>
    <row r="451" spans="2:18" s="34" customFormat="1" ht="16.5" hidden="1" customHeight="1">
      <c r="B451" s="9">
        <f>IF(C451="","",COUNTA($C$2:C451))</f>
        <v>450</v>
      </c>
      <c r="C451" s="47" t="s">
        <v>453</v>
      </c>
      <c r="D451" s="37" t="s">
        <v>160</v>
      </c>
      <c r="E451" s="20" t="s">
        <v>459</v>
      </c>
      <c r="F451" s="34" t="s">
        <v>188</v>
      </c>
      <c r="G451" s="34" t="s">
        <v>52</v>
      </c>
      <c r="H451" s="43">
        <v>233200</v>
      </c>
      <c r="I451" s="34">
        <f t="shared" ca="1" si="35"/>
        <v>31</v>
      </c>
      <c r="J451" s="11" t="str">
        <f t="shared" ca="1" si="34"/>
        <v>정상</v>
      </c>
      <c r="K451" s="32"/>
      <c r="L451" s="32"/>
      <c r="M451" s="37"/>
      <c r="N451" s="9" t="s">
        <v>35</v>
      </c>
      <c r="Q451" s="33"/>
      <c r="R451" s="33"/>
    </row>
    <row r="452" spans="2:18" s="34" customFormat="1" ht="16.5" hidden="1" customHeight="1">
      <c r="B452" s="9">
        <f>IF(C452="","",COUNTA($C$2:C452))</f>
        <v>451</v>
      </c>
      <c r="C452" s="47" t="s">
        <v>453</v>
      </c>
      <c r="D452" s="37" t="s">
        <v>160</v>
      </c>
      <c r="E452" s="20" t="s">
        <v>140</v>
      </c>
      <c r="F452" s="34" t="s">
        <v>258</v>
      </c>
      <c r="G452" s="34" t="s">
        <v>52</v>
      </c>
      <c r="H452" s="43">
        <v>1969000</v>
      </c>
      <c r="I452" s="34">
        <f t="shared" ca="1" si="35"/>
        <v>31</v>
      </c>
      <c r="J452" s="11" t="str">
        <f t="shared" ca="1" si="34"/>
        <v>정상</v>
      </c>
      <c r="K452" s="32"/>
      <c r="L452" s="32"/>
      <c r="M452" s="37"/>
      <c r="N452" s="9" t="s">
        <v>35</v>
      </c>
      <c r="Q452" s="33"/>
      <c r="R452" s="33"/>
    </row>
    <row r="453" spans="2:18" s="34" customFormat="1" ht="16.5" hidden="1" customHeight="1">
      <c r="B453" s="9">
        <f>IF(C453="","",COUNTA($C$2:C453))</f>
        <v>452</v>
      </c>
      <c r="C453" s="47" t="s">
        <v>460</v>
      </c>
      <c r="D453" s="37" t="s">
        <v>160</v>
      </c>
      <c r="E453" s="20" t="s">
        <v>275</v>
      </c>
      <c r="F453" s="34" t="s">
        <v>276</v>
      </c>
      <c r="G453" s="34" t="s">
        <v>52</v>
      </c>
      <c r="H453" s="43">
        <v>5047800</v>
      </c>
      <c r="I453" s="34">
        <f t="shared" ca="1" si="35"/>
        <v>28</v>
      </c>
      <c r="J453" s="11" t="str">
        <f t="shared" ca="1" si="34"/>
        <v>정상</v>
      </c>
      <c r="K453" s="32"/>
      <c r="L453" s="32"/>
      <c r="M453" s="37"/>
      <c r="N453" s="9" t="s">
        <v>35</v>
      </c>
      <c r="Q453" s="33"/>
      <c r="R453" s="33"/>
    </row>
    <row r="454" spans="2:18" s="34" customFormat="1" ht="16.5" hidden="1" customHeight="1">
      <c r="B454" s="9">
        <f>IF(C454="","",COUNTA($C$2:C454))</f>
        <v>453</v>
      </c>
      <c r="C454" s="47" t="s">
        <v>460</v>
      </c>
      <c r="D454" s="37" t="s">
        <v>160</v>
      </c>
      <c r="E454" s="20" t="s">
        <v>184</v>
      </c>
      <c r="F454" s="34" t="s">
        <v>461</v>
      </c>
      <c r="G454" s="34" t="s">
        <v>52</v>
      </c>
      <c r="H454" s="43">
        <v>56594600</v>
      </c>
      <c r="I454" s="34">
        <f t="shared" ca="1" si="35"/>
        <v>28</v>
      </c>
      <c r="J454" s="11" t="str">
        <f t="shared" ca="1" si="34"/>
        <v>정상</v>
      </c>
      <c r="K454" s="32"/>
      <c r="L454" s="32"/>
      <c r="M454" s="37"/>
      <c r="N454" s="9" t="s">
        <v>35</v>
      </c>
      <c r="Q454" s="33"/>
      <c r="R454" s="33"/>
    </row>
    <row r="455" spans="2:18" s="34" customFormat="1" ht="16.5" hidden="1" customHeight="1">
      <c r="B455" s="9">
        <f>IF(C455="","",COUNTA($C$2:C455))</f>
        <v>454</v>
      </c>
      <c r="C455" s="47" t="s">
        <v>460</v>
      </c>
      <c r="D455" s="37" t="s">
        <v>160</v>
      </c>
      <c r="E455" s="20" t="s">
        <v>184</v>
      </c>
      <c r="F455" s="34" t="s">
        <v>462</v>
      </c>
      <c r="G455" s="34" t="s">
        <v>52</v>
      </c>
      <c r="H455" s="43">
        <v>-1277000</v>
      </c>
      <c r="I455" s="34">
        <f t="shared" ca="1" si="35"/>
        <v>28</v>
      </c>
      <c r="J455" s="11" t="str">
        <f t="shared" ca="1" si="34"/>
        <v>정상</v>
      </c>
      <c r="K455" s="32"/>
      <c r="L455" s="32"/>
      <c r="M455" s="37"/>
      <c r="N455" s="9" t="s">
        <v>35</v>
      </c>
      <c r="Q455" s="33"/>
      <c r="R455" s="33"/>
    </row>
    <row r="456" spans="2:18" s="34" customFormat="1" ht="16.5" hidden="1" customHeight="1">
      <c r="B456" s="9">
        <f>IF(C456="","",COUNTA($C$2:C456))</f>
        <v>455</v>
      </c>
      <c r="C456" s="47" t="s">
        <v>460</v>
      </c>
      <c r="D456" s="37" t="s">
        <v>160</v>
      </c>
      <c r="E456" s="20" t="s">
        <v>142</v>
      </c>
      <c r="F456" s="34" t="s">
        <v>463</v>
      </c>
      <c r="G456" s="34" t="s">
        <v>52</v>
      </c>
      <c r="H456" s="43">
        <v>2242500</v>
      </c>
      <c r="I456" s="34">
        <f t="shared" ca="1" si="35"/>
        <v>28</v>
      </c>
      <c r="J456" s="11" t="str">
        <f t="shared" ca="1" si="34"/>
        <v>정상</v>
      </c>
      <c r="K456" s="32"/>
      <c r="L456" s="32"/>
      <c r="M456" s="37"/>
      <c r="N456" s="9" t="s">
        <v>35</v>
      </c>
      <c r="Q456" s="33"/>
      <c r="R456" s="33"/>
    </row>
    <row r="457" spans="2:18" s="34" customFormat="1" ht="16.5" hidden="1" customHeight="1">
      <c r="B457" s="9">
        <f>IF(C457="","",COUNTA($C$2:C457))</f>
        <v>456</v>
      </c>
      <c r="C457" s="47" t="s">
        <v>460</v>
      </c>
      <c r="D457" s="37" t="s">
        <v>160</v>
      </c>
      <c r="E457" s="20" t="s">
        <v>345</v>
      </c>
      <c r="F457" s="34" t="s">
        <v>464</v>
      </c>
      <c r="G457" s="34" t="s">
        <v>52</v>
      </c>
      <c r="H457" s="43">
        <v>2107200</v>
      </c>
      <c r="I457" s="34">
        <f t="shared" ca="1" si="35"/>
        <v>28</v>
      </c>
      <c r="J457" s="11" t="str">
        <f t="shared" ca="1" si="34"/>
        <v>정상</v>
      </c>
      <c r="K457" s="32"/>
      <c r="L457" s="32"/>
      <c r="M457" s="37"/>
      <c r="N457" s="9" t="s">
        <v>35</v>
      </c>
      <c r="Q457" s="33"/>
      <c r="R457" s="33"/>
    </row>
    <row r="458" spans="2:18" s="34" customFormat="1" ht="16.5" hidden="1" customHeight="1">
      <c r="B458" s="9">
        <f>IF(C458="","",COUNTA($C$2:C458))</f>
        <v>457</v>
      </c>
      <c r="C458" s="47" t="s">
        <v>460</v>
      </c>
      <c r="D458" s="37" t="s">
        <v>160</v>
      </c>
      <c r="E458" s="20" t="s">
        <v>142</v>
      </c>
      <c r="F458" s="34" t="s">
        <v>465</v>
      </c>
      <c r="G458" s="34" t="s">
        <v>52</v>
      </c>
      <c r="H458" s="43">
        <v>10709900</v>
      </c>
      <c r="I458" s="34">
        <f t="shared" ca="1" si="35"/>
        <v>28</v>
      </c>
      <c r="J458" s="11" t="str">
        <f t="shared" ca="1" si="34"/>
        <v>정상</v>
      </c>
      <c r="K458" s="32"/>
      <c r="L458" s="32"/>
      <c r="M458" s="37"/>
      <c r="N458" s="9" t="s">
        <v>35</v>
      </c>
      <c r="Q458" s="33"/>
      <c r="R458" s="33"/>
    </row>
    <row r="459" spans="2:18" s="34" customFormat="1" ht="16.5" hidden="1" customHeight="1">
      <c r="B459" s="9">
        <f>IF(C459="","",COUNTA($C$2:C459))</f>
        <v>458</v>
      </c>
      <c r="C459" s="47" t="s">
        <v>460</v>
      </c>
      <c r="D459" s="37" t="s">
        <v>160</v>
      </c>
      <c r="E459" s="20" t="s">
        <v>466</v>
      </c>
      <c r="F459" s="34" t="s">
        <v>467</v>
      </c>
      <c r="G459" s="34" t="s">
        <v>52</v>
      </c>
      <c r="H459" s="43">
        <v>8250000</v>
      </c>
      <c r="I459" s="34">
        <f t="shared" ca="1" si="35"/>
        <v>0</v>
      </c>
      <c r="J459" s="11" t="str">
        <f t="shared" ca="1" si="34"/>
        <v>정상</v>
      </c>
      <c r="K459" s="32"/>
      <c r="L459" s="32">
        <v>46132</v>
      </c>
      <c r="M459" s="37"/>
      <c r="N459" s="9" t="s">
        <v>35</v>
      </c>
      <c r="Q459" s="33"/>
      <c r="R459" s="33"/>
    </row>
    <row r="460" spans="2:18" s="34" customFormat="1" ht="16.5" hidden="1" customHeight="1">
      <c r="B460" s="9">
        <f>IF(C460="","",COUNTA($C$2:C460))</f>
        <v>459</v>
      </c>
      <c r="C460" s="47" t="s">
        <v>460</v>
      </c>
      <c r="D460" s="37" t="s">
        <v>160</v>
      </c>
      <c r="E460" s="20" t="s">
        <v>96</v>
      </c>
      <c r="F460" s="34" t="s">
        <v>376</v>
      </c>
      <c r="G460" s="34" t="s">
        <v>52</v>
      </c>
      <c r="H460" s="43">
        <v>7032000</v>
      </c>
      <c r="I460" s="34">
        <f t="shared" ca="1" si="35"/>
        <v>28</v>
      </c>
      <c r="J460" s="11" t="str">
        <f t="shared" ca="1" si="34"/>
        <v>정상</v>
      </c>
      <c r="K460" s="32"/>
      <c r="L460" s="32"/>
      <c r="M460" s="37"/>
      <c r="N460" s="9" t="s">
        <v>35</v>
      </c>
      <c r="Q460" s="33"/>
      <c r="R460" s="33"/>
    </row>
    <row r="461" spans="2:18" s="34" customFormat="1" ht="16.5" hidden="1" customHeight="1">
      <c r="B461" s="9">
        <f>IF(C461="","",COUNTA($C$2:C461))</f>
        <v>460</v>
      </c>
      <c r="C461" s="47" t="s">
        <v>460</v>
      </c>
      <c r="D461" s="37" t="s">
        <v>160</v>
      </c>
      <c r="E461" s="20" t="s">
        <v>124</v>
      </c>
      <c r="F461" s="34" t="s">
        <v>468</v>
      </c>
      <c r="G461" s="34" t="s">
        <v>52</v>
      </c>
      <c r="H461" s="43">
        <v>20070100</v>
      </c>
      <c r="I461" s="34">
        <f t="shared" ca="1" si="35"/>
        <v>28</v>
      </c>
      <c r="J461" s="11" t="str">
        <f t="shared" ca="1" si="34"/>
        <v>정상</v>
      </c>
      <c r="K461" s="32"/>
      <c r="L461" s="32"/>
      <c r="M461" s="37"/>
      <c r="N461" s="9" t="s">
        <v>35</v>
      </c>
      <c r="Q461" s="33"/>
      <c r="R461" s="33"/>
    </row>
    <row r="462" spans="2:18" s="34" customFormat="1" ht="16.5" hidden="1" customHeight="1">
      <c r="B462" s="9">
        <f>IF(C462="","",COUNTA($C$2:C462))</f>
        <v>461</v>
      </c>
      <c r="C462" s="47" t="s">
        <v>460</v>
      </c>
      <c r="D462" s="37" t="s">
        <v>160</v>
      </c>
      <c r="E462" s="20" t="s">
        <v>142</v>
      </c>
      <c r="F462" s="34" t="s">
        <v>407</v>
      </c>
      <c r="G462" s="34" t="s">
        <v>52</v>
      </c>
      <c r="H462" s="43">
        <v>25734800</v>
      </c>
      <c r="I462" s="34">
        <f t="shared" ca="1" si="35"/>
        <v>28</v>
      </c>
      <c r="J462" s="11" t="str">
        <f t="shared" ca="1" si="34"/>
        <v>정상</v>
      </c>
      <c r="K462" s="32"/>
      <c r="L462" s="32"/>
      <c r="M462" s="37"/>
      <c r="N462" s="9" t="s">
        <v>35</v>
      </c>
      <c r="Q462" s="33"/>
      <c r="R462" s="33"/>
    </row>
    <row r="463" spans="2:18" s="34" customFormat="1" ht="16.5" hidden="1" customHeight="1">
      <c r="B463" s="9">
        <f>IF(C463="","",COUNTA($C$2:C463))</f>
        <v>462</v>
      </c>
      <c r="C463" s="47" t="s">
        <v>469</v>
      </c>
      <c r="D463" s="37" t="s">
        <v>160</v>
      </c>
      <c r="E463" s="20" t="s">
        <v>303</v>
      </c>
      <c r="F463" s="34" t="s">
        <v>470</v>
      </c>
      <c r="G463" s="34" t="s">
        <v>52</v>
      </c>
      <c r="H463" s="43">
        <v>15595200</v>
      </c>
      <c r="I463" s="34">
        <f t="shared" ca="1" si="35"/>
        <v>24</v>
      </c>
      <c r="J463" s="11" t="str">
        <f t="shared" ca="1" si="34"/>
        <v>정상</v>
      </c>
      <c r="K463" s="32"/>
      <c r="L463" s="32">
        <v>46157</v>
      </c>
      <c r="M463" s="37"/>
      <c r="N463" s="9" t="s">
        <v>35</v>
      </c>
      <c r="Q463" s="33"/>
      <c r="R463" s="33"/>
    </row>
    <row r="464" spans="2:18" s="34" customFormat="1" ht="16.5" hidden="1" customHeight="1">
      <c r="B464" s="9">
        <f>IF(C464="","",COUNTA($C$2:C464))</f>
        <v>463</v>
      </c>
      <c r="C464" s="47" t="s">
        <v>469</v>
      </c>
      <c r="D464" s="37" t="s">
        <v>160</v>
      </c>
      <c r="E464" s="20" t="s">
        <v>140</v>
      </c>
      <c r="F464" s="34" t="s">
        <v>255</v>
      </c>
      <c r="G464" s="34" t="s">
        <v>52</v>
      </c>
      <c r="H464" s="43">
        <v>484000</v>
      </c>
      <c r="I464" s="34">
        <f t="shared" ca="1" si="35"/>
        <v>27</v>
      </c>
      <c r="J464" s="11" t="str">
        <f t="shared" ca="1" si="34"/>
        <v>정상</v>
      </c>
      <c r="K464" s="32"/>
      <c r="L464" s="32"/>
      <c r="M464" s="37"/>
      <c r="N464" s="9" t="s">
        <v>35</v>
      </c>
      <c r="Q464" s="33"/>
      <c r="R464" s="33"/>
    </row>
    <row r="465" spans="2:18" s="34" customFormat="1" ht="16.5" hidden="1" customHeight="1">
      <c r="B465" s="9">
        <f>IF(C465="","",COUNTA($C$2:C465))</f>
        <v>464</v>
      </c>
      <c r="C465" s="47" t="s">
        <v>469</v>
      </c>
      <c r="D465" s="37" t="s">
        <v>160</v>
      </c>
      <c r="E465" s="20" t="s">
        <v>120</v>
      </c>
      <c r="F465" s="34" t="s">
        <v>471</v>
      </c>
      <c r="G465" s="34" t="s">
        <v>52</v>
      </c>
      <c r="H465" s="43">
        <v>972200</v>
      </c>
      <c r="I465" s="34">
        <f t="shared" ca="1" si="35"/>
        <v>9</v>
      </c>
      <c r="J465" s="11" t="str">
        <f t="shared" ca="1" si="34"/>
        <v>정상</v>
      </c>
      <c r="K465" s="32"/>
      <c r="L465" s="32">
        <v>46142</v>
      </c>
      <c r="M465" s="37"/>
      <c r="N465" s="9" t="s">
        <v>35</v>
      </c>
      <c r="Q465" s="33"/>
      <c r="R465" s="33"/>
    </row>
    <row r="466" spans="2:18" s="34" customFormat="1" ht="16.5" hidden="1" customHeight="1">
      <c r="B466" s="9">
        <f>IF(C466="","",COUNTA($C$2:C466))</f>
        <v>465</v>
      </c>
      <c r="C466" s="47" t="s">
        <v>469</v>
      </c>
      <c r="D466" s="37" t="s">
        <v>160</v>
      </c>
      <c r="E466" s="20" t="s">
        <v>456</v>
      </c>
      <c r="F466" s="34" t="s">
        <v>472</v>
      </c>
      <c r="G466" s="34" t="s">
        <v>52</v>
      </c>
      <c r="H466" s="43">
        <v>498600</v>
      </c>
      <c r="I466" s="34">
        <f t="shared" ca="1" si="35"/>
        <v>0</v>
      </c>
      <c r="J466" s="11" t="str">
        <f t="shared" ca="1" si="34"/>
        <v>정상</v>
      </c>
      <c r="K466" s="32"/>
      <c r="L466" s="32">
        <v>46133</v>
      </c>
      <c r="M466" s="37"/>
      <c r="N466" s="9" t="s">
        <v>35</v>
      </c>
      <c r="Q466" s="33"/>
      <c r="R466" s="33"/>
    </row>
    <row r="467" spans="2:18" s="34" customFormat="1" ht="16.5" hidden="1" customHeight="1">
      <c r="B467" s="9">
        <f>IF(C467="","",COUNTA($C$2:C467))</f>
        <v>466</v>
      </c>
      <c r="C467" s="47" t="s">
        <v>469</v>
      </c>
      <c r="D467" s="37" t="s">
        <v>160</v>
      </c>
      <c r="E467" s="20" t="s">
        <v>184</v>
      </c>
      <c r="F467" s="34" t="s">
        <v>461</v>
      </c>
      <c r="G467" s="34" t="s">
        <v>52</v>
      </c>
      <c r="H467" s="43">
        <v>18524900</v>
      </c>
      <c r="I467" s="34">
        <f t="shared" ca="1" si="35"/>
        <v>27</v>
      </c>
      <c r="J467" s="11" t="str">
        <f t="shared" ca="1" si="34"/>
        <v>정상</v>
      </c>
      <c r="K467" s="32"/>
      <c r="L467" s="32"/>
      <c r="M467" s="37"/>
      <c r="N467" s="9" t="s">
        <v>35</v>
      </c>
      <c r="Q467" s="33"/>
      <c r="R467" s="33"/>
    </row>
    <row r="468" spans="2:18" s="34" customFormat="1" ht="16.5" hidden="1" customHeight="1">
      <c r="B468" s="9">
        <f>IF(C468="","",COUNTA($C$2:C468))</f>
        <v>467</v>
      </c>
      <c r="C468" s="47" t="s">
        <v>469</v>
      </c>
      <c r="D468" s="37" t="s">
        <v>160</v>
      </c>
      <c r="E468" s="20" t="s">
        <v>175</v>
      </c>
      <c r="F468" s="34" t="s">
        <v>473</v>
      </c>
      <c r="G468" s="34" t="s">
        <v>52</v>
      </c>
      <c r="H468" s="43">
        <v>3547500</v>
      </c>
      <c r="I468" s="34">
        <f t="shared" ca="1" si="35"/>
        <v>27</v>
      </c>
      <c r="J468" s="11" t="str">
        <f t="shared" ca="1" si="34"/>
        <v>정상</v>
      </c>
      <c r="K468" s="32">
        <v>46142</v>
      </c>
      <c r="L468" s="32"/>
      <c r="M468" s="37"/>
      <c r="N468" s="9" t="s">
        <v>35</v>
      </c>
      <c r="Q468" s="33"/>
      <c r="R468" s="33"/>
    </row>
    <row r="469" spans="2:18" s="34" customFormat="1" ht="16.5" hidden="1" customHeight="1">
      <c r="B469" s="9">
        <f>IF(C469="","",COUNTA($C$2:C469))</f>
        <v>468</v>
      </c>
      <c r="C469" s="47" t="s">
        <v>469</v>
      </c>
      <c r="D469" s="37" t="s">
        <v>160</v>
      </c>
      <c r="E469" s="20" t="s">
        <v>466</v>
      </c>
      <c r="F469" s="34" t="s">
        <v>474</v>
      </c>
      <c r="G469" s="34" t="s">
        <v>52</v>
      </c>
      <c r="H469" s="43">
        <v>5362500</v>
      </c>
      <c r="I469" s="34">
        <f t="shared" ca="1" si="35"/>
        <v>0</v>
      </c>
      <c r="J469" s="11" t="str">
        <f ca="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32"/>
      <c r="L469" s="32">
        <v>46133</v>
      </c>
      <c r="M469" s="37"/>
      <c r="N469" s="9" t="s">
        <v>35</v>
      </c>
      <c r="Q469" s="33"/>
      <c r="R469" s="33"/>
    </row>
    <row r="470" spans="2:18" s="34" customFormat="1" ht="16.5" hidden="1" customHeight="1">
      <c r="B470" s="9">
        <f>IF(C470="","",COUNTA($C$2:C470))</f>
        <v>469</v>
      </c>
      <c r="C470" s="47" t="s">
        <v>469</v>
      </c>
      <c r="D470" s="37" t="s">
        <v>160</v>
      </c>
      <c r="E470" s="20" t="s">
        <v>195</v>
      </c>
      <c r="F470" s="34" t="s">
        <v>196</v>
      </c>
      <c r="G470" s="34" t="s">
        <v>52</v>
      </c>
      <c r="H470" s="43">
        <v>4472000</v>
      </c>
      <c r="I470" s="34">
        <f t="shared" ca="1" si="35"/>
        <v>27</v>
      </c>
      <c r="J470" s="11" t="str">
        <f t="shared" ref="J470:J501" ca="1" si="36">IF(I470="","",
IF(G470="선급금",
IF(I470&lt;=20,"정상",IF(I470&lt;=90,"관리","장기미수")),
IF(G470="자재",
IF(I470&lt;=40,"정상",IF(I470&lt;=90,"관리","장기미수")),
IF(I470&lt;=30,"정상",IF(I470&lt;=90,"관리","장기미수"))
)
)
)</f>
        <v>정상</v>
      </c>
      <c r="K470" s="32"/>
      <c r="L470" s="32"/>
      <c r="M470" s="37"/>
      <c r="N470" s="9" t="s">
        <v>35</v>
      </c>
      <c r="Q470" s="33"/>
      <c r="R470" s="33"/>
    </row>
    <row r="471" spans="2:18" s="37" customFormat="1" ht="16.5" hidden="1" customHeight="1">
      <c r="B471" s="9">
        <f>IF(C471="","",COUNTA($C$2:C471))</f>
        <v>470</v>
      </c>
      <c r="C471" s="32" t="s">
        <v>453</v>
      </c>
      <c r="D471" s="37" t="s">
        <v>180</v>
      </c>
      <c r="E471" s="31" t="s">
        <v>286</v>
      </c>
      <c r="F471" s="31" t="s">
        <v>287</v>
      </c>
      <c r="G471" s="31" t="s">
        <v>41</v>
      </c>
      <c r="H471" s="53">
        <v>14255200</v>
      </c>
      <c r="I471" s="34">
        <f t="shared" ca="1" si="35"/>
        <v>31</v>
      </c>
      <c r="J471" s="11" t="str">
        <f t="shared" ca="1" si="36"/>
        <v>관리</v>
      </c>
      <c r="K471" s="32">
        <v>46159</v>
      </c>
      <c r="L471" s="32"/>
      <c r="N471" s="9" t="s">
        <v>35</v>
      </c>
      <c r="Q471" s="32"/>
      <c r="R471" s="32"/>
    </row>
    <row r="472" spans="2:18" ht="16.5" hidden="1" customHeight="1">
      <c r="B472" s="9">
        <f>IF(C472="","",COUNTA($C$2:C472))</f>
        <v>471</v>
      </c>
      <c r="C472" s="32">
        <v>46132</v>
      </c>
      <c r="D472" s="37" t="s">
        <v>180</v>
      </c>
      <c r="E472" s="36" t="s">
        <v>168</v>
      </c>
      <c r="F472" s="34" t="s">
        <v>387</v>
      </c>
      <c r="G472" s="34" t="s">
        <v>34</v>
      </c>
      <c r="H472" s="42">
        <v>35447600</v>
      </c>
      <c r="I472" s="34">
        <f t="shared" ca="1" si="35"/>
        <v>21</v>
      </c>
      <c r="J472" s="11" t="str">
        <f t="shared" ca="1" si="36"/>
        <v>정상</v>
      </c>
      <c r="K472" s="54">
        <v>46162</v>
      </c>
      <c r="L472" s="32">
        <v>46153</v>
      </c>
      <c r="N472" s="9" t="s">
        <v>35</v>
      </c>
    </row>
    <row r="473" spans="2:18" ht="16.5" hidden="1" customHeight="1">
      <c r="B473" s="9">
        <f>IF(C473="","",COUNTA($C$2:C473))</f>
        <v>472</v>
      </c>
      <c r="C473" s="47" t="s">
        <v>469</v>
      </c>
      <c r="D473" s="37" t="s">
        <v>160</v>
      </c>
      <c r="E473" s="20" t="s">
        <v>475</v>
      </c>
      <c r="F473" s="20" t="s">
        <v>476</v>
      </c>
      <c r="G473" s="34" t="s">
        <v>52</v>
      </c>
      <c r="H473" s="42">
        <v>900000</v>
      </c>
      <c r="I473" s="34">
        <f t="shared" ca="1" si="35"/>
        <v>0</v>
      </c>
      <c r="J473" s="11" t="str">
        <f t="shared" ca="1" si="36"/>
        <v>정상</v>
      </c>
      <c r="L473" s="32">
        <v>46133</v>
      </c>
      <c r="N473" s="9" t="s">
        <v>35</v>
      </c>
    </row>
    <row r="474" spans="2:18" ht="16.5" hidden="1" customHeight="1">
      <c r="B474" s="9">
        <f>IF(C474="","",COUNTA($C$2:C474))</f>
        <v>473</v>
      </c>
      <c r="C474" s="47" t="s">
        <v>469</v>
      </c>
      <c r="D474" s="37" t="s">
        <v>160</v>
      </c>
      <c r="E474" s="20" t="s">
        <v>350</v>
      </c>
      <c r="F474" s="20" t="s">
        <v>477</v>
      </c>
      <c r="G474" s="34" t="s">
        <v>52</v>
      </c>
      <c r="H474" s="42">
        <v>300800</v>
      </c>
      <c r="I474" s="34">
        <f t="shared" ca="1" si="35"/>
        <v>27</v>
      </c>
      <c r="J474" s="11" t="str">
        <f t="shared" ca="1" si="36"/>
        <v>정상</v>
      </c>
      <c r="N474" s="9" t="s">
        <v>35</v>
      </c>
    </row>
    <row r="475" spans="2:18" ht="16.5" hidden="1" customHeight="1">
      <c r="B475" s="9">
        <f>IF(C475="","",COUNTA($C$2:C475))</f>
        <v>474</v>
      </c>
      <c r="C475" s="47" t="s">
        <v>469</v>
      </c>
      <c r="D475" s="37" t="s">
        <v>160</v>
      </c>
      <c r="E475" s="20" t="s">
        <v>424</v>
      </c>
      <c r="F475" s="20" t="s">
        <v>425</v>
      </c>
      <c r="G475" s="34" t="s">
        <v>52</v>
      </c>
      <c r="H475" s="42">
        <v>4882500</v>
      </c>
      <c r="I475" s="34">
        <f t="shared" ca="1" si="35"/>
        <v>20</v>
      </c>
      <c r="J475" s="11" t="str">
        <f t="shared" ca="1" si="36"/>
        <v>정상</v>
      </c>
      <c r="L475" s="32">
        <v>46153</v>
      </c>
      <c r="N475" s="9" t="s">
        <v>35</v>
      </c>
    </row>
    <row r="476" spans="2:18" ht="16.5" hidden="1" customHeight="1">
      <c r="B476" s="9">
        <f>IF(C476="","",COUNTA($C$2:C476))</f>
        <v>475</v>
      </c>
      <c r="C476" s="47" t="s">
        <v>469</v>
      </c>
      <c r="D476" s="37" t="s">
        <v>160</v>
      </c>
      <c r="E476" s="20" t="s">
        <v>350</v>
      </c>
      <c r="F476" s="20" t="s">
        <v>478</v>
      </c>
      <c r="G476" s="34" t="s">
        <v>52</v>
      </c>
      <c r="H476" s="42">
        <v>717500</v>
      </c>
      <c r="I476" s="34">
        <f t="shared" ca="1" si="35"/>
        <v>27</v>
      </c>
      <c r="J476" s="11" t="str">
        <f t="shared" ca="1" si="36"/>
        <v>정상</v>
      </c>
      <c r="N476" s="9" t="s">
        <v>35</v>
      </c>
    </row>
    <row r="477" spans="2:18" ht="16.5" hidden="1" customHeight="1">
      <c r="B477" s="9">
        <f>IF(C477="","",COUNTA($C$2:C477))</f>
        <v>476</v>
      </c>
      <c r="C477" s="47" t="s">
        <v>469</v>
      </c>
      <c r="D477" s="37" t="s">
        <v>160</v>
      </c>
      <c r="E477" s="20" t="s">
        <v>140</v>
      </c>
      <c r="F477" s="20" t="s">
        <v>257</v>
      </c>
      <c r="G477" s="34" t="s">
        <v>52</v>
      </c>
      <c r="H477" s="42">
        <v>1836000</v>
      </c>
      <c r="I477" s="34">
        <f t="shared" ca="1" si="35"/>
        <v>27</v>
      </c>
      <c r="J477" s="11" t="str">
        <f t="shared" ca="1" si="36"/>
        <v>정상</v>
      </c>
      <c r="N477" s="9" t="s">
        <v>35</v>
      </c>
    </row>
    <row r="478" spans="2:18" ht="16.5" hidden="1" customHeight="1">
      <c r="B478" s="9">
        <f>IF(C478="","",COUNTA($C$2:C478))</f>
        <v>477</v>
      </c>
      <c r="C478" s="47" t="s">
        <v>469</v>
      </c>
      <c r="D478" s="37" t="s">
        <v>160</v>
      </c>
      <c r="E478" s="20" t="s">
        <v>42</v>
      </c>
      <c r="F478" s="20" t="s">
        <v>479</v>
      </c>
      <c r="G478" s="34" t="s">
        <v>52</v>
      </c>
      <c r="H478" s="42">
        <v>109200</v>
      </c>
      <c r="I478" s="34">
        <f t="shared" ca="1" si="35"/>
        <v>27</v>
      </c>
      <c r="J478" s="11" t="str">
        <f t="shared" ca="1" si="36"/>
        <v>정상</v>
      </c>
      <c r="N478" s="9" t="s">
        <v>35</v>
      </c>
    </row>
    <row r="479" spans="2:18" ht="16.5" hidden="1" customHeight="1">
      <c r="B479" s="9">
        <f>IF(C479="","",COUNTA($C$2:C479))</f>
        <v>478</v>
      </c>
      <c r="C479" s="47" t="s">
        <v>469</v>
      </c>
      <c r="E479" s="34" t="s">
        <v>480</v>
      </c>
      <c r="F479" s="34" t="s">
        <v>481</v>
      </c>
      <c r="G479" s="34" t="s">
        <v>119</v>
      </c>
      <c r="H479" s="42">
        <v>15432000</v>
      </c>
      <c r="I479" s="34">
        <f t="shared" ca="1" si="35"/>
        <v>9</v>
      </c>
      <c r="J479" s="11" t="str">
        <f t="shared" ca="1" si="36"/>
        <v>정상</v>
      </c>
      <c r="K479" s="54">
        <v>46163</v>
      </c>
      <c r="L479" s="32">
        <v>46142</v>
      </c>
      <c r="N479" s="9" t="s">
        <v>35</v>
      </c>
    </row>
    <row r="480" spans="2:18" ht="16.5" hidden="1" customHeight="1">
      <c r="B480" s="9">
        <f>IF(C480="","",COUNTA($C$2:C480))</f>
        <v>479</v>
      </c>
      <c r="C480" s="47" t="s">
        <v>482</v>
      </c>
      <c r="D480" s="37" t="s">
        <v>160</v>
      </c>
      <c r="E480" s="20" t="s">
        <v>483</v>
      </c>
      <c r="F480" s="20" t="s">
        <v>484</v>
      </c>
      <c r="G480" s="34" t="s">
        <v>52</v>
      </c>
      <c r="H480" s="44">
        <v>76300</v>
      </c>
      <c r="I480" s="34">
        <f t="shared" ca="1" si="35"/>
        <v>26</v>
      </c>
      <c r="J480" s="11" t="str">
        <f t="shared" ca="1" si="36"/>
        <v>정상</v>
      </c>
      <c r="N480" s="9" t="s">
        <v>35</v>
      </c>
    </row>
    <row r="481" spans="2:14" ht="16.5" hidden="1" customHeight="1">
      <c r="B481" s="9">
        <f>IF(C481="","",COUNTA($C$2:C481))</f>
        <v>480</v>
      </c>
      <c r="C481" s="47" t="s">
        <v>482</v>
      </c>
      <c r="D481" s="37" t="s">
        <v>160</v>
      </c>
      <c r="E481" s="20" t="s">
        <v>195</v>
      </c>
      <c r="F481" s="20" t="s">
        <v>196</v>
      </c>
      <c r="G481" s="34" t="s">
        <v>52</v>
      </c>
      <c r="H481" s="44">
        <v>1710000</v>
      </c>
      <c r="I481" s="34">
        <f t="shared" ca="1" si="35"/>
        <v>26</v>
      </c>
      <c r="J481" s="11" t="str">
        <f t="shared" ca="1" si="36"/>
        <v>정상</v>
      </c>
      <c r="N481" s="9" t="s">
        <v>35</v>
      </c>
    </row>
    <row r="482" spans="2:14" ht="16.5" hidden="1" customHeight="1">
      <c r="B482" s="9">
        <f>IF(C482="","",COUNTA($C$2:C482))</f>
        <v>481</v>
      </c>
      <c r="C482" s="47" t="s">
        <v>482</v>
      </c>
      <c r="D482" s="37" t="s">
        <v>160</v>
      </c>
      <c r="E482" s="20" t="s">
        <v>217</v>
      </c>
      <c r="F482" s="20" t="s">
        <v>218</v>
      </c>
      <c r="G482" s="34" t="s">
        <v>52</v>
      </c>
      <c r="H482" s="44">
        <v>1710000</v>
      </c>
      <c r="I482" s="34">
        <f t="shared" ca="1" si="35"/>
        <v>26</v>
      </c>
      <c r="J482" s="11" t="str">
        <f t="shared" ca="1" si="36"/>
        <v>정상</v>
      </c>
      <c r="N482" s="9" t="s">
        <v>35</v>
      </c>
    </row>
    <row r="483" spans="2:14" ht="16.5" hidden="1" customHeight="1">
      <c r="B483" s="9">
        <f>IF(C483="","",COUNTA($C$2:C483))</f>
        <v>482</v>
      </c>
      <c r="C483" s="47" t="s">
        <v>482</v>
      </c>
      <c r="D483" s="37" t="s">
        <v>160</v>
      </c>
      <c r="E483" s="20" t="s">
        <v>142</v>
      </c>
      <c r="F483" s="20" t="s">
        <v>407</v>
      </c>
      <c r="G483" s="34" t="s">
        <v>52</v>
      </c>
      <c r="H483" s="44">
        <v>1555000</v>
      </c>
      <c r="I483" s="34">
        <f t="shared" ca="1" si="35"/>
        <v>26</v>
      </c>
      <c r="J483" s="11" t="str">
        <f t="shared" ca="1" si="36"/>
        <v>정상</v>
      </c>
      <c r="N483" s="9" t="s">
        <v>35</v>
      </c>
    </row>
    <row r="484" spans="2:14" ht="16.5" hidden="1" customHeight="1">
      <c r="B484" s="9">
        <f>IF(C484="","",COUNTA($C$2:C484))</f>
        <v>483</v>
      </c>
      <c r="C484" s="47" t="s">
        <v>482</v>
      </c>
      <c r="D484" s="37" t="s">
        <v>160</v>
      </c>
      <c r="E484" s="20" t="s">
        <v>329</v>
      </c>
      <c r="F484" s="20" t="s">
        <v>371</v>
      </c>
      <c r="G484" s="34" t="s">
        <v>52</v>
      </c>
      <c r="H484" s="44">
        <v>5776000</v>
      </c>
      <c r="I484" s="34">
        <f t="shared" ca="1" si="35"/>
        <v>26</v>
      </c>
      <c r="J484" s="11" t="str">
        <f t="shared" ca="1" si="36"/>
        <v>정상</v>
      </c>
      <c r="N484" s="9" t="s">
        <v>35</v>
      </c>
    </row>
    <row r="485" spans="2:14" ht="16.5" hidden="1" customHeight="1">
      <c r="B485" s="9">
        <f>IF(C485="","",COUNTA($C$2:C485))</f>
        <v>484</v>
      </c>
      <c r="C485" s="47" t="s">
        <v>482</v>
      </c>
      <c r="D485" s="37" t="s">
        <v>160</v>
      </c>
      <c r="E485" s="20" t="s">
        <v>485</v>
      </c>
      <c r="F485" s="20" t="s">
        <v>486</v>
      </c>
      <c r="G485" s="34" t="s">
        <v>52</v>
      </c>
      <c r="H485" s="44">
        <v>612800</v>
      </c>
      <c r="I485" s="34">
        <f t="shared" ca="1" si="35"/>
        <v>26</v>
      </c>
      <c r="J485" s="11" t="str">
        <f t="shared" ca="1" si="36"/>
        <v>정상</v>
      </c>
      <c r="N485" s="9" t="s">
        <v>35</v>
      </c>
    </row>
    <row r="486" spans="2:14" ht="16.5" hidden="1" customHeight="1">
      <c r="B486" s="9">
        <f>IF(C486="","",COUNTA($C$2:C486))</f>
        <v>485</v>
      </c>
      <c r="C486" s="47" t="s">
        <v>482</v>
      </c>
      <c r="D486" s="37" t="s">
        <v>160</v>
      </c>
      <c r="E486" s="20" t="s">
        <v>275</v>
      </c>
      <c r="F486" s="20" t="s">
        <v>276</v>
      </c>
      <c r="G486" s="34" t="s">
        <v>52</v>
      </c>
      <c r="H486" s="44">
        <v>1411400</v>
      </c>
      <c r="I486" s="34">
        <f t="shared" ca="1" si="35"/>
        <v>26</v>
      </c>
      <c r="J486" s="11" t="str">
        <f t="shared" ca="1" si="36"/>
        <v>정상</v>
      </c>
      <c r="N486" s="9" t="s">
        <v>35</v>
      </c>
    </row>
    <row r="487" spans="2:14" ht="16.5" hidden="1" customHeight="1">
      <c r="B487" s="9">
        <f>IF(C487="","",COUNTA($C$2:C487))</f>
        <v>486</v>
      </c>
      <c r="C487" s="47" t="s">
        <v>482</v>
      </c>
      <c r="D487" s="37" t="s">
        <v>160</v>
      </c>
      <c r="E487" s="20" t="s">
        <v>186</v>
      </c>
      <c r="F487" s="20" t="s">
        <v>487</v>
      </c>
      <c r="G487" s="34" t="s">
        <v>52</v>
      </c>
      <c r="H487" s="44">
        <v>1005000</v>
      </c>
      <c r="I487" s="34">
        <f t="shared" ca="1" si="35"/>
        <v>26</v>
      </c>
      <c r="J487" s="11" t="str">
        <f t="shared" ca="1" si="36"/>
        <v>정상</v>
      </c>
      <c r="N487" s="9" t="s">
        <v>35</v>
      </c>
    </row>
    <row r="488" spans="2:14" ht="16.5" hidden="1" customHeight="1">
      <c r="B488" s="9">
        <f>IF(C488="","",COUNTA($C$2:C488))</f>
        <v>487</v>
      </c>
      <c r="C488" s="47" t="s">
        <v>482</v>
      </c>
      <c r="D488" s="37" t="s">
        <v>160</v>
      </c>
      <c r="E488" s="20" t="s">
        <v>140</v>
      </c>
      <c r="F488" s="20" t="s">
        <v>412</v>
      </c>
      <c r="G488" s="34" t="s">
        <v>52</v>
      </c>
      <c r="H488" s="44">
        <v>11000000</v>
      </c>
      <c r="I488" s="34">
        <f t="shared" ca="1" si="35"/>
        <v>26</v>
      </c>
      <c r="J488" s="11" t="str">
        <f t="shared" ca="1" si="36"/>
        <v>정상</v>
      </c>
      <c r="N488" s="9" t="s">
        <v>35</v>
      </c>
    </row>
    <row r="489" spans="2:14" ht="16.5" hidden="1" customHeight="1">
      <c r="B489" s="9">
        <f>IF(C489="","",COUNTA($C$2:C489))</f>
        <v>488</v>
      </c>
      <c r="C489" s="47" t="s">
        <v>482</v>
      </c>
      <c r="D489" s="37" t="s">
        <v>160</v>
      </c>
      <c r="E489" s="20" t="s">
        <v>329</v>
      </c>
      <c r="F489" s="20" t="s">
        <v>375</v>
      </c>
      <c r="G489" s="34" t="s">
        <v>52</v>
      </c>
      <c r="H489" s="44">
        <v>10922300</v>
      </c>
      <c r="I489" s="34">
        <f t="shared" ca="1" si="35"/>
        <v>26</v>
      </c>
      <c r="J489" s="11" t="str">
        <f t="shared" ca="1" si="36"/>
        <v>정상</v>
      </c>
      <c r="N489" s="9" t="s">
        <v>35</v>
      </c>
    </row>
    <row r="490" spans="2:14" ht="16.5" hidden="1" customHeight="1">
      <c r="B490" s="9">
        <f>IF(C490="","",COUNTA($C$2:C490))</f>
        <v>489</v>
      </c>
      <c r="C490" s="47" t="s">
        <v>482</v>
      </c>
      <c r="D490" s="37" t="s">
        <v>160</v>
      </c>
      <c r="E490" s="20" t="s">
        <v>175</v>
      </c>
      <c r="F490" s="20" t="s">
        <v>488</v>
      </c>
      <c r="G490" s="34" t="s">
        <v>52</v>
      </c>
      <c r="H490" s="44">
        <v>6292500</v>
      </c>
      <c r="I490" s="34">
        <f t="shared" ca="1" si="35"/>
        <v>26</v>
      </c>
      <c r="J490" s="11" t="str">
        <f t="shared" ca="1" si="36"/>
        <v>정상</v>
      </c>
      <c r="K490" s="32">
        <v>46142</v>
      </c>
      <c r="N490" s="9" t="s">
        <v>35</v>
      </c>
    </row>
    <row r="491" spans="2:14" ht="16.5" hidden="1" customHeight="1">
      <c r="B491" s="9">
        <f>IF(C491="","",COUNTA($C$2:C491))</f>
        <v>490</v>
      </c>
      <c r="C491" s="47" t="s">
        <v>482</v>
      </c>
      <c r="D491" s="37" t="s">
        <v>160</v>
      </c>
      <c r="E491" s="20" t="s">
        <v>195</v>
      </c>
      <c r="F491" s="20" t="s">
        <v>196</v>
      </c>
      <c r="G491" s="34" t="s">
        <v>52</v>
      </c>
      <c r="H491" s="44">
        <v>591200</v>
      </c>
      <c r="I491" s="34">
        <f t="shared" ca="1" si="35"/>
        <v>26</v>
      </c>
      <c r="J491" s="11" t="str">
        <f t="shared" ca="1" si="36"/>
        <v>정상</v>
      </c>
      <c r="N491" s="9" t="s">
        <v>35</v>
      </c>
    </row>
    <row r="492" spans="2:14" ht="16.5" hidden="1" customHeight="1">
      <c r="B492" s="9">
        <f>IF(C492="","",COUNTA($C$2:C492))</f>
        <v>491</v>
      </c>
      <c r="C492" s="47" t="s">
        <v>482</v>
      </c>
      <c r="D492" s="37" t="s">
        <v>160</v>
      </c>
      <c r="E492" s="20" t="s">
        <v>489</v>
      </c>
      <c r="F492" s="20" t="s">
        <v>437</v>
      </c>
      <c r="G492" s="34" t="s">
        <v>52</v>
      </c>
      <c r="H492" s="44">
        <v>2142500</v>
      </c>
      <c r="I492" s="34">
        <f t="shared" ca="1" si="35"/>
        <v>8</v>
      </c>
      <c r="J492" s="11" t="str">
        <f t="shared" ca="1" si="36"/>
        <v>정상</v>
      </c>
      <c r="L492" s="32">
        <v>46142</v>
      </c>
      <c r="N492" s="9" t="s">
        <v>35</v>
      </c>
    </row>
    <row r="493" spans="2:14" ht="16.5" hidden="1" customHeight="1">
      <c r="B493" s="9">
        <f>IF(C493="","",COUNTA($C$2:C493))</f>
        <v>492</v>
      </c>
      <c r="C493" s="47" t="s">
        <v>490</v>
      </c>
      <c r="D493" s="37" t="s">
        <v>160</v>
      </c>
      <c r="E493" s="20" t="s">
        <v>96</v>
      </c>
      <c r="F493" s="20" t="s">
        <v>376</v>
      </c>
      <c r="G493" s="34" t="s">
        <v>52</v>
      </c>
      <c r="H493" s="44">
        <v>2561000</v>
      </c>
      <c r="I493" s="34">
        <f t="shared" ca="1" si="35"/>
        <v>25</v>
      </c>
      <c r="J493" s="11" t="str">
        <f t="shared" ca="1" si="36"/>
        <v>정상</v>
      </c>
      <c r="N493" s="9" t="s">
        <v>35</v>
      </c>
    </row>
    <row r="494" spans="2:14" ht="16.5" hidden="1" customHeight="1">
      <c r="B494" s="9">
        <f>IF(C494="","",COUNTA($C$2:C494))</f>
        <v>493</v>
      </c>
      <c r="C494" s="47" t="s">
        <v>490</v>
      </c>
      <c r="D494" s="37" t="s">
        <v>160</v>
      </c>
      <c r="E494" s="20" t="s">
        <v>136</v>
      </c>
      <c r="F494" s="20" t="s">
        <v>491</v>
      </c>
      <c r="G494" s="34" t="s">
        <v>52</v>
      </c>
      <c r="H494" s="44">
        <v>15465500</v>
      </c>
      <c r="I494" s="34">
        <f t="shared" ca="1" si="35"/>
        <v>18</v>
      </c>
      <c r="J494" s="11" t="str">
        <f t="shared" ca="1" si="36"/>
        <v>정상</v>
      </c>
      <c r="L494" s="32">
        <v>46153</v>
      </c>
      <c r="N494" s="9" t="s">
        <v>35</v>
      </c>
    </row>
    <row r="495" spans="2:14" ht="16.5" hidden="1" customHeight="1">
      <c r="B495" s="9">
        <f>IF(C495="","",COUNTA($C$2:C495))</f>
        <v>494</v>
      </c>
      <c r="C495" s="47" t="s">
        <v>490</v>
      </c>
      <c r="D495" s="37" t="s">
        <v>160</v>
      </c>
      <c r="E495" s="20" t="s">
        <v>168</v>
      </c>
      <c r="F495" s="20" t="s">
        <v>492</v>
      </c>
      <c r="G495" s="34" t="s">
        <v>52</v>
      </c>
      <c r="H495" s="44">
        <v>7350000</v>
      </c>
      <c r="I495" s="34">
        <f t="shared" ca="1" si="35"/>
        <v>5</v>
      </c>
      <c r="J495" s="11" t="str">
        <f t="shared" ca="1" si="36"/>
        <v>정상</v>
      </c>
      <c r="L495" s="32">
        <v>46140</v>
      </c>
      <c r="N495" s="9" t="s">
        <v>35</v>
      </c>
    </row>
    <row r="496" spans="2:14" ht="16.5" hidden="1" customHeight="1">
      <c r="B496" s="9">
        <f>IF(C496="","",COUNTA($C$2:C496))</f>
        <v>495</v>
      </c>
      <c r="C496" s="47" t="s">
        <v>490</v>
      </c>
      <c r="D496" s="37" t="s">
        <v>160</v>
      </c>
      <c r="E496" s="20" t="s">
        <v>18</v>
      </c>
      <c r="F496" s="20" t="s">
        <v>493</v>
      </c>
      <c r="G496" s="34" t="s">
        <v>52</v>
      </c>
      <c r="H496" s="44">
        <v>4767200</v>
      </c>
      <c r="I496" s="34">
        <f t="shared" ca="1" si="35"/>
        <v>14</v>
      </c>
      <c r="J496" s="11" t="str">
        <f t="shared" ca="1" si="36"/>
        <v>정상</v>
      </c>
      <c r="L496" s="32">
        <v>46149</v>
      </c>
      <c r="N496" s="9" t="s">
        <v>35</v>
      </c>
    </row>
    <row r="497" spans="2:14" ht="16.5" hidden="1" customHeight="1">
      <c r="B497" s="9">
        <f>IF(C497="","",COUNTA($C$2:C497))</f>
        <v>496</v>
      </c>
      <c r="C497" s="47" t="s">
        <v>490</v>
      </c>
      <c r="D497" s="37" t="s">
        <v>160</v>
      </c>
      <c r="E497" s="20" t="s">
        <v>114</v>
      </c>
      <c r="F497" s="20" t="s">
        <v>256</v>
      </c>
      <c r="G497" s="34" t="s">
        <v>52</v>
      </c>
      <c r="H497" s="44">
        <v>392500</v>
      </c>
      <c r="I497" s="34">
        <f t="shared" ca="1" si="35"/>
        <v>25</v>
      </c>
      <c r="J497" s="11" t="str">
        <f t="shared" ca="1" si="36"/>
        <v>정상</v>
      </c>
      <c r="N497" s="9" t="s">
        <v>35</v>
      </c>
    </row>
    <row r="498" spans="2:14" ht="16.5" hidden="1" customHeight="1">
      <c r="B498" s="9">
        <f>IF(C498="","",COUNTA($C$2:C498))</f>
        <v>497</v>
      </c>
      <c r="C498" s="47" t="s">
        <v>490</v>
      </c>
      <c r="D498" s="37" t="s">
        <v>160</v>
      </c>
      <c r="E498" s="20" t="s">
        <v>494</v>
      </c>
      <c r="F498" s="20" t="s">
        <v>495</v>
      </c>
      <c r="G498" s="34" t="s">
        <v>52</v>
      </c>
      <c r="H498" s="44">
        <v>896000</v>
      </c>
      <c r="I498" s="34">
        <f t="shared" ca="1" si="35"/>
        <v>6</v>
      </c>
      <c r="J498" s="11" t="str">
        <f t="shared" ca="1" si="36"/>
        <v>정상</v>
      </c>
      <c r="L498" s="32">
        <v>46141</v>
      </c>
      <c r="N498" s="9" t="s">
        <v>35</v>
      </c>
    </row>
    <row r="499" spans="2:14" ht="16.5" hidden="1" customHeight="1">
      <c r="B499" s="9">
        <f>IF(C499="","",COUNTA($C$2:C499))</f>
        <v>498</v>
      </c>
      <c r="C499" s="47" t="s">
        <v>490</v>
      </c>
      <c r="D499" s="37" t="s">
        <v>160</v>
      </c>
      <c r="E499" s="20" t="s">
        <v>288</v>
      </c>
      <c r="F499" s="20" t="s">
        <v>317</v>
      </c>
      <c r="G499" s="34" t="s">
        <v>52</v>
      </c>
      <c r="H499" s="44">
        <v>6565000</v>
      </c>
      <c r="I499" s="34">
        <f t="shared" ca="1" si="35"/>
        <v>22</v>
      </c>
      <c r="J499" s="11" t="str">
        <f t="shared" ca="1" si="36"/>
        <v>정상</v>
      </c>
      <c r="L499" s="32">
        <v>46157</v>
      </c>
      <c r="N499" s="9" t="s">
        <v>35</v>
      </c>
    </row>
    <row r="500" spans="2:14" ht="16.5" hidden="1" customHeight="1">
      <c r="B500" s="9">
        <f>IF(C500="","",COUNTA($C$2:C500))</f>
        <v>499</v>
      </c>
      <c r="C500" s="47" t="s">
        <v>490</v>
      </c>
      <c r="D500" s="37" t="s">
        <v>160</v>
      </c>
      <c r="E500" s="20" t="s">
        <v>140</v>
      </c>
      <c r="F500" s="20" t="s">
        <v>257</v>
      </c>
      <c r="G500" s="34" t="s">
        <v>52</v>
      </c>
      <c r="H500" s="44">
        <v>585000</v>
      </c>
      <c r="I500" s="34">
        <f t="shared" ca="1" si="35"/>
        <v>25</v>
      </c>
      <c r="J500" s="11" t="str">
        <f t="shared" ca="1" si="36"/>
        <v>정상</v>
      </c>
      <c r="N500" s="9" t="s">
        <v>35</v>
      </c>
    </row>
    <row r="501" spans="2:14" ht="16.5" hidden="1" customHeight="1">
      <c r="B501" s="9">
        <f>IF(C501="","",COUNTA($C$2:C501))</f>
        <v>500</v>
      </c>
      <c r="C501" s="47" t="s">
        <v>490</v>
      </c>
      <c r="D501" s="37" t="s">
        <v>160</v>
      </c>
      <c r="E501" s="20" t="s">
        <v>217</v>
      </c>
      <c r="F501" s="20" t="s">
        <v>325</v>
      </c>
      <c r="G501" s="34" t="s">
        <v>52</v>
      </c>
      <c r="H501" s="44">
        <v>10737500</v>
      </c>
      <c r="I501" s="34">
        <f t="shared" ca="1" si="35"/>
        <v>25</v>
      </c>
      <c r="J501" s="11" t="str">
        <f t="shared" ca="1" si="36"/>
        <v>정상</v>
      </c>
      <c r="N501" s="9" t="s">
        <v>35</v>
      </c>
    </row>
    <row r="502" spans="2:14" ht="16.5" hidden="1" customHeight="1">
      <c r="B502" s="9">
        <f>IF(C502="","",COUNTA($C$2:C502))</f>
        <v>501</v>
      </c>
      <c r="C502" s="47" t="s">
        <v>490</v>
      </c>
      <c r="D502" s="37" t="s">
        <v>160</v>
      </c>
      <c r="E502" s="20" t="s">
        <v>195</v>
      </c>
      <c r="F502" s="20" t="s">
        <v>196</v>
      </c>
      <c r="G502" s="34" t="s">
        <v>52</v>
      </c>
      <c r="H502" s="44">
        <v>16640000</v>
      </c>
      <c r="I502" s="34">
        <f t="shared" ca="1" si="35"/>
        <v>25</v>
      </c>
      <c r="J502" s="11" t="str">
        <f t="shared" ref="J502:J531" ca="1" si="37">IF(I502="","",
IF(G502="선급금",
IF(I502&lt;=20,"정상",IF(I502&lt;=90,"관리","장기미수")),
IF(G502="자재",
IF(I502&lt;=40,"정상",IF(I502&lt;=90,"관리","장기미수")),
IF(I502&lt;=30,"정상",IF(I502&lt;=90,"관리","장기미수"))
)
)
)</f>
        <v>정상</v>
      </c>
      <c r="N502" s="9" t="s">
        <v>35</v>
      </c>
    </row>
    <row r="503" spans="2:14" ht="16.5" hidden="1" customHeight="1">
      <c r="B503" s="9">
        <f>IF(C503="","",COUNTA($C$2:C503))</f>
        <v>502</v>
      </c>
      <c r="C503" s="47" t="s">
        <v>490</v>
      </c>
      <c r="D503" s="37" t="s">
        <v>160</v>
      </c>
      <c r="E503" s="20" t="s">
        <v>112</v>
      </c>
      <c r="F503" s="20" t="s">
        <v>496</v>
      </c>
      <c r="G503" s="34" t="s">
        <v>52</v>
      </c>
      <c r="H503" s="44">
        <v>137300</v>
      </c>
      <c r="I503" s="34">
        <f t="shared" ca="1" si="35"/>
        <v>22</v>
      </c>
      <c r="J503" s="11" t="str">
        <f t="shared" ca="1" si="37"/>
        <v>정상</v>
      </c>
      <c r="L503" s="32">
        <v>46157</v>
      </c>
      <c r="N503" s="9" t="s">
        <v>35</v>
      </c>
    </row>
    <row r="504" spans="2:14" ht="16.5" hidden="1" customHeight="1">
      <c r="B504" s="9">
        <f>IF(C504="","",COUNTA($C$2:C504))</f>
        <v>503</v>
      </c>
      <c r="C504" s="47" t="s">
        <v>490</v>
      </c>
      <c r="D504" s="37" t="s">
        <v>160</v>
      </c>
      <c r="E504" s="20" t="s">
        <v>456</v>
      </c>
      <c r="F504" s="20" t="s">
        <v>497</v>
      </c>
      <c r="G504" s="34" t="s">
        <v>52</v>
      </c>
      <c r="H504" s="44">
        <v>1160100</v>
      </c>
      <c r="I504" s="34">
        <f t="shared" ca="1" si="35"/>
        <v>1</v>
      </c>
      <c r="J504" s="11" t="str">
        <f t="shared" ca="1" si="37"/>
        <v>정상</v>
      </c>
      <c r="L504" s="32">
        <v>46136</v>
      </c>
      <c r="N504" s="9" t="s">
        <v>35</v>
      </c>
    </row>
    <row r="505" spans="2:14" ht="16.5" hidden="1" customHeight="1">
      <c r="B505" s="9">
        <f>IF(C505="","",COUNTA($C$2:C505))</f>
        <v>504</v>
      </c>
      <c r="C505" s="47" t="s">
        <v>490</v>
      </c>
      <c r="D505" s="37" t="s">
        <v>160</v>
      </c>
      <c r="E505" s="20" t="s">
        <v>186</v>
      </c>
      <c r="F505" s="20" t="s">
        <v>498</v>
      </c>
      <c r="G505" s="34" t="s">
        <v>52</v>
      </c>
      <c r="H505" s="44">
        <v>500000</v>
      </c>
      <c r="I505" s="34">
        <f t="shared" ca="1" si="35"/>
        <v>25</v>
      </c>
      <c r="J505" s="11" t="str">
        <f t="shared" ca="1" si="37"/>
        <v>정상</v>
      </c>
      <c r="N505" s="9" t="s">
        <v>35</v>
      </c>
    </row>
    <row r="506" spans="2:14" ht="16.5" hidden="1" customHeight="1">
      <c r="B506" s="9">
        <f>IF(C506="","",COUNTA($C$2:C506))</f>
        <v>505</v>
      </c>
      <c r="C506" s="47" t="s">
        <v>490</v>
      </c>
      <c r="D506" s="37" t="s">
        <v>160</v>
      </c>
      <c r="E506" s="20" t="s">
        <v>329</v>
      </c>
      <c r="F506" s="20" t="s">
        <v>499</v>
      </c>
      <c r="G506" s="34" t="s">
        <v>52</v>
      </c>
      <c r="H506" s="44">
        <v>1592000</v>
      </c>
      <c r="I506" s="34">
        <f t="shared" ca="1" si="35"/>
        <v>25</v>
      </c>
      <c r="J506" s="11" t="str">
        <f t="shared" ca="1" si="37"/>
        <v>정상</v>
      </c>
      <c r="N506" s="9" t="s">
        <v>35</v>
      </c>
    </row>
    <row r="507" spans="2:14" ht="16.5" hidden="1" customHeight="1">
      <c r="B507" s="9">
        <f>IF(C507="","",COUNTA($C$2:C507))</f>
        <v>506</v>
      </c>
      <c r="C507" s="47" t="s">
        <v>490</v>
      </c>
      <c r="D507" s="37" t="s">
        <v>160</v>
      </c>
      <c r="E507" s="20" t="s">
        <v>134</v>
      </c>
      <c r="F507" s="20" t="s">
        <v>500</v>
      </c>
      <c r="G507" s="34" t="s">
        <v>52</v>
      </c>
      <c r="H507" s="44">
        <v>7681500</v>
      </c>
      <c r="I507" s="34">
        <f t="shared" ca="1" si="35"/>
        <v>22</v>
      </c>
      <c r="J507" s="11" t="str">
        <f t="shared" ca="1" si="37"/>
        <v>정상</v>
      </c>
      <c r="L507" s="32">
        <v>46157</v>
      </c>
      <c r="N507" s="9" t="s">
        <v>35</v>
      </c>
    </row>
    <row r="508" spans="2:14" ht="16.5" hidden="1" customHeight="1">
      <c r="B508" s="9">
        <f>IF(C508="","",COUNTA($C$2:C508))</f>
        <v>507</v>
      </c>
      <c r="C508" s="47" t="s">
        <v>490</v>
      </c>
      <c r="D508" s="37" t="s">
        <v>160</v>
      </c>
      <c r="E508" s="20" t="s">
        <v>42</v>
      </c>
      <c r="F508" s="20" t="s">
        <v>501</v>
      </c>
      <c r="G508" s="34" t="s">
        <v>52</v>
      </c>
      <c r="H508" s="44">
        <v>3597000</v>
      </c>
      <c r="I508" s="34">
        <f t="shared" ca="1" si="35"/>
        <v>25</v>
      </c>
      <c r="J508" s="11" t="str">
        <f t="shared" ca="1" si="37"/>
        <v>정상</v>
      </c>
      <c r="N508" s="9" t="s">
        <v>35</v>
      </c>
    </row>
    <row r="509" spans="2:14" ht="16.5" hidden="1" customHeight="1">
      <c r="B509" s="9">
        <f>IF(C509="","",COUNTA($C$2:C509))</f>
        <v>508</v>
      </c>
      <c r="C509" s="47" t="s">
        <v>490</v>
      </c>
      <c r="D509" s="37" t="s">
        <v>160</v>
      </c>
      <c r="E509" s="20" t="s">
        <v>140</v>
      </c>
      <c r="F509" s="20" t="s">
        <v>502</v>
      </c>
      <c r="G509" s="34" t="s">
        <v>52</v>
      </c>
      <c r="H509" s="44">
        <v>1515000</v>
      </c>
      <c r="I509" s="34">
        <f t="shared" ca="1" si="35"/>
        <v>25</v>
      </c>
      <c r="J509" s="11" t="str">
        <f t="shared" ca="1" si="37"/>
        <v>정상</v>
      </c>
      <c r="N509" s="9" t="s">
        <v>35</v>
      </c>
    </row>
    <row r="510" spans="2:14" ht="16.5" hidden="1" customHeight="1">
      <c r="B510" s="9">
        <f>IF(C510="","",COUNTA($C$2:C510))</f>
        <v>509</v>
      </c>
      <c r="C510" s="47" t="s">
        <v>490</v>
      </c>
      <c r="D510" s="37" t="s">
        <v>160</v>
      </c>
      <c r="E510" s="20" t="s">
        <v>489</v>
      </c>
      <c r="F510" s="20" t="s">
        <v>437</v>
      </c>
      <c r="G510" s="34" t="s">
        <v>52</v>
      </c>
      <c r="H510" s="44">
        <v>2122500</v>
      </c>
      <c r="I510" s="34">
        <f t="shared" ca="1" si="35"/>
        <v>7</v>
      </c>
      <c r="J510" s="11" t="str">
        <f t="shared" ca="1" si="37"/>
        <v>정상</v>
      </c>
      <c r="L510" s="32">
        <v>46142</v>
      </c>
      <c r="N510" s="9" t="s">
        <v>35</v>
      </c>
    </row>
    <row r="511" spans="2:14" ht="16.5" hidden="1" customHeight="1">
      <c r="B511" s="9">
        <f>IF(C511="","",COUNTA($C$2:C511))</f>
        <v>510</v>
      </c>
      <c r="C511" s="47" t="s">
        <v>490</v>
      </c>
      <c r="D511" s="37" t="s">
        <v>160</v>
      </c>
      <c r="E511" s="20" t="s">
        <v>459</v>
      </c>
      <c r="F511" s="20" t="s">
        <v>503</v>
      </c>
      <c r="G511" s="34" t="s">
        <v>52</v>
      </c>
      <c r="H511" s="44">
        <v>4190000</v>
      </c>
      <c r="I511" s="34">
        <f t="shared" ref="I511:I574" ca="1" si="38">IF(C511="","",IF(L511="",TODAY()-C511,L511-C511))</f>
        <v>25</v>
      </c>
      <c r="J511" s="11" t="str">
        <f t="shared" ca="1" si="37"/>
        <v>정상</v>
      </c>
      <c r="N511" s="9" t="s">
        <v>35</v>
      </c>
    </row>
    <row r="512" spans="2:14" ht="16.5" hidden="1" customHeight="1">
      <c r="B512" s="9">
        <f>IF(C512="","",COUNTA($C$2:C512))</f>
        <v>511</v>
      </c>
      <c r="C512" s="47">
        <v>46134</v>
      </c>
      <c r="D512" s="37" t="s">
        <v>153</v>
      </c>
      <c r="E512" s="35" t="s">
        <v>504</v>
      </c>
      <c r="F512" s="35" t="s">
        <v>495</v>
      </c>
      <c r="G512" s="34" t="s">
        <v>47</v>
      </c>
      <c r="H512" s="42">
        <v>972000</v>
      </c>
      <c r="I512" s="34">
        <f t="shared" ca="1" si="38"/>
        <v>7</v>
      </c>
      <c r="J512" s="11" t="str">
        <f t="shared" ca="1" si="37"/>
        <v>정상</v>
      </c>
      <c r="K512" s="54">
        <v>46164</v>
      </c>
      <c r="L512" s="32">
        <v>46141</v>
      </c>
      <c r="N512" s="9" t="s">
        <v>35</v>
      </c>
    </row>
    <row r="513" spans="2:14" ht="16.5" hidden="1" customHeight="1">
      <c r="B513" s="9">
        <f>IF(C513="","",COUNTA($C$2:C513))</f>
        <v>512</v>
      </c>
      <c r="C513" s="47">
        <v>46134</v>
      </c>
      <c r="D513" s="37" t="s">
        <v>180</v>
      </c>
      <c r="E513" s="35" t="s">
        <v>301</v>
      </c>
      <c r="F513" s="35" t="s">
        <v>440</v>
      </c>
      <c r="G513" s="34" t="s">
        <v>34</v>
      </c>
      <c r="H513" s="42">
        <v>10730000</v>
      </c>
      <c r="I513" s="34">
        <f t="shared" ca="1" si="38"/>
        <v>23</v>
      </c>
      <c r="J513" s="11" t="str">
        <f t="shared" ca="1" si="37"/>
        <v>정상</v>
      </c>
      <c r="K513" s="54">
        <v>46164</v>
      </c>
      <c r="L513" s="54">
        <v>46157</v>
      </c>
      <c r="N513" s="9" t="s">
        <v>35</v>
      </c>
    </row>
    <row r="514" spans="2:14" ht="16.5" hidden="1" customHeight="1">
      <c r="B514" s="9">
        <f>IF(C514="","",COUNTA($C$2:C514))</f>
        <v>513</v>
      </c>
      <c r="C514" s="47">
        <v>46134</v>
      </c>
      <c r="D514" s="37" t="s">
        <v>180</v>
      </c>
      <c r="E514" s="35" t="s">
        <v>203</v>
      </c>
      <c r="F514" s="35" t="s">
        <v>505</v>
      </c>
      <c r="G514" s="34" t="s">
        <v>20</v>
      </c>
      <c r="H514" s="42">
        <v>9423400</v>
      </c>
      <c r="I514" s="34">
        <f t="shared" ca="1" si="38"/>
        <v>23</v>
      </c>
      <c r="J514" s="11" t="str">
        <f t="shared" ca="1" si="37"/>
        <v>관리</v>
      </c>
      <c r="K514" s="54">
        <v>46154</v>
      </c>
      <c r="L514" s="54">
        <v>46157</v>
      </c>
      <c r="N514" s="9" t="s">
        <v>35</v>
      </c>
    </row>
    <row r="515" spans="2:14" ht="16.5" hidden="1" customHeight="1">
      <c r="B515" s="9">
        <f>IF(C515="","",COUNTA($C$2:C515))</f>
        <v>514</v>
      </c>
      <c r="C515" s="47" t="s">
        <v>506</v>
      </c>
      <c r="D515" s="37" t="s">
        <v>160</v>
      </c>
      <c r="E515" s="20" t="s">
        <v>114</v>
      </c>
      <c r="F515" s="34" t="s">
        <v>443</v>
      </c>
      <c r="G515" s="34" t="s">
        <v>52</v>
      </c>
      <c r="H515" s="44">
        <v>50550500</v>
      </c>
      <c r="I515" s="34">
        <f t="shared" ca="1" si="38"/>
        <v>24</v>
      </c>
      <c r="J515" s="11" t="str">
        <f t="shared" ca="1" si="37"/>
        <v>정상</v>
      </c>
      <c r="N515" s="9" t="s">
        <v>35</v>
      </c>
    </row>
    <row r="516" spans="2:14" ht="16.5" hidden="1" customHeight="1">
      <c r="B516" s="9">
        <f>IF(C516="","",COUNTA($C$2:C516))</f>
        <v>515</v>
      </c>
      <c r="C516" s="47" t="s">
        <v>506</v>
      </c>
      <c r="D516" s="37" t="s">
        <v>160</v>
      </c>
      <c r="E516" s="20" t="s">
        <v>507</v>
      </c>
      <c r="F516" s="34" t="s">
        <v>508</v>
      </c>
      <c r="G516" s="34" t="s">
        <v>52</v>
      </c>
      <c r="H516" s="44">
        <v>72000</v>
      </c>
      <c r="I516" s="34">
        <f t="shared" ca="1" si="38"/>
        <v>21</v>
      </c>
      <c r="J516" s="11" t="str">
        <f t="shared" ca="1" si="37"/>
        <v>정상</v>
      </c>
      <c r="L516" s="32">
        <v>46157</v>
      </c>
      <c r="N516" s="9" t="s">
        <v>35</v>
      </c>
    </row>
    <row r="517" spans="2:14" ht="16.5" hidden="1" customHeight="1">
      <c r="B517" s="9">
        <f>IF(C517="","",COUNTA($C$2:C517))</f>
        <v>516</v>
      </c>
      <c r="C517" s="47" t="s">
        <v>506</v>
      </c>
      <c r="D517" s="37" t="s">
        <v>160</v>
      </c>
      <c r="E517" s="20" t="s">
        <v>224</v>
      </c>
      <c r="F517" s="34" t="s">
        <v>509</v>
      </c>
      <c r="G517" s="34" t="s">
        <v>52</v>
      </c>
      <c r="H517" s="44">
        <v>207000</v>
      </c>
      <c r="I517" s="34">
        <f t="shared" ca="1" si="38"/>
        <v>4</v>
      </c>
      <c r="J517" s="11" t="str">
        <f t="shared" ca="1" si="37"/>
        <v>정상</v>
      </c>
      <c r="L517" s="32">
        <v>46140</v>
      </c>
      <c r="N517" s="9" t="s">
        <v>35</v>
      </c>
    </row>
    <row r="518" spans="2:14" ht="16.5" hidden="1" customHeight="1">
      <c r="B518" s="9">
        <f>IF(C518="","",COUNTA($C$2:C518))</f>
        <v>517</v>
      </c>
      <c r="C518" s="47" t="s">
        <v>506</v>
      </c>
      <c r="D518" s="37" t="s">
        <v>160</v>
      </c>
      <c r="E518" s="20" t="s">
        <v>163</v>
      </c>
      <c r="F518" s="34" t="s">
        <v>510</v>
      </c>
      <c r="G518" s="34" t="s">
        <v>52</v>
      </c>
      <c r="H518" s="44">
        <v>1314100</v>
      </c>
      <c r="I518" s="34">
        <f t="shared" ca="1" si="38"/>
        <v>0</v>
      </c>
      <c r="J518" s="11" t="str">
        <f t="shared" ca="1" si="37"/>
        <v>정상</v>
      </c>
      <c r="L518" s="32">
        <v>46136</v>
      </c>
      <c r="N518" s="9" t="s">
        <v>35</v>
      </c>
    </row>
    <row r="519" spans="2:14" ht="16.5" hidden="1" customHeight="1">
      <c r="B519" s="9">
        <f>IF(C519="","",COUNTA($C$2:C519))</f>
        <v>518</v>
      </c>
      <c r="C519" s="47" t="s">
        <v>506</v>
      </c>
      <c r="D519" s="37" t="s">
        <v>160</v>
      </c>
      <c r="E519" s="20" t="s">
        <v>433</v>
      </c>
      <c r="F519" s="34" t="s">
        <v>384</v>
      </c>
      <c r="G519" s="34" t="s">
        <v>52</v>
      </c>
      <c r="H519" s="44">
        <v>1053500</v>
      </c>
      <c r="I519" s="34">
        <f t="shared" ca="1" si="38"/>
        <v>24</v>
      </c>
      <c r="J519" s="11" t="str">
        <f t="shared" ca="1" si="37"/>
        <v>정상</v>
      </c>
      <c r="N519" s="9" t="s">
        <v>35</v>
      </c>
    </row>
    <row r="520" spans="2:14" ht="16.5" hidden="1" customHeight="1">
      <c r="B520" s="9">
        <f>IF(C520="","",COUNTA($C$2:C520))</f>
        <v>519</v>
      </c>
      <c r="C520" s="47" t="s">
        <v>506</v>
      </c>
      <c r="D520" s="37" t="s">
        <v>160</v>
      </c>
      <c r="E520" s="20" t="s">
        <v>140</v>
      </c>
      <c r="F520" s="34" t="s">
        <v>400</v>
      </c>
      <c r="G520" s="34" t="s">
        <v>52</v>
      </c>
      <c r="H520" s="44">
        <v>1625800</v>
      </c>
      <c r="I520" s="34">
        <f t="shared" ca="1" si="38"/>
        <v>24</v>
      </c>
      <c r="J520" s="11" t="str">
        <f t="shared" ca="1" si="37"/>
        <v>정상</v>
      </c>
      <c r="N520" s="9" t="s">
        <v>35</v>
      </c>
    </row>
    <row r="521" spans="2:14" ht="16.5" hidden="1" customHeight="1">
      <c r="B521" s="9">
        <f>IF(C521="","",COUNTA($C$2:C521))</f>
        <v>520</v>
      </c>
      <c r="C521" s="47" t="s">
        <v>506</v>
      </c>
      <c r="D521" s="37" t="s">
        <v>160</v>
      </c>
      <c r="E521" s="20" t="s">
        <v>511</v>
      </c>
      <c r="F521" s="34" t="s">
        <v>512</v>
      </c>
      <c r="G521" s="34" t="s">
        <v>52</v>
      </c>
      <c r="H521" s="44">
        <v>5198400</v>
      </c>
      <c r="I521" s="34">
        <f t="shared" ca="1" si="38"/>
        <v>3</v>
      </c>
      <c r="J521" s="11" t="str">
        <f t="shared" ca="1" si="37"/>
        <v>정상</v>
      </c>
      <c r="L521" s="32">
        <v>46139</v>
      </c>
      <c r="N521" s="9" t="s">
        <v>35</v>
      </c>
    </row>
    <row r="522" spans="2:14" ht="16.5" hidden="1" customHeight="1">
      <c r="B522" s="9">
        <f>IF(C522="","",COUNTA($C$2:C522))</f>
        <v>521</v>
      </c>
      <c r="C522" s="47" t="s">
        <v>506</v>
      </c>
      <c r="D522" s="37" t="s">
        <v>160</v>
      </c>
      <c r="E522" s="20" t="s">
        <v>513</v>
      </c>
      <c r="F522" s="34" t="s">
        <v>514</v>
      </c>
      <c r="G522" s="34" t="s">
        <v>52</v>
      </c>
      <c r="H522" s="44">
        <v>10059400</v>
      </c>
      <c r="I522" s="34">
        <f t="shared" ca="1" si="38"/>
        <v>24</v>
      </c>
      <c r="J522" s="11" t="str">
        <f t="shared" ca="1" si="37"/>
        <v>정상</v>
      </c>
      <c r="N522" s="9" t="s">
        <v>35</v>
      </c>
    </row>
    <row r="523" spans="2:14" ht="16.5" hidden="1" customHeight="1">
      <c r="B523" s="9">
        <f>IF(C523="","",COUNTA($C$2:C523))</f>
        <v>522</v>
      </c>
      <c r="C523" s="47" t="s">
        <v>506</v>
      </c>
      <c r="D523" s="37" t="s">
        <v>160</v>
      </c>
      <c r="E523" s="20" t="s">
        <v>120</v>
      </c>
      <c r="F523" s="34" t="s">
        <v>471</v>
      </c>
      <c r="G523" s="34" t="s">
        <v>52</v>
      </c>
      <c r="H523" s="44">
        <v>1455500</v>
      </c>
      <c r="I523" s="34">
        <f t="shared" ca="1" si="38"/>
        <v>6</v>
      </c>
      <c r="J523" s="11" t="str">
        <f t="shared" ca="1" si="37"/>
        <v>정상</v>
      </c>
      <c r="L523" s="32">
        <v>46142</v>
      </c>
      <c r="N523" s="9" t="s">
        <v>35</v>
      </c>
    </row>
    <row r="524" spans="2:14" ht="16.5" hidden="1" customHeight="1">
      <c r="B524" s="9">
        <f>IF(C524="","",COUNTA($C$2:C524))</f>
        <v>523</v>
      </c>
      <c r="C524" s="47" t="s">
        <v>506</v>
      </c>
      <c r="D524" s="37" t="s">
        <v>160</v>
      </c>
      <c r="E524" s="20" t="s">
        <v>120</v>
      </c>
      <c r="F524" s="34" t="s">
        <v>471</v>
      </c>
      <c r="G524" s="34" t="s">
        <v>52</v>
      </c>
      <c r="H524" s="44">
        <v>503200</v>
      </c>
      <c r="I524" s="34">
        <f t="shared" ca="1" si="38"/>
        <v>6</v>
      </c>
      <c r="J524" s="11" t="str">
        <f t="shared" ca="1" si="37"/>
        <v>정상</v>
      </c>
      <c r="L524" s="32">
        <v>46142</v>
      </c>
      <c r="N524" s="9" t="s">
        <v>35</v>
      </c>
    </row>
    <row r="525" spans="2:14" ht="16.5" hidden="1" customHeight="1">
      <c r="B525" s="9">
        <f>IF(C525="","",COUNTA($C$2:C525))</f>
        <v>524</v>
      </c>
      <c r="C525" s="47" t="s">
        <v>515</v>
      </c>
      <c r="D525" s="37" t="s">
        <v>160</v>
      </c>
      <c r="E525" s="20" t="s">
        <v>217</v>
      </c>
      <c r="F525" s="34" t="s">
        <v>218</v>
      </c>
      <c r="G525" s="34" t="s">
        <v>52</v>
      </c>
      <c r="H525" s="44">
        <v>13750000</v>
      </c>
      <c r="I525" s="34">
        <f t="shared" ca="1" si="38"/>
        <v>21</v>
      </c>
      <c r="J525" s="11" t="str">
        <f t="shared" ca="1" si="37"/>
        <v>정상</v>
      </c>
      <c r="N525" s="9" t="s">
        <v>35</v>
      </c>
    </row>
    <row r="526" spans="2:14" ht="16.5" hidden="1" customHeight="1">
      <c r="B526" s="9">
        <f>IF(C526="","",COUNTA($C$2:C526))</f>
        <v>525</v>
      </c>
      <c r="C526" s="47" t="s">
        <v>515</v>
      </c>
      <c r="D526" s="37" t="s">
        <v>160</v>
      </c>
      <c r="E526" s="20" t="s">
        <v>65</v>
      </c>
      <c r="F526" s="34" t="s">
        <v>516</v>
      </c>
      <c r="G526" s="34" t="s">
        <v>52</v>
      </c>
      <c r="H526" s="44">
        <v>2192900</v>
      </c>
      <c r="I526" s="34">
        <f t="shared" ca="1" si="38"/>
        <v>21</v>
      </c>
      <c r="J526" s="11" t="str">
        <f t="shared" ca="1" si="37"/>
        <v>정상</v>
      </c>
      <c r="N526" s="9" t="s">
        <v>35</v>
      </c>
    </row>
    <row r="527" spans="2:14" ht="16.5" hidden="1" customHeight="1">
      <c r="B527" s="9">
        <f>IF(C527="","",COUNTA($C$2:C527))</f>
        <v>526</v>
      </c>
      <c r="C527" s="47" t="s">
        <v>515</v>
      </c>
      <c r="D527" s="37" t="s">
        <v>160</v>
      </c>
      <c r="E527" s="20" t="s">
        <v>275</v>
      </c>
      <c r="F527" s="34" t="s">
        <v>517</v>
      </c>
      <c r="G527" s="34" t="s">
        <v>52</v>
      </c>
      <c r="H527" s="44">
        <v>2507500</v>
      </c>
      <c r="I527" s="34">
        <f t="shared" ca="1" si="38"/>
        <v>21</v>
      </c>
      <c r="J527" s="11" t="str">
        <f t="shared" ca="1" si="37"/>
        <v>정상</v>
      </c>
      <c r="N527" s="9" t="s">
        <v>35</v>
      </c>
    </row>
    <row r="528" spans="2:14" ht="16.5" hidden="1" customHeight="1">
      <c r="B528" s="9">
        <f>IF(C528="","",COUNTA($C$2:C528))</f>
        <v>527</v>
      </c>
      <c r="C528" s="47" t="s">
        <v>515</v>
      </c>
      <c r="D528" s="37" t="s">
        <v>160</v>
      </c>
      <c r="E528" s="20" t="s">
        <v>489</v>
      </c>
      <c r="F528" s="34" t="s">
        <v>518</v>
      </c>
      <c r="G528" s="34" t="s">
        <v>52</v>
      </c>
      <c r="H528" s="44">
        <v>2793000</v>
      </c>
      <c r="I528" s="34">
        <f t="shared" ca="1" si="38"/>
        <v>3</v>
      </c>
      <c r="J528" s="11" t="str">
        <f t="shared" ca="1" si="37"/>
        <v>정상</v>
      </c>
      <c r="L528" s="32">
        <v>46142</v>
      </c>
      <c r="N528" s="9" t="s">
        <v>35</v>
      </c>
    </row>
    <row r="529" spans="2:14" ht="16.5" hidden="1" customHeight="1">
      <c r="B529" s="9">
        <f>IF(C529="","",COUNTA($C$2:C529))</f>
        <v>528</v>
      </c>
      <c r="C529" s="47" t="s">
        <v>519</v>
      </c>
      <c r="D529" s="37" t="s">
        <v>160</v>
      </c>
      <c r="E529" s="20" t="s">
        <v>520</v>
      </c>
      <c r="F529" s="20" t="s">
        <v>497</v>
      </c>
      <c r="G529" s="34" t="s">
        <v>52</v>
      </c>
      <c r="H529" s="44">
        <v>232000</v>
      </c>
      <c r="I529" s="34">
        <f t="shared" ca="1" si="38"/>
        <v>1</v>
      </c>
      <c r="J529" s="11" t="str">
        <f t="shared" ca="1" si="37"/>
        <v>정상</v>
      </c>
      <c r="L529" s="32">
        <v>46141</v>
      </c>
      <c r="N529" s="9" t="s">
        <v>35</v>
      </c>
    </row>
    <row r="530" spans="2:14" ht="16.5" hidden="1" customHeight="1">
      <c r="B530" s="9">
        <f>IF(C530="","",COUNTA($C$2:C530))</f>
        <v>529</v>
      </c>
      <c r="C530" s="47" t="s">
        <v>519</v>
      </c>
      <c r="D530" s="37" t="s">
        <v>160</v>
      </c>
      <c r="E530" s="20" t="s">
        <v>456</v>
      </c>
      <c r="F530" s="20" t="s">
        <v>521</v>
      </c>
      <c r="G530" s="34" t="s">
        <v>52</v>
      </c>
      <c r="H530" s="44">
        <v>6454000</v>
      </c>
      <c r="I530" s="34">
        <f t="shared" ca="1" si="38"/>
        <v>0</v>
      </c>
      <c r="J530" s="11" t="str">
        <f t="shared" ca="1" si="37"/>
        <v>정상</v>
      </c>
      <c r="L530" s="32">
        <v>46140</v>
      </c>
      <c r="N530" s="9" t="s">
        <v>35</v>
      </c>
    </row>
    <row r="531" spans="2:14" ht="16.5" hidden="1" customHeight="1">
      <c r="B531" s="9">
        <f>IF(C531="","",COUNTA($C$2:C531))</f>
        <v>530</v>
      </c>
      <c r="C531" s="47" t="s">
        <v>519</v>
      </c>
      <c r="D531" s="37" t="s">
        <v>160</v>
      </c>
      <c r="E531" s="20" t="s">
        <v>161</v>
      </c>
      <c r="F531" s="20" t="s">
        <v>522</v>
      </c>
      <c r="G531" s="34" t="s">
        <v>52</v>
      </c>
      <c r="H531" s="44">
        <v>13014800</v>
      </c>
      <c r="I531" s="34">
        <f t="shared" ca="1" si="38"/>
        <v>20</v>
      </c>
      <c r="J531" s="11" t="str">
        <f t="shared" ca="1" si="37"/>
        <v>정상</v>
      </c>
      <c r="N531" s="9" t="s">
        <v>35</v>
      </c>
    </row>
    <row r="532" spans="2:14" ht="16.5" hidden="1" customHeight="1">
      <c r="B532" s="9">
        <f>IF(C532="","",COUNTA($C$2:C532))</f>
        <v>531</v>
      </c>
      <c r="C532" s="47" t="s">
        <v>519</v>
      </c>
      <c r="D532" s="37" t="s">
        <v>160</v>
      </c>
      <c r="E532" s="20" t="s">
        <v>309</v>
      </c>
      <c r="F532" s="20" t="s">
        <v>523</v>
      </c>
      <c r="G532" s="34" t="s">
        <v>52</v>
      </c>
      <c r="H532" s="44">
        <v>505600</v>
      </c>
      <c r="I532" s="34">
        <f t="shared" ca="1" si="38"/>
        <v>20</v>
      </c>
      <c r="J532" s="11" t="str">
        <f ca="1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9" t="s">
        <v>35</v>
      </c>
    </row>
    <row r="533" spans="2:14" ht="16.5" hidden="1" customHeight="1">
      <c r="B533" s="9">
        <f>IF(C533="","",COUNTA($C$2:C533))</f>
        <v>532</v>
      </c>
      <c r="C533" s="47" t="s">
        <v>519</v>
      </c>
      <c r="D533" s="37" t="s">
        <v>160</v>
      </c>
      <c r="E533" s="20" t="s">
        <v>140</v>
      </c>
      <c r="F533" s="20" t="s">
        <v>524</v>
      </c>
      <c r="G533" s="34" t="s">
        <v>52</v>
      </c>
      <c r="H533" s="44">
        <v>3082000</v>
      </c>
      <c r="I533" s="34">
        <f t="shared" ca="1" si="38"/>
        <v>20</v>
      </c>
      <c r="J533" s="11" t="str">
        <f t="shared" ref="J533:J564" ca="1" si="39">IF(I533="","",
IF(G533="선급금",
IF(I533&lt;=20,"정상",IF(I533&lt;=90,"관리","장기미수")),
IF(G533="자재",
IF(I533&lt;=40,"정상",IF(I533&lt;=90,"관리","장기미수")),
IF(I533&lt;=30,"정상",IF(I533&lt;=90,"관리","장기미수"))
)
)
)</f>
        <v>정상</v>
      </c>
      <c r="N533" s="9" t="s">
        <v>35</v>
      </c>
    </row>
    <row r="534" spans="2:14" ht="16.5" hidden="1" customHeight="1">
      <c r="B534" s="9">
        <f>IF(C534="","",COUNTA($C$2:C534))</f>
        <v>533</v>
      </c>
      <c r="C534" s="47" t="s">
        <v>519</v>
      </c>
      <c r="D534" s="37" t="s">
        <v>160</v>
      </c>
      <c r="E534" s="20" t="s">
        <v>140</v>
      </c>
      <c r="F534" s="20" t="s">
        <v>525</v>
      </c>
      <c r="G534" s="34" t="s">
        <v>52</v>
      </c>
      <c r="H534" s="44">
        <v>4096100</v>
      </c>
      <c r="I534" s="34">
        <f t="shared" ca="1" si="38"/>
        <v>20</v>
      </c>
      <c r="J534" s="11" t="str">
        <f t="shared" ca="1" si="39"/>
        <v>정상</v>
      </c>
      <c r="N534" s="9" t="s">
        <v>35</v>
      </c>
    </row>
    <row r="535" spans="2:14" ht="16.5" hidden="1" customHeight="1">
      <c r="B535" s="9">
        <f>IF(C535="","",COUNTA($C$2:C535))</f>
        <v>534</v>
      </c>
      <c r="C535" s="47" t="s">
        <v>515</v>
      </c>
      <c r="D535" s="37" t="s">
        <v>160</v>
      </c>
      <c r="E535" s="20" t="s">
        <v>140</v>
      </c>
      <c r="F535" s="20" t="s">
        <v>400</v>
      </c>
      <c r="G535" s="34" t="s">
        <v>52</v>
      </c>
      <c r="H535" s="42">
        <v>1627500</v>
      </c>
      <c r="I535" s="34">
        <f t="shared" ca="1" si="38"/>
        <v>21</v>
      </c>
      <c r="J535" s="11" t="str">
        <f t="shared" ca="1" si="39"/>
        <v>정상</v>
      </c>
      <c r="N535" s="9" t="s">
        <v>35</v>
      </c>
    </row>
    <row r="536" spans="2:14" ht="16.5" hidden="1" customHeight="1">
      <c r="B536" s="9">
        <f>IF(C536="","",COUNTA($C$2:C536))</f>
        <v>535</v>
      </c>
      <c r="C536" s="47" t="s">
        <v>515</v>
      </c>
      <c r="D536" s="37" t="s">
        <v>160</v>
      </c>
      <c r="E536" s="20" t="s">
        <v>140</v>
      </c>
      <c r="F536" s="20" t="s">
        <v>258</v>
      </c>
      <c r="G536" s="34" t="s">
        <v>52</v>
      </c>
      <c r="H536" s="42">
        <v>660700</v>
      </c>
      <c r="I536" s="34">
        <f t="shared" ca="1" si="38"/>
        <v>21</v>
      </c>
      <c r="J536" s="11" t="str">
        <f t="shared" ca="1" si="39"/>
        <v>정상</v>
      </c>
      <c r="N536" s="9" t="s">
        <v>35</v>
      </c>
    </row>
    <row r="537" spans="2:14" ht="16.5" hidden="1" customHeight="1">
      <c r="B537" s="9">
        <f>IF(C537="","",COUNTA($C$2:C537))</f>
        <v>536</v>
      </c>
      <c r="C537" s="47" t="s">
        <v>515</v>
      </c>
      <c r="D537" s="37" t="s">
        <v>160</v>
      </c>
      <c r="E537" s="20" t="s">
        <v>120</v>
      </c>
      <c r="F537" s="20" t="s">
        <v>471</v>
      </c>
      <c r="G537" s="34" t="s">
        <v>52</v>
      </c>
      <c r="H537" s="42">
        <v>513200</v>
      </c>
      <c r="I537" s="34">
        <f t="shared" ca="1" si="38"/>
        <v>3</v>
      </c>
      <c r="J537" s="11" t="str">
        <f t="shared" ca="1" si="39"/>
        <v>정상</v>
      </c>
      <c r="L537" s="32">
        <v>46142</v>
      </c>
      <c r="N537" s="9" t="s">
        <v>35</v>
      </c>
    </row>
    <row r="538" spans="2:14" ht="16.5" hidden="1" customHeight="1">
      <c r="B538" s="9">
        <f>IF(C538="","",COUNTA($C$2:C538))</f>
        <v>537</v>
      </c>
      <c r="C538" s="47" t="s">
        <v>515</v>
      </c>
      <c r="D538" s="37" t="s">
        <v>160</v>
      </c>
      <c r="E538" s="20" t="s">
        <v>489</v>
      </c>
      <c r="F538" s="20" t="s">
        <v>518</v>
      </c>
      <c r="G538" s="34" t="s">
        <v>52</v>
      </c>
      <c r="H538" s="42">
        <v>12079200</v>
      </c>
      <c r="I538" s="34">
        <f t="shared" ca="1" si="38"/>
        <v>3</v>
      </c>
      <c r="J538" s="11" t="str">
        <f t="shared" ca="1" si="39"/>
        <v>정상</v>
      </c>
      <c r="L538" s="32">
        <v>46142</v>
      </c>
      <c r="N538" s="9" t="s">
        <v>35</v>
      </c>
    </row>
    <row r="539" spans="2:14" ht="16.5" hidden="1" customHeight="1">
      <c r="B539" s="9">
        <f>IF(C539="","",COUNTA($C$2:C539))</f>
        <v>538</v>
      </c>
      <c r="C539" s="47" t="s">
        <v>515</v>
      </c>
      <c r="D539" s="37" t="s">
        <v>160</v>
      </c>
      <c r="E539" s="20" t="s">
        <v>427</v>
      </c>
      <c r="F539" s="20" t="s">
        <v>526</v>
      </c>
      <c r="G539" s="34" t="s">
        <v>52</v>
      </c>
      <c r="H539" s="42">
        <v>9625000</v>
      </c>
      <c r="I539" s="34">
        <f t="shared" ca="1" si="38"/>
        <v>21</v>
      </c>
      <c r="J539" s="11" t="str">
        <f t="shared" ca="1" si="39"/>
        <v>정상</v>
      </c>
      <c r="N539" s="9" t="s">
        <v>35</v>
      </c>
    </row>
    <row r="540" spans="2:14" ht="16.5" hidden="1" customHeight="1">
      <c r="B540" s="9">
        <f>IF(C540="","",COUNTA($C$2:C540))</f>
        <v>539</v>
      </c>
      <c r="C540" s="47" t="s">
        <v>515</v>
      </c>
      <c r="D540" s="37" t="s">
        <v>160</v>
      </c>
      <c r="E540" s="20" t="s">
        <v>441</v>
      </c>
      <c r="F540" s="20" t="s">
        <v>527</v>
      </c>
      <c r="G540" s="34" t="s">
        <v>52</v>
      </c>
      <c r="H540" s="42">
        <v>3462000</v>
      </c>
      <c r="I540" s="34">
        <f t="shared" ca="1" si="38"/>
        <v>0</v>
      </c>
      <c r="J540" s="11" t="str">
        <f t="shared" ca="1" si="39"/>
        <v>정상</v>
      </c>
      <c r="L540" s="32">
        <v>46139</v>
      </c>
      <c r="N540" s="9" t="s">
        <v>35</v>
      </c>
    </row>
    <row r="541" spans="2:14" ht="16.5" hidden="1" customHeight="1">
      <c r="B541" s="9">
        <f>IF(C541="","",COUNTA($C$2:C541))</f>
        <v>540</v>
      </c>
      <c r="C541" s="47" t="s">
        <v>515</v>
      </c>
      <c r="D541" s="37" t="s">
        <v>160</v>
      </c>
      <c r="E541" s="20" t="s">
        <v>373</v>
      </c>
      <c r="F541" s="20" t="s">
        <v>528</v>
      </c>
      <c r="G541" s="34" t="s">
        <v>52</v>
      </c>
      <c r="H541" s="42">
        <v>752000</v>
      </c>
      <c r="I541" s="34">
        <f t="shared" ca="1" si="38"/>
        <v>3</v>
      </c>
      <c r="J541" s="11" t="str">
        <f t="shared" ca="1" si="39"/>
        <v>정상</v>
      </c>
      <c r="L541" s="32">
        <v>46142</v>
      </c>
      <c r="N541" s="9" t="s">
        <v>35</v>
      </c>
    </row>
    <row r="542" spans="2:14" ht="16.5" hidden="1" customHeight="1">
      <c r="B542" s="9">
        <f>IF(C542="","",COUNTA($C$2:C542))</f>
        <v>541</v>
      </c>
      <c r="C542" s="47" t="s">
        <v>515</v>
      </c>
      <c r="D542" s="37" t="s">
        <v>160</v>
      </c>
      <c r="E542" s="20" t="s">
        <v>65</v>
      </c>
      <c r="F542" s="20" t="s">
        <v>529</v>
      </c>
      <c r="G542" s="34" t="s">
        <v>52</v>
      </c>
      <c r="H542" s="42">
        <v>2920800</v>
      </c>
      <c r="I542" s="34">
        <f t="shared" ca="1" si="38"/>
        <v>21</v>
      </c>
      <c r="J542" s="11" t="str">
        <f t="shared" ca="1" si="39"/>
        <v>정상</v>
      </c>
      <c r="N542" s="9" t="s">
        <v>35</v>
      </c>
    </row>
    <row r="543" spans="2:14" ht="16.5" hidden="1" customHeight="1">
      <c r="B543" s="9">
        <f>IF(C543="","",COUNTA($C$2:C543))</f>
        <v>542</v>
      </c>
      <c r="C543" s="47" t="s">
        <v>515</v>
      </c>
      <c r="D543" s="37" t="s">
        <v>180</v>
      </c>
      <c r="E543" s="35" t="s">
        <v>199</v>
      </c>
      <c r="F543" s="35" t="s">
        <v>200</v>
      </c>
      <c r="G543" s="34" t="s">
        <v>34</v>
      </c>
      <c r="H543" s="42">
        <v>24720000</v>
      </c>
      <c r="I543" s="34">
        <f t="shared" ca="1" si="38"/>
        <v>9</v>
      </c>
      <c r="J543" s="11" t="str">
        <f t="shared" ca="1" si="39"/>
        <v>정상</v>
      </c>
      <c r="K543" s="54">
        <v>46169</v>
      </c>
      <c r="L543" s="32">
        <v>46148</v>
      </c>
      <c r="N543" s="9" t="s">
        <v>35</v>
      </c>
    </row>
    <row r="544" spans="2:14" ht="16.5" hidden="1" customHeight="1">
      <c r="B544" s="9">
        <f>IF(C544="","",COUNTA($C$2:C544))</f>
        <v>543</v>
      </c>
      <c r="C544" s="47" t="s">
        <v>515</v>
      </c>
      <c r="D544" s="37" t="s">
        <v>180</v>
      </c>
      <c r="E544" s="35" t="s">
        <v>390</v>
      </c>
      <c r="F544" s="35" t="s">
        <v>391</v>
      </c>
      <c r="G544" s="34" t="s">
        <v>34</v>
      </c>
      <c r="H544" s="42">
        <v>46100000</v>
      </c>
      <c r="I544" s="34">
        <f t="shared" ca="1" si="38"/>
        <v>18</v>
      </c>
      <c r="J544" s="11" t="str">
        <f t="shared" ca="1" si="39"/>
        <v>정상</v>
      </c>
      <c r="K544" s="54">
        <v>46169</v>
      </c>
      <c r="L544" s="54">
        <v>46157</v>
      </c>
      <c r="N544" s="9" t="s">
        <v>35</v>
      </c>
    </row>
    <row r="545" spans="2:14" ht="16.5" hidden="1" customHeight="1">
      <c r="B545" s="9">
        <f>IF(C545="","",COUNTA($C$2:C545))</f>
        <v>544</v>
      </c>
      <c r="C545" s="47" t="s">
        <v>515</v>
      </c>
      <c r="D545" s="37" t="s">
        <v>180</v>
      </c>
      <c r="E545" s="35" t="s">
        <v>301</v>
      </c>
      <c r="F545" s="35" t="s">
        <v>392</v>
      </c>
      <c r="G545" s="34" t="s">
        <v>41</v>
      </c>
      <c r="H545" s="42">
        <v>3530000</v>
      </c>
      <c r="I545" s="34">
        <f t="shared" ca="1" si="38"/>
        <v>18</v>
      </c>
      <c r="J545" s="11" t="str">
        <f t="shared" ca="1" si="39"/>
        <v>정상</v>
      </c>
      <c r="K545" s="54">
        <v>46169</v>
      </c>
      <c r="L545" s="54">
        <v>46157</v>
      </c>
      <c r="N545" s="9" t="s">
        <v>35</v>
      </c>
    </row>
    <row r="546" spans="2:14" ht="16.5" hidden="1" customHeight="1">
      <c r="B546" s="9">
        <f>IF(C546="","",COUNTA($C$2:C546))</f>
        <v>545</v>
      </c>
      <c r="C546" s="47" t="s">
        <v>515</v>
      </c>
      <c r="D546" s="37" t="s">
        <v>180</v>
      </c>
      <c r="E546" s="35" t="s">
        <v>301</v>
      </c>
      <c r="F546" s="35" t="s">
        <v>440</v>
      </c>
      <c r="G546" s="34" t="s">
        <v>41</v>
      </c>
      <c r="H546" s="42">
        <v>10550000</v>
      </c>
      <c r="I546" s="34">
        <f t="shared" ca="1" si="38"/>
        <v>18</v>
      </c>
      <c r="J546" s="11" t="str">
        <f t="shared" ca="1" si="39"/>
        <v>정상</v>
      </c>
      <c r="K546" s="54">
        <v>46169</v>
      </c>
      <c r="L546" s="54">
        <v>46157</v>
      </c>
      <c r="N546" s="9" t="s">
        <v>35</v>
      </c>
    </row>
    <row r="547" spans="2:14" ht="16.5" hidden="1" customHeight="1">
      <c r="B547" s="9">
        <f>IF(C547="","",COUNTA($C$2:C547))</f>
        <v>546</v>
      </c>
      <c r="C547" s="47" t="s">
        <v>530</v>
      </c>
      <c r="D547" s="37" t="s">
        <v>160</v>
      </c>
      <c r="E547" s="20" t="s">
        <v>96</v>
      </c>
      <c r="F547" s="20" t="s">
        <v>376</v>
      </c>
      <c r="G547" s="34" t="s">
        <v>52</v>
      </c>
      <c r="H547" s="55">
        <v>1466000</v>
      </c>
      <c r="I547" s="34">
        <f t="shared" ca="1" si="38"/>
        <v>19</v>
      </c>
      <c r="J547" s="11" t="str">
        <f t="shared" ca="1" si="39"/>
        <v>정상</v>
      </c>
      <c r="N547" s="9" t="s">
        <v>35</v>
      </c>
    </row>
    <row r="548" spans="2:14" ht="16.5" hidden="1" customHeight="1">
      <c r="B548" s="9">
        <f>IF(C548="","",COUNTA($C$2:C548))</f>
        <v>547</v>
      </c>
      <c r="C548" s="47" t="s">
        <v>530</v>
      </c>
      <c r="D548" s="37" t="s">
        <v>160</v>
      </c>
      <c r="E548" s="20" t="s">
        <v>224</v>
      </c>
      <c r="F548" s="20" t="s">
        <v>531</v>
      </c>
      <c r="G548" s="34" t="s">
        <v>52</v>
      </c>
      <c r="H548" s="55">
        <v>27350000</v>
      </c>
      <c r="I548" s="34">
        <f t="shared" ca="1" si="38"/>
        <v>7</v>
      </c>
      <c r="J548" s="11" t="str">
        <f t="shared" ca="1" si="39"/>
        <v>정상</v>
      </c>
      <c r="L548" s="32">
        <v>46148</v>
      </c>
      <c r="N548" s="9" t="s">
        <v>35</v>
      </c>
    </row>
    <row r="549" spans="2:14" ht="16.5" hidden="1" customHeight="1">
      <c r="B549" s="9">
        <f>IF(C549="","",COUNTA($C$2:C549))</f>
        <v>548</v>
      </c>
      <c r="C549" s="47" t="s">
        <v>530</v>
      </c>
      <c r="D549" s="37" t="s">
        <v>160</v>
      </c>
      <c r="E549" s="20" t="s">
        <v>120</v>
      </c>
      <c r="F549" s="20" t="s">
        <v>532</v>
      </c>
      <c r="G549" s="34" t="s">
        <v>52</v>
      </c>
      <c r="H549" s="55">
        <v>141100</v>
      </c>
      <c r="I549" s="34">
        <f t="shared" ca="1" si="38"/>
        <v>19</v>
      </c>
      <c r="J549" s="11" t="str">
        <f t="shared" ca="1" si="39"/>
        <v>정상</v>
      </c>
      <c r="N549" s="9" t="s">
        <v>35</v>
      </c>
    </row>
    <row r="550" spans="2:14" ht="16.5" hidden="1" customHeight="1">
      <c r="B550" s="9">
        <f>IF(C550="","",COUNTA($C$2:C550))</f>
        <v>549</v>
      </c>
      <c r="C550" s="47" t="s">
        <v>530</v>
      </c>
      <c r="D550" s="37" t="s">
        <v>160</v>
      </c>
      <c r="E550" s="20" t="s">
        <v>18</v>
      </c>
      <c r="F550" s="20" t="s">
        <v>423</v>
      </c>
      <c r="G550" s="34" t="s">
        <v>52</v>
      </c>
      <c r="H550" s="55">
        <v>410000</v>
      </c>
      <c r="I550" s="34">
        <f t="shared" ca="1" si="38"/>
        <v>8</v>
      </c>
      <c r="J550" s="11" t="str">
        <f t="shared" ca="1" si="39"/>
        <v>정상</v>
      </c>
      <c r="L550" s="32">
        <v>46149</v>
      </c>
      <c r="N550" s="9" t="s">
        <v>35</v>
      </c>
    </row>
    <row r="551" spans="2:14" ht="16.5" hidden="1" customHeight="1">
      <c r="B551" s="9">
        <f>IF(C551="","",COUNTA($C$2:C551))</f>
        <v>550</v>
      </c>
      <c r="C551" s="47" t="s">
        <v>530</v>
      </c>
      <c r="D551" s="37" t="s">
        <v>160</v>
      </c>
      <c r="E551" s="20" t="s">
        <v>186</v>
      </c>
      <c r="F551" s="20" t="s">
        <v>498</v>
      </c>
      <c r="G551" s="34" t="s">
        <v>52</v>
      </c>
      <c r="H551" s="55">
        <v>510000</v>
      </c>
      <c r="I551" s="34">
        <f t="shared" ca="1" si="38"/>
        <v>19</v>
      </c>
      <c r="J551" s="11" t="str">
        <f t="shared" ca="1" si="39"/>
        <v>정상</v>
      </c>
      <c r="N551" s="9" t="s">
        <v>35</v>
      </c>
    </row>
    <row r="552" spans="2:14" ht="16.5" hidden="1" customHeight="1">
      <c r="B552" s="9">
        <f>IF(C552="","",COUNTA($C$2:C552))</f>
        <v>551</v>
      </c>
      <c r="C552" s="47" t="s">
        <v>530</v>
      </c>
      <c r="D552" s="37" t="s">
        <v>160</v>
      </c>
      <c r="E552" s="20" t="s">
        <v>124</v>
      </c>
      <c r="F552" s="20" t="s">
        <v>533</v>
      </c>
      <c r="G552" s="34" t="s">
        <v>52</v>
      </c>
      <c r="H552" s="55">
        <v>1229300</v>
      </c>
      <c r="I552" s="34">
        <f t="shared" ca="1" si="38"/>
        <v>19</v>
      </c>
      <c r="J552" s="11" t="str">
        <f t="shared" ca="1" si="39"/>
        <v>정상</v>
      </c>
      <c r="N552" s="9" t="s">
        <v>35</v>
      </c>
    </row>
    <row r="553" spans="2:14" ht="16.5" hidden="1" customHeight="1">
      <c r="B553" s="9">
        <f>IF(C553="","",COUNTA($C$2:C553))</f>
        <v>552</v>
      </c>
      <c r="C553" s="47" t="s">
        <v>530</v>
      </c>
      <c r="D553" s="37" t="s">
        <v>160</v>
      </c>
      <c r="E553" s="20" t="s">
        <v>329</v>
      </c>
      <c r="F553" s="20" t="s">
        <v>499</v>
      </c>
      <c r="G553" s="34" t="s">
        <v>52</v>
      </c>
      <c r="H553" s="55">
        <v>12067400</v>
      </c>
      <c r="I553" s="34">
        <f t="shared" ca="1" si="38"/>
        <v>19</v>
      </c>
      <c r="J553" s="11" t="str">
        <f t="shared" ca="1" si="39"/>
        <v>정상</v>
      </c>
      <c r="N553" s="9" t="s">
        <v>35</v>
      </c>
    </row>
    <row r="554" spans="2:14" ht="16.5" hidden="1" customHeight="1">
      <c r="B554" s="9">
        <f>IF(C554="","",COUNTA($C$2:C554))</f>
        <v>553</v>
      </c>
      <c r="C554" s="47" t="s">
        <v>534</v>
      </c>
      <c r="D554" s="37" t="s">
        <v>160</v>
      </c>
      <c r="E554" s="20" t="s">
        <v>309</v>
      </c>
      <c r="F554" s="20" t="s">
        <v>523</v>
      </c>
      <c r="G554" s="34" t="s">
        <v>52</v>
      </c>
      <c r="H554" s="55">
        <v>450300</v>
      </c>
      <c r="I554" s="34">
        <f t="shared" ca="1" si="38"/>
        <v>18</v>
      </c>
      <c r="J554" s="11" t="str">
        <f t="shared" ca="1" si="39"/>
        <v>정상</v>
      </c>
      <c r="N554" s="9" t="s">
        <v>35</v>
      </c>
    </row>
    <row r="555" spans="2:14" ht="16.5" hidden="1" customHeight="1">
      <c r="B555" s="9">
        <f>IF(C555="","",COUNTA($C$2:C555))</f>
        <v>554</v>
      </c>
      <c r="C555" s="47" t="s">
        <v>534</v>
      </c>
      <c r="D555" s="37" t="s">
        <v>160</v>
      </c>
      <c r="E555" s="20" t="s">
        <v>373</v>
      </c>
      <c r="F555" s="20" t="s">
        <v>528</v>
      </c>
      <c r="G555" s="34" t="s">
        <v>52</v>
      </c>
      <c r="H555" s="55">
        <v>572800</v>
      </c>
      <c r="I555" s="34">
        <f t="shared" ca="1" si="38"/>
        <v>18</v>
      </c>
      <c r="J555" s="11" t="str">
        <f t="shared" ca="1" si="39"/>
        <v>정상</v>
      </c>
      <c r="N555" s="9" t="s">
        <v>35</v>
      </c>
    </row>
    <row r="556" spans="2:14" ht="16.5" hidden="1" customHeight="1">
      <c r="B556" s="9">
        <f>IF(C556="","",COUNTA($C$2:C556))</f>
        <v>555</v>
      </c>
      <c r="C556" s="47" t="s">
        <v>534</v>
      </c>
      <c r="D556" s="37" t="s">
        <v>160</v>
      </c>
      <c r="E556" s="20" t="s">
        <v>466</v>
      </c>
      <c r="F556" s="20" t="s">
        <v>535</v>
      </c>
      <c r="G556" s="34" t="s">
        <v>52</v>
      </c>
      <c r="H556" s="55">
        <v>5500000</v>
      </c>
      <c r="I556" s="34">
        <f t="shared" ca="1" si="38"/>
        <v>0</v>
      </c>
      <c r="J556" s="11" t="str">
        <f t="shared" ca="1" si="39"/>
        <v>정상</v>
      </c>
      <c r="L556" s="32">
        <v>46142</v>
      </c>
      <c r="N556" s="9" t="s">
        <v>35</v>
      </c>
    </row>
    <row r="557" spans="2:14" ht="16.5" hidden="1" customHeight="1">
      <c r="B557" s="9">
        <f>IF(C557="","",COUNTA($C$2:C557))</f>
        <v>556</v>
      </c>
      <c r="C557" s="56">
        <v>46140</v>
      </c>
      <c r="D557" s="37" t="s">
        <v>153</v>
      </c>
      <c r="E557" s="39" t="s">
        <v>536</v>
      </c>
      <c r="F557" s="38" t="s">
        <v>537</v>
      </c>
      <c r="G557" s="34" t="s">
        <v>47</v>
      </c>
      <c r="H557" s="42">
        <v>467000</v>
      </c>
      <c r="I557" s="34">
        <f t="shared" ca="1" si="38"/>
        <v>2</v>
      </c>
      <c r="J557" s="11" t="str">
        <f t="shared" ca="1" si="39"/>
        <v>정상</v>
      </c>
      <c r="L557" s="32">
        <v>46142</v>
      </c>
      <c r="N557" s="9" t="s">
        <v>35</v>
      </c>
    </row>
    <row r="558" spans="2:14" ht="16.5" hidden="1" customHeight="1">
      <c r="B558" s="9">
        <f>IF(C558="","",COUNTA($C$2:C558))</f>
        <v>557</v>
      </c>
      <c r="C558" s="56">
        <v>46141</v>
      </c>
      <c r="D558" s="37" t="s">
        <v>180</v>
      </c>
      <c r="E558" s="39" t="s">
        <v>150</v>
      </c>
      <c r="F558" s="35" t="s">
        <v>353</v>
      </c>
      <c r="G558" s="34" t="s">
        <v>41</v>
      </c>
      <c r="H558" s="42">
        <v>87705200</v>
      </c>
      <c r="I558" s="34">
        <f t="shared" ca="1" si="38"/>
        <v>19</v>
      </c>
      <c r="J558" s="11" t="str">
        <f t="shared" ca="1" si="39"/>
        <v>정상</v>
      </c>
      <c r="K558" s="54">
        <v>46171</v>
      </c>
      <c r="N558" s="9" t="s">
        <v>35</v>
      </c>
    </row>
    <row r="559" spans="2:14" ht="16.5" hidden="1" customHeight="1">
      <c r="B559" s="9">
        <f>IF(C559="","",COUNTA($C$2:C559))</f>
        <v>558</v>
      </c>
      <c r="C559" s="56">
        <v>46141</v>
      </c>
      <c r="D559" s="37" t="s">
        <v>180</v>
      </c>
      <c r="E559" s="35" t="s">
        <v>538</v>
      </c>
      <c r="F559" s="35" t="s">
        <v>388</v>
      </c>
      <c r="G559" s="34" t="s">
        <v>34</v>
      </c>
      <c r="H559" s="42">
        <v>30836400</v>
      </c>
      <c r="I559" s="34">
        <f t="shared" ca="1" si="38"/>
        <v>16</v>
      </c>
      <c r="J559" s="11" t="str">
        <f t="shared" ca="1" si="39"/>
        <v>정상</v>
      </c>
      <c r="K559" s="54">
        <v>46171</v>
      </c>
      <c r="L559" s="54">
        <v>46157</v>
      </c>
      <c r="N559" s="9" t="s">
        <v>35</v>
      </c>
    </row>
    <row r="560" spans="2:14" ht="16.5" hidden="1" customHeight="1">
      <c r="B560" s="9">
        <f>IF(C560="","",COUNTA($C$2:C560))</f>
        <v>559</v>
      </c>
      <c r="C560" s="56">
        <v>46141</v>
      </c>
      <c r="D560" s="37" t="s">
        <v>180</v>
      </c>
      <c r="E560" s="35" t="s">
        <v>539</v>
      </c>
      <c r="F560" s="35" t="s">
        <v>402</v>
      </c>
      <c r="G560" s="34" t="s">
        <v>41</v>
      </c>
      <c r="H560" s="42">
        <v>11426400</v>
      </c>
      <c r="I560" s="34">
        <f t="shared" ca="1" si="38"/>
        <v>19</v>
      </c>
      <c r="J560" s="11" t="str">
        <f t="shared" ca="1" si="39"/>
        <v>정상</v>
      </c>
      <c r="K560" s="54">
        <v>46171</v>
      </c>
      <c r="N560" s="9" t="s">
        <v>35</v>
      </c>
    </row>
    <row r="561" spans="2:14" ht="16.5" hidden="1" customHeight="1">
      <c r="B561" s="9">
        <f>IF(C561="","",COUNTA($C$2:C561))</f>
        <v>560</v>
      </c>
      <c r="C561" s="56">
        <v>46141</v>
      </c>
      <c r="D561" s="37" t="s">
        <v>180</v>
      </c>
      <c r="E561" s="35" t="s">
        <v>297</v>
      </c>
      <c r="F561" s="35" t="s">
        <v>540</v>
      </c>
      <c r="G561" s="34" t="s">
        <v>20</v>
      </c>
      <c r="H561" s="42">
        <v>7962400</v>
      </c>
      <c r="I561" s="34">
        <f t="shared" ca="1" si="38"/>
        <v>1</v>
      </c>
      <c r="J561" s="11" t="str">
        <f t="shared" ca="1" si="39"/>
        <v>정상</v>
      </c>
      <c r="K561" s="54">
        <v>46161</v>
      </c>
      <c r="L561" s="32">
        <v>46142</v>
      </c>
      <c r="N561" s="9" t="s">
        <v>35</v>
      </c>
    </row>
    <row r="562" spans="2:14" ht="16.5" hidden="1" customHeight="1">
      <c r="B562" s="9">
        <f>IF(C562="","",COUNTA($C$2:C562))</f>
        <v>561</v>
      </c>
      <c r="C562" s="47" t="s">
        <v>534</v>
      </c>
      <c r="D562" s="37" t="s">
        <v>160</v>
      </c>
      <c r="E562" s="20" t="s">
        <v>42</v>
      </c>
      <c r="F562" s="20" t="s">
        <v>541</v>
      </c>
      <c r="G562" s="34" t="s">
        <v>52</v>
      </c>
      <c r="H562" s="55">
        <v>1797000</v>
      </c>
      <c r="I562" s="34">
        <f t="shared" ca="1" si="38"/>
        <v>18</v>
      </c>
      <c r="J562" s="11" t="str">
        <f t="shared" ca="1" si="39"/>
        <v>정상</v>
      </c>
      <c r="N562" s="9" t="s">
        <v>35</v>
      </c>
    </row>
    <row r="563" spans="2:14" ht="16.5" hidden="1" customHeight="1">
      <c r="B563" s="9">
        <f>IF(C563="","",COUNTA($C$2:C563))</f>
        <v>562</v>
      </c>
      <c r="C563" s="47" t="s">
        <v>534</v>
      </c>
      <c r="D563" s="37" t="s">
        <v>160</v>
      </c>
      <c r="E563" s="20" t="s">
        <v>75</v>
      </c>
      <c r="F563" s="20" t="s">
        <v>423</v>
      </c>
      <c r="G563" s="34" t="s">
        <v>52</v>
      </c>
      <c r="H563" s="55">
        <v>4116100</v>
      </c>
      <c r="I563" s="34">
        <f t="shared" ca="1" si="38"/>
        <v>18</v>
      </c>
      <c r="J563" s="11" t="str">
        <f t="shared" ca="1" si="39"/>
        <v>정상</v>
      </c>
      <c r="N563" s="9" t="s">
        <v>35</v>
      </c>
    </row>
    <row r="564" spans="2:14" ht="16.5" hidden="1" customHeight="1">
      <c r="B564" s="9">
        <f>IF(C564="","",COUNTA($C$2:C564))</f>
        <v>563</v>
      </c>
      <c r="C564" s="47" t="s">
        <v>534</v>
      </c>
      <c r="D564" s="37" t="s">
        <v>160</v>
      </c>
      <c r="E564" s="20" t="s">
        <v>398</v>
      </c>
      <c r="F564" s="20" t="s">
        <v>542</v>
      </c>
      <c r="G564" s="34" t="s">
        <v>52</v>
      </c>
      <c r="H564" s="55">
        <v>1437500</v>
      </c>
      <c r="I564" s="34">
        <f t="shared" ca="1" si="38"/>
        <v>18</v>
      </c>
      <c r="J564" s="11" t="str">
        <f t="shared" ca="1" si="39"/>
        <v>정상</v>
      </c>
      <c r="N564" s="9" t="s">
        <v>35</v>
      </c>
    </row>
    <row r="565" spans="2:14" ht="16.5" hidden="1" customHeight="1">
      <c r="B565" s="9">
        <f>IF(C565="","",COUNTA($C$2:C565))</f>
        <v>564</v>
      </c>
      <c r="C565" s="47" t="s">
        <v>534</v>
      </c>
      <c r="D565" s="37" t="s">
        <v>160</v>
      </c>
      <c r="E565" s="20" t="s">
        <v>18</v>
      </c>
      <c r="F565" s="20" t="s">
        <v>279</v>
      </c>
      <c r="G565" s="34" t="s">
        <v>52</v>
      </c>
      <c r="H565" s="55">
        <v>410000</v>
      </c>
      <c r="I565" s="34">
        <f t="shared" ca="1" si="38"/>
        <v>7</v>
      </c>
      <c r="J565" s="11" t="str">
        <f t="shared" ref="J565:J595" ca="1" si="40">IF(I565="","",
IF(G565="선급금",
IF(I565&lt;=20,"정상",IF(I565&lt;=90,"관리","장기미수")),
IF(G565="자재",
IF(I565&lt;=40,"정상",IF(I565&lt;=90,"관리","장기미수")),
IF(I565&lt;=30,"정상",IF(I565&lt;=90,"관리","장기미수"))
)
)
)</f>
        <v>정상</v>
      </c>
      <c r="L565" s="32">
        <v>46149</v>
      </c>
      <c r="N565" s="9" t="s">
        <v>35</v>
      </c>
    </row>
    <row r="566" spans="2:14" ht="16.5" hidden="1" customHeight="1">
      <c r="B566" s="9">
        <f>IF(C566="","",COUNTA($C$2:C566))</f>
        <v>565</v>
      </c>
      <c r="C566" s="47">
        <v>46142</v>
      </c>
      <c r="D566" s="37" t="s">
        <v>160</v>
      </c>
      <c r="E566" s="35" t="s">
        <v>543</v>
      </c>
      <c r="F566" s="35" t="s">
        <v>423</v>
      </c>
      <c r="G566" s="34" t="s">
        <v>52</v>
      </c>
      <c r="H566" s="55">
        <v>1094000</v>
      </c>
      <c r="I566" s="34">
        <f t="shared" ca="1" si="38"/>
        <v>18</v>
      </c>
      <c r="J566" s="11" t="str">
        <f t="shared" ca="1" si="40"/>
        <v>정상</v>
      </c>
      <c r="N566" s="9" t="s">
        <v>35</v>
      </c>
    </row>
    <row r="567" spans="2:14" ht="16.5" hidden="1" customHeight="1">
      <c r="B567" s="9">
        <f>IF(C567="","",COUNTA($C$2:C567))</f>
        <v>566</v>
      </c>
      <c r="C567" s="47" t="s">
        <v>544</v>
      </c>
      <c r="D567" s="37" t="s">
        <v>160</v>
      </c>
      <c r="E567" s="20" t="s">
        <v>545</v>
      </c>
      <c r="F567" s="20" t="s">
        <v>546</v>
      </c>
      <c r="G567" s="34" t="s">
        <v>52</v>
      </c>
      <c r="H567" s="55">
        <v>3624000</v>
      </c>
      <c r="I567" s="34">
        <f t="shared" ca="1" si="38"/>
        <v>7</v>
      </c>
      <c r="J567" s="11" t="str">
        <f t="shared" ca="1" si="40"/>
        <v>정상</v>
      </c>
      <c r="L567" s="32">
        <v>46153</v>
      </c>
      <c r="N567" s="9" t="s">
        <v>35</v>
      </c>
    </row>
    <row r="568" spans="2:14" ht="16.5" hidden="1" customHeight="1">
      <c r="B568" s="9">
        <f>IF(C568="","",COUNTA($C$2:C568))</f>
        <v>567</v>
      </c>
      <c r="C568" s="47" t="s">
        <v>544</v>
      </c>
      <c r="D568" s="37" t="s">
        <v>160</v>
      </c>
      <c r="E568" s="20" t="s">
        <v>222</v>
      </c>
      <c r="F568" s="20" t="s">
        <v>218</v>
      </c>
      <c r="G568" s="34" t="s">
        <v>52</v>
      </c>
      <c r="H568" s="55">
        <v>27500000</v>
      </c>
      <c r="I568" s="34">
        <f t="shared" ca="1" si="38"/>
        <v>14</v>
      </c>
      <c r="J568" s="11" t="str">
        <f t="shared" ca="1" si="40"/>
        <v>정상</v>
      </c>
      <c r="N568" s="9" t="s">
        <v>35</v>
      </c>
    </row>
    <row r="569" spans="2:14" ht="16.5" hidden="1" customHeight="1">
      <c r="B569" s="9">
        <f>IF(C569="","",COUNTA($C$2:C569))</f>
        <v>568</v>
      </c>
      <c r="C569" s="32">
        <v>46142</v>
      </c>
      <c r="D569" s="37" t="s">
        <v>180</v>
      </c>
      <c r="E569" s="35" t="s">
        <v>184</v>
      </c>
      <c r="F569" s="35" t="s">
        <v>547</v>
      </c>
      <c r="G569" s="34" t="s">
        <v>20</v>
      </c>
      <c r="H569" s="42">
        <v>3448000</v>
      </c>
      <c r="I569" s="34">
        <f t="shared" ca="1" si="38"/>
        <v>18</v>
      </c>
      <c r="J569" s="11" t="str">
        <f t="shared" ca="1" si="40"/>
        <v>정상</v>
      </c>
      <c r="K569" s="54">
        <v>46162</v>
      </c>
      <c r="N569" s="9" t="s">
        <v>35</v>
      </c>
    </row>
    <row r="570" spans="2:14" ht="16.5" hidden="1" customHeight="1">
      <c r="B570" s="9">
        <f>IF(C570="","",COUNTA($C$2:C570))</f>
        <v>569</v>
      </c>
      <c r="C570" s="32">
        <v>46142</v>
      </c>
      <c r="D570" s="37" t="s">
        <v>180</v>
      </c>
      <c r="E570" s="35" t="s">
        <v>548</v>
      </c>
      <c r="F570" s="35" t="s">
        <v>549</v>
      </c>
      <c r="G570" s="34" t="s">
        <v>20</v>
      </c>
      <c r="H570" s="42">
        <v>18544800</v>
      </c>
      <c r="I570" s="34">
        <f t="shared" ca="1" si="38"/>
        <v>11</v>
      </c>
      <c r="J570" s="11" t="str">
        <f t="shared" ca="1" si="40"/>
        <v>정상</v>
      </c>
      <c r="K570" s="54">
        <v>46162</v>
      </c>
      <c r="L570" s="32">
        <v>46153</v>
      </c>
      <c r="N570" s="9" t="s">
        <v>35</v>
      </c>
    </row>
    <row r="571" spans="2:14" ht="16.5" hidden="1" customHeight="1">
      <c r="B571" s="9">
        <f>IF(C571="","",COUNTA($C$2:C571))</f>
        <v>570</v>
      </c>
      <c r="C571" s="32">
        <v>46142</v>
      </c>
      <c r="D571" s="37" t="s">
        <v>180</v>
      </c>
      <c r="E571" s="35" t="s">
        <v>352</v>
      </c>
      <c r="F571" s="35" t="s">
        <v>550</v>
      </c>
      <c r="G571" s="34" t="s">
        <v>20</v>
      </c>
      <c r="H571" s="42">
        <v>15813600</v>
      </c>
      <c r="I571" s="34">
        <f t="shared" ca="1" si="38"/>
        <v>18</v>
      </c>
      <c r="J571" s="11" t="str">
        <f t="shared" ca="1" si="40"/>
        <v>정상</v>
      </c>
      <c r="K571" s="54">
        <v>46162</v>
      </c>
      <c r="N571" s="9" t="s">
        <v>35</v>
      </c>
    </row>
    <row r="572" spans="2:14" ht="16.5" hidden="1" customHeight="1">
      <c r="B572" s="9">
        <f>IF(C572="","",COUNTA($C$2:C572))</f>
        <v>571</v>
      </c>
      <c r="C572" s="47" t="s">
        <v>534</v>
      </c>
      <c r="D572" s="37" t="s">
        <v>160</v>
      </c>
      <c r="E572" s="20" t="s">
        <v>309</v>
      </c>
      <c r="F572" s="20" t="s">
        <v>523</v>
      </c>
      <c r="G572" s="34" t="s">
        <v>52</v>
      </c>
      <c r="H572" s="55">
        <v>450300</v>
      </c>
      <c r="I572" s="34">
        <f t="shared" ca="1" si="38"/>
        <v>18</v>
      </c>
      <c r="J572" s="11" t="str">
        <f t="shared" ca="1" si="40"/>
        <v>정상</v>
      </c>
      <c r="N572" s="9" t="s">
        <v>35</v>
      </c>
    </row>
    <row r="573" spans="2:14" ht="16.5" hidden="1" customHeight="1">
      <c r="B573" s="9">
        <f>IF(C573="","",COUNTA($C$2:C573))</f>
        <v>572</v>
      </c>
      <c r="C573" s="47" t="s">
        <v>534</v>
      </c>
      <c r="D573" s="37" t="s">
        <v>160</v>
      </c>
      <c r="E573" s="20" t="s">
        <v>373</v>
      </c>
      <c r="F573" s="20" t="s">
        <v>528</v>
      </c>
      <c r="G573" s="34" t="s">
        <v>52</v>
      </c>
      <c r="H573" s="55">
        <v>572800</v>
      </c>
      <c r="I573" s="34">
        <f t="shared" ca="1" si="38"/>
        <v>18</v>
      </c>
      <c r="J573" s="11" t="str">
        <f t="shared" ca="1" si="40"/>
        <v>정상</v>
      </c>
      <c r="N573" s="9" t="s">
        <v>35</v>
      </c>
    </row>
    <row r="574" spans="2:14" ht="16.5" hidden="1" customHeight="1">
      <c r="B574" s="9">
        <f>IF(C574="","",COUNTA($C$2:C574))</f>
        <v>573</v>
      </c>
      <c r="C574" s="47" t="s">
        <v>544</v>
      </c>
      <c r="D574" s="37" t="s">
        <v>160</v>
      </c>
      <c r="E574" s="20" t="s">
        <v>140</v>
      </c>
      <c r="F574" s="20" t="s">
        <v>258</v>
      </c>
      <c r="G574" s="34" t="s">
        <v>52</v>
      </c>
      <c r="H574" s="55">
        <v>260000</v>
      </c>
      <c r="I574" s="34">
        <f t="shared" ca="1" si="38"/>
        <v>14</v>
      </c>
      <c r="J574" s="11" t="str">
        <f t="shared" ca="1" si="40"/>
        <v>정상</v>
      </c>
      <c r="N574" s="9" t="s">
        <v>35</v>
      </c>
    </row>
    <row r="575" spans="2:14" ht="16.5" hidden="1" customHeight="1">
      <c r="B575" s="9">
        <f>IF(C575="","",COUNTA($C$2:C575))</f>
        <v>574</v>
      </c>
      <c r="C575" s="47" t="s">
        <v>544</v>
      </c>
      <c r="D575" s="37" t="s">
        <v>160</v>
      </c>
      <c r="E575" s="20" t="s">
        <v>551</v>
      </c>
      <c r="F575" s="20" t="s">
        <v>525</v>
      </c>
      <c r="G575" s="34" t="s">
        <v>52</v>
      </c>
      <c r="H575" s="55">
        <v>208000</v>
      </c>
      <c r="I575" s="34">
        <f t="shared" ref="I575:I637" ca="1" si="41">IF(C575="","",IF(L575="",TODAY()-C575,L575-C575))</f>
        <v>14</v>
      </c>
      <c r="J575" s="11" t="str">
        <f t="shared" ca="1" si="40"/>
        <v>정상</v>
      </c>
      <c r="N575" s="9" t="s">
        <v>35</v>
      </c>
    </row>
    <row r="576" spans="2:14" ht="16.5" hidden="1" customHeight="1">
      <c r="B576" s="9">
        <f>IF(C576="","",COUNTA($C$2:C576))</f>
        <v>575</v>
      </c>
      <c r="C576" s="47" t="s">
        <v>544</v>
      </c>
      <c r="D576" s="37" t="s">
        <v>160</v>
      </c>
      <c r="E576" s="20" t="s">
        <v>552</v>
      </c>
      <c r="F576" s="20" t="s">
        <v>553</v>
      </c>
      <c r="G576" s="34" t="s">
        <v>52</v>
      </c>
      <c r="H576" s="55">
        <v>2128400</v>
      </c>
      <c r="I576" s="34">
        <f t="shared" ca="1" si="41"/>
        <v>3</v>
      </c>
      <c r="J576" s="11" t="str">
        <f t="shared" ca="1" si="40"/>
        <v>정상</v>
      </c>
      <c r="L576" s="32">
        <v>46149</v>
      </c>
      <c r="N576" s="9" t="s">
        <v>35</v>
      </c>
    </row>
    <row r="577" spans="2:14" ht="16.5" hidden="1" customHeight="1">
      <c r="B577" s="9">
        <f>IF(C577="","",COUNTA($C$2:C577))</f>
        <v>576</v>
      </c>
      <c r="C577" s="47" t="s">
        <v>544</v>
      </c>
      <c r="D577" s="37" t="s">
        <v>160</v>
      </c>
      <c r="E577" s="20" t="s">
        <v>92</v>
      </c>
      <c r="F577" s="20" t="s">
        <v>93</v>
      </c>
      <c r="G577" s="34" t="s">
        <v>52</v>
      </c>
      <c r="H577" s="55">
        <v>178600</v>
      </c>
      <c r="I577" s="34">
        <f t="shared" ca="1" si="41"/>
        <v>14</v>
      </c>
      <c r="J577" s="11" t="str">
        <f t="shared" ca="1" si="40"/>
        <v>정상</v>
      </c>
      <c r="N577" s="9" t="s">
        <v>35</v>
      </c>
    </row>
    <row r="578" spans="2:14" ht="16.5" hidden="1" customHeight="1">
      <c r="B578" s="9">
        <f>IF(C578="","",COUNTA($C$2:C578))</f>
        <v>577</v>
      </c>
      <c r="C578" s="47" t="s">
        <v>544</v>
      </c>
      <c r="D578" s="37" t="s">
        <v>160</v>
      </c>
      <c r="E578" s="20" t="s">
        <v>236</v>
      </c>
      <c r="F578" s="20" t="s">
        <v>554</v>
      </c>
      <c r="G578" s="34" t="s">
        <v>52</v>
      </c>
      <c r="H578" s="55">
        <v>601600</v>
      </c>
      <c r="I578" s="34">
        <f t="shared" ca="1" si="41"/>
        <v>14</v>
      </c>
      <c r="J578" s="11" t="str">
        <f t="shared" ca="1" si="40"/>
        <v>정상</v>
      </c>
      <c r="N578" s="9" t="s">
        <v>35</v>
      </c>
    </row>
    <row r="579" spans="2:14" ht="16.5" hidden="1" customHeight="1">
      <c r="B579" s="9">
        <f>IF(C579="","",COUNTA($C$2:C579))</f>
        <v>578</v>
      </c>
      <c r="C579" s="47" t="s">
        <v>544</v>
      </c>
      <c r="D579" s="37" t="s">
        <v>160</v>
      </c>
      <c r="E579" s="20" t="s">
        <v>551</v>
      </c>
      <c r="F579" s="20" t="s">
        <v>525</v>
      </c>
      <c r="G579" s="34" t="s">
        <v>52</v>
      </c>
      <c r="H579" s="55">
        <v>675800</v>
      </c>
      <c r="I579" s="34">
        <f t="shared" ca="1" si="41"/>
        <v>14</v>
      </c>
      <c r="J579" s="11" t="str">
        <f t="shared" ca="1" si="40"/>
        <v>정상</v>
      </c>
      <c r="N579" s="9" t="s">
        <v>35</v>
      </c>
    </row>
    <row r="580" spans="2:14" ht="16.5" hidden="1" customHeight="1">
      <c r="B580" s="9">
        <f>IF(C580="","",COUNTA($C$2:C580))</f>
        <v>579</v>
      </c>
      <c r="C580" s="47" t="s">
        <v>544</v>
      </c>
      <c r="D580" s="37" t="s">
        <v>160</v>
      </c>
      <c r="E580" s="20" t="s">
        <v>513</v>
      </c>
      <c r="F580" s="20" t="s">
        <v>514</v>
      </c>
      <c r="G580" s="34" t="s">
        <v>52</v>
      </c>
      <c r="H580" s="55">
        <v>1776900</v>
      </c>
      <c r="I580" s="34">
        <f t="shared" ca="1" si="41"/>
        <v>14</v>
      </c>
      <c r="J580" s="11" t="str">
        <f t="shared" ca="1" si="40"/>
        <v>정상</v>
      </c>
      <c r="N580" s="9" t="s">
        <v>35</v>
      </c>
    </row>
    <row r="581" spans="2:14" ht="16.5" hidden="1" customHeight="1">
      <c r="B581" s="9">
        <f>IF(C581="","",COUNTA($C$2:C581))</f>
        <v>580</v>
      </c>
      <c r="C581" s="32">
        <v>46146</v>
      </c>
      <c r="D581" s="37" t="s">
        <v>180</v>
      </c>
      <c r="E581" s="35" t="s">
        <v>552</v>
      </c>
      <c r="F581" s="35" t="s">
        <v>555</v>
      </c>
      <c r="G581" s="34" t="s">
        <v>20</v>
      </c>
      <c r="H581" s="42">
        <v>1773000</v>
      </c>
      <c r="I581" s="34">
        <f t="shared" ca="1" si="41"/>
        <v>3</v>
      </c>
      <c r="J581" s="11" t="str">
        <f t="shared" ca="1" si="40"/>
        <v>정상</v>
      </c>
      <c r="K581" s="54">
        <v>46166</v>
      </c>
      <c r="L581" s="32">
        <v>46149</v>
      </c>
      <c r="N581" s="9" t="s">
        <v>35</v>
      </c>
    </row>
    <row r="582" spans="2:14" ht="16.5" hidden="1" customHeight="1">
      <c r="B582" s="9">
        <f>IF(C582="","",COUNTA($C$2:C582))</f>
        <v>581</v>
      </c>
      <c r="C582" s="32">
        <v>46148</v>
      </c>
      <c r="D582" s="37" t="s">
        <v>180</v>
      </c>
      <c r="E582" s="35" t="s">
        <v>556</v>
      </c>
      <c r="F582" s="35" t="s">
        <v>389</v>
      </c>
      <c r="G582" s="34" t="s">
        <v>34</v>
      </c>
      <c r="H582" s="42">
        <v>47676800</v>
      </c>
      <c r="I582" s="34">
        <f t="shared" ca="1" si="41"/>
        <v>2</v>
      </c>
      <c r="J582" s="11" t="str">
        <f t="shared" ca="1" si="40"/>
        <v>정상</v>
      </c>
      <c r="K582" s="54">
        <v>46178</v>
      </c>
      <c r="L582" s="32">
        <v>46150</v>
      </c>
      <c r="N582" s="9" t="s">
        <v>35</v>
      </c>
    </row>
    <row r="583" spans="2:14" ht="16.5" hidden="1" customHeight="1">
      <c r="B583" s="9">
        <f>IF(C583="","",COUNTA($C$2:C583))</f>
        <v>582</v>
      </c>
      <c r="C583" s="32">
        <v>46148</v>
      </c>
      <c r="D583" s="37" t="s">
        <v>180</v>
      </c>
      <c r="E583" s="35" t="s">
        <v>538</v>
      </c>
      <c r="F583" s="35" t="s">
        <v>277</v>
      </c>
      <c r="G583" s="34" t="s">
        <v>20</v>
      </c>
      <c r="H583" s="42">
        <v>21454800</v>
      </c>
      <c r="I583" s="34">
        <f t="shared" ca="1" si="41"/>
        <v>9</v>
      </c>
      <c r="J583" s="11" t="str">
        <f t="shared" ca="1" si="40"/>
        <v>정상</v>
      </c>
      <c r="K583" s="54">
        <v>46168</v>
      </c>
      <c r="L583" s="54">
        <v>46157</v>
      </c>
      <c r="N583" s="9" t="s">
        <v>35</v>
      </c>
    </row>
    <row r="584" spans="2:14" ht="16.5" hidden="1" customHeight="1">
      <c r="B584" s="9">
        <f>IF(C584="","",COUNTA($C$2:C584))</f>
        <v>583</v>
      </c>
      <c r="C584" s="32">
        <v>46149</v>
      </c>
      <c r="D584" s="37" t="s">
        <v>180</v>
      </c>
      <c r="E584" s="35" t="s">
        <v>557</v>
      </c>
      <c r="F584" s="35" t="s">
        <v>265</v>
      </c>
      <c r="G584" s="34" t="s">
        <v>34</v>
      </c>
      <c r="H584" s="42">
        <v>38041200</v>
      </c>
      <c r="I584" s="34">
        <f t="shared" ca="1" si="41"/>
        <v>11</v>
      </c>
      <c r="J584" s="11" t="str">
        <f t="shared" ca="1" si="40"/>
        <v>정상</v>
      </c>
      <c r="N584" s="9" t="s">
        <v>35</v>
      </c>
    </row>
    <row r="585" spans="2:14" ht="16.5" hidden="1" customHeight="1">
      <c r="B585" s="9">
        <f>IF(C585="","",COUNTA($C$2:C585))</f>
        <v>584</v>
      </c>
      <c r="C585" s="32">
        <v>46149</v>
      </c>
      <c r="D585" s="37" t="s">
        <v>180</v>
      </c>
      <c r="E585" s="35" t="s">
        <v>184</v>
      </c>
      <c r="F585" s="35" t="s">
        <v>547</v>
      </c>
      <c r="G585" s="34" t="s">
        <v>34</v>
      </c>
      <c r="H585" s="42">
        <v>6896000</v>
      </c>
      <c r="I585" s="34">
        <f t="shared" ca="1" si="41"/>
        <v>11</v>
      </c>
      <c r="J585" s="11" t="str">
        <f t="shared" ca="1" si="40"/>
        <v>정상</v>
      </c>
      <c r="K585" s="54">
        <v>46179</v>
      </c>
      <c r="N585" s="9" t="s">
        <v>35</v>
      </c>
    </row>
    <row r="586" spans="2:14" ht="16.5" hidden="1" customHeight="1">
      <c r="B586" s="9">
        <f>IF(C586="","",COUNTA($C$2:C586))</f>
        <v>585</v>
      </c>
      <c r="C586" s="32">
        <v>46149</v>
      </c>
      <c r="D586" s="37" t="s">
        <v>180</v>
      </c>
      <c r="E586" s="20" t="s">
        <v>301</v>
      </c>
      <c r="F586" s="35" t="s">
        <v>558</v>
      </c>
      <c r="G586" s="34" t="s">
        <v>20</v>
      </c>
      <c r="H586" s="42">
        <v>12611400</v>
      </c>
      <c r="I586" s="34">
        <f t="shared" ca="1" si="41"/>
        <v>11</v>
      </c>
      <c r="J586" s="11" t="str">
        <f t="shared" ca="1" si="40"/>
        <v>정상</v>
      </c>
      <c r="K586" s="54">
        <v>46169</v>
      </c>
      <c r="N586" s="9" t="s">
        <v>35</v>
      </c>
    </row>
    <row r="587" spans="2:14" ht="16.5" hidden="1" customHeight="1">
      <c r="B587" s="9">
        <f>IF(C587="","",COUNTA($C$2:C587))</f>
        <v>586</v>
      </c>
      <c r="C587" s="47" t="s">
        <v>544</v>
      </c>
      <c r="D587" s="37" t="s">
        <v>160</v>
      </c>
      <c r="E587" s="20" t="s">
        <v>545</v>
      </c>
      <c r="F587" s="20" t="s">
        <v>546</v>
      </c>
      <c r="G587" s="34" t="s">
        <v>52</v>
      </c>
      <c r="H587" s="55">
        <v>3624000</v>
      </c>
      <c r="I587" s="34">
        <f t="shared" ca="1" si="41"/>
        <v>14</v>
      </c>
      <c r="J587" s="11" t="str">
        <f t="shared" ca="1" si="40"/>
        <v>정상</v>
      </c>
      <c r="N587" s="9" t="s">
        <v>35</v>
      </c>
    </row>
    <row r="588" spans="2:14" ht="16.5" hidden="1" customHeight="1">
      <c r="B588" s="9">
        <f>IF(C588="","",COUNTA($C$2:C588))</f>
        <v>587</v>
      </c>
      <c r="C588" s="47" t="s">
        <v>544</v>
      </c>
      <c r="D588" s="37" t="s">
        <v>160</v>
      </c>
      <c r="E588" s="20" t="s">
        <v>222</v>
      </c>
      <c r="F588" s="20" t="s">
        <v>218</v>
      </c>
      <c r="G588" s="34" t="s">
        <v>52</v>
      </c>
      <c r="H588" s="55">
        <v>27500000</v>
      </c>
      <c r="I588" s="34">
        <f t="shared" ca="1" si="41"/>
        <v>14</v>
      </c>
      <c r="J588" s="11" t="str">
        <f t="shared" ca="1" si="40"/>
        <v>정상</v>
      </c>
      <c r="N588" s="9" t="s">
        <v>35</v>
      </c>
    </row>
    <row r="589" spans="2:14" ht="16.5" hidden="1" customHeight="1">
      <c r="B589" s="9">
        <f>IF(C589="","",COUNTA($C$2:C589))</f>
        <v>588</v>
      </c>
      <c r="C589" s="47" t="s">
        <v>559</v>
      </c>
      <c r="D589" s="37" t="s">
        <v>160</v>
      </c>
      <c r="E589" s="20" t="s">
        <v>560</v>
      </c>
      <c r="F589" s="20" t="s">
        <v>561</v>
      </c>
      <c r="G589" s="34" t="s">
        <v>52</v>
      </c>
      <c r="H589" s="55">
        <v>752000</v>
      </c>
      <c r="I589" s="34">
        <f t="shared" ca="1" si="41"/>
        <v>0</v>
      </c>
      <c r="J589" s="11" t="str">
        <f t="shared" ca="1" si="40"/>
        <v>정상</v>
      </c>
      <c r="L589" s="32">
        <v>46148</v>
      </c>
      <c r="N589" s="9" t="s">
        <v>35</v>
      </c>
    </row>
    <row r="590" spans="2:14" ht="16.5" hidden="1" customHeight="1">
      <c r="B590" s="9">
        <f>IF(C590="","",COUNTA($C$2:C590))</f>
        <v>589</v>
      </c>
      <c r="C590" s="47" t="s">
        <v>559</v>
      </c>
      <c r="D590" s="37" t="s">
        <v>160</v>
      </c>
      <c r="E590" s="20" t="s">
        <v>427</v>
      </c>
      <c r="F590" s="20" t="s">
        <v>562</v>
      </c>
      <c r="G590" s="34" t="s">
        <v>52</v>
      </c>
      <c r="H590" s="55">
        <v>-1560000</v>
      </c>
      <c r="I590" s="34">
        <f t="shared" ca="1" si="41"/>
        <v>12</v>
      </c>
      <c r="J590" s="11" t="str">
        <f t="shared" ca="1" si="40"/>
        <v>정상</v>
      </c>
      <c r="N590" s="9" t="s">
        <v>35</v>
      </c>
    </row>
    <row r="591" spans="2:14" ht="16.5" hidden="1" customHeight="1">
      <c r="B591" s="9">
        <f>IF(C591="","",COUNTA($C$2:C591))</f>
        <v>590</v>
      </c>
      <c r="C591" s="47" t="s">
        <v>559</v>
      </c>
      <c r="D591" s="37" t="s">
        <v>160</v>
      </c>
      <c r="E591" s="20" t="s">
        <v>150</v>
      </c>
      <c r="F591" s="20" t="s">
        <v>563</v>
      </c>
      <c r="G591" s="34" t="s">
        <v>52</v>
      </c>
      <c r="H591" s="55">
        <v>88935000</v>
      </c>
      <c r="I591" s="34">
        <f t="shared" ca="1" si="41"/>
        <v>12</v>
      </c>
      <c r="J591" s="11" t="str">
        <f t="shared" ca="1" si="40"/>
        <v>정상</v>
      </c>
      <c r="N591" s="9" t="s">
        <v>35</v>
      </c>
    </row>
    <row r="592" spans="2:14" ht="16.5" hidden="1" customHeight="1">
      <c r="B592" s="9">
        <f>IF(C592="","",COUNTA($C$2:C592))</f>
        <v>591</v>
      </c>
      <c r="C592" s="47" t="s">
        <v>559</v>
      </c>
      <c r="D592" s="37" t="s">
        <v>160</v>
      </c>
      <c r="E592" s="20" t="s">
        <v>273</v>
      </c>
      <c r="F592" s="20" t="s">
        <v>423</v>
      </c>
      <c r="G592" s="34" t="s">
        <v>52</v>
      </c>
      <c r="H592" s="55">
        <v>111000</v>
      </c>
      <c r="I592" s="34">
        <f t="shared" ca="1" si="41"/>
        <v>1</v>
      </c>
      <c r="J592" s="11" t="str">
        <f t="shared" ca="1" si="40"/>
        <v>정상</v>
      </c>
      <c r="L592" s="32">
        <v>46149</v>
      </c>
      <c r="N592" s="9" t="s">
        <v>35</v>
      </c>
    </row>
    <row r="593" spans="2:14" ht="16.5" hidden="1" customHeight="1">
      <c r="B593" s="9">
        <f>IF(C593="","",COUNTA($C$2:C593))</f>
        <v>592</v>
      </c>
      <c r="C593" s="47" t="s">
        <v>559</v>
      </c>
      <c r="D593" s="37" t="s">
        <v>160</v>
      </c>
      <c r="E593" s="20" t="s">
        <v>489</v>
      </c>
      <c r="F593" s="20" t="s">
        <v>437</v>
      </c>
      <c r="G593" s="34" t="s">
        <v>52</v>
      </c>
      <c r="H593" s="55">
        <v>2142500</v>
      </c>
      <c r="I593" s="34">
        <f t="shared" ca="1" si="41"/>
        <v>9</v>
      </c>
      <c r="J593" s="11" t="str">
        <f t="shared" ca="1" si="40"/>
        <v>정상</v>
      </c>
      <c r="L593" s="32">
        <v>46157</v>
      </c>
      <c r="N593" s="9" t="s">
        <v>35</v>
      </c>
    </row>
    <row r="594" spans="2:14" ht="16.5" hidden="1" customHeight="1">
      <c r="B594" s="9">
        <f>IF(C594="","",COUNTA($C$2:C594))</f>
        <v>593</v>
      </c>
      <c r="C594" s="47" t="s">
        <v>559</v>
      </c>
      <c r="D594" s="37" t="s">
        <v>160</v>
      </c>
      <c r="E594" s="20" t="s">
        <v>217</v>
      </c>
      <c r="F594" s="20" t="s">
        <v>564</v>
      </c>
      <c r="G594" s="34" t="s">
        <v>52</v>
      </c>
      <c r="H594" s="55">
        <v>3547500</v>
      </c>
      <c r="I594" s="34">
        <f t="shared" ca="1" si="41"/>
        <v>12</v>
      </c>
      <c r="J594" s="11" t="str">
        <f t="shared" ca="1" si="40"/>
        <v>정상</v>
      </c>
      <c r="N594" s="9" t="s">
        <v>35</v>
      </c>
    </row>
    <row r="595" spans="2:14" ht="16.5" hidden="1" customHeight="1">
      <c r="B595" s="9">
        <f>IF(C595="","",COUNTA($C$2:C595))</f>
        <v>594</v>
      </c>
      <c r="C595" s="47" t="s">
        <v>559</v>
      </c>
      <c r="D595" s="37" t="s">
        <v>160</v>
      </c>
      <c r="E595" s="20" t="s">
        <v>217</v>
      </c>
      <c r="F595" s="20" t="s">
        <v>565</v>
      </c>
      <c r="G595" s="34" t="s">
        <v>52</v>
      </c>
      <c r="H595" s="55">
        <v>775700</v>
      </c>
      <c r="I595" s="34">
        <f t="shared" ca="1" si="41"/>
        <v>12</v>
      </c>
      <c r="J595" s="11" t="str">
        <f t="shared" ca="1" si="40"/>
        <v>정상</v>
      </c>
      <c r="N595" s="9" t="s">
        <v>35</v>
      </c>
    </row>
    <row r="596" spans="2:14" ht="16.5" hidden="1" customHeight="1">
      <c r="B596" s="9">
        <f>IF(C596="","",COUNTA($C$2:C596))</f>
        <v>595</v>
      </c>
      <c r="C596" s="47" t="s">
        <v>559</v>
      </c>
      <c r="D596" s="37" t="s">
        <v>160</v>
      </c>
      <c r="E596" s="20" t="s">
        <v>433</v>
      </c>
      <c r="F596" s="20" t="s">
        <v>566</v>
      </c>
      <c r="G596" s="34" t="s">
        <v>52</v>
      </c>
      <c r="H596" s="55">
        <v>1162000</v>
      </c>
      <c r="I596" s="34">
        <f t="shared" ca="1" si="41"/>
        <v>12</v>
      </c>
      <c r="J596" s="11" t="str">
        <f ca="1">IF(I596="","",
 IF(G596="선급금",
   IF(I596&lt;=20,"정상",IF(I596&lt;=90,"관리","장기미수")),
 IF(G596="자재",
   IF(I596&lt;=40,"정상",IF(I596&lt;=90,"관리","장기미수")),
   IF(I596&lt;=30,"정상",IF(I596&lt;=90,"관리","장기미수"))
  )
 )
)</f>
        <v>정상</v>
      </c>
      <c r="N596" s="9" t="s">
        <v>35</v>
      </c>
    </row>
    <row r="597" spans="2:14" ht="16.5" hidden="1" customHeight="1">
      <c r="B597" s="9">
        <f>IF(C597="","",COUNTA($C$2:C597))</f>
        <v>596</v>
      </c>
      <c r="C597" s="47" t="s">
        <v>559</v>
      </c>
      <c r="D597" s="37" t="s">
        <v>160</v>
      </c>
      <c r="E597" s="20" t="s">
        <v>422</v>
      </c>
      <c r="F597" s="20" t="s">
        <v>567</v>
      </c>
      <c r="G597" s="34" t="s">
        <v>52</v>
      </c>
      <c r="H597" s="55">
        <v>1369300</v>
      </c>
      <c r="I597" s="34">
        <f t="shared" ca="1" si="41"/>
        <v>12</v>
      </c>
      <c r="J597" s="11" t="str">
        <f t="shared" ref="J597:J628" ca="1" si="42">IF(I597="","",
IF(G597="선급금",
IF(I597&lt;=20,"정상",IF(I597&lt;=90,"관리","장기미수")),
IF(G597="자재",
IF(I597&lt;=40,"정상",IF(I597&lt;=90,"관리","장기미수")),
IF(I597&lt;=30,"정상",IF(I597&lt;=90,"관리","장기미수"))
)
)
)</f>
        <v>정상</v>
      </c>
      <c r="N597" s="9" t="s">
        <v>35</v>
      </c>
    </row>
    <row r="598" spans="2:14" ht="16.5" hidden="1" customHeight="1">
      <c r="B598" s="9">
        <f>IF(C598="","",COUNTA($C$2:C598))</f>
        <v>597</v>
      </c>
      <c r="C598" s="47" t="s">
        <v>559</v>
      </c>
      <c r="D598" s="37" t="s">
        <v>160</v>
      </c>
      <c r="E598" s="20" t="s">
        <v>184</v>
      </c>
      <c r="F598" s="20" t="s">
        <v>461</v>
      </c>
      <c r="G598" s="34" t="s">
        <v>52</v>
      </c>
      <c r="H598" s="55">
        <v>2001500</v>
      </c>
      <c r="I598" s="34">
        <f t="shared" ca="1" si="41"/>
        <v>12</v>
      </c>
      <c r="J598" s="11" t="str">
        <f t="shared" ca="1" si="42"/>
        <v>정상</v>
      </c>
      <c r="N598" s="9" t="s">
        <v>35</v>
      </c>
    </row>
    <row r="599" spans="2:14" ht="16.5" hidden="1" customHeight="1">
      <c r="B599" s="9">
        <f>IF(C599="","",COUNTA($C$2:C599))</f>
        <v>598</v>
      </c>
      <c r="C599" s="47" t="s">
        <v>559</v>
      </c>
      <c r="D599" s="37" t="s">
        <v>160</v>
      </c>
      <c r="E599" s="20" t="s">
        <v>136</v>
      </c>
      <c r="F599" s="20" t="s">
        <v>568</v>
      </c>
      <c r="G599" s="34" t="s">
        <v>52</v>
      </c>
      <c r="H599" s="55">
        <v>38948500</v>
      </c>
      <c r="I599" s="34">
        <f t="shared" ca="1" si="41"/>
        <v>12</v>
      </c>
      <c r="J599" s="11" t="str">
        <f t="shared" ca="1" si="42"/>
        <v>정상</v>
      </c>
      <c r="N599" s="9" t="s">
        <v>35</v>
      </c>
    </row>
    <row r="600" spans="2:14" ht="16.5" hidden="1" customHeight="1">
      <c r="B600" s="9">
        <f>IF(C600="","",COUNTA($C$2:C600))</f>
        <v>599</v>
      </c>
      <c r="C600" s="47" t="s">
        <v>559</v>
      </c>
      <c r="D600" s="37" t="s">
        <v>160</v>
      </c>
      <c r="E600" s="20" t="s">
        <v>569</v>
      </c>
      <c r="F600" s="20" t="s">
        <v>531</v>
      </c>
      <c r="G600" s="34" t="s">
        <v>52</v>
      </c>
      <c r="H600" s="55">
        <v>1367800</v>
      </c>
      <c r="I600" s="34">
        <f t="shared" ca="1" si="41"/>
        <v>5</v>
      </c>
      <c r="J600" s="11" t="str">
        <f t="shared" ca="1" si="42"/>
        <v>정상</v>
      </c>
      <c r="L600" s="32">
        <v>46153</v>
      </c>
      <c r="N600" s="9" t="s">
        <v>35</v>
      </c>
    </row>
    <row r="601" spans="2:14" ht="16.5" hidden="1" customHeight="1">
      <c r="B601" s="9">
        <f>IF(C601="","",COUNTA($C$2:C601))</f>
        <v>600</v>
      </c>
      <c r="C601" s="47" t="s">
        <v>559</v>
      </c>
      <c r="D601" s="37" t="s">
        <v>160</v>
      </c>
      <c r="E601" s="20" t="s">
        <v>398</v>
      </c>
      <c r="F601" s="20" t="s">
        <v>405</v>
      </c>
      <c r="G601" s="34" t="s">
        <v>52</v>
      </c>
      <c r="H601" s="55">
        <v>6565000</v>
      </c>
      <c r="I601" s="34">
        <f t="shared" ca="1" si="41"/>
        <v>12</v>
      </c>
      <c r="J601" s="11" t="str">
        <f t="shared" ca="1" si="42"/>
        <v>정상</v>
      </c>
      <c r="N601" s="9" t="s">
        <v>35</v>
      </c>
    </row>
    <row r="602" spans="2:14" ht="16.5" hidden="1" customHeight="1">
      <c r="B602" s="9">
        <f>IF(C602="","",COUNTA($C$2:C602))</f>
        <v>601</v>
      </c>
      <c r="C602" s="47" t="s">
        <v>559</v>
      </c>
      <c r="D602" s="37" t="s">
        <v>160</v>
      </c>
      <c r="E602" s="20" t="s">
        <v>114</v>
      </c>
      <c r="F602" s="20" t="s">
        <v>443</v>
      </c>
      <c r="G602" s="34" t="s">
        <v>52</v>
      </c>
      <c r="H602" s="55">
        <v>8250000</v>
      </c>
      <c r="I602" s="34">
        <f t="shared" ca="1" si="41"/>
        <v>12</v>
      </c>
      <c r="J602" s="11" t="str">
        <f t="shared" ca="1" si="42"/>
        <v>정상</v>
      </c>
      <c r="N602" s="9" t="s">
        <v>35</v>
      </c>
    </row>
    <row r="603" spans="2:14" ht="16.5" hidden="1" customHeight="1">
      <c r="B603" s="9">
        <f>IF(C603="","",COUNTA($C$2:C603))</f>
        <v>602</v>
      </c>
      <c r="C603" s="47" t="s">
        <v>559</v>
      </c>
      <c r="D603" s="37" t="s">
        <v>160</v>
      </c>
      <c r="E603" s="20" t="s">
        <v>65</v>
      </c>
      <c r="F603" s="20" t="s">
        <v>570</v>
      </c>
      <c r="G603" s="34" t="s">
        <v>52</v>
      </c>
      <c r="H603" s="55">
        <v>13750000</v>
      </c>
      <c r="I603" s="34">
        <f t="shared" ca="1" si="41"/>
        <v>12</v>
      </c>
      <c r="J603" s="11" t="str">
        <f t="shared" ca="1" si="42"/>
        <v>정상</v>
      </c>
      <c r="N603" s="9" t="s">
        <v>35</v>
      </c>
    </row>
    <row r="604" spans="2:14" ht="16.5" hidden="1" customHeight="1">
      <c r="B604" s="9">
        <f>IF(C604="","",COUNTA($C$2:C604))</f>
        <v>603</v>
      </c>
      <c r="C604" s="47" t="s">
        <v>571</v>
      </c>
      <c r="D604" s="37" t="s">
        <v>160</v>
      </c>
      <c r="E604" s="20" t="s">
        <v>433</v>
      </c>
      <c r="F604" s="20" t="s">
        <v>566</v>
      </c>
      <c r="G604" s="34" t="s">
        <v>52</v>
      </c>
      <c r="H604" s="55">
        <v>1890000</v>
      </c>
      <c r="I604" s="34">
        <f t="shared" ca="1" si="41"/>
        <v>11</v>
      </c>
      <c r="J604" s="11" t="str">
        <f t="shared" ca="1" si="42"/>
        <v>정상</v>
      </c>
      <c r="N604" s="9" t="s">
        <v>35</v>
      </c>
    </row>
    <row r="605" spans="2:14" ht="16.5" hidden="1" customHeight="1">
      <c r="B605" s="9">
        <f>IF(C605="","",COUNTA($C$2:C605))</f>
        <v>604</v>
      </c>
      <c r="C605" s="47" t="s">
        <v>571</v>
      </c>
      <c r="D605" s="37" t="s">
        <v>160</v>
      </c>
      <c r="E605" s="20" t="s">
        <v>433</v>
      </c>
      <c r="F605" s="20" t="s">
        <v>566</v>
      </c>
      <c r="G605" s="34" t="s">
        <v>52</v>
      </c>
      <c r="H605" s="55">
        <v>-1030400</v>
      </c>
      <c r="I605" s="34">
        <f t="shared" ca="1" si="41"/>
        <v>11</v>
      </c>
      <c r="J605" s="11" t="str">
        <f t="shared" ca="1" si="42"/>
        <v>정상</v>
      </c>
      <c r="N605" s="9" t="s">
        <v>35</v>
      </c>
    </row>
    <row r="606" spans="2:14" ht="16.5" hidden="1" customHeight="1">
      <c r="B606" s="9">
        <f>IF(C606="","",COUNTA($C$2:C606))</f>
        <v>605</v>
      </c>
      <c r="C606" s="47" t="s">
        <v>571</v>
      </c>
      <c r="D606" s="37" t="s">
        <v>160</v>
      </c>
      <c r="E606" s="20" t="s">
        <v>329</v>
      </c>
      <c r="F606" s="20" t="s">
        <v>499</v>
      </c>
      <c r="G606" s="34" t="s">
        <v>52</v>
      </c>
      <c r="H606" s="55">
        <v>9426100</v>
      </c>
      <c r="I606" s="34">
        <f t="shared" ca="1" si="41"/>
        <v>11</v>
      </c>
      <c r="J606" s="11" t="str">
        <f t="shared" ca="1" si="42"/>
        <v>정상</v>
      </c>
      <c r="N606" s="9" t="s">
        <v>35</v>
      </c>
    </row>
    <row r="607" spans="2:14" ht="16.5" hidden="1" customHeight="1">
      <c r="B607" s="9">
        <f>IF(C607="","",COUNTA($C$2:C607))</f>
        <v>606</v>
      </c>
      <c r="C607" s="47" t="s">
        <v>571</v>
      </c>
      <c r="D607" s="37" t="s">
        <v>160</v>
      </c>
      <c r="E607" s="20" t="s">
        <v>217</v>
      </c>
      <c r="F607" s="20" t="s">
        <v>325</v>
      </c>
      <c r="G607" s="34" t="s">
        <v>52</v>
      </c>
      <c r="H607" s="55">
        <v>2715000</v>
      </c>
      <c r="I607" s="34">
        <f t="shared" ca="1" si="41"/>
        <v>11</v>
      </c>
      <c r="J607" s="11" t="str">
        <f t="shared" ca="1" si="42"/>
        <v>정상</v>
      </c>
      <c r="N607" s="9" t="s">
        <v>35</v>
      </c>
    </row>
    <row r="608" spans="2:14" ht="16.5" hidden="1" customHeight="1">
      <c r="B608" s="9">
        <f>IF(C608="","",COUNTA($C$2:C608))</f>
        <v>607</v>
      </c>
      <c r="C608" s="47" t="s">
        <v>571</v>
      </c>
      <c r="D608" s="37" t="s">
        <v>160</v>
      </c>
      <c r="E608" s="20" t="s">
        <v>520</v>
      </c>
      <c r="F608" s="20" t="s">
        <v>572</v>
      </c>
      <c r="G608" s="34" t="s">
        <v>52</v>
      </c>
      <c r="H608" s="55">
        <v>1808000</v>
      </c>
      <c r="I608" s="34">
        <f t="shared" ca="1" si="41"/>
        <v>11</v>
      </c>
      <c r="J608" s="11" t="str">
        <f t="shared" ca="1" si="42"/>
        <v>정상</v>
      </c>
      <c r="N608" s="9" t="s">
        <v>35</v>
      </c>
    </row>
    <row r="609" spans="2:14" ht="16.5" hidden="1" customHeight="1">
      <c r="B609" s="9">
        <f>IF(C609="","",COUNTA($C$2:C609))</f>
        <v>608</v>
      </c>
      <c r="C609" s="47" t="s">
        <v>571</v>
      </c>
      <c r="D609" s="37" t="s">
        <v>160</v>
      </c>
      <c r="E609" s="20" t="s">
        <v>309</v>
      </c>
      <c r="F609" s="20" t="s">
        <v>196</v>
      </c>
      <c r="G609" s="34" t="s">
        <v>52</v>
      </c>
      <c r="H609" s="55">
        <v>94290000</v>
      </c>
      <c r="I609" s="34">
        <f t="shared" ca="1" si="41"/>
        <v>11</v>
      </c>
      <c r="J609" s="11" t="str">
        <f t="shared" ca="1" si="42"/>
        <v>정상</v>
      </c>
      <c r="N609" s="9" t="s">
        <v>35</v>
      </c>
    </row>
    <row r="610" spans="2:14" ht="16.5" hidden="1" customHeight="1">
      <c r="B610" s="9">
        <f>IF(C610="","",COUNTA($C$2:C610))</f>
        <v>609</v>
      </c>
      <c r="C610" s="47" t="s">
        <v>571</v>
      </c>
      <c r="D610" s="37" t="s">
        <v>160</v>
      </c>
      <c r="E610" s="20" t="s">
        <v>120</v>
      </c>
      <c r="F610" s="20" t="s">
        <v>573</v>
      </c>
      <c r="G610" s="34" t="s">
        <v>52</v>
      </c>
      <c r="H610" s="55">
        <v>2170000</v>
      </c>
      <c r="I610" s="34">
        <f t="shared" ca="1" si="41"/>
        <v>11</v>
      </c>
      <c r="J610" s="11" t="str">
        <f t="shared" ca="1" si="42"/>
        <v>정상</v>
      </c>
      <c r="N610" s="9" t="s">
        <v>35</v>
      </c>
    </row>
    <row r="611" spans="2:14" ht="16.5" hidden="1" customHeight="1">
      <c r="B611" s="9">
        <f>IF(C611="","",COUNTA($C$2:C611))</f>
        <v>610</v>
      </c>
      <c r="C611" s="47" t="s">
        <v>571</v>
      </c>
      <c r="D611" s="37" t="s">
        <v>160</v>
      </c>
      <c r="E611" s="20" t="s">
        <v>551</v>
      </c>
      <c r="F611" s="20" t="s">
        <v>574</v>
      </c>
      <c r="G611" s="34" t="s">
        <v>52</v>
      </c>
      <c r="H611" s="55">
        <v>4468000</v>
      </c>
      <c r="I611" s="34">
        <f t="shared" ca="1" si="41"/>
        <v>11</v>
      </c>
      <c r="J611" s="11" t="str">
        <f t="shared" ca="1" si="42"/>
        <v>정상</v>
      </c>
      <c r="N611" s="9" t="s">
        <v>35</v>
      </c>
    </row>
    <row r="612" spans="2:14" ht="16.5" hidden="1" customHeight="1">
      <c r="B612" s="9">
        <f>IF(C612="","",COUNTA($C$2:C612))</f>
        <v>611</v>
      </c>
      <c r="C612" s="47" t="s">
        <v>571</v>
      </c>
      <c r="D612" s="37" t="s">
        <v>160</v>
      </c>
      <c r="E612" s="20" t="s">
        <v>422</v>
      </c>
      <c r="F612" s="20" t="s">
        <v>567</v>
      </c>
      <c r="G612" s="34" t="s">
        <v>52</v>
      </c>
      <c r="H612" s="55">
        <v>205300</v>
      </c>
      <c r="I612" s="34">
        <f t="shared" ca="1" si="41"/>
        <v>11</v>
      </c>
      <c r="J612" s="11" t="str">
        <f t="shared" ca="1" si="42"/>
        <v>정상</v>
      </c>
      <c r="N612" s="9" t="s">
        <v>35</v>
      </c>
    </row>
    <row r="613" spans="2:14" ht="16.5" hidden="1" customHeight="1">
      <c r="B613" s="9">
        <f>IF(C613="","",COUNTA($C$2:C613))</f>
        <v>612</v>
      </c>
      <c r="C613" s="47" t="s">
        <v>571</v>
      </c>
      <c r="D613" s="37" t="s">
        <v>160</v>
      </c>
      <c r="E613" s="20" t="s">
        <v>551</v>
      </c>
      <c r="F613" s="20" t="s">
        <v>255</v>
      </c>
      <c r="G613" s="34" t="s">
        <v>52</v>
      </c>
      <c r="H613" s="55">
        <v>282000</v>
      </c>
      <c r="I613" s="34">
        <f t="shared" ca="1" si="41"/>
        <v>11</v>
      </c>
      <c r="J613" s="11" t="str">
        <f t="shared" ca="1" si="42"/>
        <v>정상</v>
      </c>
      <c r="N613" s="9" t="s">
        <v>35</v>
      </c>
    </row>
    <row r="614" spans="2:14" ht="16.5" hidden="1" customHeight="1">
      <c r="B614" s="9">
        <f>IF(C614="","",COUNTA($C$2:C614))</f>
        <v>613</v>
      </c>
      <c r="C614" s="47" t="s">
        <v>571</v>
      </c>
      <c r="D614" s="37" t="s">
        <v>160</v>
      </c>
      <c r="E614" s="20" t="s">
        <v>142</v>
      </c>
      <c r="F614" s="20" t="s">
        <v>465</v>
      </c>
      <c r="G614" s="34" t="s">
        <v>52</v>
      </c>
      <c r="H614" s="55">
        <v>13074100</v>
      </c>
      <c r="I614" s="34">
        <f t="shared" ca="1" si="41"/>
        <v>11</v>
      </c>
      <c r="J614" s="11" t="str">
        <f t="shared" ca="1" si="42"/>
        <v>정상</v>
      </c>
      <c r="N614" s="9" t="s">
        <v>35</v>
      </c>
    </row>
    <row r="615" spans="2:14" ht="16.5" hidden="1" customHeight="1">
      <c r="B615" s="9">
        <f>IF(C615="","",COUNTA($C$2:C615))</f>
        <v>614</v>
      </c>
      <c r="C615" s="47" t="s">
        <v>571</v>
      </c>
      <c r="D615" s="37" t="s">
        <v>160</v>
      </c>
      <c r="E615" s="20" t="s">
        <v>424</v>
      </c>
      <c r="F615" s="20" t="s">
        <v>425</v>
      </c>
      <c r="G615" s="34" t="s">
        <v>52</v>
      </c>
      <c r="H615" s="55">
        <v>4100000</v>
      </c>
      <c r="I615" s="34">
        <f t="shared" ca="1" si="41"/>
        <v>4</v>
      </c>
      <c r="J615" s="11" t="str">
        <f t="shared" ca="1" si="42"/>
        <v>정상</v>
      </c>
      <c r="L615" s="32">
        <v>46153</v>
      </c>
      <c r="N615" s="9" t="s">
        <v>35</v>
      </c>
    </row>
    <row r="616" spans="2:14" ht="16.5" hidden="1" customHeight="1">
      <c r="B616" s="9">
        <f>IF(C616="","",COUNTA($C$2:C616))</f>
        <v>615</v>
      </c>
      <c r="C616" s="47" t="s">
        <v>571</v>
      </c>
      <c r="D616" s="37" t="s">
        <v>160</v>
      </c>
      <c r="E616" s="20" t="s">
        <v>175</v>
      </c>
      <c r="F616" s="20" t="s">
        <v>575</v>
      </c>
      <c r="G616" s="34" t="s">
        <v>52</v>
      </c>
      <c r="H616" s="55">
        <v>8604400</v>
      </c>
      <c r="I616" s="34">
        <f t="shared" ca="1" si="41"/>
        <v>11</v>
      </c>
      <c r="J616" s="11" t="str">
        <f t="shared" ca="1" si="42"/>
        <v>정상</v>
      </c>
      <c r="N616" s="9" t="s">
        <v>35</v>
      </c>
    </row>
    <row r="617" spans="2:14" ht="16.5" hidden="1" customHeight="1">
      <c r="B617" s="9">
        <f>IF(C617="","",COUNTA($C$2:C617))</f>
        <v>616</v>
      </c>
      <c r="C617" s="47" t="s">
        <v>571</v>
      </c>
      <c r="D617" s="37" t="s">
        <v>160</v>
      </c>
      <c r="E617" s="20" t="s">
        <v>75</v>
      </c>
      <c r="F617" s="20" t="s">
        <v>576</v>
      </c>
      <c r="G617" s="34" t="s">
        <v>52</v>
      </c>
      <c r="H617" s="55">
        <v>500500</v>
      </c>
      <c r="I617" s="34">
        <f t="shared" ca="1" si="41"/>
        <v>11</v>
      </c>
      <c r="J617" s="11" t="str">
        <f t="shared" ca="1" si="42"/>
        <v>정상</v>
      </c>
      <c r="N617" s="9" t="s">
        <v>35</v>
      </c>
    </row>
    <row r="618" spans="2:14" ht="16.5" hidden="1" customHeight="1">
      <c r="B618" s="9">
        <f>IF(C618="","",COUNTA($C$2:C618))</f>
        <v>617</v>
      </c>
      <c r="C618" s="47" t="s">
        <v>571</v>
      </c>
      <c r="D618" s="37" t="s">
        <v>160</v>
      </c>
      <c r="E618" s="20" t="s">
        <v>433</v>
      </c>
      <c r="F618" s="20" t="s">
        <v>566</v>
      </c>
      <c r="G618" s="34" t="s">
        <v>52</v>
      </c>
      <c r="H618" s="55">
        <v>1030400</v>
      </c>
      <c r="I618" s="34">
        <f t="shared" ca="1" si="41"/>
        <v>11</v>
      </c>
      <c r="J618" s="11" t="str">
        <f t="shared" ca="1" si="42"/>
        <v>정상</v>
      </c>
      <c r="N618" s="9" t="s">
        <v>35</v>
      </c>
    </row>
    <row r="619" spans="2:14" ht="16.5" hidden="1" customHeight="1">
      <c r="B619" s="9">
        <f>IF(C619="","",COUNTA($C$2:C619))</f>
        <v>618</v>
      </c>
      <c r="C619" s="47" t="s">
        <v>571</v>
      </c>
      <c r="D619" s="37" t="s">
        <v>160</v>
      </c>
      <c r="E619" s="20" t="s">
        <v>42</v>
      </c>
      <c r="F619" s="20" t="s">
        <v>577</v>
      </c>
      <c r="G619" s="34" t="s">
        <v>52</v>
      </c>
      <c r="H619" s="55">
        <v>46400</v>
      </c>
      <c r="I619" s="34">
        <f t="shared" ca="1" si="41"/>
        <v>11</v>
      </c>
      <c r="J619" s="11" t="str">
        <f t="shared" ca="1" si="42"/>
        <v>정상</v>
      </c>
      <c r="N619" s="9" t="s">
        <v>35</v>
      </c>
    </row>
    <row r="620" spans="2:14" ht="16.5" hidden="1" customHeight="1">
      <c r="B620" s="9">
        <f>IF(C620="","",COUNTA($C$2:C620))</f>
        <v>619</v>
      </c>
      <c r="C620" s="47" t="s">
        <v>571</v>
      </c>
      <c r="D620" s="37" t="s">
        <v>160</v>
      </c>
      <c r="E620" s="20" t="s">
        <v>578</v>
      </c>
      <c r="F620" s="20" t="s">
        <v>579</v>
      </c>
      <c r="G620" s="34" t="s">
        <v>52</v>
      </c>
      <c r="H620" s="55">
        <v>16665500</v>
      </c>
      <c r="I620" s="34">
        <f t="shared" ca="1" si="41"/>
        <v>0</v>
      </c>
      <c r="J620" s="11" t="str">
        <f t="shared" ca="1" si="42"/>
        <v>정상</v>
      </c>
      <c r="L620" s="32">
        <v>46149</v>
      </c>
      <c r="N620" s="9" t="s">
        <v>35</v>
      </c>
    </row>
    <row r="621" spans="2:14" ht="16.5" hidden="1" customHeight="1">
      <c r="B621" s="9">
        <f>IF(C621="","",COUNTA($C$2:C621))</f>
        <v>620</v>
      </c>
      <c r="C621" s="47">
        <v>46142</v>
      </c>
      <c r="D621" s="37" t="s">
        <v>160</v>
      </c>
      <c r="E621" s="20" t="s">
        <v>297</v>
      </c>
      <c r="F621" s="20"/>
      <c r="G621" s="34" t="s">
        <v>52</v>
      </c>
      <c r="H621" s="55">
        <v>2137800</v>
      </c>
      <c r="I621" s="34">
        <f t="shared" ca="1" si="41"/>
        <v>18</v>
      </c>
      <c r="J621" s="11" t="str">
        <f t="shared" ca="1" si="42"/>
        <v>정상</v>
      </c>
      <c r="N621" s="9" t="s">
        <v>35</v>
      </c>
    </row>
    <row r="622" spans="2:14" ht="16.5" hidden="1" customHeight="1">
      <c r="B622" s="9">
        <f>IF(C622="","",COUNTA($C$2:C622))</f>
        <v>621</v>
      </c>
      <c r="C622" s="47" t="s">
        <v>580</v>
      </c>
      <c r="D622" s="37" t="s">
        <v>160</v>
      </c>
      <c r="E622" s="20" t="s">
        <v>161</v>
      </c>
      <c r="F622" s="20" t="s">
        <v>522</v>
      </c>
      <c r="G622" s="34" t="s">
        <v>52</v>
      </c>
      <c r="H622" s="55">
        <v>6875000</v>
      </c>
      <c r="I622" s="34">
        <f t="shared" ca="1" si="41"/>
        <v>10</v>
      </c>
      <c r="J622" s="11" t="str">
        <f t="shared" ca="1" si="42"/>
        <v>정상</v>
      </c>
      <c r="N622" s="9" t="s">
        <v>35</v>
      </c>
    </row>
    <row r="623" spans="2:14" ht="16.5" hidden="1" customHeight="1">
      <c r="B623" s="9">
        <f>IF(C623="","",COUNTA($C$2:C623))</f>
        <v>622</v>
      </c>
      <c r="C623" s="47" t="s">
        <v>580</v>
      </c>
      <c r="D623" s="37" t="s">
        <v>160</v>
      </c>
      <c r="E623" s="20" t="s">
        <v>424</v>
      </c>
      <c r="F623" s="20" t="s">
        <v>581</v>
      </c>
      <c r="G623" s="34" t="s">
        <v>52</v>
      </c>
      <c r="H623" s="55">
        <v>1842000</v>
      </c>
      <c r="I623" s="34">
        <f t="shared" ca="1" si="41"/>
        <v>10</v>
      </c>
      <c r="J623" s="11" t="str">
        <f t="shared" ca="1" si="42"/>
        <v>정상</v>
      </c>
      <c r="N623" s="9" t="s">
        <v>35</v>
      </c>
    </row>
    <row r="624" spans="2:14" ht="16.5" hidden="1" customHeight="1">
      <c r="B624" s="9">
        <f>IF(C624="","",COUNTA($C$2:C624))</f>
        <v>623</v>
      </c>
      <c r="C624" s="47" t="s">
        <v>580</v>
      </c>
      <c r="D624" s="37" t="s">
        <v>160</v>
      </c>
      <c r="E624" s="20" t="s">
        <v>551</v>
      </c>
      <c r="F624" s="20" t="s">
        <v>582</v>
      </c>
      <c r="G624" s="34" t="s">
        <v>52</v>
      </c>
      <c r="H624" s="55">
        <v>334200</v>
      </c>
      <c r="I624" s="34">
        <f t="shared" ca="1" si="41"/>
        <v>10</v>
      </c>
      <c r="J624" s="11" t="str">
        <f t="shared" ca="1" si="42"/>
        <v>정상</v>
      </c>
      <c r="N624" s="9" t="s">
        <v>35</v>
      </c>
    </row>
    <row r="625" spans="2:14" ht="16.5" hidden="1" customHeight="1">
      <c r="B625" s="9">
        <f>IF(C625="","",COUNTA($C$2:C625))</f>
        <v>624</v>
      </c>
      <c r="C625" s="47" t="s">
        <v>580</v>
      </c>
      <c r="D625" s="37" t="s">
        <v>160</v>
      </c>
      <c r="E625" s="20" t="s">
        <v>172</v>
      </c>
      <c r="F625" s="20" t="s">
        <v>583</v>
      </c>
      <c r="G625" s="34" t="s">
        <v>52</v>
      </c>
      <c r="H625" s="55">
        <v>875000</v>
      </c>
      <c r="I625" s="34">
        <f t="shared" ca="1" si="41"/>
        <v>10</v>
      </c>
      <c r="J625" s="11" t="str">
        <f t="shared" ca="1" si="42"/>
        <v>정상</v>
      </c>
      <c r="N625" s="9" t="s">
        <v>35</v>
      </c>
    </row>
    <row r="626" spans="2:14" ht="16.5" hidden="1" customHeight="1">
      <c r="B626" s="9">
        <f>IF(C626="","",COUNTA($C$2:C626))</f>
        <v>625</v>
      </c>
      <c r="C626" s="47" t="s">
        <v>580</v>
      </c>
      <c r="D626" s="37" t="s">
        <v>160</v>
      </c>
      <c r="E626" s="20" t="s">
        <v>551</v>
      </c>
      <c r="F626" s="20" t="s">
        <v>574</v>
      </c>
      <c r="G626" s="34" t="s">
        <v>52</v>
      </c>
      <c r="H626" s="55">
        <v>5364000</v>
      </c>
      <c r="I626" s="34">
        <f t="shared" ca="1" si="41"/>
        <v>10</v>
      </c>
      <c r="J626" s="11" t="str">
        <f t="shared" ca="1" si="42"/>
        <v>정상</v>
      </c>
      <c r="N626" s="9" t="s">
        <v>35</v>
      </c>
    </row>
    <row r="627" spans="2:14" ht="16.5" hidden="1" customHeight="1">
      <c r="B627" s="9">
        <f>IF(C627="","",COUNTA($C$2:C627))</f>
        <v>626</v>
      </c>
      <c r="C627" s="47" t="s">
        <v>580</v>
      </c>
      <c r="D627" s="37" t="s">
        <v>160</v>
      </c>
      <c r="E627" s="20" t="s">
        <v>224</v>
      </c>
      <c r="F627" s="20" t="s">
        <v>531</v>
      </c>
      <c r="G627" s="34" t="s">
        <v>52</v>
      </c>
      <c r="H627" s="55">
        <v>532800</v>
      </c>
      <c r="I627" s="34">
        <f t="shared" ca="1" si="41"/>
        <v>3</v>
      </c>
      <c r="J627" s="11" t="str">
        <f t="shared" ca="1" si="42"/>
        <v>정상</v>
      </c>
      <c r="L627" s="32">
        <v>46153</v>
      </c>
      <c r="N627" s="9" t="s">
        <v>35</v>
      </c>
    </row>
    <row r="628" spans="2:14" ht="16.5" hidden="1" customHeight="1">
      <c r="B628" s="9">
        <f>IF(C628="","",COUNTA($C$2:C628))</f>
        <v>627</v>
      </c>
      <c r="C628" s="47" t="s">
        <v>519</v>
      </c>
      <c r="D628" s="37" t="s">
        <v>160</v>
      </c>
      <c r="E628" s="20" t="s">
        <v>551</v>
      </c>
      <c r="F628" s="20" t="s">
        <v>525</v>
      </c>
      <c r="G628" s="34" t="s">
        <v>52</v>
      </c>
      <c r="H628" s="58">
        <v>4096100</v>
      </c>
      <c r="I628" s="34">
        <f t="shared" ca="1" si="41"/>
        <v>20</v>
      </c>
      <c r="J628" s="11" t="str">
        <f t="shared" ca="1" si="42"/>
        <v>정상</v>
      </c>
      <c r="N628" s="9" t="s">
        <v>35</v>
      </c>
    </row>
    <row r="629" spans="2:14" ht="16.5" hidden="1" customHeight="1">
      <c r="B629" s="9">
        <f>IF(C629="","",COUNTA($C$2:C629))</f>
        <v>628</v>
      </c>
      <c r="C629" s="47" t="s">
        <v>519</v>
      </c>
      <c r="D629" s="37" t="s">
        <v>160</v>
      </c>
      <c r="E629" s="20" t="s">
        <v>551</v>
      </c>
      <c r="F629" s="20" t="s">
        <v>524</v>
      </c>
      <c r="G629" s="34" t="s">
        <v>52</v>
      </c>
      <c r="H629" s="58">
        <v>3082000</v>
      </c>
      <c r="I629" s="34">
        <f t="shared" ca="1" si="41"/>
        <v>20</v>
      </c>
      <c r="J629" s="11" t="str">
        <f t="shared" ref="J629:J659" ca="1" si="43">IF(I629="","",
IF(G629="선급금",
IF(I629&lt;=20,"정상",IF(I629&lt;=90,"관리","장기미수")),
IF(G629="자재",
IF(I629&lt;=40,"정상",IF(I629&lt;=90,"관리","장기미수")),
IF(I629&lt;=30,"정상",IF(I629&lt;=90,"관리","장기미수"))
)
)
)</f>
        <v>정상</v>
      </c>
      <c r="N629" s="9" t="s">
        <v>35</v>
      </c>
    </row>
    <row r="630" spans="2:14" ht="16.5" hidden="1" customHeight="1">
      <c r="B630" s="9">
        <f>IF(C630="","",COUNTA($C$2:C630))</f>
        <v>629</v>
      </c>
      <c r="C630" s="47" t="s">
        <v>446</v>
      </c>
      <c r="D630" s="37" t="s">
        <v>160</v>
      </c>
      <c r="E630" s="20" t="s">
        <v>551</v>
      </c>
      <c r="F630" s="20" t="s">
        <v>255</v>
      </c>
      <c r="G630" s="34" t="s">
        <v>52</v>
      </c>
      <c r="H630" s="58">
        <v>11690000</v>
      </c>
      <c r="I630" s="34">
        <f t="shared" ca="1" si="41"/>
        <v>33</v>
      </c>
      <c r="J630" s="11" t="str">
        <f t="shared" ca="1" si="43"/>
        <v>정상</v>
      </c>
      <c r="N630" s="9" t="s">
        <v>35</v>
      </c>
    </row>
    <row r="631" spans="2:14" ht="16.5" customHeight="1">
      <c r="B631" s="9">
        <f>IF(C631="","",COUNTA($C$2:C631))</f>
        <v>630</v>
      </c>
      <c r="C631" s="47" t="s">
        <v>357</v>
      </c>
      <c r="D631" s="37" t="s">
        <v>160</v>
      </c>
      <c r="E631" s="20" t="s">
        <v>551</v>
      </c>
      <c r="F631" s="20" t="s">
        <v>255</v>
      </c>
      <c r="G631" s="34" t="s">
        <v>52</v>
      </c>
      <c r="H631" s="58">
        <v>4770000</v>
      </c>
      <c r="I631" s="34">
        <f t="shared" ca="1" si="41"/>
        <v>45</v>
      </c>
      <c r="J631" s="11" t="str">
        <f t="shared" ca="1" si="43"/>
        <v>관리</v>
      </c>
      <c r="N631" s="9" t="s">
        <v>35</v>
      </c>
    </row>
    <row r="632" spans="2:14" ht="16.5" hidden="1" customHeight="1">
      <c r="B632" s="9">
        <f>IF(C632="","",COUNTA($C$2:C632))</f>
        <v>631</v>
      </c>
      <c r="C632" s="47" t="s">
        <v>584</v>
      </c>
      <c r="D632" s="37" t="s">
        <v>160</v>
      </c>
      <c r="E632" s="20" t="s">
        <v>26</v>
      </c>
      <c r="F632" s="20" t="s">
        <v>585</v>
      </c>
      <c r="G632" s="34" t="s">
        <v>52</v>
      </c>
      <c r="H632" s="58">
        <v>2200000</v>
      </c>
      <c r="I632" s="34">
        <f t="shared" ca="1" si="41"/>
        <v>7</v>
      </c>
      <c r="J632" s="11" t="str">
        <f t="shared" ca="1" si="43"/>
        <v>정상</v>
      </c>
      <c r="N632" s="9" t="s">
        <v>35</v>
      </c>
    </row>
    <row r="633" spans="2:14" ht="16.5" hidden="1" customHeight="1">
      <c r="B633" s="9">
        <f>IF(C633="","",COUNTA($C$2:C633))</f>
        <v>632</v>
      </c>
      <c r="C633" s="47" t="s">
        <v>584</v>
      </c>
      <c r="D633" s="37" t="s">
        <v>160</v>
      </c>
      <c r="E633" s="20" t="s">
        <v>136</v>
      </c>
      <c r="F633" s="20" t="s">
        <v>586</v>
      </c>
      <c r="G633" s="34" t="s">
        <v>52</v>
      </c>
      <c r="H633" s="58">
        <v>1674000</v>
      </c>
      <c r="I633" s="34">
        <f t="shared" ca="1" si="41"/>
        <v>7</v>
      </c>
      <c r="J633" s="11" t="str">
        <f t="shared" ca="1" si="43"/>
        <v>정상</v>
      </c>
      <c r="N633" s="9" t="s">
        <v>35</v>
      </c>
    </row>
    <row r="634" spans="2:14" ht="16.5" hidden="1" customHeight="1">
      <c r="B634" s="9">
        <f>IF(C634="","",COUNTA($C$2:C634))</f>
        <v>633</v>
      </c>
      <c r="C634" s="47" t="s">
        <v>584</v>
      </c>
      <c r="D634" s="37" t="s">
        <v>160</v>
      </c>
      <c r="E634" s="20" t="s">
        <v>373</v>
      </c>
      <c r="F634" s="20" t="s">
        <v>528</v>
      </c>
      <c r="G634" s="34" t="s">
        <v>52</v>
      </c>
      <c r="H634" s="58">
        <v>353000</v>
      </c>
      <c r="I634" s="34">
        <f t="shared" ca="1" si="41"/>
        <v>7</v>
      </c>
      <c r="J634" s="11" t="str">
        <f t="shared" ca="1" si="43"/>
        <v>정상</v>
      </c>
      <c r="N634" s="9" t="s">
        <v>35</v>
      </c>
    </row>
    <row r="635" spans="2:14" ht="16.5" hidden="1" customHeight="1">
      <c r="B635" s="9">
        <f>IF(C635="","",COUNTA($C$2:C635))</f>
        <v>634</v>
      </c>
      <c r="C635" s="47" t="s">
        <v>584</v>
      </c>
      <c r="D635" s="37" t="s">
        <v>160</v>
      </c>
      <c r="E635" s="20" t="s">
        <v>136</v>
      </c>
      <c r="F635" s="20" t="s">
        <v>568</v>
      </c>
      <c r="G635" s="34" t="s">
        <v>52</v>
      </c>
      <c r="H635" s="58">
        <v>3758000</v>
      </c>
      <c r="I635" s="34">
        <f t="shared" ca="1" si="41"/>
        <v>7</v>
      </c>
      <c r="J635" s="11" t="str">
        <f t="shared" ca="1" si="43"/>
        <v>정상</v>
      </c>
      <c r="N635" s="9" t="s">
        <v>35</v>
      </c>
    </row>
    <row r="636" spans="2:14" ht="16.5" hidden="1" customHeight="1">
      <c r="B636" s="9">
        <f>IF(C636="","",COUNTA($C$2:C636))</f>
        <v>635</v>
      </c>
      <c r="C636" s="47" t="s">
        <v>584</v>
      </c>
      <c r="D636" s="37" t="s">
        <v>160</v>
      </c>
      <c r="E636" s="20" t="s">
        <v>292</v>
      </c>
      <c r="F636" s="20" t="s">
        <v>587</v>
      </c>
      <c r="G636" s="34" t="s">
        <v>52</v>
      </c>
      <c r="H636" s="58">
        <v>32485000</v>
      </c>
      <c r="I636" s="34">
        <f t="shared" ca="1" si="41"/>
        <v>7</v>
      </c>
      <c r="J636" s="11" t="str">
        <f t="shared" ca="1" si="43"/>
        <v>정상</v>
      </c>
      <c r="N636" s="9" t="s">
        <v>35</v>
      </c>
    </row>
    <row r="637" spans="2:14" ht="16.5" hidden="1" customHeight="1">
      <c r="B637" s="9">
        <f>IF(C637="","",COUNTA($C$2:C637))</f>
        <v>636</v>
      </c>
      <c r="C637" s="47" t="s">
        <v>584</v>
      </c>
      <c r="D637" s="37" t="s">
        <v>160</v>
      </c>
      <c r="E637" s="20" t="s">
        <v>441</v>
      </c>
      <c r="F637" s="20" t="s">
        <v>527</v>
      </c>
      <c r="G637" s="34" t="s">
        <v>52</v>
      </c>
      <c r="H637" s="58">
        <v>4993600</v>
      </c>
      <c r="I637" s="34">
        <f t="shared" ca="1" si="41"/>
        <v>4</v>
      </c>
      <c r="J637" s="11" t="str">
        <f t="shared" ca="1" si="43"/>
        <v>정상</v>
      </c>
      <c r="L637" s="32">
        <v>46157</v>
      </c>
      <c r="N637" s="9" t="s">
        <v>35</v>
      </c>
    </row>
    <row r="638" spans="2:14" ht="16.5" hidden="1" customHeight="1">
      <c r="B638" s="9">
        <f>IF(C638="","",COUNTA($C$2:C638))</f>
        <v>637</v>
      </c>
      <c r="C638" s="47" t="s">
        <v>584</v>
      </c>
      <c r="D638" s="37" t="s">
        <v>160</v>
      </c>
      <c r="E638" s="20" t="s">
        <v>588</v>
      </c>
      <c r="F638" s="20" t="s">
        <v>589</v>
      </c>
      <c r="G638" s="34" t="s">
        <v>52</v>
      </c>
      <c r="H638" s="58">
        <v>1880000</v>
      </c>
      <c r="I638" s="34">
        <f t="shared" ref="I638:I716" ca="1" si="44">IF(C638="","",IF(L638="",TODAY()-C638,L638-C638))</f>
        <v>7</v>
      </c>
      <c r="J638" s="11" t="str">
        <f t="shared" ca="1" si="43"/>
        <v>정상</v>
      </c>
      <c r="N638" s="9" t="s">
        <v>35</v>
      </c>
    </row>
    <row r="639" spans="2:14" ht="16.5" hidden="1" customHeight="1">
      <c r="B639" s="9">
        <f>IF(C639="","",COUNTA($C$2:C639))</f>
        <v>638</v>
      </c>
      <c r="C639" s="47" t="s">
        <v>584</v>
      </c>
      <c r="D639" s="37" t="s">
        <v>160</v>
      </c>
      <c r="E639" s="20" t="s">
        <v>26</v>
      </c>
      <c r="F639" s="20" t="s">
        <v>590</v>
      </c>
      <c r="G639" s="34" t="s">
        <v>52</v>
      </c>
      <c r="H639" s="58">
        <v>47557000</v>
      </c>
      <c r="I639" s="34">
        <f t="shared" ca="1" si="44"/>
        <v>7</v>
      </c>
      <c r="J639" s="11" t="str">
        <f t="shared" ca="1" si="43"/>
        <v>정상</v>
      </c>
      <c r="N639" s="9" t="s">
        <v>35</v>
      </c>
    </row>
    <row r="640" spans="2:14" ht="16.5" hidden="1" customHeight="1">
      <c r="B640" s="9">
        <f>IF(C640="","",COUNTA($C$2:C640))</f>
        <v>639</v>
      </c>
      <c r="C640" s="47" t="s">
        <v>584</v>
      </c>
      <c r="D640" s="37" t="s">
        <v>160</v>
      </c>
      <c r="E640" s="20" t="s">
        <v>154</v>
      </c>
      <c r="F640" s="20" t="s">
        <v>591</v>
      </c>
      <c r="G640" s="34" t="s">
        <v>52</v>
      </c>
      <c r="H640" s="58">
        <v>2870400</v>
      </c>
      <c r="I640" s="34">
        <f t="shared" ca="1" si="44"/>
        <v>7</v>
      </c>
      <c r="J640" s="11" t="str">
        <f t="shared" ca="1" si="43"/>
        <v>정상</v>
      </c>
      <c r="N640" s="9" t="s">
        <v>35</v>
      </c>
    </row>
    <row r="641" spans="2:14" ht="16.5" hidden="1" customHeight="1">
      <c r="B641" s="9">
        <f>IF(C641="","",COUNTA($C$2:C641))</f>
        <v>640</v>
      </c>
      <c r="C641" s="47" t="s">
        <v>584</v>
      </c>
      <c r="D641" s="37" t="s">
        <v>160</v>
      </c>
      <c r="E641" s="20" t="s">
        <v>108</v>
      </c>
      <c r="F641" s="20" t="s">
        <v>592</v>
      </c>
      <c r="G641" s="34" t="s">
        <v>52</v>
      </c>
      <c r="H641" s="58">
        <v>605000</v>
      </c>
      <c r="I641" s="34">
        <f t="shared" ca="1" si="44"/>
        <v>7</v>
      </c>
      <c r="J641" s="11" t="str">
        <f t="shared" ca="1" si="43"/>
        <v>정상</v>
      </c>
      <c r="N641" s="9" t="s">
        <v>35</v>
      </c>
    </row>
    <row r="642" spans="2:14" ht="16.5" hidden="1" customHeight="1">
      <c r="B642" s="9">
        <f>IF(C642="","",COUNTA($C$2:C642))</f>
        <v>641</v>
      </c>
      <c r="C642" s="32">
        <v>46153</v>
      </c>
      <c r="E642" s="35" t="s">
        <v>203</v>
      </c>
      <c r="F642" s="35" t="s">
        <v>382</v>
      </c>
      <c r="G642" s="34" t="s">
        <v>119</v>
      </c>
      <c r="H642" s="42">
        <v>13660000</v>
      </c>
      <c r="I642" s="34">
        <f t="shared" ca="1" si="44"/>
        <v>7</v>
      </c>
      <c r="J642" s="11" t="str">
        <f t="shared" ca="1" si="43"/>
        <v>정상</v>
      </c>
      <c r="K642" s="54">
        <v>46183</v>
      </c>
      <c r="N642" s="9" t="s">
        <v>35</v>
      </c>
    </row>
    <row r="643" spans="2:14" ht="16.5" hidden="1" customHeight="1">
      <c r="B643" s="9">
        <f>IF(C643="","",COUNTA($C$2:C643))</f>
        <v>642</v>
      </c>
      <c r="C643" s="32">
        <v>46148</v>
      </c>
      <c r="E643" s="35" t="s">
        <v>238</v>
      </c>
      <c r="F643" s="35" t="s">
        <v>593</v>
      </c>
      <c r="G643" s="34" t="s">
        <v>119</v>
      </c>
      <c r="H643" s="42">
        <v>12000000</v>
      </c>
      <c r="I643" s="34">
        <f t="shared" ca="1" si="44"/>
        <v>12</v>
      </c>
      <c r="J643" s="11" t="str">
        <f t="shared" ca="1" si="43"/>
        <v>정상</v>
      </c>
      <c r="K643" s="54">
        <v>46178</v>
      </c>
      <c r="N643" s="9" t="s">
        <v>35</v>
      </c>
    </row>
    <row r="644" spans="2:14" ht="16.5" hidden="1" customHeight="1">
      <c r="B644" s="9">
        <f>IF(C644="","",COUNTA($C$2:C644))</f>
        <v>643</v>
      </c>
      <c r="C644" s="32">
        <v>46148</v>
      </c>
      <c r="E644" s="35" t="s">
        <v>238</v>
      </c>
      <c r="F644" s="35" t="s">
        <v>576</v>
      </c>
      <c r="G644" s="34" t="s">
        <v>119</v>
      </c>
      <c r="H644" s="42">
        <v>15880000</v>
      </c>
      <c r="I644" s="34">
        <f t="shared" ca="1" si="44"/>
        <v>12</v>
      </c>
      <c r="J644" s="11" t="str">
        <f t="shared" ca="1" si="43"/>
        <v>정상</v>
      </c>
      <c r="K644" s="54">
        <v>46168</v>
      </c>
      <c r="N644" s="9" t="s">
        <v>35</v>
      </c>
    </row>
    <row r="645" spans="2:14" ht="16.5" hidden="1" customHeight="1">
      <c r="B645" s="9">
        <f>IF(C645="","",COUNTA($C$2:C645))</f>
        <v>644</v>
      </c>
      <c r="C645" s="32">
        <v>46153</v>
      </c>
      <c r="D645" s="37" t="s">
        <v>180</v>
      </c>
      <c r="E645" s="35" t="s">
        <v>538</v>
      </c>
      <c r="F645" s="35" t="s">
        <v>594</v>
      </c>
      <c r="G645" s="34" t="s">
        <v>20</v>
      </c>
      <c r="H645" s="42">
        <v>17212000</v>
      </c>
      <c r="I645" s="34">
        <f t="shared" ca="1" si="44"/>
        <v>4</v>
      </c>
      <c r="J645" s="11" t="str">
        <f t="shared" ca="1" si="43"/>
        <v>정상</v>
      </c>
      <c r="K645" s="54">
        <v>46173</v>
      </c>
      <c r="L645" s="54">
        <v>46157</v>
      </c>
      <c r="N645" s="9" t="s">
        <v>35</v>
      </c>
    </row>
    <row r="646" spans="2:14" ht="16.5" hidden="1" customHeight="1">
      <c r="B646" s="9">
        <f>IF(C646="","",COUNTA($C$2:C646))</f>
        <v>645</v>
      </c>
      <c r="C646" s="32">
        <v>46153</v>
      </c>
      <c r="D646" s="37" t="s">
        <v>180</v>
      </c>
      <c r="E646" s="35" t="s">
        <v>205</v>
      </c>
      <c r="F646" s="35" t="s">
        <v>206</v>
      </c>
      <c r="G646" s="34" t="s">
        <v>41</v>
      </c>
      <c r="H646" s="42">
        <v>12318000</v>
      </c>
      <c r="I646" s="34">
        <f t="shared" ca="1" si="44"/>
        <v>7</v>
      </c>
      <c r="J646" s="11" t="str">
        <f t="shared" ca="1" si="43"/>
        <v>정상</v>
      </c>
      <c r="K646" s="54">
        <v>46183</v>
      </c>
      <c r="N646" s="9" t="s">
        <v>35</v>
      </c>
    </row>
    <row r="647" spans="2:14" ht="16.5" hidden="1" customHeight="1">
      <c r="B647" s="9">
        <f>IF(C647="","",COUNTA($C$2:C647))</f>
        <v>646</v>
      </c>
      <c r="C647" s="32">
        <v>46153</v>
      </c>
      <c r="D647" s="37" t="s">
        <v>180</v>
      </c>
      <c r="E647" s="35" t="s">
        <v>140</v>
      </c>
      <c r="F647" s="35" t="s">
        <v>595</v>
      </c>
      <c r="G647" s="34" t="s">
        <v>20</v>
      </c>
      <c r="H647" s="42">
        <v>23405200</v>
      </c>
      <c r="I647" s="34">
        <f t="shared" ca="1" si="44"/>
        <v>7</v>
      </c>
      <c r="J647" s="11" t="str">
        <f t="shared" ca="1" si="43"/>
        <v>정상</v>
      </c>
      <c r="K647" s="54">
        <v>46173</v>
      </c>
      <c r="N647" s="9" t="s">
        <v>35</v>
      </c>
    </row>
    <row r="648" spans="2:14" ht="16.5" hidden="1" customHeight="1">
      <c r="B648" s="9">
        <f>IF(C648="","",COUNTA($C$2:C648))</f>
        <v>647</v>
      </c>
      <c r="C648" s="32">
        <v>46153</v>
      </c>
      <c r="D648" s="37" t="s">
        <v>180</v>
      </c>
      <c r="E648" s="35" t="s">
        <v>297</v>
      </c>
      <c r="F648" s="35" t="s">
        <v>596</v>
      </c>
      <c r="G648" s="34" t="s">
        <v>20</v>
      </c>
      <c r="H648" s="42">
        <v>13652000</v>
      </c>
      <c r="I648" s="34">
        <f t="shared" ca="1" si="44"/>
        <v>4</v>
      </c>
      <c r="J648" s="11" t="str">
        <f t="shared" ca="1" si="43"/>
        <v>정상</v>
      </c>
      <c r="K648" s="54">
        <v>46173</v>
      </c>
      <c r="L648" s="54">
        <v>46157</v>
      </c>
      <c r="N648" s="9" t="s">
        <v>35</v>
      </c>
    </row>
    <row r="649" spans="2:14" ht="16.5" hidden="1" customHeight="1">
      <c r="B649" s="9">
        <f>IF(C649="","",COUNTA($C$2:C649))</f>
        <v>648</v>
      </c>
      <c r="C649" s="32">
        <v>46154</v>
      </c>
      <c r="D649" s="37" t="s">
        <v>180</v>
      </c>
      <c r="E649" s="35" t="s">
        <v>666</v>
      </c>
      <c r="F649" s="35" t="s">
        <v>667</v>
      </c>
      <c r="G649" s="34" t="s">
        <v>668</v>
      </c>
      <c r="H649" s="42">
        <v>39795600</v>
      </c>
      <c r="I649" s="34">
        <f t="shared" ca="1" si="44"/>
        <v>6</v>
      </c>
      <c r="J649" s="11" t="str">
        <f t="shared" ca="1" si="43"/>
        <v>정상</v>
      </c>
      <c r="K649" s="54"/>
      <c r="L649" s="54"/>
      <c r="N649" s="9"/>
    </row>
    <row r="650" spans="2:14" ht="16.5" hidden="1" customHeight="1">
      <c r="B650" s="9">
        <f>IF(C650="","",COUNTA($C$2:C650))</f>
        <v>649</v>
      </c>
      <c r="C650" s="32">
        <v>46154</v>
      </c>
      <c r="D650" s="37" t="s">
        <v>597</v>
      </c>
      <c r="E650" s="40" t="s">
        <v>598</v>
      </c>
      <c r="F650" s="38" t="s">
        <v>599</v>
      </c>
      <c r="G650" s="34" t="s">
        <v>47</v>
      </c>
      <c r="H650" s="42">
        <v>350000</v>
      </c>
      <c r="I650" s="34">
        <f t="shared" ca="1" si="44"/>
        <v>0</v>
      </c>
      <c r="J650" s="11" t="str">
        <f t="shared" ca="1" si="43"/>
        <v>정상</v>
      </c>
      <c r="K650" s="54">
        <v>46184</v>
      </c>
      <c r="L650" s="32">
        <v>46154</v>
      </c>
      <c r="N650" s="9" t="s">
        <v>35</v>
      </c>
    </row>
    <row r="651" spans="2:14" ht="16.5" hidden="1" customHeight="1">
      <c r="B651" s="9">
        <f>IF(C651="","",COUNTA($C$2:C651))</f>
        <v>650</v>
      </c>
      <c r="C651" s="32">
        <v>46154</v>
      </c>
      <c r="D651" s="37" t="s">
        <v>597</v>
      </c>
      <c r="E651" s="40" t="s">
        <v>110</v>
      </c>
      <c r="F651" s="38" t="s">
        <v>600</v>
      </c>
      <c r="G651" s="34" t="s">
        <v>47</v>
      </c>
      <c r="H651" s="42">
        <v>1380000</v>
      </c>
      <c r="I651" s="34">
        <f t="shared" ca="1" si="44"/>
        <v>6</v>
      </c>
      <c r="J651" s="11" t="str">
        <f t="shared" ca="1" si="43"/>
        <v>정상</v>
      </c>
      <c r="K651" s="54">
        <v>46184</v>
      </c>
      <c r="N651" s="9" t="s">
        <v>35</v>
      </c>
    </row>
    <row r="652" spans="2:14" ht="16.5" hidden="1" customHeight="1">
      <c r="B652" s="9">
        <f>IF(C652="","",COUNTA($C$2:C652))</f>
        <v>651</v>
      </c>
      <c r="C652" s="52" t="s">
        <v>584</v>
      </c>
      <c r="D652" s="37" t="s">
        <v>160</v>
      </c>
      <c r="E652" s="41" t="s">
        <v>26</v>
      </c>
      <c r="F652" s="41" t="s">
        <v>95</v>
      </c>
      <c r="G652" s="34" t="s">
        <v>52</v>
      </c>
      <c r="H652" s="57">
        <v>-2200000</v>
      </c>
      <c r="I652" s="34">
        <f t="shared" ca="1" si="44"/>
        <v>7</v>
      </c>
      <c r="J652" s="11" t="str">
        <f t="shared" ca="1" si="43"/>
        <v>정상</v>
      </c>
      <c r="N652" s="9" t="s">
        <v>35</v>
      </c>
    </row>
    <row r="653" spans="2:14" ht="16.5" hidden="1" customHeight="1">
      <c r="B653" s="9">
        <f>IF(C653="","",COUNTA($C$2:C653))</f>
        <v>652</v>
      </c>
      <c r="C653" s="52" t="s">
        <v>601</v>
      </c>
      <c r="D653" s="37" t="s">
        <v>160</v>
      </c>
      <c r="E653" s="41" t="s">
        <v>82</v>
      </c>
      <c r="F653" s="41" t="s">
        <v>602</v>
      </c>
      <c r="G653" s="34" t="s">
        <v>52</v>
      </c>
      <c r="H653" s="57">
        <v>5569000</v>
      </c>
      <c r="I653" s="34">
        <f t="shared" ca="1" si="44"/>
        <v>6</v>
      </c>
      <c r="J653" s="11" t="str">
        <f t="shared" ca="1" si="43"/>
        <v>정상</v>
      </c>
      <c r="N653" s="9" t="s">
        <v>35</v>
      </c>
    </row>
    <row r="654" spans="2:14" ht="16.5" hidden="1" customHeight="1">
      <c r="B654" s="9">
        <f>IF(C654="","",COUNTA($C$2:C654))</f>
        <v>653</v>
      </c>
      <c r="C654" s="52" t="s">
        <v>601</v>
      </c>
      <c r="D654" s="37" t="s">
        <v>160</v>
      </c>
      <c r="E654" s="41" t="s">
        <v>134</v>
      </c>
      <c r="F654" s="41" t="s">
        <v>603</v>
      </c>
      <c r="G654" s="34" t="s">
        <v>52</v>
      </c>
      <c r="H654" s="57">
        <v>321000</v>
      </c>
      <c r="I654" s="34">
        <f t="shared" ca="1" si="44"/>
        <v>3</v>
      </c>
      <c r="J654" s="11" t="str">
        <f t="shared" ca="1" si="43"/>
        <v>정상</v>
      </c>
      <c r="L654" s="32">
        <v>46157</v>
      </c>
      <c r="N654" s="9" t="s">
        <v>35</v>
      </c>
    </row>
    <row r="655" spans="2:14" ht="16.5" hidden="1" customHeight="1">
      <c r="B655" s="9">
        <f>IF(C655="","",COUNTA($C$2:C655))</f>
        <v>654</v>
      </c>
      <c r="C655" s="52" t="s">
        <v>601</v>
      </c>
      <c r="D655" s="37" t="s">
        <v>160</v>
      </c>
      <c r="E655" s="41" t="s">
        <v>184</v>
      </c>
      <c r="F655" s="41" t="s">
        <v>461</v>
      </c>
      <c r="G655" s="34" t="s">
        <v>52</v>
      </c>
      <c r="H655" s="57">
        <v>7775400</v>
      </c>
      <c r="I655" s="34">
        <f t="shared" ca="1" si="44"/>
        <v>6</v>
      </c>
      <c r="J655" s="11" t="str">
        <f t="shared" ca="1" si="43"/>
        <v>정상</v>
      </c>
      <c r="N655" s="9" t="s">
        <v>35</v>
      </c>
    </row>
    <row r="656" spans="2:14" ht="16.5" hidden="1" customHeight="1">
      <c r="B656" s="9">
        <f>IF(C656="","",COUNTA($C$2:C656))</f>
        <v>655</v>
      </c>
      <c r="C656" s="52" t="s">
        <v>601</v>
      </c>
      <c r="D656" s="37" t="s">
        <v>160</v>
      </c>
      <c r="E656" s="41" t="s">
        <v>309</v>
      </c>
      <c r="F656" s="41" t="s">
        <v>523</v>
      </c>
      <c r="G656" s="34" t="s">
        <v>52</v>
      </c>
      <c r="H656" s="57">
        <v>365000</v>
      </c>
      <c r="I656" s="34">
        <f t="shared" ca="1" si="44"/>
        <v>6</v>
      </c>
      <c r="J656" s="11" t="str">
        <f t="shared" ca="1" si="43"/>
        <v>정상</v>
      </c>
      <c r="N656" s="9" t="s">
        <v>35</v>
      </c>
    </row>
    <row r="657" spans="2:14" ht="16.5" hidden="1" customHeight="1">
      <c r="B657" s="9">
        <f>IF(C657="","",COUNTA($C$2:C657))</f>
        <v>656</v>
      </c>
      <c r="C657" s="52" t="s">
        <v>601</v>
      </c>
      <c r="D657" s="37" t="s">
        <v>160</v>
      </c>
      <c r="E657" s="41" t="s">
        <v>398</v>
      </c>
      <c r="F657" s="41" t="s">
        <v>604</v>
      </c>
      <c r="G657" s="34" t="s">
        <v>52</v>
      </c>
      <c r="H657" s="57">
        <v>1184000</v>
      </c>
      <c r="I657" s="34">
        <f t="shared" ca="1" si="44"/>
        <v>6</v>
      </c>
      <c r="J657" s="11" t="str">
        <f t="shared" ca="1" si="43"/>
        <v>정상</v>
      </c>
      <c r="N657" s="9" t="s">
        <v>35</v>
      </c>
    </row>
    <row r="658" spans="2:14" ht="16.5" hidden="1" customHeight="1">
      <c r="B658" s="9">
        <f>IF(C658="","",COUNTA($C$2:C658))</f>
        <v>657</v>
      </c>
      <c r="C658" s="52" t="s">
        <v>601</v>
      </c>
      <c r="D658" s="37" t="s">
        <v>160</v>
      </c>
      <c r="E658" s="41" t="s">
        <v>605</v>
      </c>
      <c r="F658" s="41" t="s">
        <v>606</v>
      </c>
      <c r="G658" s="34" t="s">
        <v>52</v>
      </c>
      <c r="H658" s="57">
        <v>7360700</v>
      </c>
      <c r="I658" s="34">
        <f t="shared" ca="1" si="44"/>
        <v>6</v>
      </c>
      <c r="J658" s="11" t="str">
        <f t="shared" ca="1" si="43"/>
        <v>정상</v>
      </c>
      <c r="N658" s="9" t="s">
        <v>35</v>
      </c>
    </row>
    <row r="659" spans="2:14" ht="16.5" hidden="1" customHeight="1">
      <c r="B659" s="9">
        <f>IF(C659="","",COUNTA($C$2:C659))</f>
        <v>658</v>
      </c>
      <c r="C659" s="52" t="s">
        <v>601</v>
      </c>
      <c r="D659" s="37" t="s">
        <v>160</v>
      </c>
      <c r="E659" s="41" t="s">
        <v>136</v>
      </c>
      <c r="F659" s="41" t="s">
        <v>607</v>
      </c>
      <c r="G659" s="34" t="s">
        <v>52</v>
      </c>
      <c r="H659" s="57">
        <v>50957500</v>
      </c>
      <c r="I659" s="34">
        <f t="shared" ca="1" si="44"/>
        <v>6</v>
      </c>
      <c r="J659" s="11" t="str">
        <f t="shared" ca="1" si="43"/>
        <v>정상</v>
      </c>
      <c r="N659" s="9" t="s">
        <v>35</v>
      </c>
    </row>
    <row r="660" spans="2:14" ht="16.5" hidden="1" customHeight="1">
      <c r="B660" s="9">
        <f>IF(C660="","",COUNTA($C$2:C660))</f>
        <v>659</v>
      </c>
      <c r="C660" s="52" t="s">
        <v>601</v>
      </c>
      <c r="D660" s="37" t="s">
        <v>160</v>
      </c>
      <c r="E660" s="41" t="s">
        <v>551</v>
      </c>
      <c r="F660" s="41" t="s">
        <v>608</v>
      </c>
      <c r="G660" s="34" t="s">
        <v>52</v>
      </c>
      <c r="H660" s="57">
        <v>508700</v>
      </c>
      <c r="I660" s="34">
        <f t="shared" ca="1" si="44"/>
        <v>6</v>
      </c>
      <c r="J660" s="11" t="str">
        <f ca="1">IF(I660="","",
 IF(G660="선급금",
   IF(I660&lt;=20,"정상",IF(I660&lt;=90,"관리","장기미수")),
 IF(G660="자재",
   IF(I660&lt;=40,"정상",IF(I660&lt;=90,"관리","장기미수")),
   IF(I660&lt;=30,"정상",IF(I660&lt;=90,"관리","장기미수"))
  )
 )
)</f>
        <v>정상</v>
      </c>
      <c r="N660" s="9" t="s">
        <v>35</v>
      </c>
    </row>
    <row r="661" spans="2:14" ht="16.5" hidden="1" customHeight="1">
      <c r="B661" s="9">
        <f>IF(C661="","",COUNTA($C$2:C661))</f>
        <v>660</v>
      </c>
      <c r="C661" s="52" t="s">
        <v>601</v>
      </c>
      <c r="D661" s="37" t="s">
        <v>160</v>
      </c>
      <c r="E661" s="41" t="s">
        <v>142</v>
      </c>
      <c r="F661" s="41" t="s">
        <v>407</v>
      </c>
      <c r="G661" s="34" t="s">
        <v>52</v>
      </c>
      <c r="H661" s="57">
        <v>6565000</v>
      </c>
      <c r="I661" s="34">
        <f t="shared" ca="1" si="44"/>
        <v>6</v>
      </c>
      <c r="J661" s="11" t="str">
        <f t="shared" ref="J661:J716" ca="1" si="45">IF(I661="","",
IF(G661="선급금",
IF(I661&lt;=20,"정상",IF(I661&lt;=90,"관리","장기미수")),
IF(G661="자재",
IF(I661&lt;=40,"정상",IF(I661&lt;=90,"관리","장기미수")),
IF(I661&lt;=30,"정상",IF(I661&lt;=90,"관리","장기미수"))
)
)
)</f>
        <v>정상</v>
      </c>
      <c r="N661" s="9" t="s">
        <v>35</v>
      </c>
    </row>
    <row r="662" spans="2:14" ht="16.5" hidden="1" customHeight="1">
      <c r="B662" s="9">
        <f>IF(C662="","",COUNTA($C$2:C662))</f>
        <v>661</v>
      </c>
      <c r="C662" s="52" t="s">
        <v>601</v>
      </c>
      <c r="D662" s="37" t="s">
        <v>160</v>
      </c>
      <c r="E662" s="41" t="s">
        <v>275</v>
      </c>
      <c r="F662" s="41" t="s">
        <v>609</v>
      </c>
      <c r="G662" s="34" t="s">
        <v>52</v>
      </c>
      <c r="H662" s="57">
        <v>3096900</v>
      </c>
      <c r="I662" s="34">
        <f t="shared" ca="1" si="44"/>
        <v>6</v>
      </c>
      <c r="J662" s="11" t="str">
        <f t="shared" ca="1" si="45"/>
        <v>정상</v>
      </c>
      <c r="N662" s="9" t="s">
        <v>35</v>
      </c>
    </row>
    <row r="663" spans="2:14" ht="16.5" hidden="1" customHeight="1">
      <c r="B663" s="9">
        <f>IF(C663="","",COUNTA($C$2:C663))</f>
        <v>662</v>
      </c>
      <c r="C663" s="52" t="s">
        <v>601</v>
      </c>
      <c r="D663" s="37" t="s">
        <v>160</v>
      </c>
      <c r="E663" s="41" t="s">
        <v>489</v>
      </c>
      <c r="F663" s="41" t="s">
        <v>470</v>
      </c>
      <c r="G663" s="34" t="s">
        <v>52</v>
      </c>
      <c r="H663" s="57">
        <v>15595200</v>
      </c>
      <c r="I663" s="34">
        <f t="shared" ca="1" si="44"/>
        <v>6</v>
      </c>
      <c r="J663" s="11" t="str">
        <f t="shared" ca="1" si="45"/>
        <v>정상</v>
      </c>
      <c r="N663" s="9" t="s">
        <v>35</v>
      </c>
    </row>
    <row r="664" spans="2:14" ht="16.5" hidden="1" customHeight="1">
      <c r="B664" s="9">
        <f>IF(C664="","",COUNTA($C$2:C664))</f>
        <v>663</v>
      </c>
      <c r="C664" s="52" t="s">
        <v>601</v>
      </c>
      <c r="D664" s="37" t="s">
        <v>160</v>
      </c>
      <c r="E664" s="41" t="s">
        <v>142</v>
      </c>
      <c r="F664" s="41" t="s">
        <v>465</v>
      </c>
      <c r="G664" s="34" t="s">
        <v>52</v>
      </c>
      <c r="H664" s="57">
        <v>5146300</v>
      </c>
      <c r="I664" s="34">
        <f t="shared" ca="1" si="44"/>
        <v>6</v>
      </c>
      <c r="J664" s="11" t="str">
        <f t="shared" ca="1" si="45"/>
        <v>정상</v>
      </c>
      <c r="N664" s="9" t="s">
        <v>35</v>
      </c>
    </row>
    <row r="665" spans="2:14" ht="16.5" hidden="1" customHeight="1">
      <c r="B665" s="9">
        <f>IF(C665="","",COUNTA($C$2:C665))</f>
        <v>664</v>
      </c>
      <c r="C665" s="52" t="s">
        <v>628</v>
      </c>
      <c r="D665" s="37" t="s">
        <v>160</v>
      </c>
      <c r="E665" s="41" t="s">
        <v>96</v>
      </c>
      <c r="F665" s="41" t="s">
        <v>632</v>
      </c>
      <c r="G665" s="34" t="s">
        <v>52</v>
      </c>
      <c r="H665" s="58">
        <v>3735500</v>
      </c>
      <c r="I665" s="34">
        <f t="shared" ca="1" si="44"/>
        <v>5</v>
      </c>
      <c r="J665" s="11" t="str">
        <f t="shared" ca="1" si="45"/>
        <v>정상</v>
      </c>
      <c r="N665" s="9" t="s">
        <v>35</v>
      </c>
    </row>
    <row r="666" spans="2:14" ht="16.5" hidden="1" customHeight="1">
      <c r="B666" s="9">
        <f>IF(C666="","",COUNTA($C$2:C666))</f>
        <v>665</v>
      </c>
      <c r="C666" s="52">
        <v>46155</v>
      </c>
      <c r="D666" s="37"/>
      <c r="E666" s="41" t="s">
        <v>705</v>
      </c>
      <c r="F666" s="41" t="s">
        <v>706</v>
      </c>
      <c r="G666" s="34" t="s">
        <v>627</v>
      </c>
      <c r="H666" s="58">
        <v>7500000</v>
      </c>
      <c r="I666" s="34">
        <f t="shared" ca="1" si="44"/>
        <v>5</v>
      </c>
      <c r="J666" s="11" t="str">
        <f t="shared" ca="1" si="45"/>
        <v>정상</v>
      </c>
      <c r="N666" s="9" t="s">
        <v>35</v>
      </c>
    </row>
    <row r="667" spans="2:14" ht="16.5" hidden="1" customHeight="1">
      <c r="B667" s="9">
        <f>IF(C667="","",COUNTA($C$2:C667))</f>
        <v>666</v>
      </c>
      <c r="C667" s="52" t="s">
        <v>628</v>
      </c>
      <c r="D667" s="37" t="s">
        <v>160</v>
      </c>
      <c r="E667" s="41" t="s">
        <v>59</v>
      </c>
      <c r="F667" s="41" t="s">
        <v>633</v>
      </c>
      <c r="G667" s="34" t="s">
        <v>52</v>
      </c>
      <c r="H667" s="58">
        <v>28923500</v>
      </c>
      <c r="I667" s="34">
        <f t="shared" ca="1" si="44"/>
        <v>5</v>
      </c>
      <c r="J667" s="11" t="str">
        <f t="shared" ca="1" si="45"/>
        <v>정상</v>
      </c>
      <c r="N667" s="9" t="s">
        <v>35</v>
      </c>
    </row>
    <row r="668" spans="2:14" ht="16.5" hidden="1" customHeight="1">
      <c r="B668" s="9">
        <f>IF(C668="","",COUNTA($C$2:C668))</f>
        <v>667</v>
      </c>
      <c r="C668" s="52" t="s">
        <v>628</v>
      </c>
      <c r="D668" s="37" t="s">
        <v>160</v>
      </c>
      <c r="E668" s="41" t="s">
        <v>177</v>
      </c>
      <c r="F668" s="41" t="s">
        <v>634</v>
      </c>
      <c r="G668" s="34" t="s">
        <v>52</v>
      </c>
      <c r="H668" s="58">
        <v>3067500</v>
      </c>
      <c r="I668" s="34">
        <f t="shared" ca="1" si="44"/>
        <v>2</v>
      </c>
      <c r="J668" s="11" t="str">
        <f t="shared" ca="1" si="45"/>
        <v>정상</v>
      </c>
      <c r="L668" s="32">
        <v>46157</v>
      </c>
      <c r="N668" s="9" t="s">
        <v>35</v>
      </c>
    </row>
    <row r="669" spans="2:14" ht="16.5" hidden="1" customHeight="1">
      <c r="B669" s="9">
        <f>IF(C669="","",COUNTA($C$2:C669))</f>
        <v>668</v>
      </c>
      <c r="C669" s="52">
        <v>46155</v>
      </c>
      <c r="D669" s="37" t="s">
        <v>669</v>
      </c>
      <c r="E669" s="41" t="s">
        <v>670</v>
      </c>
      <c r="F669" s="41" t="s">
        <v>671</v>
      </c>
      <c r="G669" s="34" t="s">
        <v>672</v>
      </c>
      <c r="H669" s="58">
        <v>10186000</v>
      </c>
      <c r="I669" s="34">
        <f t="shared" ca="1" si="44"/>
        <v>5</v>
      </c>
      <c r="J669" s="11" t="str">
        <f t="shared" ca="1" si="45"/>
        <v>정상</v>
      </c>
      <c r="N669" s="9" t="s">
        <v>35</v>
      </c>
    </row>
    <row r="670" spans="2:14" ht="16.5" hidden="1" customHeight="1">
      <c r="B670" s="9">
        <f>IF(C670="","",COUNTA($C$2:C670))</f>
        <v>669</v>
      </c>
      <c r="C670" s="52">
        <v>46155</v>
      </c>
      <c r="D670" s="37" t="s">
        <v>669</v>
      </c>
      <c r="E670" s="41" t="s">
        <v>673</v>
      </c>
      <c r="F670" s="41" t="s">
        <v>674</v>
      </c>
      <c r="G670" s="34" t="s">
        <v>675</v>
      </c>
      <c r="H670" s="58">
        <v>19906000</v>
      </c>
      <c r="I670" s="34">
        <f t="shared" ca="1" si="44"/>
        <v>5</v>
      </c>
      <c r="J670" s="11" t="str">
        <f t="shared" ca="1" si="45"/>
        <v>정상</v>
      </c>
      <c r="N670" s="9" t="s">
        <v>35</v>
      </c>
    </row>
    <row r="671" spans="2:14" ht="16.5" hidden="1" customHeight="1">
      <c r="B671" s="9">
        <f>IF(C671="","",COUNTA($C$2:C671))</f>
        <v>670</v>
      </c>
      <c r="C671" s="52">
        <v>46155</v>
      </c>
      <c r="D671" s="37" t="s">
        <v>669</v>
      </c>
      <c r="E671" s="41" t="s">
        <v>676</v>
      </c>
      <c r="F671" s="41" t="s">
        <v>677</v>
      </c>
      <c r="G671" s="34" t="s">
        <v>678</v>
      </c>
      <c r="H671" s="58">
        <v>4160000</v>
      </c>
      <c r="I671" s="34">
        <f t="shared" ca="1" si="44"/>
        <v>2</v>
      </c>
      <c r="J671" s="11" t="str">
        <f t="shared" ca="1" si="45"/>
        <v>정상</v>
      </c>
      <c r="L671" s="32">
        <v>46157</v>
      </c>
      <c r="N671" s="9" t="s">
        <v>35</v>
      </c>
    </row>
    <row r="672" spans="2:14" ht="16.5" hidden="1" customHeight="1">
      <c r="B672" s="9">
        <f>IF(C672="","",COUNTA($C$2:C672))</f>
        <v>671</v>
      </c>
      <c r="C672" s="52">
        <v>46155</v>
      </c>
      <c r="D672" s="37"/>
      <c r="E672" s="41" t="s">
        <v>703</v>
      </c>
      <c r="F672" s="41" t="s">
        <v>704</v>
      </c>
      <c r="G672" s="34" t="s">
        <v>700</v>
      </c>
      <c r="H672" s="58">
        <v>38970000</v>
      </c>
      <c r="I672" s="34">
        <f t="shared" ca="1" si="44"/>
        <v>5</v>
      </c>
      <c r="J672" s="11" t="str">
        <f t="shared" ca="1" si="45"/>
        <v>정상</v>
      </c>
      <c r="N672" s="9" t="s">
        <v>35</v>
      </c>
    </row>
    <row r="673" spans="2:14" ht="16.5" hidden="1" customHeight="1">
      <c r="B673" s="9">
        <f>IF(C673="","",COUNTA($C$2:C673))</f>
        <v>672</v>
      </c>
      <c r="C673" s="52" t="s">
        <v>628</v>
      </c>
      <c r="D673" s="37" t="s">
        <v>160</v>
      </c>
      <c r="E673" s="41" t="s">
        <v>65</v>
      </c>
      <c r="F673" s="41" t="s">
        <v>635</v>
      </c>
      <c r="G673" s="34" t="s">
        <v>52</v>
      </c>
      <c r="H673" s="58">
        <v>4333500</v>
      </c>
      <c r="I673" s="34">
        <f t="shared" ca="1" si="44"/>
        <v>5</v>
      </c>
      <c r="J673" s="11" t="str">
        <f t="shared" ca="1" si="45"/>
        <v>정상</v>
      </c>
      <c r="N673" s="9" t="s">
        <v>35</v>
      </c>
    </row>
    <row r="674" spans="2:14" ht="16.5" hidden="1" customHeight="1">
      <c r="B674" s="9">
        <f>IF(C674="","",COUNTA($C$2:C674))</f>
        <v>673</v>
      </c>
      <c r="C674" s="52">
        <v>46155</v>
      </c>
      <c r="D674" s="37" t="s">
        <v>707</v>
      </c>
      <c r="E674" s="41" t="s">
        <v>708</v>
      </c>
      <c r="F674" s="41" t="s">
        <v>709</v>
      </c>
      <c r="G674" s="34" t="s">
        <v>710</v>
      </c>
      <c r="H674" s="58">
        <v>7932698</v>
      </c>
      <c r="I674" s="34">
        <f t="shared" ca="1" si="44"/>
        <v>1</v>
      </c>
      <c r="J674" s="11" t="str">
        <f t="shared" ca="1" si="45"/>
        <v>정상</v>
      </c>
      <c r="L674" s="32">
        <v>46156</v>
      </c>
      <c r="N674" s="9" t="s">
        <v>35</v>
      </c>
    </row>
    <row r="675" spans="2:14" ht="16.5" hidden="1" customHeight="1">
      <c r="B675" s="9">
        <f>IF(C675="","",COUNTA($C$2:C675))</f>
        <v>674</v>
      </c>
      <c r="C675" s="52" t="s">
        <v>629</v>
      </c>
      <c r="D675" s="37" t="s">
        <v>669</v>
      </c>
      <c r="E675" s="41" t="s">
        <v>679</v>
      </c>
      <c r="F675" s="41" t="s">
        <v>680</v>
      </c>
      <c r="G675" s="34" t="s">
        <v>681</v>
      </c>
      <c r="H675" s="58">
        <v>5776800</v>
      </c>
      <c r="I675" s="34">
        <f t="shared" ca="1" si="44"/>
        <v>4</v>
      </c>
      <c r="J675" s="11" t="str">
        <f t="shared" ca="1" si="45"/>
        <v>정상</v>
      </c>
      <c r="N675" s="9" t="s">
        <v>35</v>
      </c>
    </row>
    <row r="676" spans="2:14" ht="16.5" hidden="1" customHeight="1">
      <c r="B676" s="9">
        <f>IF(C676="","",COUNTA($C$2:C676))</f>
        <v>675</v>
      </c>
      <c r="C676" s="52">
        <v>46156</v>
      </c>
      <c r="D676" s="37" t="s">
        <v>669</v>
      </c>
      <c r="E676" s="41" t="s">
        <v>684</v>
      </c>
      <c r="F676" s="41" t="s">
        <v>682</v>
      </c>
      <c r="G676" s="34" t="s">
        <v>685</v>
      </c>
      <c r="H676" s="58">
        <v>15862400</v>
      </c>
      <c r="I676" s="34">
        <f t="shared" ca="1" si="44"/>
        <v>4</v>
      </c>
      <c r="J676" s="11" t="str">
        <f t="shared" ca="1" si="45"/>
        <v>정상</v>
      </c>
      <c r="N676" s="9" t="s">
        <v>35</v>
      </c>
    </row>
    <row r="677" spans="2:14" ht="16.5" hidden="1" customHeight="1">
      <c r="B677" s="9">
        <f>IF(C677="","",COUNTA($C$2:C677))</f>
        <v>676</v>
      </c>
      <c r="C677" s="52">
        <v>46156</v>
      </c>
      <c r="D677" s="37" t="s">
        <v>669</v>
      </c>
      <c r="E677" s="41" t="s">
        <v>689</v>
      </c>
      <c r="F677" s="41" t="s">
        <v>686</v>
      </c>
      <c r="G677" s="34" t="s">
        <v>685</v>
      </c>
      <c r="H677" s="51">
        <v>27653200</v>
      </c>
      <c r="I677" s="34">
        <f t="shared" ca="1" si="44"/>
        <v>4</v>
      </c>
      <c r="J677" s="11" t="str">
        <f t="shared" ca="1" si="45"/>
        <v>정상</v>
      </c>
      <c r="N677" s="9" t="s">
        <v>35</v>
      </c>
    </row>
    <row r="678" spans="2:14" ht="16.5" hidden="1" customHeight="1">
      <c r="B678" s="9">
        <f>IF(C678="","",COUNTA($C$2:C678))</f>
        <v>677</v>
      </c>
      <c r="C678" s="52">
        <v>46156</v>
      </c>
      <c r="D678" s="37" t="s">
        <v>669</v>
      </c>
      <c r="E678" s="41" t="s">
        <v>690</v>
      </c>
      <c r="F678" s="41" t="s">
        <v>687</v>
      </c>
      <c r="G678" s="34" t="s">
        <v>685</v>
      </c>
      <c r="H678" s="51">
        <v>22745000</v>
      </c>
      <c r="I678" s="34">
        <f t="shared" ca="1" si="44"/>
        <v>1</v>
      </c>
      <c r="J678" s="11" t="str">
        <f t="shared" ca="1" si="45"/>
        <v>정상</v>
      </c>
      <c r="L678" s="32">
        <v>46157</v>
      </c>
      <c r="N678" s="9" t="s">
        <v>35</v>
      </c>
    </row>
    <row r="679" spans="2:14" ht="16.5" hidden="1" customHeight="1">
      <c r="B679" s="9">
        <f>IF(C679="","",COUNTA($C$2:C679))</f>
        <v>678</v>
      </c>
      <c r="C679" s="52">
        <v>46156</v>
      </c>
      <c r="D679" s="37" t="s">
        <v>669</v>
      </c>
      <c r="E679" s="41" t="s">
        <v>691</v>
      </c>
      <c r="F679" s="41" t="s">
        <v>688</v>
      </c>
      <c r="G679" s="34" t="s">
        <v>685</v>
      </c>
      <c r="H679" s="51">
        <v>2500000</v>
      </c>
      <c r="I679" s="34">
        <f t="shared" ca="1" si="44"/>
        <v>4</v>
      </c>
      <c r="J679" s="11" t="str">
        <f t="shared" ca="1" si="45"/>
        <v>정상</v>
      </c>
      <c r="N679" s="9" t="s">
        <v>35</v>
      </c>
    </row>
    <row r="680" spans="2:14" ht="16.5" hidden="1" customHeight="1">
      <c r="B680" s="9">
        <f>IF(C680="","",COUNTA($C$2:C680))</f>
        <v>679</v>
      </c>
      <c r="C680" s="52" t="s">
        <v>629</v>
      </c>
      <c r="D680" s="37" t="s">
        <v>160</v>
      </c>
      <c r="E680" s="41" t="s">
        <v>26</v>
      </c>
      <c r="F680" s="41" t="s">
        <v>636</v>
      </c>
      <c r="G680" s="34" t="s">
        <v>52</v>
      </c>
      <c r="H680" s="58">
        <v>9664000</v>
      </c>
      <c r="I680" s="34">
        <f t="shared" ca="1" si="44"/>
        <v>4</v>
      </c>
      <c r="J680" s="11" t="str">
        <f t="shared" ca="1" si="45"/>
        <v>정상</v>
      </c>
      <c r="N680" s="9" t="s">
        <v>35</v>
      </c>
    </row>
    <row r="681" spans="2:14" ht="16.5" hidden="1" customHeight="1">
      <c r="B681" s="9">
        <f>IF(C681="","",COUNTA($C$2:C681))</f>
        <v>680</v>
      </c>
      <c r="C681" s="52" t="s">
        <v>629</v>
      </c>
      <c r="D681" s="37" t="s">
        <v>160</v>
      </c>
      <c r="E681" s="41" t="s">
        <v>456</v>
      </c>
      <c r="F681" s="41" t="s">
        <v>631</v>
      </c>
      <c r="G681" s="34" t="s">
        <v>52</v>
      </c>
      <c r="H681" s="58">
        <v>401400</v>
      </c>
      <c r="I681" s="34">
        <f t="shared" ca="1" si="44"/>
        <v>4</v>
      </c>
      <c r="J681" s="11" t="str">
        <f t="shared" ca="1" si="45"/>
        <v>정상</v>
      </c>
      <c r="N681" s="9" t="s">
        <v>35</v>
      </c>
    </row>
    <row r="682" spans="2:14" ht="16.5" hidden="1" customHeight="1">
      <c r="B682" s="9">
        <f>IF(C682="","",COUNTA($C$2:C682))</f>
        <v>681</v>
      </c>
      <c r="C682" s="52" t="s">
        <v>629</v>
      </c>
      <c r="D682" s="37" t="s">
        <v>160</v>
      </c>
      <c r="E682" s="41" t="s">
        <v>65</v>
      </c>
      <c r="F682" s="41" t="s">
        <v>637</v>
      </c>
      <c r="G682" s="34" t="s">
        <v>52</v>
      </c>
      <c r="H682" s="58">
        <v>2059200</v>
      </c>
      <c r="I682" s="34">
        <f t="shared" ca="1" si="44"/>
        <v>4</v>
      </c>
      <c r="J682" s="11" t="str">
        <f t="shared" ca="1" si="45"/>
        <v>정상</v>
      </c>
      <c r="N682" s="9" t="s">
        <v>35</v>
      </c>
    </row>
    <row r="683" spans="2:14" ht="16.5" hidden="1" customHeight="1">
      <c r="B683" s="9">
        <f>IF(C683="","",COUNTA($C$2:C683))</f>
        <v>682</v>
      </c>
      <c r="C683" s="52" t="s">
        <v>629</v>
      </c>
      <c r="D683" s="37" t="s">
        <v>160</v>
      </c>
      <c r="E683" s="41" t="s">
        <v>551</v>
      </c>
      <c r="F683" s="41" t="s">
        <v>638</v>
      </c>
      <c r="G683" s="34" t="s">
        <v>52</v>
      </c>
      <c r="H683" s="58">
        <v>12845500</v>
      </c>
      <c r="I683" s="34">
        <f t="shared" ca="1" si="44"/>
        <v>4</v>
      </c>
      <c r="J683" s="11" t="str">
        <f t="shared" ca="1" si="45"/>
        <v>정상</v>
      </c>
      <c r="N683" s="9" t="s">
        <v>35</v>
      </c>
    </row>
    <row r="684" spans="2:14" ht="16.5" hidden="1" customHeight="1">
      <c r="B684" s="9">
        <f>IF(C684="","",COUNTA($C$2:C684))</f>
        <v>683</v>
      </c>
      <c r="C684" s="52" t="s">
        <v>629</v>
      </c>
      <c r="D684" s="37" t="s">
        <v>160</v>
      </c>
      <c r="E684" s="41" t="s">
        <v>309</v>
      </c>
      <c r="F684" s="41" t="s">
        <v>639</v>
      </c>
      <c r="G684" s="34" t="s">
        <v>52</v>
      </c>
      <c r="H684" s="58">
        <v>1012500</v>
      </c>
      <c r="I684" s="34">
        <f t="shared" ca="1" si="44"/>
        <v>4</v>
      </c>
      <c r="J684" s="11" t="str">
        <f t="shared" ca="1" si="45"/>
        <v>정상</v>
      </c>
      <c r="N684" s="9" t="s">
        <v>35</v>
      </c>
    </row>
    <row r="685" spans="2:14" ht="16.5" hidden="1" customHeight="1">
      <c r="B685" s="9">
        <f>IF(C685="","",COUNTA($C$2:C685))</f>
        <v>684</v>
      </c>
      <c r="C685" s="52" t="s">
        <v>629</v>
      </c>
      <c r="D685" s="37" t="s">
        <v>160</v>
      </c>
      <c r="E685" s="41" t="s">
        <v>224</v>
      </c>
      <c r="F685" s="41" t="s">
        <v>640</v>
      </c>
      <c r="G685" s="34" t="s">
        <v>52</v>
      </c>
      <c r="H685" s="58">
        <v>1604000</v>
      </c>
      <c r="I685" s="34">
        <f t="shared" ca="1" si="44"/>
        <v>1</v>
      </c>
      <c r="J685" s="11" t="str">
        <f t="shared" ca="1" si="45"/>
        <v>정상</v>
      </c>
      <c r="L685" s="32">
        <v>46157</v>
      </c>
      <c r="N685" s="9" t="s">
        <v>35</v>
      </c>
    </row>
    <row r="686" spans="2:14" ht="16.5" hidden="1" customHeight="1">
      <c r="B686" s="9">
        <f>IF(C686="","",COUNTA($C$2:C686))</f>
        <v>685</v>
      </c>
      <c r="C686" s="52" t="s">
        <v>629</v>
      </c>
      <c r="D686" s="37" t="s">
        <v>160</v>
      </c>
      <c r="E686" s="41" t="s">
        <v>610</v>
      </c>
      <c r="F686" s="41" t="s">
        <v>641</v>
      </c>
      <c r="G686" s="34" t="s">
        <v>52</v>
      </c>
      <c r="H686" s="58">
        <v>578100</v>
      </c>
      <c r="I686" s="34">
        <f t="shared" ca="1" si="44"/>
        <v>4</v>
      </c>
      <c r="J686" s="11" t="str">
        <f t="shared" ca="1" si="45"/>
        <v>정상</v>
      </c>
      <c r="N686" s="9" t="s">
        <v>35</v>
      </c>
    </row>
    <row r="687" spans="2:14" ht="16.5" hidden="1" customHeight="1">
      <c r="B687" s="9">
        <f>IF(C687="","",COUNTA($C$2:C687))</f>
        <v>686</v>
      </c>
      <c r="C687" s="52" t="s">
        <v>629</v>
      </c>
      <c r="D687" s="37" t="s">
        <v>160</v>
      </c>
      <c r="E687" s="41" t="s">
        <v>140</v>
      </c>
      <c r="F687" s="41" t="s">
        <v>642</v>
      </c>
      <c r="G687" s="34" t="s">
        <v>52</v>
      </c>
      <c r="H687" s="58">
        <v>2870000</v>
      </c>
      <c r="I687" s="34">
        <f t="shared" ca="1" si="44"/>
        <v>4</v>
      </c>
      <c r="J687" s="11" t="str">
        <f t="shared" ca="1" si="45"/>
        <v>정상</v>
      </c>
      <c r="N687" s="9" t="s">
        <v>35</v>
      </c>
    </row>
    <row r="688" spans="2:14" ht="16.5" hidden="1" customHeight="1">
      <c r="B688" s="9">
        <f>IF(C688="","",COUNTA($C$2:C688))</f>
        <v>687</v>
      </c>
      <c r="C688" s="52" t="s">
        <v>629</v>
      </c>
      <c r="D688" s="37" t="s">
        <v>160</v>
      </c>
      <c r="E688" s="41" t="s">
        <v>432</v>
      </c>
      <c r="F688" s="41" t="s">
        <v>643</v>
      </c>
      <c r="G688" s="34" t="s">
        <v>52</v>
      </c>
      <c r="H688" s="58">
        <v>137300</v>
      </c>
      <c r="I688" s="34">
        <f t="shared" ca="1" si="44"/>
        <v>4</v>
      </c>
      <c r="J688" s="11" t="str">
        <f t="shared" ca="1" si="45"/>
        <v>정상</v>
      </c>
      <c r="N688" s="9" t="s">
        <v>35</v>
      </c>
    </row>
    <row r="689" spans="2:14" ht="16.5" hidden="1" customHeight="1">
      <c r="B689" s="9">
        <f>IF(C689="","",COUNTA($C$2:C689))</f>
        <v>688</v>
      </c>
      <c r="C689" s="52" t="s">
        <v>629</v>
      </c>
      <c r="D689" s="37" t="s">
        <v>160</v>
      </c>
      <c r="E689" s="41" t="s">
        <v>217</v>
      </c>
      <c r="F689" s="41" t="s">
        <v>644</v>
      </c>
      <c r="G689" s="34" t="s">
        <v>52</v>
      </c>
      <c r="H689" s="58">
        <v>1042500</v>
      </c>
      <c r="I689" s="34">
        <f t="shared" ca="1" si="44"/>
        <v>4</v>
      </c>
      <c r="J689" s="11" t="str">
        <f t="shared" ca="1" si="45"/>
        <v>정상</v>
      </c>
      <c r="N689" s="9" t="s">
        <v>35</v>
      </c>
    </row>
    <row r="690" spans="2:14" ht="16.5" hidden="1" customHeight="1">
      <c r="B690" s="9">
        <f>IF(C690="","",COUNTA($C$2:C690))</f>
        <v>689</v>
      </c>
      <c r="C690" s="52" t="s">
        <v>629</v>
      </c>
      <c r="D690" s="37" t="s">
        <v>160</v>
      </c>
      <c r="E690" s="41" t="s">
        <v>177</v>
      </c>
      <c r="F690" s="41" t="s">
        <v>645</v>
      </c>
      <c r="G690" s="34" t="s">
        <v>52</v>
      </c>
      <c r="H690" s="58">
        <v>8250000</v>
      </c>
      <c r="I690" s="34">
        <f t="shared" ca="1" si="44"/>
        <v>4</v>
      </c>
      <c r="J690" s="11" t="str">
        <f t="shared" ca="1" si="45"/>
        <v>정상</v>
      </c>
      <c r="N690" s="9" t="s">
        <v>35</v>
      </c>
    </row>
    <row r="691" spans="2:14" ht="16.5" hidden="1" customHeight="1">
      <c r="B691" s="9">
        <f>IF(C691="","",COUNTA($C$2:C691))</f>
        <v>690</v>
      </c>
      <c r="C691" s="52" t="s">
        <v>629</v>
      </c>
      <c r="D691" s="37" t="s">
        <v>160</v>
      </c>
      <c r="E691" s="41" t="s">
        <v>222</v>
      </c>
      <c r="F691" s="41" t="s">
        <v>646</v>
      </c>
      <c r="G691" s="34" t="s">
        <v>52</v>
      </c>
      <c r="H691" s="58">
        <v>20625000</v>
      </c>
      <c r="I691" s="34">
        <f t="shared" ca="1" si="44"/>
        <v>4</v>
      </c>
      <c r="J691" s="11" t="str">
        <f t="shared" ca="1" si="45"/>
        <v>정상</v>
      </c>
      <c r="N691" s="9" t="s">
        <v>35</v>
      </c>
    </row>
    <row r="692" spans="2:14" ht="16.5" hidden="1" customHeight="1">
      <c r="B692" s="9">
        <f>IF(C692="","",COUNTA($C$2:C692))</f>
        <v>691</v>
      </c>
      <c r="C692" s="52" t="s">
        <v>629</v>
      </c>
      <c r="D692" s="37" t="s">
        <v>160</v>
      </c>
      <c r="E692" s="41" t="s">
        <v>401</v>
      </c>
      <c r="F692" s="41" t="s">
        <v>647</v>
      </c>
      <c r="G692" s="34" t="s">
        <v>52</v>
      </c>
      <c r="H692" s="58">
        <v>6090700</v>
      </c>
      <c r="I692" s="34">
        <f t="shared" ca="1" si="44"/>
        <v>4</v>
      </c>
      <c r="J692" s="11" t="str">
        <f t="shared" ca="1" si="45"/>
        <v>정상</v>
      </c>
      <c r="N692" s="9" t="s">
        <v>35</v>
      </c>
    </row>
    <row r="693" spans="2:14" ht="16.5" hidden="1" customHeight="1">
      <c r="B693" s="9">
        <f>IF(C693="","",COUNTA($C$2:C693))</f>
        <v>692</v>
      </c>
      <c r="C693" s="52" t="s">
        <v>629</v>
      </c>
      <c r="D693" s="37" t="s">
        <v>160</v>
      </c>
      <c r="E693" s="41" t="s">
        <v>140</v>
      </c>
      <c r="F693" s="41" t="s">
        <v>648</v>
      </c>
      <c r="G693" s="34" t="s">
        <v>52</v>
      </c>
      <c r="H693" s="58">
        <v>9123000</v>
      </c>
      <c r="I693" s="34">
        <f t="shared" ca="1" si="44"/>
        <v>4</v>
      </c>
      <c r="J693" s="11" t="str">
        <f t="shared" ca="1" si="45"/>
        <v>정상</v>
      </c>
      <c r="N693" s="9" t="s">
        <v>35</v>
      </c>
    </row>
    <row r="694" spans="2:14" ht="16.5" hidden="1" customHeight="1">
      <c r="B694" s="9">
        <f>IF(C694="","",COUNTA($C$2:C694))</f>
        <v>693</v>
      </c>
      <c r="C694" s="52" t="s">
        <v>629</v>
      </c>
      <c r="D694" s="37" t="s">
        <v>160</v>
      </c>
      <c r="E694" s="41" t="s">
        <v>161</v>
      </c>
      <c r="F694" s="41" t="s">
        <v>649</v>
      </c>
      <c r="G694" s="34" t="s">
        <v>52</v>
      </c>
      <c r="H694" s="58">
        <v>859100</v>
      </c>
      <c r="I694" s="34">
        <f t="shared" ca="1" si="44"/>
        <v>4</v>
      </c>
      <c r="J694" s="11" t="str">
        <f t="shared" ca="1" si="45"/>
        <v>정상</v>
      </c>
      <c r="N694" s="9" t="s">
        <v>35</v>
      </c>
    </row>
    <row r="695" spans="2:14" ht="16.5" hidden="1" customHeight="1">
      <c r="B695" s="9">
        <f>IF(C695="","",COUNTA($C$2:C695))</f>
        <v>694</v>
      </c>
      <c r="C695" s="52" t="s">
        <v>629</v>
      </c>
      <c r="D695" s="37" t="s">
        <v>160</v>
      </c>
      <c r="E695" s="41" t="s">
        <v>130</v>
      </c>
      <c r="F695" s="41" t="s">
        <v>650</v>
      </c>
      <c r="G695" s="34" t="s">
        <v>52</v>
      </c>
      <c r="H695" s="58">
        <v>1002000</v>
      </c>
      <c r="I695" s="34">
        <f t="shared" ca="1" si="44"/>
        <v>4</v>
      </c>
      <c r="J695" s="11" t="str">
        <f t="shared" ca="1" si="45"/>
        <v>정상</v>
      </c>
      <c r="N695" s="9" t="s">
        <v>35</v>
      </c>
    </row>
    <row r="696" spans="2:14" ht="16.5" hidden="1" customHeight="1">
      <c r="B696" s="9">
        <f>IF(C696="","",COUNTA($C$2:C696))</f>
        <v>695</v>
      </c>
      <c r="C696" s="52" t="s">
        <v>629</v>
      </c>
      <c r="D696" s="37" t="s">
        <v>160</v>
      </c>
      <c r="E696" s="41" t="s">
        <v>18</v>
      </c>
      <c r="F696" s="41" t="s">
        <v>651</v>
      </c>
      <c r="G696" s="34" t="s">
        <v>52</v>
      </c>
      <c r="H696" s="58">
        <v>282000</v>
      </c>
      <c r="I696" s="34">
        <f t="shared" ca="1" si="44"/>
        <v>4</v>
      </c>
      <c r="J696" s="11" t="str">
        <f t="shared" ca="1" si="45"/>
        <v>정상</v>
      </c>
      <c r="N696" s="9" t="s">
        <v>35</v>
      </c>
    </row>
    <row r="697" spans="2:14" ht="16.5" hidden="1" customHeight="1">
      <c r="B697" s="9">
        <f>IF(C697="","",COUNTA($C$2:C697))</f>
        <v>696</v>
      </c>
      <c r="C697" s="52" t="s">
        <v>629</v>
      </c>
      <c r="D697" s="37" t="s">
        <v>160</v>
      </c>
      <c r="E697" s="41" t="s">
        <v>275</v>
      </c>
      <c r="F697" s="41" t="s">
        <v>652</v>
      </c>
      <c r="G697" s="34" t="s">
        <v>52</v>
      </c>
      <c r="H697" s="58">
        <v>1413900</v>
      </c>
      <c r="I697" s="34">
        <f t="shared" ca="1" si="44"/>
        <v>4</v>
      </c>
      <c r="J697" s="11" t="str">
        <f t="shared" ca="1" si="45"/>
        <v>정상</v>
      </c>
      <c r="N697" s="9" t="s">
        <v>35</v>
      </c>
    </row>
    <row r="698" spans="2:14" ht="16.5" hidden="1" customHeight="1">
      <c r="B698" s="9">
        <f>IF(C698="","",COUNTA($C$2:C698))</f>
        <v>697</v>
      </c>
      <c r="C698" s="52" t="s">
        <v>629</v>
      </c>
      <c r="D698" s="37" t="s">
        <v>160</v>
      </c>
      <c r="E698" s="41" t="s">
        <v>124</v>
      </c>
      <c r="F698" s="41" t="s">
        <v>653</v>
      </c>
      <c r="G698" s="34" t="s">
        <v>52</v>
      </c>
      <c r="H698" s="58">
        <v>1012800</v>
      </c>
      <c r="I698" s="34">
        <f t="shared" ca="1" si="44"/>
        <v>4</v>
      </c>
      <c r="J698" s="11" t="str">
        <f t="shared" ca="1" si="45"/>
        <v>정상</v>
      </c>
      <c r="N698" s="9" t="s">
        <v>35</v>
      </c>
    </row>
    <row r="699" spans="2:14" ht="16.5" hidden="1" customHeight="1">
      <c r="B699" s="9">
        <f>IF(C699="","",COUNTA($C$2:C699))</f>
        <v>698</v>
      </c>
      <c r="C699" s="52" t="s">
        <v>629</v>
      </c>
      <c r="D699" s="37" t="s">
        <v>160</v>
      </c>
      <c r="E699" s="41" t="s">
        <v>124</v>
      </c>
      <c r="F699" s="41" t="s">
        <v>654</v>
      </c>
      <c r="G699" s="34" t="s">
        <v>52</v>
      </c>
      <c r="H699" s="58">
        <v>4318000</v>
      </c>
      <c r="I699" s="34">
        <f t="shared" ca="1" si="44"/>
        <v>4</v>
      </c>
      <c r="J699" s="11" t="str">
        <f t="shared" ca="1" si="45"/>
        <v>정상</v>
      </c>
      <c r="N699" s="9" t="s">
        <v>35</v>
      </c>
    </row>
    <row r="700" spans="2:14" ht="16.5" hidden="1" customHeight="1">
      <c r="B700" s="9">
        <f>IF(C700="","",COUNTA($C$2:C700))</f>
        <v>699</v>
      </c>
      <c r="C700" s="52" t="s">
        <v>629</v>
      </c>
      <c r="D700" s="37" t="s">
        <v>160</v>
      </c>
      <c r="E700" s="41" t="s">
        <v>65</v>
      </c>
      <c r="F700" s="41" t="s">
        <v>655</v>
      </c>
      <c r="G700" s="34" t="s">
        <v>52</v>
      </c>
      <c r="H700" s="58">
        <v>1556200</v>
      </c>
      <c r="I700" s="34">
        <f t="shared" ca="1" si="44"/>
        <v>4</v>
      </c>
      <c r="J700" s="11" t="str">
        <f t="shared" ca="1" si="45"/>
        <v>정상</v>
      </c>
      <c r="N700" s="9" t="s">
        <v>35</v>
      </c>
    </row>
    <row r="701" spans="2:14" ht="16.5" hidden="1" customHeight="1">
      <c r="B701" s="9">
        <f>IF(C701="","",COUNTA($C$2:C701))</f>
        <v>700</v>
      </c>
      <c r="C701" s="52" t="s">
        <v>629</v>
      </c>
      <c r="D701" s="37" t="s">
        <v>160</v>
      </c>
      <c r="E701" s="41" t="s">
        <v>140</v>
      </c>
      <c r="F701" s="41" t="s">
        <v>656</v>
      </c>
      <c r="G701" s="34" t="s">
        <v>52</v>
      </c>
      <c r="H701" s="58">
        <v>-1624500</v>
      </c>
      <c r="I701" s="34">
        <f t="shared" ca="1" si="44"/>
        <v>4</v>
      </c>
      <c r="J701" s="11" t="str">
        <f t="shared" ca="1" si="45"/>
        <v>정상</v>
      </c>
      <c r="N701" s="9" t="s">
        <v>35</v>
      </c>
    </row>
    <row r="702" spans="2:14" ht="16.5" hidden="1" customHeight="1">
      <c r="B702" s="9">
        <f>IF(C702="","",COUNTA($C$2:C702))</f>
        <v>701</v>
      </c>
      <c r="C702" s="52" t="s">
        <v>683</v>
      </c>
      <c r="D702" s="37" t="s">
        <v>669</v>
      </c>
      <c r="E702" s="41" t="s">
        <v>692</v>
      </c>
      <c r="F702" s="41" t="s">
        <v>696</v>
      </c>
      <c r="G702" s="34" t="s">
        <v>700</v>
      </c>
      <c r="H702" s="58">
        <v>21430800</v>
      </c>
      <c r="I702" s="34">
        <f t="shared" ca="1" si="44"/>
        <v>3</v>
      </c>
      <c r="J702" s="11" t="str">
        <f t="shared" ca="1" si="45"/>
        <v>정상</v>
      </c>
      <c r="N702" s="9" t="s">
        <v>35</v>
      </c>
    </row>
    <row r="703" spans="2:14" ht="16.5" hidden="1" customHeight="1">
      <c r="B703" s="9">
        <f>IF(C703="","",COUNTA($C$2:C703))</f>
        <v>702</v>
      </c>
      <c r="C703" s="52">
        <v>46157</v>
      </c>
      <c r="D703" s="37" t="s">
        <v>669</v>
      </c>
      <c r="E703" s="41" t="s">
        <v>693</v>
      </c>
      <c r="F703" s="41" t="s">
        <v>697</v>
      </c>
      <c r="G703" s="34" t="s">
        <v>701</v>
      </c>
      <c r="H703" s="58">
        <v>34424000</v>
      </c>
      <c r="I703" s="34">
        <f t="shared" ca="1" si="44"/>
        <v>3</v>
      </c>
      <c r="J703" s="11" t="str">
        <f t="shared" ca="1" si="45"/>
        <v>정상</v>
      </c>
      <c r="N703" s="9" t="s">
        <v>35</v>
      </c>
    </row>
    <row r="704" spans="2:14" ht="16.5" hidden="1" customHeight="1">
      <c r="B704" s="9">
        <f>IF(C704="","",COUNTA($C$2:C704))</f>
        <v>703</v>
      </c>
      <c r="C704" s="52">
        <v>46157</v>
      </c>
      <c r="D704" s="37" t="s">
        <v>669</v>
      </c>
      <c r="E704" s="41" t="s">
        <v>694</v>
      </c>
      <c r="F704" s="41" t="s">
        <v>698</v>
      </c>
      <c r="G704" s="34" t="s">
        <v>702</v>
      </c>
      <c r="H704" s="58">
        <v>20557100</v>
      </c>
      <c r="I704" s="34">
        <f t="shared" ca="1" si="44"/>
        <v>3</v>
      </c>
      <c r="J704" s="11" t="str">
        <f t="shared" ca="1" si="45"/>
        <v>정상</v>
      </c>
      <c r="N704" s="9" t="s">
        <v>35</v>
      </c>
    </row>
    <row r="705" spans="2:14" ht="16.5" hidden="1" customHeight="1">
      <c r="B705" s="9">
        <f>IF(C705="","",COUNTA($C$2:C705))</f>
        <v>704</v>
      </c>
      <c r="C705" s="52">
        <v>46158</v>
      </c>
      <c r="D705" s="37" t="s">
        <v>711</v>
      </c>
      <c r="E705" s="41" t="s">
        <v>708</v>
      </c>
      <c r="F705" s="41" t="s">
        <v>712</v>
      </c>
      <c r="G705" s="34" t="s">
        <v>713</v>
      </c>
      <c r="H705" s="58">
        <v>1550000</v>
      </c>
      <c r="I705" s="34">
        <f t="shared" ca="1" si="44"/>
        <v>-1</v>
      </c>
      <c r="J705" s="11" t="str">
        <f t="shared" ca="1" si="45"/>
        <v>정상</v>
      </c>
      <c r="L705" s="32">
        <v>46157</v>
      </c>
      <c r="N705" s="9" t="s">
        <v>35</v>
      </c>
    </row>
    <row r="706" spans="2:14" ht="16.5" hidden="1" customHeight="1">
      <c r="B706" s="9">
        <f>IF(C706="","",COUNTA($C$2:C706))</f>
        <v>705</v>
      </c>
      <c r="C706" s="52">
        <v>46157</v>
      </c>
      <c r="D706" s="37" t="s">
        <v>669</v>
      </c>
      <c r="E706" s="41" t="s">
        <v>695</v>
      </c>
      <c r="F706" s="41" t="s">
        <v>699</v>
      </c>
      <c r="G706" s="34" t="s">
        <v>700</v>
      </c>
      <c r="H706" s="58">
        <v>4460000</v>
      </c>
      <c r="I706" s="34">
        <f t="shared" ca="1" si="44"/>
        <v>3</v>
      </c>
      <c r="J706" s="11" t="str">
        <f t="shared" ca="1" si="45"/>
        <v>정상</v>
      </c>
      <c r="N706" s="9" t="s">
        <v>35</v>
      </c>
    </row>
    <row r="707" spans="2:14" ht="16.5" hidden="1" customHeight="1">
      <c r="B707" s="9">
        <f>IF(C707="","",COUNTA($C$2:C707))</f>
        <v>706</v>
      </c>
      <c r="C707" s="52" t="s">
        <v>630</v>
      </c>
      <c r="D707" s="37" t="s">
        <v>160</v>
      </c>
      <c r="E707" s="41" t="s">
        <v>217</v>
      </c>
      <c r="F707" s="41" t="s">
        <v>657</v>
      </c>
      <c r="G707" s="34" t="s">
        <v>52</v>
      </c>
      <c r="H707" s="58">
        <v>1262000</v>
      </c>
      <c r="I707" s="34">
        <f t="shared" ca="1" si="44"/>
        <v>0</v>
      </c>
      <c r="J707" s="11" t="str">
        <f t="shared" ca="1" si="45"/>
        <v>정상</v>
      </c>
      <c r="N707" s="9" t="s">
        <v>35</v>
      </c>
    </row>
    <row r="708" spans="2:14" ht="16.5" hidden="1" customHeight="1">
      <c r="B708" s="9">
        <f>IF(C708="","",COUNTA($C$2:C708))</f>
        <v>707</v>
      </c>
      <c r="C708" s="52" t="s">
        <v>630</v>
      </c>
      <c r="D708" s="37" t="s">
        <v>160</v>
      </c>
      <c r="E708" s="41" t="s">
        <v>475</v>
      </c>
      <c r="F708" s="41" t="s">
        <v>658</v>
      </c>
      <c r="G708" s="34" t="s">
        <v>52</v>
      </c>
      <c r="H708" s="58">
        <v>333800</v>
      </c>
      <c r="I708" s="34">
        <f t="shared" ca="1" si="44"/>
        <v>-3</v>
      </c>
      <c r="J708" s="11" t="str">
        <f t="shared" ca="1" si="45"/>
        <v>정상</v>
      </c>
      <c r="L708" s="32">
        <v>46157</v>
      </c>
      <c r="N708" s="9" t="s">
        <v>35</v>
      </c>
    </row>
    <row r="709" spans="2:14" ht="16.5" hidden="1" customHeight="1">
      <c r="B709" s="9">
        <f>IF(C709="","",COUNTA($C$2:C709))</f>
        <v>708</v>
      </c>
      <c r="C709" s="52" t="s">
        <v>630</v>
      </c>
      <c r="D709" s="37" t="s">
        <v>160</v>
      </c>
      <c r="E709" s="41" t="s">
        <v>136</v>
      </c>
      <c r="F709" s="41" t="s">
        <v>659</v>
      </c>
      <c r="G709" s="34" t="s">
        <v>52</v>
      </c>
      <c r="H709" s="58">
        <v>295000</v>
      </c>
      <c r="I709" s="34">
        <f t="shared" ca="1" si="44"/>
        <v>0</v>
      </c>
      <c r="J709" s="11" t="str">
        <f t="shared" ca="1" si="45"/>
        <v>정상</v>
      </c>
      <c r="N709" s="9" t="s">
        <v>35</v>
      </c>
    </row>
    <row r="710" spans="2:14" ht="16.5" hidden="1" customHeight="1">
      <c r="B710" s="9">
        <f>IF(C710="","",COUNTA($C$2:C710))</f>
        <v>709</v>
      </c>
      <c r="C710" s="52" t="s">
        <v>630</v>
      </c>
      <c r="D710" s="37" t="s">
        <v>160</v>
      </c>
      <c r="E710" s="41" t="s">
        <v>363</v>
      </c>
      <c r="F710" s="41" t="s">
        <v>660</v>
      </c>
      <c r="G710" s="34" t="s">
        <v>52</v>
      </c>
      <c r="H710" s="58">
        <v>1699600</v>
      </c>
      <c r="I710" s="34">
        <f t="shared" ca="1" si="44"/>
        <v>0</v>
      </c>
      <c r="J710" s="11" t="str">
        <f t="shared" ca="1" si="45"/>
        <v>정상</v>
      </c>
      <c r="N710" s="9" t="s">
        <v>35</v>
      </c>
    </row>
    <row r="711" spans="2:14" ht="16.5" hidden="1" customHeight="1">
      <c r="B711" s="9">
        <f>IF(C711="","",COUNTA($C$2:C711))</f>
        <v>710</v>
      </c>
      <c r="C711" s="52" t="s">
        <v>630</v>
      </c>
      <c r="D711" s="37" t="s">
        <v>160</v>
      </c>
      <c r="E711" s="41" t="s">
        <v>275</v>
      </c>
      <c r="F711" s="41" t="s">
        <v>661</v>
      </c>
      <c r="G711" s="34" t="s">
        <v>52</v>
      </c>
      <c r="H711" s="58">
        <v>4712300</v>
      </c>
      <c r="I711" s="34">
        <f t="shared" ca="1" si="44"/>
        <v>0</v>
      </c>
      <c r="J711" s="11" t="str">
        <f t="shared" ca="1" si="45"/>
        <v>정상</v>
      </c>
      <c r="N711" s="9" t="s">
        <v>35</v>
      </c>
    </row>
    <row r="712" spans="2:14" ht="16.5" hidden="1" customHeight="1">
      <c r="B712" s="9">
        <f>IF(C712="","",COUNTA($C$2:C712))</f>
        <v>711</v>
      </c>
      <c r="C712" s="52" t="s">
        <v>630</v>
      </c>
      <c r="D712" s="37" t="s">
        <v>160</v>
      </c>
      <c r="E712" s="41" t="s">
        <v>96</v>
      </c>
      <c r="F712" s="41" t="s">
        <v>662</v>
      </c>
      <c r="G712" s="34" t="s">
        <v>52</v>
      </c>
      <c r="H712" s="58">
        <v>1969000</v>
      </c>
      <c r="I712" s="34">
        <f t="shared" ca="1" si="44"/>
        <v>0</v>
      </c>
      <c r="J712" s="11" t="str">
        <f t="shared" ca="1" si="45"/>
        <v>정상</v>
      </c>
      <c r="N712" s="9" t="s">
        <v>35</v>
      </c>
    </row>
    <row r="713" spans="2:14" ht="16.5" hidden="1" customHeight="1">
      <c r="B713" s="9">
        <f>IF(C713="","",COUNTA($C$2:C713))</f>
        <v>712</v>
      </c>
      <c r="C713" s="52" t="s">
        <v>630</v>
      </c>
      <c r="D713" s="37" t="s">
        <v>160</v>
      </c>
      <c r="E713" s="41" t="s">
        <v>96</v>
      </c>
      <c r="F713" s="41" t="s">
        <v>632</v>
      </c>
      <c r="G713" s="34" t="s">
        <v>52</v>
      </c>
      <c r="H713" s="58">
        <v>1232500</v>
      </c>
      <c r="I713" s="34">
        <f t="shared" ca="1" si="44"/>
        <v>0</v>
      </c>
      <c r="J713" s="11" t="str">
        <f t="shared" ca="1" si="45"/>
        <v>정상</v>
      </c>
      <c r="N713" s="9" t="s">
        <v>35</v>
      </c>
    </row>
    <row r="714" spans="2:14" ht="16.5" hidden="1" customHeight="1">
      <c r="B714" s="9">
        <f>IF(C714="","",COUNTA($C$2:C714))</f>
        <v>713</v>
      </c>
      <c r="C714" s="52" t="s">
        <v>630</v>
      </c>
      <c r="D714" s="37" t="s">
        <v>160</v>
      </c>
      <c r="E714" s="41" t="s">
        <v>175</v>
      </c>
      <c r="F714" s="41" t="s">
        <v>663</v>
      </c>
      <c r="G714" s="34" t="s">
        <v>52</v>
      </c>
      <c r="H714" s="58">
        <v>4892500</v>
      </c>
      <c r="I714" s="34">
        <f t="shared" ca="1" si="44"/>
        <v>0</v>
      </c>
      <c r="J714" s="11" t="str">
        <f t="shared" ca="1" si="45"/>
        <v>정상</v>
      </c>
      <c r="N714" s="9" t="s">
        <v>35</v>
      </c>
    </row>
    <row r="715" spans="2:14" ht="16.5" hidden="1" customHeight="1">
      <c r="B715" s="9">
        <f>IF(C715="","",COUNTA($C$2:C715))</f>
        <v>714</v>
      </c>
      <c r="C715" s="52" t="s">
        <v>630</v>
      </c>
      <c r="D715" s="37" t="s">
        <v>160</v>
      </c>
      <c r="E715" s="41" t="s">
        <v>175</v>
      </c>
      <c r="F715" s="41" t="s">
        <v>664</v>
      </c>
      <c r="G715" s="34" t="s">
        <v>52</v>
      </c>
      <c r="H715" s="58">
        <v>1445000</v>
      </c>
      <c r="I715" s="34">
        <f t="shared" ca="1" si="44"/>
        <v>0</v>
      </c>
      <c r="J715" s="11" t="str">
        <f t="shared" ca="1" si="45"/>
        <v>정상</v>
      </c>
      <c r="N715" s="9" t="s">
        <v>35</v>
      </c>
    </row>
    <row r="716" spans="2:14" ht="16.5" hidden="1" customHeight="1">
      <c r="B716" s="9">
        <f>IF(C716="","",COUNTA($C$2:C716))</f>
        <v>715</v>
      </c>
      <c r="C716" s="52" t="s">
        <v>630</v>
      </c>
      <c r="D716" s="37" t="s">
        <v>160</v>
      </c>
      <c r="E716" s="41" t="s">
        <v>551</v>
      </c>
      <c r="F716" s="41" t="s">
        <v>665</v>
      </c>
      <c r="G716" s="34" t="s">
        <v>52</v>
      </c>
      <c r="H716" s="58">
        <v>232000</v>
      </c>
      <c r="I716" s="34">
        <f t="shared" ca="1" si="44"/>
        <v>0</v>
      </c>
      <c r="J716" s="11" t="str">
        <f t="shared" ca="1" si="45"/>
        <v>정상</v>
      </c>
      <c r="N716" s="9" t="s">
        <v>35</v>
      </c>
    </row>
  </sheetData>
  <autoFilter ref="A1:S716">
    <filterColumn colId="3">
      <filters>
        <filter val="B"/>
      </filters>
    </filterColumn>
    <filterColumn colId="9">
      <filters>
        <filter val="관리"/>
        <filter val="장기미수"/>
      </filters>
    </filterColumn>
    <filterColumn colId="11">
      <filters blank="1"/>
    </filterColumn>
  </autoFilter>
  <phoneticPr fontId="5" type="noConversion"/>
  <conditionalFormatting sqref="E3 E37 F57:F60 C632:C641 E632:F649 H312:H352">
    <cfRule type="expression" dxfId="180" priority="246">
      <formula>$J3="잔금"</formula>
    </cfRule>
  </conditionalFormatting>
  <conditionalFormatting sqref="E8">
    <cfRule type="expression" dxfId="179" priority="245">
      <formula>$J8="잔금"</formula>
    </cfRule>
  </conditionalFormatting>
  <conditionalFormatting sqref="E4">
    <cfRule type="expression" dxfId="178" priority="244">
      <formula>$J4="잔금"</formula>
    </cfRule>
  </conditionalFormatting>
  <conditionalFormatting sqref="E9">
    <cfRule type="expression" dxfId="177" priority="243">
      <formula>$J9="잔금"</formula>
    </cfRule>
  </conditionalFormatting>
  <conditionalFormatting sqref="E41">
    <cfRule type="expression" dxfId="176" priority="238">
      <formula>$J41="잔금"</formula>
    </cfRule>
  </conditionalFormatting>
  <conditionalFormatting sqref="C186:C192 C572:C573 E98:E99 E186:F192 E572:F573 F113 H186:H192 H572:H573 C401:C418">
    <cfRule type="expression" dxfId="175" priority="228">
      <formula>$J98="잔금"</formula>
    </cfRule>
  </conditionalFormatting>
  <conditionalFormatting sqref="F98:F99">
    <cfRule type="expression" dxfId="174" priority="227">
      <formula>$J98="잔금"</formula>
    </cfRule>
  </conditionalFormatting>
  <conditionalFormatting sqref="F104:F105">
    <cfRule type="expression" dxfId="173" priority="225">
      <formula>$J104="잔금"</formula>
    </cfRule>
  </conditionalFormatting>
  <conditionalFormatting sqref="H104:H105">
    <cfRule type="expression" dxfId="172" priority="224">
      <formula>$J104="잔금"</formula>
    </cfRule>
  </conditionalFormatting>
  <conditionalFormatting sqref="E106:E108">
    <cfRule type="expression" dxfId="171" priority="223">
      <formula>$J106="잔금"</formula>
    </cfRule>
  </conditionalFormatting>
  <conditionalFormatting sqref="F106:F108">
    <cfRule type="expression" dxfId="170" priority="222">
      <formula>$J106="잔금"</formula>
    </cfRule>
  </conditionalFormatting>
  <conditionalFormatting sqref="H106:H108">
    <cfRule type="expression" dxfId="169" priority="221">
      <formula>$J106="잔금"</formula>
    </cfRule>
  </conditionalFormatting>
  <conditionalFormatting sqref="E110">
    <cfRule type="expression" dxfId="168" priority="220">
      <formula>$J110="잔금"</formula>
    </cfRule>
  </conditionalFormatting>
  <conditionalFormatting sqref="F110">
    <cfRule type="expression" dxfId="167" priority="219">
      <formula>$J110="잔금"</formula>
    </cfRule>
  </conditionalFormatting>
  <conditionalFormatting sqref="E111:E113">
    <cfRule type="expression" dxfId="166" priority="218">
      <formula>$J111="잔금"</formula>
    </cfRule>
  </conditionalFormatting>
  <conditionalFormatting sqref="F111">
    <cfRule type="expression" dxfId="165" priority="217">
      <formula>$J111="잔금"</formula>
    </cfRule>
  </conditionalFormatting>
  <conditionalFormatting sqref="F112">
    <cfRule type="expression" dxfId="164" priority="216">
      <formula>$J112="잔금"</formula>
    </cfRule>
  </conditionalFormatting>
  <conditionalFormatting sqref="H111:H113">
    <cfRule type="expression" dxfId="163" priority="215">
      <formula>$J111="잔금"</formula>
    </cfRule>
  </conditionalFormatting>
  <conditionalFormatting sqref="C111:C113">
    <cfRule type="expression" dxfId="162" priority="214">
      <formula>$J111="잔금"</formula>
    </cfRule>
  </conditionalFormatting>
  <conditionalFormatting sqref="E117">
    <cfRule type="expression" dxfId="161" priority="213">
      <formula>$J117="잔금"</formula>
    </cfRule>
  </conditionalFormatting>
  <conditionalFormatting sqref="F117">
    <cfRule type="expression" dxfId="160" priority="212">
      <formula>$J117="잔금"</formula>
    </cfRule>
  </conditionalFormatting>
  <conditionalFormatting sqref="F142:F149">
    <cfRule type="expression" dxfId="159" priority="211">
      <formula>$J142="잔금"</formula>
    </cfRule>
  </conditionalFormatting>
  <conditionalFormatting sqref="E142:E149">
    <cfRule type="expression" dxfId="158" priority="210">
      <formula>$J142="잔금"</formula>
    </cfRule>
  </conditionalFormatting>
  <conditionalFormatting sqref="H142:H149">
    <cfRule type="expression" dxfId="157" priority="209">
      <formula>$J142="잔금"</formula>
    </cfRule>
  </conditionalFormatting>
  <conditionalFormatting sqref="E151:E157">
    <cfRule type="expression" dxfId="156" priority="207">
      <formula>$J151="잔금"</formula>
    </cfRule>
  </conditionalFormatting>
  <conditionalFormatting sqref="F151:F157">
    <cfRule type="expression" dxfId="155" priority="206">
      <formula>$J151="잔금"</formula>
    </cfRule>
  </conditionalFormatting>
  <conditionalFormatting sqref="C151:C157">
    <cfRule type="expression" dxfId="154" priority="205">
      <formula>$J151="잔금"</formula>
    </cfRule>
  </conditionalFormatting>
  <conditionalFormatting sqref="H151:H157">
    <cfRule type="expression" dxfId="153" priority="204">
      <formula>$J151="잔금"</formula>
    </cfRule>
  </conditionalFormatting>
  <conditionalFormatting sqref="C158">
    <cfRule type="expression" dxfId="152" priority="203">
      <formula>$I158="잔금"</formula>
    </cfRule>
  </conditionalFormatting>
  <conditionalFormatting sqref="F159:F162">
    <cfRule type="expression" dxfId="151" priority="202">
      <formula>$J159="잔금"</formula>
    </cfRule>
  </conditionalFormatting>
  <conditionalFormatting sqref="E159:E162">
    <cfRule type="expression" dxfId="150" priority="201">
      <formula>$J159="잔금"</formula>
    </cfRule>
  </conditionalFormatting>
  <conditionalFormatting sqref="C159:C165">
    <cfRule type="expression" dxfId="149" priority="200">
      <formula>$J159="잔금"</formula>
    </cfRule>
  </conditionalFormatting>
  <conditionalFormatting sqref="H159:H162">
    <cfRule type="expression" dxfId="148" priority="199">
      <formula>$J159="잔금"</formula>
    </cfRule>
  </conditionalFormatting>
  <conditionalFormatting sqref="F166:F178">
    <cfRule type="expression" dxfId="147" priority="198">
      <formula>$J166="잔금"</formula>
    </cfRule>
  </conditionalFormatting>
  <conditionalFormatting sqref="F179:F185">
    <cfRule type="expression" dxfId="146" priority="197">
      <formula>$J179="잔금"</formula>
    </cfRule>
  </conditionalFormatting>
  <conditionalFormatting sqref="E166:E178">
    <cfRule type="expression" dxfId="145" priority="196">
      <formula>$J166="잔금"</formula>
    </cfRule>
  </conditionalFormatting>
  <conditionalFormatting sqref="E179:E185">
    <cfRule type="expression" dxfId="144" priority="195">
      <formula>$J179="잔금"</formula>
    </cfRule>
  </conditionalFormatting>
  <conditionalFormatting sqref="C179:C185">
    <cfRule type="expression" dxfId="143" priority="193">
      <formula>$J179="잔금"</formula>
    </cfRule>
  </conditionalFormatting>
  <conditionalFormatting sqref="H166:H178">
    <cfRule type="expression" dxfId="142" priority="192">
      <formula>$J166="잔금"</formula>
    </cfRule>
  </conditionalFormatting>
  <conditionalFormatting sqref="H179:H185">
    <cfRule type="expression" dxfId="141" priority="191">
      <formula>$J179="잔금"</formula>
    </cfRule>
  </conditionalFormatting>
  <conditionalFormatting sqref="F194:F200">
    <cfRule type="expression" dxfId="140" priority="186">
      <formula>$J194="잔금"</formula>
    </cfRule>
  </conditionalFormatting>
  <conditionalFormatting sqref="E194:E200">
    <cfRule type="expression" dxfId="139" priority="185">
      <formula>$J194="잔금"</formula>
    </cfRule>
  </conditionalFormatting>
  <conditionalFormatting sqref="C194:C201">
    <cfRule type="expression" dxfId="138" priority="184">
      <formula>$J194="잔금"</formula>
    </cfRule>
  </conditionalFormatting>
  <conditionalFormatting sqref="H194:H200">
    <cfRule type="expression" dxfId="137" priority="183">
      <formula>$J194="잔금"</formula>
    </cfRule>
  </conditionalFormatting>
  <conditionalFormatting sqref="C202:C215">
    <cfRule type="expression" dxfId="136" priority="182">
      <formula>$J202="잔금"</formula>
    </cfRule>
  </conditionalFormatting>
  <conditionalFormatting sqref="F202:F215">
    <cfRule type="expression" dxfId="135" priority="181">
      <formula>$J202="잔금"</formula>
    </cfRule>
  </conditionalFormatting>
  <conditionalFormatting sqref="H202:H215">
    <cfRule type="expression" dxfId="134" priority="180">
      <formula>$J202="잔금"</formula>
    </cfRule>
  </conditionalFormatting>
  <conditionalFormatting sqref="E202:E216">
    <cfRule type="expression" dxfId="133" priority="179">
      <formula>$J202="잔금"</formula>
    </cfRule>
  </conditionalFormatting>
  <conditionalFormatting sqref="C216">
    <cfRule type="expression" dxfId="132" priority="178">
      <formula>$I216="잔금"</formula>
    </cfRule>
  </conditionalFormatting>
  <conditionalFormatting sqref="H216">
    <cfRule type="expression" dxfId="131" priority="173">
      <formula>$I216="잔금"</formula>
    </cfRule>
  </conditionalFormatting>
  <conditionalFormatting sqref="C217">
    <cfRule type="expression" dxfId="130" priority="172">
      <formula>$I217="잔금"</formula>
    </cfRule>
  </conditionalFormatting>
  <conditionalFormatting sqref="C218">
    <cfRule type="expression" dxfId="129" priority="171">
      <formula>$I218="잔금"</formula>
    </cfRule>
  </conditionalFormatting>
  <conditionalFormatting sqref="C219">
    <cfRule type="expression" dxfId="128" priority="170">
      <formula>$I219="잔금"</formula>
    </cfRule>
  </conditionalFormatting>
  <conditionalFormatting sqref="F220:F229">
    <cfRule type="expression" dxfId="127" priority="169">
      <formula>$J220="잔금"</formula>
    </cfRule>
  </conditionalFormatting>
  <conditionalFormatting sqref="F230:F243">
    <cfRule type="expression" dxfId="126" priority="168">
      <formula>$J230="잔금"</formula>
    </cfRule>
  </conditionalFormatting>
  <conditionalFormatting sqref="E220:E229">
    <cfRule type="expression" dxfId="125" priority="167">
      <formula>$J220="잔금"</formula>
    </cfRule>
  </conditionalFormatting>
  <conditionalFormatting sqref="E230:E243">
    <cfRule type="expression" dxfId="124" priority="166">
      <formula>$J230="잔금"</formula>
    </cfRule>
  </conditionalFormatting>
  <conditionalFormatting sqref="H220:H229">
    <cfRule type="expression" dxfId="123" priority="165">
      <formula>$J220="잔금"</formula>
    </cfRule>
  </conditionalFormatting>
  <conditionalFormatting sqref="H230:H243">
    <cfRule type="expression" dxfId="122" priority="164">
      <formula>$J230="잔금"</formula>
    </cfRule>
  </conditionalFormatting>
  <conditionalFormatting sqref="C245">
    <cfRule type="expression" dxfId="121" priority="163">
      <formula>$I245="잔금"</formula>
    </cfRule>
  </conditionalFormatting>
  <conditionalFormatting sqref="C246">
    <cfRule type="expression" dxfId="120" priority="162">
      <formula>$I246="잔금"</formula>
    </cfRule>
  </conditionalFormatting>
  <conditionalFormatting sqref="C247">
    <cfRule type="expression" dxfId="119" priority="161">
      <formula>$I247="잔금"</formula>
    </cfRule>
  </conditionalFormatting>
  <conditionalFormatting sqref="F248:F252">
    <cfRule type="expression" dxfId="118" priority="160">
      <formula>$J248="잔금"</formula>
    </cfRule>
  </conditionalFormatting>
  <conditionalFormatting sqref="E248:E252">
    <cfRule type="expression" dxfId="117" priority="159">
      <formula>$J248="잔금"</formula>
    </cfRule>
  </conditionalFormatting>
  <conditionalFormatting sqref="C248:C252">
    <cfRule type="expression" dxfId="116" priority="158">
      <formula>$J248="잔금"</formula>
    </cfRule>
  </conditionalFormatting>
  <conditionalFormatting sqref="H248:H252">
    <cfRule type="expression" dxfId="115" priority="157">
      <formula>$J248="잔금"</formula>
    </cfRule>
  </conditionalFormatting>
  <conditionalFormatting sqref="C253:C256">
    <cfRule type="expression" dxfId="114" priority="156">
      <formula>$I253="잔금"</formula>
    </cfRule>
  </conditionalFormatting>
  <conditionalFormatting sqref="F257:F266">
    <cfRule type="expression" dxfId="113" priority="155">
      <formula>$J257="잔금"</formula>
    </cfRule>
  </conditionalFormatting>
  <conditionalFormatting sqref="F267:F275">
    <cfRule type="expression" dxfId="112" priority="154">
      <formula>$J267="잔금"</formula>
    </cfRule>
  </conditionalFormatting>
  <conditionalFormatting sqref="C115">
    <cfRule type="expression" dxfId="111" priority="148">
      <formula>$J115="잔금"</formula>
    </cfRule>
  </conditionalFormatting>
  <conditionalFormatting sqref="C114">
    <cfRule type="expression" dxfId="110" priority="149">
      <formula>$J114="잔금"</formula>
    </cfRule>
  </conditionalFormatting>
  <conditionalFormatting sqref="C166">
    <cfRule type="expression" dxfId="109" priority="147">
      <formula>$J166="잔금"</formula>
    </cfRule>
  </conditionalFormatting>
  <conditionalFormatting sqref="C167">
    <cfRule type="expression" dxfId="108" priority="146">
      <formula>$J167="잔금"</formula>
    </cfRule>
  </conditionalFormatting>
  <conditionalFormatting sqref="C168">
    <cfRule type="expression" dxfId="107" priority="145">
      <formula>$J168="잔금"</formula>
    </cfRule>
  </conditionalFormatting>
  <conditionalFormatting sqref="C169">
    <cfRule type="expression" dxfId="106" priority="144">
      <formula>$J169="잔금"</formula>
    </cfRule>
  </conditionalFormatting>
  <conditionalFormatting sqref="C170">
    <cfRule type="expression" dxfId="105" priority="143">
      <formula>$J170="잔금"</formula>
    </cfRule>
  </conditionalFormatting>
  <conditionalFormatting sqref="C171">
    <cfRule type="expression" dxfId="104" priority="142">
      <formula>$J171="잔금"</formula>
    </cfRule>
  </conditionalFormatting>
  <conditionalFormatting sqref="C172">
    <cfRule type="expression" dxfId="103" priority="141">
      <formula>$J172="잔금"</formula>
    </cfRule>
  </conditionalFormatting>
  <conditionalFormatting sqref="C173">
    <cfRule type="expression" dxfId="102" priority="140">
      <formula>$J173="잔금"</formula>
    </cfRule>
  </conditionalFormatting>
  <conditionalFormatting sqref="C174">
    <cfRule type="expression" dxfId="101" priority="138">
      <formula>$J174="잔금"</formula>
    </cfRule>
  </conditionalFormatting>
  <conditionalFormatting sqref="C175">
    <cfRule type="expression" dxfId="100" priority="137">
      <formula>$J175="잔금"</formula>
    </cfRule>
  </conditionalFormatting>
  <conditionalFormatting sqref="C176">
    <cfRule type="expression" dxfId="99" priority="136">
      <formula>$J176="잔금"</formula>
    </cfRule>
  </conditionalFormatting>
  <conditionalFormatting sqref="C177">
    <cfRule type="expression" dxfId="98" priority="135">
      <formula>$J177="잔금"</formula>
    </cfRule>
  </conditionalFormatting>
  <conditionalFormatting sqref="C178">
    <cfRule type="expression" dxfId="97" priority="134">
      <formula>$J178="잔금"</formula>
    </cfRule>
  </conditionalFormatting>
  <conditionalFormatting sqref="H308:H309">
    <cfRule type="expression" dxfId="96" priority="128">
      <formula>$J308="잔금"</formula>
    </cfRule>
  </conditionalFormatting>
  <conditionalFormatting sqref="F289:F302">
    <cfRule type="expression" dxfId="95" priority="133">
      <formula>$J289="잔금"</formula>
    </cfRule>
  </conditionalFormatting>
  <conditionalFormatting sqref="F303:F307">
    <cfRule type="expression" dxfId="94" priority="132">
      <formula>$J303="잔금"</formula>
    </cfRule>
  </conditionalFormatting>
  <conditionalFormatting sqref="F308:F309">
    <cfRule type="expression" dxfId="93" priority="131">
      <formula>$J308="잔금"</formula>
    </cfRule>
  </conditionalFormatting>
  <conditionalFormatting sqref="H289:H302">
    <cfRule type="expression" dxfId="92" priority="130">
      <formula>$J289="잔금"</formula>
    </cfRule>
  </conditionalFormatting>
  <conditionalFormatting sqref="H303:H307">
    <cfRule type="expression" dxfId="91" priority="129">
      <formula>$J303="잔금"</formula>
    </cfRule>
  </conditionalFormatting>
  <conditionalFormatting sqref="F434:F441">
    <cfRule type="expression" dxfId="90" priority="123">
      <formula>$J434="잔금"</formula>
    </cfRule>
  </conditionalFormatting>
  <conditionalFormatting sqref="F442:F446">
    <cfRule type="expression" dxfId="89" priority="122">
      <formula>$J442="잔금"</formula>
    </cfRule>
  </conditionalFormatting>
  <conditionalFormatting sqref="E434:E441">
    <cfRule type="expression" dxfId="88" priority="120">
      <formula>$J434="잔금"</formula>
    </cfRule>
  </conditionalFormatting>
  <conditionalFormatting sqref="E442:E446">
    <cfRule type="expression" dxfId="87" priority="119">
      <formula>$J442="잔금"</formula>
    </cfRule>
  </conditionalFormatting>
  <conditionalFormatting sqref="C434:C441">
    <cfRule type="expression" dxfId="86" priority="118">
      <formula>$J434="잔금"</formula>
    </cfRule>
  </conditionalFormatting>
  <conditionalFormatting sqref="C442:C447">
    <cfRule type="expression" dxfId="85" priority="117">
      <formula>$J442="잔금"</formula>
    </cfRule>
  </conditionalFormatting>
  <conditionalFormatting sqref="E448:E470 E472">
    <cfRule type="expression" dxfId="84" priority="116">
      <formula>$J448="잔금"</formula>
    </cfRule>
  </conditionalFormatting>
  <conditionalFormatting sqref="C448:C470">
    <cfRule type="expression" dxfId="83" priority="115">
      <formula>$J448="잔금"</formula>
    </cfRule>
  </conditionalFormatting>
  <conditionalFormatting sqref="E473:E478">
    <cfRule type="expression" dxfId="82" priority="114">
      <formula>$J473="잔금"</formula>
    </cfRule>
  </conditionalFormatting>
  <conditionalFormatting sqref="F473:F478">
    <cfRule type="expression" dxfId="81" priority="113">
      <formula>$J473="잔금"</formula>
    </cfRule>
  </conditionalFormatting>
  <conditionalFormatting sqref="C473:C478">
    <cfRule type="expression" dxfId="80" priority="112">
      <formula>$J473="잔금"</formula>
    </cfRule>
  </conditionalFormatting>
  <conditionalFormatting sqref="C479">
    <cfRule type="expression" dxfId="79" priority="111">
      <formula>$J479="잔금"</formula>
    </cfRule>
  </conditionalFormatting>
  <conditionalFormatting sqref="F480:F514">
    <cfRule type="expression" dxfId="78" priority="110">
      <formula>$J480="잔금"</formula>
    </cfRule>
  </conditionalFormatting>
  <conditionalFormatting sqref="E480:E514">
    <cfRule type="expression" dxfId="77" priority="109">
      <formula>$J480="잔금"</formula>
    </cfRule>
  </conditionalFormatting>
  <conditionalFormatting sqref="C480:C514">
    <cfRule type="expression" dxfId="76" priority="108">
      <formula>$J480="잔금"</formula>
    </cfRule>
  </conditionalFormatting>
  <conditionalFormatting sqref="H480:H511">
    <cfRule type="expression" dxfId="75" priority="107">
      <formula>$J480="잔금"</formula>
    </cfRule>
  </conditionalFormatting>
  <conditionalFormatting sqref="E515:E524">
    <cfRule type="expression" dxfId="74" priority="106">
      <formula>$J515="잔금"</formula>
    </cfRule>
  </conditionalFormatting>
  <conditionalFormatting sqref="E525:E528">
    <cfRule type="expression" dxfId="73" priority="105">
      <formula>$J525="잔금"</formula>
    </cfRule>
  </conditionalFormatting>
  <conditionalFormatting sqref="C515:C524">
    <cfRule type="expression" dxfId="72" priority="104">
      <formula>$J515="잔금"</formula>
    </cfRule>
  </conditionalFormatting>
  <conditionalFormatting sqref="C525:C528">
    <cfRule type="expression" dxfId="71" priority="103">
      <formula>$J525="잔금"</formula>
    </cfRule>
  </conditionalFormatting>
  <conditionalFormatting sqref="H515:H524">
    <cfRule type="expression" dxfId="70" priority="102">
      <formula>$J515="잔금"</formula>
    </cfRule>
  </conditionalFormatting>
  <conditionalFormatting sqref="H525:H528">
    <cfRule type="expression" dxfId="69" priority="101">
      <formula>$J525="잔금"</formula>
    </cfRule>
  </conditionalFormatting>
  <conditionalFormatting sqref="C529:C534">
    <cfRule type="expression" dxfId="68" priority="100">
      <formula>$J529="잔금"</formula>
    </cfRule>
  </conditionalFormatting>
  <conditionalFormatting sqref="E529:E534">
    <cfRule type="expression" dxfId="67" priority="99">
      <formula>$J529="잔금"</formula>
    </cfRule>
  </conditionalFormatting>
  <conditionalFormatting sqref="H529:H534">
    <cfRule type="expression" dxfId="66" priority="98">
      <formula>$J529="잔금"</formula>
    </cfRule>
  </conditionalFormatting>
  <conditionalFormatting sqref="F529:F534">
    <cfRule type="expression" dxfId="65" priority="97">
      <formula>$J529="잔금"</formula>
    </cfRule>
  </conditionalFormatting>
  <conditionalFormatting sqref="C535:C542">
    <cfRule type="expression" dxfId="64" priority="96">
      <formula>$J535="잔금"</formula>
    </cfRule>
  </conditionalFormatting>
  <conditionalFormatting sqref="E535:E546">
    <cfRule type="expression" dxfId="63" priority="95">
      <formula>$J535="잔금"</formula>
    </cfRule>
  </conditionalFormatting>
  <conditionalFormatting sqref="F535:F546">
    <cfRule type="expression" dxfId="62" priority="94">
      <formula>$J535="잔금"</formula>
    </cfRule>
  </conditionalFormatting>
  <conditionalFormatting sqref="C543">
    <cfRule type="expression" dxfId="61" priority="93">
      <formula>$J543="잔금"</formula>
    </cfRule>
  </conditionalFormatting>
  <conditionalFormatting sqref="C544">
    <cfRule type="expression" dxfId="60" priority="92">
      <formula>$J544="잔금"</formula>
    </cfRule>
  </conditionalFormatting>
  <conditionalFormatting sqref="C545">
    <cfRule type="expression" dxfId="59" priority="91">
      <formula>$J545="잔금"</formula>
    </cfRule>
  </conditionalFormatting>
  <conditionalFormatting sqref="C546">
    <cfRule type="expression" dxfId="58" priority="90">
      <formula>$J546="잔금"</formula>
    </cfRule>
  </conditionalFormatting>
  <conditionalFormatting sqref="C547:C553">
    <cfRule type="expression" dxfId="57" priority="89">
      <formula>$J547="잔금"</formula>
    </cfRule>
  </conditionalFormatting>
  <conditionalFormatting sqref="C554:C556">
    <cfRule type="expression" dxfId="56" priority="88">
      <formula>$J554="잔금"</formula>
    </cfRule>
  </conditionalFormatting>
  <conditionalFormatting sqref="E547:E553">
    <cfRule type="expression" dxfId="55" priority="87">
      <formula>$J547="잔금"</formula>
    </cfRule>
  </conditionalFormatting>
  <conditionalFormatting sqref="E554:E556 E559:E561">
    <cfRule type="expression" dxfId="54" priority="86">
      <formula>$J554="잔금"</formula>
    </cfRule>
  </conditionalFormatting>
  <conditionalFormatting sqref="F547:F553">
    <cfRule type="expression" dxfId="53" priority="85">
      <formula>$J547="잔금"</formula>
    </cfRule>
  </conditionalFormatting>
  <conditionalFormatting sqref="F554:F556 F558:F561">
    <cfRule type="expression" dxfId="52" priority="84">
      <formula>$J554="잔금"</formula>
    </cfRule>
  </conditionalFormatting>
  <conditionalFormatting sqref="H547:H553">
    <cfRule type="expression" dxfId="51" priority="83">
      <formula>$J547="잔금"</formula>
    </cfRule>
  </conditionalFormatting>
  <conditionalFormatting sqref="H554:H556">
    <cfRule type="expression" dxfId="50" priority="82">
      <formula>$J554="잔금"</formula>
    </cfRule>
  </conditionalFormatting>
  <conditionalFormatting sqref="C562:C566">
    <cfRule type="expression" dxfId="49" priority="76">
      <formula>$J562="잔금"</formula>
    </cfRule>
  </conditionalFormatting>
  <conditionalFormatting sqref="E562:E566 E569:E571">
    <cfRule type="expression" dxfId="48" priority="75">
      <formula>$J562="잔금"</formula>
    </cfRule>
  </conditionalFormatting>
  <conditionalFormatting sqref="F562:F566 F569:F571">
    <cfRule type="expression" dxfId="47" priority="74">
      <formula>$J562="잔금"</formula>
    </cfRule>
  </conditionalFormatting>
  <conditionalFormatting sqref="H562:H566">
    <cfRule type="expression" dxfId="46" priority="73">
      <formula>$J562="잔금"</formula>
    </cfRule>
  </conditionalFormatting>
  <conditionalFormatting sqref="C567:C568">
    <cfRule type="expression" dxfId="45" priority="72">
      <formula>$J567="잔금"</formula>
    </cfRule>
  </conditionalFormatting>
  <conditionalFormatting sqref="E567:E568">
    <cfRule type="expression" dxfId="44" priority="71">
      <formula>$J567="잔금"</formula>
    </cfRule>
  </conditionalFormatting>
  <conditionalFormatting sqref="H567:H568">
    <cfRule type="expression" dxfId="43" priority="70">
      <formula>$J567="잔금"</formula>
    </cfRule>
  </conditionalFormatting>
  <conditionalFormatting sqref="F567:F568">
    <cfRule type="expression" dxfId="42" priority="69">
      <formula>$J567="잔금"</formula>
    </cfRule>
  </conditionalFormatting>
  <conditionalFormatting sqref="C574:C580">
    <cfRule type="expression" dxfId="41" priority="63">
      <formula>$J574="잔금"</formula>
    </cfRule>
  </conditionalFormatting>
  <conditionalFormatting sqref="H574:H580">
    <cfRule type="expression" dxfId="40" priority="62">
      <formula>$J574="잔금"</formula>
    </cfRule>
  </conditionalFormatting>
  <conditionalFormatting sqref="E586">
    <cfRule type="expression" dxfId="39" priority="60">
      <formula>$J586="잔금"</formula>
    </cfRule>
  </conditionalFormatting>
  <conditionalFormatting sqref="E574:E585">
    <cfRule type="expression" dxfId="38" priority="59">
      <formula>$J574="잔금"</formula>
    </cfRule>
  </conditionalFormatting>
  <conditionalFormatting sqref="F574:F586">
    <cfRule type="expression" dxfId="37" priority="58">
      <formula>$J574="잔금"</formula>
    </cfRule>
  </conditionalFormatting>
  <conditionalFormatting sqref="F587:F624">
    <cfRule type="expression" dxfId="36" priority="57">
      <formula>$J587="잔금"</formula>
    </cfRule>
  </conditionalFormatting>
  <conditionalFormatting sqref="E587:E624">
    <cfRule type="expression" dxfId="35" priority="56">
      <formula>$J587="잔금"</formula>
    </cfRule>
  </conditionalFormatting>
  <conditionalFormatting sqref="C587:C627">
    <cfRule type="expression" dxfId="34" priority="55">
      <formula>$J587="잔금"</formula>
    </cfRule>
  </conditionalFormatting>
  <conditionalFormatting sqref="H587:H624">
    <cfRule type="expression" dxfId="33" priority="54">
      <formula>$J587="잔금"</formula>
    </cfRule>
  </conditionalFormatting>
  <conditionalFormatting sqref="H625:H627">
    <cfRule type="expression" dxfId="32" priority="44">
      <formula>$J625="잔금"</formula>
    </cfRule>
  </conditionalFormatting>
  <conditionalFormatting sqref="E628:E631">
    <cfRule type="expression" dxfId="31" priority="53">
      <formula>$J628="잔금"</formula>
    </cfRule>
  </conditionalFormatting>
  <conditionalFormatting sqref="F628:F631">
    <cfRule type="expression" dxfId="30" priority="51">
      <formula>$J628="잔금"</formula>
    </cfRule>
  </conditionalFormatting>
  <conditionalFormatting sqref="C628:C631">
    <cfRule type="expression" dxfId="29" priority="49">
      <formula>$J628="잔금"</formula>
    </cfRule>
  </conditionalFormatting>
  <conditionalFormatting sqref="E625:E627">
    <cfRule type="expression" dxfId="28" priority="45">
      <formula>$J625="잔금"</formula>
    </cfRule>
  </conditionalFormatting>
  <conditionalFormatting sqref="F625:F627">
    <cfRule type="expression" dxfId="27" priority="46">
      <formula>$J625="잔금"</formula>
    </cfRule>
  </conditionalFormatting>
  <conditionalFormatting sqref="E653:E664">
    <cfRule type="expression" dxfId="26" priority="43">
      <formula>$J653="잔금"</formula>
    </cfRule>
  </conditionalFormatting>
  <conditionalFormatting sqref="E652">
    <cfRule type="expression" dxfId="25" priority="42">
      <formula>$J652="잔금"</formula>
    </cfRule>
  </conditionalFormatting>
  <conditionalFormatting sqref="C653:C664">
    <cfRule type="expression" dxfId="24" priority="41">
      <formula>$J653="잔금"</formula>
    </cfRule>
  </conditionalFormatting>
  <conditionalFormatting sqref="C652">
    <cfRule type="expression" dxfId="23" priority="40">
      <formula>$J652="잔금"</formula>
    </cfRule>
  </conditionalFormatting>
  <conditionalFormatting sqref="F653:F664">
    <cfRule type="expression" dxfId="22" priority="39">
      <formula>$J653="잔금"</formula>
    </cfRule>
  </conditionalFormatting>
  <conditionalFormatting sqref="F652">
    <cfRule type="expression" dxfId="21" priority="38">
      <formula>$J652="잔금"</formula>
    </cfRule>
  </conditionalFormatting>
  <conditionalFormatting sqref="H653:H664">
    <cfRule type="expression" dxfId="20" priority="37">
      <formula>$J653="잔금"</formula>
    </cfRule>
  </conditionalFormatting>
  <conditionalFormatting sqref="H652">
    <cfRule type="expression" dxfId="19" priority="36">
      <formula>$J652="잔금"</formula>
    </cfRule>
  </conditionalFormatting>
  <conditionalFormatting sqref="C665:C679">
    <cfRule type="expression" dxfId="18" priority="35">
      <formula>$J665="잔금"</formula>
    </cfRule>
  </conditionalFormatting>
  <conditionalFormatting sqref="C680:C706">
    <cfRule type="expression" dxfId="17" priority="34">
      <formula>$J680="잔금"</formula>
    </cfRule>
  </conditionalFormatting>
  <conditionalFormatting sqref="C707:C716">
    <cfRule type="expression" dxfId="16" priority="33">
      <formula>$J707="잔금"</formula>
    </cfRule>
  </conditionalFormatting>
  <conditionalFormatting sqref="E665:E679">
    <cfRule type="expression" dxfId="15" priority="32">
      <formula>$J665="잔금"</formula>
    </cfRule>
  </conditionalFormatting>
  <conditionalFormatting sqref="E680:E706">
    <cfRule type="expression" dxfId="14" priority="31">
      <formula>$J680="잔금"</formula>
    </cfRule>
  </conditionalFormatting>
  <conditionalFormatting sqref="E707:E716">
    <cfRule type="expression" dxfId="13" priority="30">
      <formula>$J707="잔금"</formula>
    </cfRule>
  </conditionalFormatting>
  <conditionalFormatting sqref="H707:H716">
    <cfRule type="expression" dxfId="12" priority="24">
      <formula>$J707="잔금"</formula>
    </cfRule>
  </conditionalFormatting>
  <conditionalFormatting sqref="F665:F679">
    <cfRule type="expression" dxfId="11" priority="29">
      <formula>$J665="잔금"</formula>
    </cfRule>
  </conditionalFormatting>
  <conditionalFormatting sqref="F680:F706">
    <cfRule type="expression" dxfId="10" priority="28">
      <formula>$J680="잔금"</formula>
    </cfRule>
  </conditionalFormatting>
  <conditionalFormatting sqref="F707:F716">
    <cfRule type="expression" dxfId="9" priority="27">
      <formula>$J707="잔금"</formula>
    </cfRule>
  </conditionalFormatting>
  <conditionalFormatting sqref="H665:H676">
    <cfRule type="expression" dxfId="8" priority="26">
      <formula>$J665="잔금"</formula>
    </cfRule>
  </conditionalFormatting>
  <conditionalFormatting sqref="H680:H706">
    <cfRule type="expression" dxfId="7" priority="25">
      <formula>$J680="잔금"</formula>
    </cfRule>
  </conditionalFormatting>
  <conditionalFormatting sqref="H677">
    <cfRule type="expression" dxfId="6" priority="7">
      <formula>$I677="잔금"</formula>
    </cfRule>
  </conditionalFormatting>
  <conditionalFormatting sqref="H678">
    <cfRule type="expression" dxfId="5" priority="6">
      <formula>$I678="잔금"</formula>
    </cfRule>
  </conditionalFormatting>
  <conditionalFormatting sqref="H679">
    <cfRule type="expression" dxfId="4" priority="5">
      <formula>$I679="잔금"</formula>
    </cfRule>
  </conditionalFormatting>
  <conditionalFormatting sqref="H632">
    <cfRule type="expression" dxfId="3" priority="4">
      <formula>$J632="잔금"</formula>
    </cfRule>
  </conditionalFormatting>
  <conditionalFormatting sqref="H628:H631">
    <cfRule type="expression" dxfId="2" priority="3">
      <formula>$J628="잔금"</formula>
    </cfRule>
  </conditionalFormatting>
  <conditionalFormatting sqref="H633:H635">
    <cfRule type="expression" dxfId="1" priority="2">
      <formula>$J633="잔금"</formula>
    </cfRule>
  </conditionalFormatting>
  <conditionalFormatting sqref="H636:H641">
    <cfRule type="expression" dxfId="0" priority="1">
      <formula>$J636="잔금"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716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34" customWidth="1"/>
    <col min="2" max="2" width="26.75" style="34" bestFit="1" customWidth="1"/>
    <col min="3" max="3" width="76.5" style="34" bestFit="1" customWidth="1"/>
    <col min="4" max="4" width="9" style="34" customWidth="1"/>
    <col min="5" max="16384" width="9" style="34"/>
  </cols>
  <sheetData>
    <row r="2" spans="2:3" ht="16.5" customHeight="1">
      <c r="B2" s="34" t="s">
        <v>611</v>
      </c>
    </row>
    <row r="3" spans="2:3" ht="16.5" customHeight="1">
      <c r="B3" s="19" t="s">
        <v>612</v>
      </c>
      <c r="C3" s="15" t="s">
        <v>613</v>
      </c>
    </row>
    <row r="4" spans="2:3" ht="16.5" customHeight="1">
      <c r="B4" s="14" t="s">
        <v>614</v>
      </c>
      <c r="C4" s="14" t="s">
        <v>615</v>
      </c>
    </row>
    <row r="5" spans="2:3" ht="16.5" customHeight="1">
      <c r="B5" s="14" t="s">
        <v>616</v>
      </c>
      <c r="C5" s="14" t="s">
        <v>617</v>
      </c>
    </row>
    <row r="6" spans="2:3" ht="16.5" customHeight="1">
      <c r="B6" s="14" t="s">
        <v>618</v>
      </c>
      <c r="C6" s="14" t="s">
        <v>619</v>
      </c>
    </row>
    <row r="7" spans="2:3" ht="13.5" customHeight="1">
      <c r="B7" s="17" t="s">
        <v>21</v>
      </c>
      <c r="C7" s="18" t="s">
        <v>620</v>
      </c>
    </row>
    <row r="8" spans="2:3" ht="16.5" customHeight="1">
      <c r="B8" s="14" t="s">
        <v>621</v>
      </c>
      <c r="C8" s="14" t="s">
        <v>622</v>
      </c>
    </row>
    <row r="9" spans="2:3" ht="16.5" customHeight="1">
      <c r="B9" s="14" t="s">
        <v>623</v>
      </c>
      <c r="C9" s="14" t="s">
        <v>624</v>
      </c>
    </row>
    <row r="12" spans="2:3" ht="16.5" customHeight="1">
      <c r="B12" s="16"/>
    </row>
    <row r="14" spans="2:3" ht="16.5" customHeight="1">
      <c r="B14" s="16"/>
    </row>
    <row r="16" spans="2:3" ht="16.5" customHeight="1">
      <c r="B16" s="16"/>
    </row>
    <row r="18" spans="2:2" ht="16.5" customHeight="1">
      <c r="B18" s="16"/>
    </row>
    <row r="20" spans="2:2" ht="16.5" customHeight="1">
      <c r="B20" s="16"/>
    </row>
    <row r="22" spans="2:2" ht="16.5" customHeight="1">
      <c r="B22" s="16"/>
    </row>
  </sheetData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프로세스현황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2026-02-05T08:22:38Z</cp:lastPrinted>
  <dcterms:created xsi:type="dcterms:W3CDTF">2026-01-15T00:01:30Z</dcterms:created>
  <dcterms:modified xsi:type="dcterms:W3CDTF">2026-05-18T07:42:48Z</dcterms:modified>
</cp:coreProperties>
</file>