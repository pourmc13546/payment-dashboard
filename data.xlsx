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data!$A$1:$S$427</definedName>
    <definedName name="_xlnm._FilterDatabase">data!$A$1:$S$403</definedName>
  </definedNames>
  <calcPr calcId="162913"/>
</workbook>
</file>

<file path=xl/calcChain.xml><?xml version="1.0" encoding="utf-8"?>
<calcChain xmlns="http://schemas.openxmlformats.org/spreadsheetml/2006/main">
  <c r="I423" i="1" l="1"/>
  <c r="J423" i="1" s="1"/>
  <c r="I424" i="1"/>
  <c r="J424" i="1" s="1"/>
  <c r="I425" i="1"/>
  <c r="J425" i="1" s="1"/>
  <c r="I426" i="1"/>
  <c r="J426" i="1" s="1"/>
  <c r="D418" i="1"/>
  <c r="D419" i="1"/>
  <c r="D420" i="1"/>
  <c r="D421" i="1"/>
  <c r="D422" i="1"/>
  <c r="D427" i="1"/>
  <c r="B423" i="1"/>
  <c r="B424" i="1"/>
  <c r="B425" i="1"/>
  <c r="B426" i="1"/>
  <c r="I403" i="1"/>
  <c r="J403" i="1" s="1"/>
  <c r="I404" i="1"/>
  <c r="J404" i="1" s="1"/>
  <c r="I405" i="1"/>
  <c r="J405" i="1" s="1"/>
  <c r="I406" i="1"/>
  <c r="J406" i="1" s="1"/>
  <c r="I407" i="1"/>
  <c r="J407" i="1" s="1"/>
  <c r="I408" i="1"/>
  <c r="J408" i="1" s="1"/>
  <c r="I409" i="1"/>
  <c r="J409" i="1" s="1"/>
  <c r="I410" i="1"/>
  <c r="J410" i="1" s="1"/>
  <c r="I411" i="1"/>
  <c r="J411" i="1" s="1"/>
  <c r="I412" i="1"/>
  <c r="J412" i="1" s="1"/>
  <c r="I413" i="1"/>
  <c r="J413" i="1" s="1"/>
  <c r="I414" i="1"/>
  <c r="J414" i="1" s="1"/>
  <c r="I415" i="1"/>
  <c r="J415" i="1" s="1"/>
  <c r="I416" i="1"/>
  <c r="J416" i="1" s="1"/>
  <c r="I417" i="1"/>
  <c r="J417" i="1" s="1"/>
  <c r="I418" i="1"/>
  <c r="J418" i="1" s="1"/>
  <c r="I419" i="1"/>
  <c r="J419" i="1" s="1"/>
  <c r="I420" i="1"/>
  <c r="J420" i="1" s="1"/>
  <c r="I421" i="1"/>
  <c r="J421" i="1" s="1"/>
  <c r="I422" i="1"/>
  <c r="J422" i="1" s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D403" i="1"/>
  <c r="I402" i="1" l="1"/>
  <c r="J402" i="1" s="1"/>
  <c r="B402" i="1"/>
  <c r="B401" i="1"/>
  <c r="B400" i="1"/>
  <c r="B399" i="1"/>
  <c r="D398" i="1"/>
  <c r="B397" i="1"/>
  <c r="B398" i="1"/>
  <c r="B385" i="1" l="1"/>
  <c r="B386" i="1"/>
  <c r="B387" i="1"/>
  <c r="B388" i="1"/>
  <c r="B389" i="1"/>
  <c r="B390" i="1"/>
  <c r="B391" i="1"/>
  <c r="B392" i="1"/>
  <c r="B393" i="1"/>
  <c r="B394" i="1"/>
  <c r="B395" i="1"/>
  <c r="B396" i="1"/>
  <c r="B384" i="1" l="1"/>
  <c r="B383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1" i="1" l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289" i="1" l="1"/>
  <c r="D100" i="1"/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I401" i="1" l="1"/>
  <c r="J401" i="1" s="1"/>
  <c r="I400" i="1"/>
  <c r="J400" i="1" s="1"/>
  <c r="I399" i="1"/>
  <c r="J399" i="1" s="1"/>
  <c r="I398" i="1"/>
  <c r="J398" i="1" s="1"/>
  <c r="I397" i="1"/>
  <c r="J397" i="1" s="1"/>
  <c r="D397" i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D309" i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<sst xmlns="http://schemas.openxmlformats.org/spreadsheetml/2006/main" count="2181" uniqueCount="604">
  <si>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</si>
  <si>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</si>
  <si>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</si>
  <si>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</si>
  <si>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</si>
  <si>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</si>
  <si>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</si>
  <si>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</si>
  <si>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</si>
  <si>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</si>
  <si>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</si>
  <si>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</si>
  <si>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</si>
  <si>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</si>
  <si>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</si>
  <si>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</si>
  <si>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</si>
  <si>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</si>
  <si>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</si>
  <si>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</si>
  <si>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</si>
  <si>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</si>
  <si>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</si>
  <si>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</si>
  <si>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</si>
  <si>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</si>
  <si>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</si>
  <si>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</si>
  <si>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</si>
  <si>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</si>
  <si>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</si>
  <si>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</si>
  <si>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</si>
  <si>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</si>
  <si>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</si>
  <si>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</si>
  <si>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</si>
  <si>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</si>
  <si>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</si>
  <si>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</si>
  <si>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</si>
  <si>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</si>
  <si>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</si>
  <si>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</si>
  <si>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</si>
  <si>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</si>
  <si>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</si>
  <si>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</si>
  <si>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</si>
  <si>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</si>
  <si>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</si>
  <si>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</si>
  <si>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</si>
  <si>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</si>
  <si>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</si>
  <si>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</si>
  <si>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</si>
  <si>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</si>
  <si>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</si>
  <si>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</si>
  <si>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</si>
  <si>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</si>
  <si>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</si>
  <si>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</si>
  <si>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</si>
  <si>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</si>
  <si>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</si>
  <si>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</si>
  <si>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</si>
  <si>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</si>
  <si>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</si>
  <si>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</si>
  <si>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</si>
  <si>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</si>
  <si>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</si>
  <si>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</si>
  <si>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</si>
  <si>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</si>
  <si>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</si>
  <si>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</si>
  <si>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</si>
  <si>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</si>
  <si>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</si>
  <si>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</si>
  <si>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</si>
  <si>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</si>
  <si>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</si>
  <si>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</si>
  <si>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</si>
  <si>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</si>
  <si>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</si>
  <si>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</si>
  <si>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</si>
  <si>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</si>
  <si>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</si>
  <si>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</si>
  <si>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</si>
  <si>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</si>
  <si>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</si>
  <si>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</si>
  <si>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</si>
  <si>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</si>
  <si>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</si>
  <si>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</si>
  <si>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</si>
  <si>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</si>
  <si>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</si>
  <si>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</si>
  <si>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</si>
  <si>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</si>
  <si>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</si>
  <si>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</si>
  <si>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</si>
  <si>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</si>
  <si>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</si>
  <si>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</si>
  <si>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</si>
  <si>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</si>
  <si>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</si>
  <si>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</si>
  <si>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</si>
  <si>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</si>
  <si>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</si>
  <si>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</si>
  <si>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</si>
  <si>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</si>
  <si>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</si>
  <si>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</si>
  <si>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</si>
  <si>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</si>
  <si>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</si>
  <si>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</si>
  <si>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</si>
  <si>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</si>
  <si>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</si>
  <si>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</si>
  <si>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</si>
  <si>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</si>
  <si>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</si>
  <si>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</si>
  <si>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</si>
  <si>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</si>
  <si>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</si>
  <si>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</si>
  <si>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</si>
  <si>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</si>
  <si>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</si>
  <si>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</si>
  <si>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</si>
  <si>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</si>
  <si>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</si>
  <si>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</si>
  <si>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</si>
  <si>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</si>
  <si>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</si>
  <si>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</si>
  <si>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</si>
  <si>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</si>
  <si>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</si>
  <si>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</si>
  <si>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</si>
  <si>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</si>
  <si>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</si>
  <si>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</si>
  <si>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</si>
  <si>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</si>
  <si>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</si>
  <si>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</si>
  <si>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</si>
  <si>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</si>
  <si>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</si>
  <si>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</si>
  <si>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</si>
  <si>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</si>
  <si>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</si>
  <si>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</si>
  <si>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</si>
  <si>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</si>
  <si>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</si>
  <si>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</si>
  <si>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</si>
  <si>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</si>
  <si>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</si>
  <si>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</si>
  <si>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</si>
  <si>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</si>
  <si>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</si>
  <si>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</si>
  <si>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</si>
  <si>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</si>
  <si>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</si>
  <si>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</si>
  <si>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</si>
  <si>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</si>
  <si>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</si>
  <si>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</si>
  <si>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</si>
  <si>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</si>
  <si>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</si>
  <si>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</si>
  <si>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</si>
  <si>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</si>
  <si>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</si>
  <si>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</si>
  <si>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</si>
  <si>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</si>
  <si>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</si>
  <si>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</si>
  <si>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</si>
  <si>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</si>
  <si>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</si>
  <si>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</si>
  <si>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</si>
  <si>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</si>
  <si>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</si>
  <si>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</si>
  <si>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</si>
  <si>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</si>
  <si>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</si>
  <si>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</si>
  <si>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</si>
  <si>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</si>
  <si>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</si>
  <si>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</si>
  <si>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</si>
  <si>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</si>
  <si>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</si>
  <si>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</si>
  <si>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</si>
  <si>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</si>
  <si>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</si>
  <si>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</si>
  <si>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</si>
  <si>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</si>
  <si>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</si>
  <si>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</si>
  <si>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</si>
  <si>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</si>
  <si>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</si>
  <si>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</si>
  <si>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</si>
  <si>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</si>
  <si>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</si>
  <si>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</si>
  <si>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</si>
  <si>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</si>
  <si>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</si>
  <si>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</si>
  <si>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</si>
  <si>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</si>
  <si>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</si>
  <si>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</si>
  <si>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</si>
  <si>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</si>
  <si>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</si>
  <si>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</si>
  <si>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</si>
  <si>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</si>
  <si>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</si>
  <si>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</si>
  <si>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</si>
  <si>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</si>
  <si>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</si>
  <si>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</si>
  <si>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</si>
  <si>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</si>
  <si>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</si>
  <si>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</si>
  <si>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</si>
  <si>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</si>
  <si>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</si>
  <si>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</si>
  <si>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</si>
  <si>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</si>
  <si>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</si>
  <si>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</si>
  <si>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</si>
  <si>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</si>
  <si>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</si>
  <si>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</si>
  <si>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</si>
  <si>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</si>
  <si>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</si>
  <si>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</si>
  <si>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</si>
  <si>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</si>
  <si>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</si>
  <si>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</si>
  <si>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</si>
  <si>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</si>
  <si>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</si>
  <si>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</si>
  <si>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</si>
  <si>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</si>
  <si>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</si>
  <si>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</si>
  <si>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</si>
  <si>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</si>
  <si>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</si>
  <si>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</si>
  <si>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</si>
  <si>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</si>
  <si>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</si>
  <si>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</si>
  <si>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</si>
  <si>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</si>
  <si>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</si>
  <si>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</si>
  <si>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</si>
  <si>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</si>
  <si>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</si>
  <si>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</si>
  <si>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</si>
  <si>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</si>
  <si>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</si>
  <si>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</si>
  <si>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</si>
  <si>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</si>
  <si>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</si>
  <si>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</si>
  <si>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</si>
  <si>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</si>
  <si>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</si>
  <si>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</si>
  <si>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</si>
  <si>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</si>
  <si>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</si>
  <si>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</si>
  <si>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</si>
  <si>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</si>
  <si>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</si>
  <si>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</si>
  <si>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</si>
  <si>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</si>
  <si>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</si>
  <si>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</si>
  <si>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</si>
  <si>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</si>
  <si>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</si>
  <si>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</si>
  <si>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</si>
  <si>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</si>
  <si>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</si>
  <si>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</si>
  <si>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</si>
  <si>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</si>
  <si>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</si>
  <si>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</si>
  <si>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</si>
  <si>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</si>
  <si>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</si>
  <si>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</si>
  <si>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</si>
  <si>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</si>
  <si>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</si>
  <si>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</si>
  <si>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</si>
  <si>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</si>
  <si>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</si>
  <si>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</si>
  <si>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</si>
  <si>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</si>
  <si>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</si>
  <si>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</si>
  <si>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</si>
  <si>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</si>
  <si>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</si>
  <si>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</si>
  <si>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</si>
  <si>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</si>
  <si>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</si>
  <si>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</si>
  <si>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</si>
  <si>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</si>
  <si>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</si>
  <si>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</si>
  <si>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</si>
  <si>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</si>
  <si>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</si>
  <si>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</si>
  <si>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</si>
  <si>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</si>
  <si>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</si>
  <si>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</si>
  <si>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</si>
  <si>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</si>
  <si>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</si>
  <si>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</si>
  <si>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</si>
  <si>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</si>
  <si>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</si>
  <si>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</si>
  <si>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</si>
  <si>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</si>
  <si>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</si>
  <si>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</si>
  <si>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</si>
  <si>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</si>
  <si>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</si>
  <si>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</si>
  <si>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</si>
  <si>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</si>
  <si>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</si>
  <si>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</si>
  <si>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</si>
  <si>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</si>
  <si>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</si>
  <si>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</si>
  <si>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</si>
  <si>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</si>
  <si>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</si>
  <si>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</si>
  <si>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</si>
  <si>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</si>
  <si>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</si>
  <si>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</si>
  <si>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</si>
  <si>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</si>
  <si>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</si>
  <si>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</si>
  <si>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</si>
  <si>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</si>
  <si>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</si>
  <si>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</si>
  <si>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</si>
  <si>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</si>
  <si>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</si>
  <si>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</si>
  <si>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</si>
  <si>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</si>
  <si>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</si>
  <si>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</si>
  <si>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</si>
  <si>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</si>
  <si>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</si>
  <si>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</si>
  <si>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</si>
  <si>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</si>
  <si>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</si>
  <si>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</si>
  <si>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</si>
  <si>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</si>
  <si>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</si>
  <si>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</si>
  <si>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</si>
  <si>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</si>
  <si>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</si>
  <si>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</si>
  <si>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</si>
  <si>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</si>
  <si>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</si>
  <si>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</si>
  <si>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</si>
  <si>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</si>
  <si>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</si>
  <si>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</si>
  <si>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</si>
  <si>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</si>
  <si>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</si>
  <si>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</si>
  <si>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</si>
  <si>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</si>
  <si>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</si>
  <si>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</si>
  <si>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</si>
  <si>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</si>
  <si>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</si>
  <si>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</si>
  <si>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</si>
  <si>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</si>
  <si>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</si>
  <si>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</si>
  <si>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</si>
  <si>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</si>
  <si>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</si>
  <si>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</si>
  <si>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</si>
  <si>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</si>
  <si>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</si>
  <si>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</si>
  <si>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</si>
  <si>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</si>
  <si>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</si>
  <si>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</si>
  <si>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</si>
  <si>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</si>
  <si>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</si>
  <si>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</si>
  <si>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</si>
  <si>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</si>
  <si>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</si>
  <si>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</si>
  <si>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</si>
  <si>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</si>
  <si>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</si>
  <si>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</si>
  <si>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</si>
  <si>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</si>
  <si>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</si>
  <si>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</si>
  <si>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</si>
  <si>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</si>
  <si>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</si>
  <si>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</si>
  <si>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</si>
  <si>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</si>
  <si>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</si>
  <si>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</si>
  <si>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</si>
  <si>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</si>
  <si>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</si>
  <si>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</si>
  <si>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</si>
  <si>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</si>
  <si>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</si>
  <si>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</si>
  <si>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</si>
  <si>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</si>
  <si>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</si>
  <si>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</si>
  <si>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</si>
  <si>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</si>
  <si>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</si>
  <si>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</si>
  <si>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</si>
  <si>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</si>
  <si>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</si>
  <si>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</si>
  <si>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</si>
  <si>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</si>
  <si>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</si>
  <si>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</si>
  <si>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</si>
  <si>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</si>
  <si>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</si>
  <si>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</si>
  <si>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</si>
  <si>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</si>
  <si>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</si>
  <si>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</si>
  <si>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</si>
  <si>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</si>
  <si>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</si>
  <si>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</si>
  <si>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</si>
  <si>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</si>
  <si>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</si>
  <si>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</si>
  <si>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</si>
  <si>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</si>
  <si>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</si>
  <si>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</si>
  <si>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</si>
  <si>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</si>
  <si>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</si>
  <si>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</si>
  <si>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</si>
  <si>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</si>
  <si>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</si>
  <si>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</si>
  <si>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</si>
  <si>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</si>
  <si>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</si>
  <si>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</si>
  <si>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</si>
  <si>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</si>
  <si>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</si>
  <si>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</si>
  <si>
    <t>원스톱방문</t>
  </si>
  <si>
    <t>보령광명샤인빌</t>
  </si>
  <si>
    <t>금호두산아파트</t>
  </si>
  <si>
    <t>특허료</t>
    <phoneticPr fontId="5" type="noConversion"/>
  </si>
  <si>
    <t>성원아파트2단지</t>
  </si>
  <si>
    <t>주식회사 유광씨앤씨</t>
  </si>
  <si>
    <t>잔금</t>
    <phoneticPr fontId="5" type="noConversion"/>
  </si>
  <si>
    <t>용산데시앙포레아파트</t>
  </si>
  <si>
    <t>(주)국제특수건설</t>
    <phoneticPr fontId="5" type="noConversion"/>
  </si>
  <si>
    <t>(주)로운건설</t>
  </si>
  <si>
    <t>동현이앤씨(주)</t>
  </si>
  <si>
    <t>(주)현덕건설</t>
  </si>
  <si>
    <t>㈜경하이앤씨</t>
  </si>
  <si>
    <t>(주)은화</t>
  </si>
  <si>
    <t>첨단2차부영아파트 입주자 대표회의</t>
  </si>
  <si>
    <t>(주)아우리</t>
  </si>
  <si>
    <t>(주)우인건설</t>
  </si>
  <si>
    <t>호연상사</t>
  </si>
  <si>
    <t>2026-04-14</t>
  </si>
  <si>
    <t>2026-04-13</t>
  </si>
  <si>
    <t>사무실</t>
  </si>
  <si>
    <t>서정마을금호타운</t>
  </si>
  <si>
    <t>무주상록아파트</t>
  </si>
  <si>
    <t>호반베르디움더퍼스트</t>
  </si>
  <si>
    <t>관리사무소</t>
  </si>
  <si>
    <t>탄방동산호한양아파트</t>
  </si>
  <si>
    <t>강변들금성백조</t>
  </si>
  <si>
    <t>송화우미이노스빌</t>
  </si>
  <si>
    <t>힐스테이트광교</t>
  </si>
  <si>
    <t>위브더스테이트</t>
  </si>
  <si>
    <t>자재</t>
    <phoneticPr fontId="5" type="noConversion"/>
  </si>
  <si>
    <t>대창센시티아파트</t>
  </si>
  <si>
    <t>중도금2차</t>
    <phoneticPr fontId="5" type="noConversion"/>
  </si>
  <si>
    <t>잔금</t>
    <phoneticPr fontId="5" type="noConversion"/>
  </si>
  <si>
    <t>중도금</t>
    <phoneticPr fontId="5" type="noConversion"/>
  </si>
  <si>
    <t>선급금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</si>
</sst>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center"/>
    </xf>
    <xf numFmtId="178" fontId="7" fillId="0" borderId="1" xfId="0" applyNumberFormat="1" applyFont="1" applyBorder="1" applyAlignment="1">
      <alignment horizontal="center" vertical="center"/>
    </xf>
    <xf numFmtId="14" fontId="3" fillId="0" borderId="0" xfId="0" applyNumberFormat="1" applyFo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92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27"/>
  <sheetViews>
    <sheetView tabSelected="1" zoomScaleNormal="100" workbookViewId="0">
      <pane xSplit="5" ySplit="1" topLeftCell="F61" activePane="bottomRight" state="frozen"/>
      <selection pane="topRight"/>
      <selection pane="bottomLeft"/>
      <selection pane="bottomRight" sqref="A1:XFD1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0.71111111111111114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329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159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309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211</v>
      </c>
      <c r="J7" s="13" t="str">
        <f t="shared" ca="1" si="2"/>
        <v>장기미수</v>
      </c>
      <c r="K7" s="11"/>
      <c r="L7" s="11"/>
      <c r="M7" s="10" t="s">
        <v>151</v>
      </c>
      <c r="N7" s="10" t="s">
        <v>20</v>
      </c>
      <c r="O7" s="6" t="s">
        <v>49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161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116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111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20</v>
      </c>
      <c r="O10" s="6" t="s">
        <v>49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294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154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20</v>
      </c>
      <c r="O14" s="6" t="s">
        <v>49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469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889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693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533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671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670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762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404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399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389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383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379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379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378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376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355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341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320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308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278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256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327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251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18879209</v>
      </c>
      <c r="I38" s="12">
        <f t="shared" ca="1" si="3"/>
        <v>229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224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181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179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168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421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286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286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237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46030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43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>
        <v>46122</v>
      </c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576</v>
      </c>
      <c r="F81" s="6" t="s">
        <v>117</v>
      </c>
      <c r="G81" s="6" t="s">
        <v>48</v>
      </c>
      <c r="H81" s="4">
        <v>280000</v>
      </c>
      <c r="I81" s="6">
        <f t="shared" ca="1" si="6"/>
        <v>88</v>
      </c>
      <c r="J81" s="13" t="str">
        <f t="shared" ca="1" si="7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4</v>
      </c>
      <c r="J86" s="13" t="str">
        <f t="shared" ca="1" si="7"/>
        <v>정상</v>
      </c>
      <c r="K86" s="11"/>
      <c r="L86" s="11">
        <v>46048</v>
      </c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64</v>
      </c>
      <c r="J96" s="13" t="str">
        <f t="shared" ca="1" si="7"/>
        <v>관리</v>
      </c>
      <c r="K96" s="11">
        <v>46142</v>
      </c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63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>
        <v>46142</v>
      </c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2</v>
      </c>
      <c r="J99" s="13" t="str">
        <f t="shared" ca="1" si="11"/>
        <v>정상</v>
      </c>
      <c r="K99" s="11"/>
      <c r="L99" s="11">
        <v>46065</v>
      </c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436</v>
      </c>
      <c r="H100" s="4">
        <v>16130000</v>
      </c>
      <c r="I100" s="6">
        <f t="shared" ca="1" si="10"/>
        <v>99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62</v>
      </c>
      <c r="J104" s="13" t="str">
        <f t="shared" ca="1" si="11"/>
        <v>관리</v>
      </c>
      <c r="K104" s="11">
        <v>46142</v>
      </c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62</v>
      </c>
      <c r="J105" s="13" t="str">
        <f t="shared" ca="1" si="11"/>
        <v>관리</v>
      </c>
      <c r="K105" s="11">
        <v>46142</v>
      </c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61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61</v>
      </c>
      <c r="J108" s="13" t="str">
        <f t="shared" ca="1" si="11"/>
        <v>관리</v>
      </c>
      <c r="K108" s="11">
        <v>46142</v>
      </c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60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59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48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46</v>
      </c>
      <c r="J122" s="13" t="str">
        <f t="shared" ca="1" si="11"/>
        <v>관리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46</v>
      </c>
      <c r="J123" s="13" t="str">
        <f t="shared" ca="1" si="11"/>
        <v>관리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46</v>
      </c>
      <c r="J125" s="13" t="str">
        <f t="shared" ca="1" si="11"/>
        <v>관리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90" ca="1" si="12">IF(C127="","",IF(L127="",TODAY()-C127,L127-C127))</f>
        <v>32</v>
      </c>
      <c r="J127" s="13" t="str">
        <f t="shared" ref="J127:J158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42</v>
      </c>
      <c r="J128" s="13" t="str">
        <f t="shared" ca="1" si="13"/>
        <v>관리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>
        <v>46122</v>
      </c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42</v>
      </c>
      <c r="J130" s="13" t="str">
        <f t="shared" ca="1" si="13"/>
        <v>관리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-4</v>
      </c>
      <c r="J135" s="13" t="str">
        <f t="shared" ca="1" si="13"/>
        <v>정상</v>
      </c>
      <c r="K135" s="11"/>
      <c r="L135" s="11">
        <v>46080</v>
      </c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3">
        <v>46084</v>
      </c>
      <c r="D136" s="10" t="str">
        <f t="shared" si="9"/>
        <v>B</v>
      </c>
      <c r="E136" s="32" t="s">
        <v>199</v>
      </c>
      <c r="F136" s="32" t="s">
        <v>198</v>
      </c>
      <c r="G136" s="6" t="s">
        <v>172</v>
      </c>
      <c r="H136" s="29">
        <v>4470000</v>
      </c>
      <c r="I136" s="6">
        <f t="shared" ca="1" si="12"/>
        <v>42</v>
      </c>
      <c r="J136" s="13" t="str">
        <f t="shared" ca="1" si="13"/>
        <v>관리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223</v>
      </c>
      <c r="F137" s="34" t="s">
        <v>224</v>
      </c>
      <c r="G137" s="6" t="s">
        <v>227</v>
      </c>
      <c r="H137" s="4">
        <v>12360000</v>
      </c>
      <c r="I137" s="6">
        <f t="shared" ca="1" si="12"/>
        <v>1</v>
      </c>
      <c r="J137" s="13" t="str">
        <f t="shared" ca="1" si="13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228</v>
      </c>
      <c r="F138" s="34" t="s">
        <v>225</v>
      </c>
      <c r="G138" s="6" t="s">
        <v>227</v>
      </c>
      <c r="H138" s="36">
        <v>11171400</v>
      </c>
      <c r="I138" s="6">
        <f t="shared" ca="1" si="12"/>
        <v>13</v>
      </c>
      <c r="J138" s="13" t="str">
        <f t="shared" ca="1" si="13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418</v>
      </c>
      <c r="F139" s="38" t="s">
        <v>417</v>
      </c>
      <c r="G139" s="6" t="s">
        <v>419</v>
      </c>
      <c r="H139" s="36">
        <v>11115400</v>
      </c>
      <c r="I139" s="6">
        <f t="shared" ca="1" si="12"/>
        <v>33</v>
      </c>
      <c r="J139" s="13" t="str">
        <f t="shared" ca="1" si="13"/>
        <v>관리</v>
      </c>
      <c r="K139" s="11"/>
      <c r="L139" s="11">
        <v>46118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46085</v>
      </c>
      <c r="D140" s="10" t="str">
        <f t="shared" si="9"/>
        <v>A</v>
      </c>
      <c r="E140" s="34" t="s">
        <v>229</v>
      </c>
      <c r="F140" s="6" t="s">
        <v>231</v>
      </c>
      <c r="G140" s="6" t="s">
        <v>227</v>
      </c>
      <c r="H140" s="36">
        <v>9772000</v>
      </c>
      <c r="I140" s="6">
        <f t="shared" ca="1" si="12"/>
        <v>0</v>
      </c>
      <c r="J140" s="13" t="str">
        <f t="shared" ca="1" si="13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ref="D141:D203" si="14">IF(G141="","",IF(OR(G141="선급금",G141="중도금",G141="잔금"),"A",IF(G141="자재","B",IF(G141="특허료","C",""))))</f>
        <v>A</v>
      </c>
      <c r="E141" s="34" t="s">
        <v>229</v>
      </c>
      <c r="F141" s="34" t="s">
        <v>226</v>
      </c>
      <c r="G141" s="6" t="s">
        <v>230</v>
      </c>
      <c r="H141" s="36">
        <v>19544000</v>
      </c>
      <c r="I141" s="6">
        <f t="shared" ca="1" si="12"/>
        <v>4</v>
      </c>
      <c r="J141" s="13" t="str">
        <f t="shared" ca="1" si="13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tr">
        <f t="shared" si="14"/>
        <v>A</v>
      </c>
      <c r="E142" s="6" t="s">
        <v>234</v>
      </c>
      <c r="F142" s="6" t="s">
        <v>232</v>
      </c>
      <c r="G142" s="6" t="s">
        <v>233</v>
      </c>
      <c r="H142" s="37">
        <v>30186600</v>
      </c>
      <c r="I142" s="6">
        <f t="shared" ca="1" si="12"/>
        <v>36</v>
      </c>
      <c r="J142" s="13" t="str">
        <f t="shared" ca="1" si="13"/>
        <v>관리</v>
      </c>
      <c r="K142" s="11"/>
      <c r="L142" s="11">
        <v>46122</v>
      </c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195</v>
      </c>
      <c r="F143" s="23" t="s">
        <v>196</v>
      </c>
      <c r="G143" s="6" t="s">
        <v>240</v>
      </c>
      <c r="H143" s="25">
        <v>5775000</v>
      </c>
      <c r="I143" s="6">
        <f t="shared" ca="1" si="12"/>
        <v>40</v>
      </c>
      <c r="J143" s="13" t="str">
        <f t="shared" ca="1" si="13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207</v>
      </c>
      <c r="F144" s="23" t="s">
        <v>202</v>
      </c>
      <c r="G144" s="6" t="s">
        <v>240</v>
      </c>
      <c r="H144" s="25">
        <v>2260000</v>
      </c>
      <c r="I144" s="6">
        <f t="shared" ca="1" si="12"/>
        <v>40</v>
      </c>
      <c r="J144" s="13" t="str">
        <f t="shared" ca="1" si="13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26</v>
      </c>
      <c r="F145" s="23" t="s">
        <v>248</v>
      </c>
      <c r="G145" s="6" t="s">
        <v>240</v>
      </c>
      <c r="H145" s="25">
        <v>237000</v>
      </c>
      <c r="I145" s="6">
        <f t="shared" ca="1" si="12"/>
        <v>40</v>
      </c>
      <c r="J145" s="13" t="str">
        <f t="shared" ca="1" si="13"/>
        <v>정상</v>
      </c>
      <c r="K145" s="11"/>
      <c r="L145" s="11"/>
      <c r="M145" s="10"/>
      <c r="N145" s="10" t="s">
        <v>33</v>
      </c>
      <c r="P145" s="6" t="s">
        <v>80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238</v>
      </c>
      <c r="F146" s="23" t="s">
        <v>235</v>
      </c>
      <c r="G146" s="6" t="s">
        <v>240</v>
      </c>
      <c r="H146" s="25">
        <v>167500</v>
      </c>
      <c r="I146" s="6">
        <f t="shared" ca="1" si="12"/>
        <v>26</v>
      </c>
      <c r="J146" s="13" t="str">
        <f t="shared" ca="1" si="13"/>
        <v>정상</v>
      </c>
      <c r="K146" s="11"/>
      <c r="L146" s="11">
        <v>46112</v>
      </c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126</v>
      </c>
      <c r="F147" s="23" t="s">
        <v>236</v>
      </c>
      <c r="G147" s="6" t="s">
        <v>240</v>
      </c>
      <c r="H147" s="25">
        <v>3179600</v>
      </c>
      <c r="I147" s="6">
        <f t="shared" ca="1" si="12"/>
        <v>40</v>
      </c>
      <c r="J147" s="13" t="str">
        <f t="shared" ca="1" si="13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5500000</v>
      </c>
      <c r="I148" s="6">
        <f t="shared" ca="1" si="12"/>
        <v>40</v>
      </c>
      <c r="J148" s="13" t="str">
        <f t="shared" ca="1" si="13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210</v>
      </c>
      <c r="G149" s="6" t="s">
        <v>240</v>
      </c>
      <c r="H149" s="25">
        <v>1801000</v>
      </c>
      <c r="I149" s="6">
        <f t="shared" ca="1" si="12"/>
        <v>40</v>
      </c>
      <c r="J149" s="13" t="str">
        <f t="shared" ca="1" si="13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46086</v>
      </c>
      <c r="D150" s="10" t="s">
        <v>239</v>
      </c>
      <c r="E150" s="23" t="s">
        <v>218</v>
      </c>
      <c r="F150" s="23" t="s">
        <v>237</v>
      </c>
      <c r="G150" s="6" t="s">
        <v>240</v>
      </c>
      <c r="H150" s="25">
        <v>6400500</v>
      </c>
      <c r="I150" s="6">
        <f t="shared" ca="1" si="12"/>
        <v>40</v>
      </c>
      <c r="J150" s="13" t="str">
        <f t="shared" ca="1" si="13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>
        <v>46087</v>
      </c>
      <c r="D151" s="10" t="s">
        <v>243</v>
      </c>
      <c r="E151" s="6" t="s">
        <v>247</v>
      </c>
      <c r="F151" s="6" t="s">
        <v>246</v>
      </c>
      <c r="G151" s="6" t="s">
        <v>227</v>
      </c>
      <c r="H151" s="4">
        <v>5358400</v>
      </c>
      <c r="I151" s="6">
        <f t="shared" ca="1" si="12"/>
        <v>26</v>
      </c>
      <c r="J151" s="13" t="str">
        <f t="shared" ca="1" si="13"/>
        <v>관리</v>
      </c>
      <c r="K151" s="11"/>
      <c r="L151" s="11">
        <v>46113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124</v>
      </c>
      <c r="F152" s="23" t="s">
        <v>250</v>
      </c>
      <c r="G152" s="6" t="s">
        <v>255</v>
      </c>
      <c r="H152" s="25">
        <v>753000</v>
      </c>
      <c r="I152" s="6">
        <f t="shared" ca="1" si="12"/>
        <v>0</v>
      </c>
      <c r="J152" s="13" t="str">
        <f t="shared" ca="1" si="13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195</v>
      </c>
      <c r="F153" s="23" t="s">
        <v>251</v>
      </c>
      <c r="G153" s="6" t="s">
        <v>255</v>
      </c>
      <c r="H153" s="25">
        <v>3230000</v>
      </c>
      <c r="I153" s="6">
        <f t="shared" ca="1" si="12"/>
        <v>39</v>
      </c>
      <c r="J153" s="13" t="str">
        <f t="shared" ca="1" si="13"/>
        <v>정상</v>
      </c>
      <c r="K153" s="11"/>
      <c r="L153" s="11"/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128</v>
      </c>
      <c r="F154" s="23" t="s">
        <v>252</v>
      </c>
      <c r="G154" s="6" t="s">
        <v>255</v>
      </c>
      <c r="H154" s="25">
        <v>5030650</v>
      </c>
      <c r="I154" s="6">
        <f t="shared" ca="1" si="12"/>
        <v>0</v>
      </c>
      <c r="J154" s="13" t="str">
        <f t="shared" ca="1" si="13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249</v>
      </c>
      <c r="F155" s="23" t="s">
        <v>253</v>
      </c>
      <c r="G155" s="6" t="s">
        <v>255</v>
      </c>
      <c r="H155" s="25">
        <v>9140500</v>
      </c>
      <c r="I155" s="6">
        <f t="shared" ca="1" si="12"/>
        <v>10</v>
      </c>
      <c r="J155" s="13" t="str">
        <f t="shared" ca="1" si="13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16695000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219</v>
      </c>
      <c r="F157" s="23" t="s">
        <v>213</v>
      </c>
      <c r="G157" s="6" t="s">
        <v>255</v>
      </c>
      <c r="H157" s="25">
        <v>1870000</v>
      </c>
      <c r="I157" s="6">
        <f t="shared" ca="1" si="12"/>
        <v>25</v>
      </c>
      <c r="J157" s="13" t="str">
        <f t="shared" ca="1" si="13"/>
        <v>정상</v>
      </c>
      <c r="K157" s="11"/>
      <c r="L157" s="11">
        <v>46112</v>
      </c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0">
        <v>46087</v>
      </c>
      <c r="D158" s="10" t="s">
        <v>178</v>
      </c>
      <c r="E158" s="23" t="s">
        <v>81</v>
      </c>
      <c r="F158" s="23" t="s">
        <v>254</v>
      </c>
      <c r="G158" s="6" t="s">
        <v>255</v>
      </c>
      <c r="H158" s="25">
        <v>12478000</v>
      </c>
      <c r="I158" s="6">
        <f t="shared" ca="1" si="12"/>
        <v>39</v>
      </c>
      <c r="J158" s="13" t="str">
        <f t="shared" ca="1" si="13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9">
        <v>46090</v>
      </c>
      <c r="D159" s="10" t="str">
        <f t="shared" si="14"/>
        <v>A</v>
      </c>
      <c r="E159" s="6" t="s">
        <v>260</v>
      </c>
      <c r="F159" s="6" t="s">
        <v>259</v>
      </c>
      <c r="G159" s="6" t="s">
        <v>261</v>
      </c>
      <c r="H159" s="4">
        <v>29070400</v>
      </c>
      <c r="I159" s="6">
        <f t="shared" ca="1" si="12"/>
        <v>4</v>
      </c>
      <c r="J159" s="13" t="str">
        <f t="shared" ref="J159:J190" ca="1" si="15">IF(I159="","",
 IF(G159="선급금",
   IF(I159&lt;=20,"정상",IF(I159&lt;=90,"관리","장기미수")),
 IF(G159="자재",
   IF(I159&lt;=40,"정상",IF(I159&lt;=90,"관리","장기미수")),
   IF(I159&lt;=30,"정상",IF(I159&lt;=90,"관리","장기미수"))
  )
 )
)</f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199</v>
      </c>
      <c r="F160" s="23" t="s">
        <v>262</v>
      </c>
      <c r="G160" s="6" t="s">
        <v>268</v>
      </c>
      <c r="H160" s="25">
        <v>3390000</v>
      </c>
      <c r="I160" s="6">
        <f t="shared" ca="1" si="12"/>
        <v>36</v>
      </c>
      <c r="J160" s="13" t="str">
        <f t="shared" ca="1" si="15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266</v>
      </c>
      <c r="F161" s="23" t="s">
        <v>263</v>
      </c>
      <c r="G161" s="6" t="s">
        <v>268</v>
      </c>
      <c r="H161" s="25">
        <v>9140500</v>
      </c>
      <c r="I161" s="6">
        <f t="shared" ca="1" si="12"/>
        <v>36</v>
      </c>
      <c r="J161" s="13" t="str">
        <f t="shared" ca="1" si="15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207</v>
      </c>
      <c r="F162" s="23" t="s">
        <v>264</v>
      </c>
      <c r="G162" s="6" t="s">
        <v>268</v>
      </c>
      <c r="H162" s="25">
        <v>4719500</v>
      </c>
      <c r="I162" s="6">
        <f t="shared" ca="1" si="12"/>
        <v>36</v>
      </c>
      <c r="J162" s="13" t="str">
        <f t="shared" ca="1" si="15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46090</v>
      </c>
      <c r="D163" s="10" t="str">
        <f t="shared" si="14"/>
        <v>B</v>
      </c>
      <c r="E163" s="23" t="s">
        <v>267</v>
      </c>
      <c r="F163" s="23" t="s">
        <v>265</v>
      </c>
      <c r="G163" s="6" t="s">
        <v>268</v>
      </c>
      <c r="H163" s="25">
        <v>38534600</v>
      </c>
      <c r="I163" s="6">
        <f t="shared" ca="1" si="12"/>
        <v>1</v>
      </c>
      <c r="J163" s="13" t="str">
        <f t="shared" ca="1" si="15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">
        <v>243</v>
      </c>
      <c r="E164" s="6" t="s">
        <v>270</v>
      </c>
      <c r="F164" s="6" t="s">
        <v>269</v>
      </c>
      <c r="G164" s="6" t="s">
        <v>271</v>
      </c>
      <c r="H164" s="4">
        <v>13694000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46091</v>
      </c>
      <c r="D165" s="10" t="str">
        <f t="shared" si="14"/>
        <v>A</v>
      </c>
      <c r="E165" s="6" t="s">
        <v>273</v>
      </c>
      <c r="F165" s="6" t="s">
        <v>272</v>
      </c>
      <c r="G165" s="6" t="s">
        <v>274</v>
      </c>
      <c r="H165" s="4">
        <v>59166000</v>
      </c>
      <c r="I165" s="6">
        <f t="shared" ca="1" si="12"/>
        <v>3</v>
      </c>
      <c r="J165" s="13" t="str">
        <f t="shared" ca="1" si="15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46092</v>
      </c>
      <c r="D166" s="10" t="s">
        <v>181</v>
      </c>
      <c r="E166" s="6" t="s">
        <v>276</v>
      </c>
      <c r="F166" s="6" t="s">
        <v>275</v>
      </c>
      <c r="G166" s="6" t="s">
        <v>169</v>
      </c>
      <c r="H166" s="4">
        <v>4500000</v>
      </c>
      <c r="I166" s="6">
        <f t="shared" ca="1" si="12"/>
        <v>34</v>
      </c>
      <c r="J166" s="13" t="str">
        <f t="shared" ca="1" si="15"/>
        <v>관리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218</v>
      </c>
      <c r="F167" s="23" t="s">
        <v>277</v>
      </c>
      <c r="G167" s="6" t="s">
        <v>296</v>
      </c>
      <c r="H167" s="25">
        <v>8400000</v>
      </c>
      <c r="I167" s="6">
        <f t="shared" ca="1" si="12"/>
        <v>35</v>
      </c>
      <c r="J167" s="13" t="str">
        <f t="shared" ca="1" si="15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24</v>
      </c>
      <c r="F168" s="23" t="s">
        <v>188</v>
      </c>
      <c r="G168" s="6" t="s">
        <v>296</v>
      </c>
      <c r="H168" s="25">
        <v>46282000</v>
      </c>
      <c r="I168" s="6">
        <f t="shared" ca="1" si="12"/>
        <v>35</v>
      </c>
      <c r="J168" s="13" t="str">
        <f t="shared" ca="1" si="15"/>
        <v>정상</v>
      </c>
      <c r="K168" s="11"/>
      <c r="L168" s="11"/>
      <c r="M168" s="10"/>
      <c r="N168" s="10" t="s">
        <v>20</v>
      </c>
      <c r="O168" s="6" t="s">
        <v>58</v>
      </c>
      <c r="P168" s="6" t="s">
        <v>153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56</v>
      </c>
      <c r="F169" s="23" t="s">
        <v>278</v>
      </c>
      <c r="G169" s="6" t="s">
        <v>296</v>
      </c>
      <c r="H169" s="25">
        <v>1832500</v>
      </c>
      <c r="I169" s="6">
        <f t="shared" ca="1" si="12"/>
        <v>0</v>
      </c>
      <c r="J169" s="13" t="str">
        <f t="shared" ca="1" si="15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120</v>
      </c>
      <c r="F170" s="23" t="s">
        <v>279</v>
      </c>
      <c r="G170" s="6" t="s">
        <v>296</v>
      </c>
      <c r="H170" s="25">
        <v>222000</v>
      </c>
      <c r="I170" s="6">
        <f t="shared" ca="1" si="12"/>
        <v>3</v>
      </c>
      <c r="J170" s="13" t="str">
        <f t="shared" ca="1" si="15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266</v>
      </c>
      <c r="F171" s="23" t="s">
        <v>280</v>
      </c>
      <c r="G171" s="6" t="s">
        <v>296</v>
      </c>
      <c r="H171" s="25">
        <v>14080000</v>
      </c>
      <c r="I171" s="6">
        <f t="shared" ca="1" si="12"/>
        <v>35</v>
      </c>
      <c r="J171" s="13" t="str">
        <f t="shared" ca="1" si="15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249</v>
      </c>
      <c r="F172" s="23" t="s">
        <v>280</v>
      </c>
      <c r="G172" s="6" t="s">
        <v>296</v>
      </c>
      <c r="H172" s="25">
        <v>14080000</v>
      </c>
      <c r="I172" s="6">
        <f t="shared" ca="1" si="12"/>
        <v>6</v>
      </c>
      <c r="J172" s="13" t="str">
        <f t="shared" ca="1" si="15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222</v>
      </c>
      <c r="F173" s="23" t="s">
        <v>281</v>
      </c>
      <c r="G173" s="6" t="s">
        <v>296</v>
      </c>
      <c r="H173" s="25">
        <v>1186600</v>
      </c>
      <c r="I173" s="6">
        <f t="shared" ca="1" si="12"/>
        <v>35</v>
      </c>
      <c r="J173" s="13" t="str">
        <f t="shared" ca="1" si="15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62</v>
      </c>
      <c r="F174" s="23" t="s">
        <v>282</v>
      </c>
      <c r="G174" s="6" t="s">
        <v>296</v>
      </c>
      <c r="H174" s="25">
        <v>270000</v>
      </c>
      <c r="I174" s="6">
        <f t="shared" ca="1" si="12"/>
        <v>35</v>
      </c>
      <c r="J174" s="13" t="str">
        <f t="shared" ca="1" si="15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283</v>
      </c>
      <c r="G175" s="6" t="s">
        <v>296</v>
      </c>
      <c r="H175" s="25">
        <v>5912000</v>
      </c>
      <c r="I175" s="6">
        <f t="shared" ca="1" si="12"/>
        <v>35</v>
      </c>
      <c r="J175" s="13" t="str">
        <f t="shared" ca="1" si="15"/>
        <v>정상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24</v>
      </c>
      <c r="F176" s="23" t="s">
        <v>188</v>
      </c>
      <c r="G176" s="6" t="s">
        <v>296</v>
      </c>
      <c r="H176" s="25">
        <v>4992000</v>
      </c>
      <c r="I176" s="6">
        <f t="shared" ca="1" si="12"/>
        <v>35</v>
      </c>
      <c r="J176" s="13" t="str">
        <f t="shared" ca="1" si="15"/>
        <v>정상</v>
      </c>
      <c r="K176" s="11"/>
      <c r="L176" s="11"/>
      <c r="M176" s="10"/>
      <c r="N176" s="10" t="s">
        <v>20</v>
      </c>
      <c r="O176" s="6" t="s">
        <v>58</v>
      </c>
      <c r="P176" s="6" t="s">
        <v>153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128</v>
      </c>
      <c r="F177" s="23" t="s">
        <v>284</v>
      </c>
      <c r="G177" s="6" t="s">
        <v>296</v>
      </c>
      <c r="H177" s="25">
        <v>950350</v>
      </c>
      <c r="I177" s="6">
        <f t="shared" ca="1" si="12"/>
        <v>0</v>
      </c>
      <c r="J177" s="13" t="str">
        <f t="shared" ca="1" si="15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207</v>
      </c>
      <c r="F178" s="23" t="s">
        <v>285</v>
      </c>
      <c r="G178" s="6" t="s">
        <v>296</v>
      </c>
      <c r="H178" s="25">
        <v>770400</v>
      </c>
      <c r="I178" s="6">
        <f t="shared" ca="1" si="12"/>
        <v>35</v>
      </c>
      <c r="J178" s="13" t="str">
        <f t="shared" ca="1" si="15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46091</v>
      </c>
      <c r="D179" s="10" t="str">
        <f t="shared" si="14"/>
        <v>B</v>
      </c>
      <c r="E179" s="23" t="s">
        <v>293</v>
      </c>
      <c r="F179" s="23" t="s">
        <v>286</v>
      </c>
      <c r="G179" s="6" t="s">
        <v>296</v>
      </c>
      <c r="H179" s="25">
        <v>473600</v>
      </c>
      <c r="I179" s="6">
        <f t="shared" ca="1" si="12"/>
        <v>0</v>
      </c>
      <c r="J179" s="13" t="str">
        <f t="shared" ca="1" si="15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294</v>
      </c>
      <c r="F180" s="23" t="s">
        <v>287</v>
      </c>
      <c r="G180" s="6" t="s">
        <v>296</v>
      </c>
      <c r="H180" s="25">
        <v>121500</v>
      </c>
      <c r="I180" s="6">
        <f t="shared" ca="1" si="12"/>
        <v>9</v>
      </c>
      <c r="J180" s="13" t="str">
        <f t="shared" ca="1" si="15"/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566</v>
      </c>
      <c r="F181" s="23" t="s">
        <v>288</v>
      </c>
      <c r="G181" s="6" t="s">
        <v>296</v>
      </c>
      <c r="H181" s="25">
        <v>16818900</v>
      </c>
      <c r="I181" s="6">
        <f t="shared" ca="1" si="12"/>
        <v>34</v>
      </c>
      <c r="J181" s="13" t="str">
        <f t="shared" ca="1" si="15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17</v>
      </c>
      <c r="F182" s="23" t="s">
        <v>289</v>
      </c>
      <c r="G182" s="6" t="s">
        <v>296</v>
      </c>
      <c r="H182" s="25">
        <v>294800</v>
      </c>
      <c r="I182" s="6">
        <f t="shared" ca="1" si="12"/>
        <v>9</v>
      </c>
      <c r="J182" s="13" t="str">
        <f t="shared" ca="1" si="15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116</v>
      </c>
      <c r="F183" s="23" t="s">
        <v>290</v>
      </c>
      <c r="G183" s="6" t="s">
        <v>296</v>
      </c>
      <c r="H183" s="25">
        <v>321000</v>
      </c>
      <c r="I183" s="6">
        <f t="shared" ca="1" si="12"/>
        <v>34</v>
      </c>
      <c r="J183" s="13" t="str">
        <f t="shared" ca="1" si="15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295</v>
      </c>
      <c r="F184" s="23" t="s">
        <v>291</v>
      </c>
      <c r="G184" s="6" t="s">
        <v>296</v>
      </c>
      <c r="H184" s="25">
        <v>1275400</v>
      </c>
      <c r="I184" s="6">
        <f t="shared" ca="1" si="12"/>
        <v>34</v>
      </c>
      <c r="J184" s="13" t="str">
        <f t="shared" ca="1" si="15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24</v>
      </c>
      <c r="F185" s="23" t="s">
        <v>188</v>
      </c>
      <c r="G185" s="6" t="s">
        <v>296</v>
      </c>
      <c r="H185" s="25">
        <v>11000000</v>
      </c>
      <c r="I185" s="6">
        <f t="shared" ca="1" si="12"/>
        <v>34</v>
      </c>
      <c r="J185" s="13" t="str">
        <f t="shared" ca="1" si="15"/>
        <v>정상</v>
      </c>
      <c r="K185" s="11"/>
      <c r="L185" s="11"/>
      <c r="M185" s="10"/>
      <c r="N185" s="10" t="s">
        <v>20</v>
      </c>
      <c r="O185" s="6" t="s">
        <v>58</v>
      </c>
      <c r="P185" s="6" t="s">
        <v>153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46092</v>
      </c>
      <c r="D186" s="10" t="str">
        <f t="shared" si="14"/>
        <v>B</v>
      </c>
      <c r="E186" s="23" t="s">
        <v>26</v>
      </c>
      <c r="F186" s="23" t="s">
        <v>292</v>
      </c>
      <c r="G186" s="6" t="s">
        <v>296</v>
      </c>
      <c r="H186" s="25">
        <v>5475500</v>
      </c>
      <c r="I186" s="6">
        <f t="shared" ca="1" si="12"/>
        <v>34</v>
      </c>
      <c r="J186" s="13" t="str">
        <f t="shared" ca="1" si="15"/>
        <v>정상</v>
      </c>
      <c r="K186" s="11"/>
      <c r="L186" s="11"/>
      <c r="M186" s="10"/>
      <c r="N186" s="10" t="s">
        <v>33</v>
      </c>
      <c r="P186" s="6" t="s">
        <v>80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293</v>
      </c>
      <c r="F187" s="23" t="s">
        <v>297</v>
      </c>
      <c r="G187" s="6" t="s">
        <v>304</v>
      </c>
      <c r="H187" s="25">
        <v>312000</v>
      </c>
      <c r="I187" s="6">
        <f t="shared" ca="1" si="12"/>
        <v>0</v>
      </c>
      <c r="J187" s="13" t="str">
        <f t="shared" ca="1" si="15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30</v>
      </c>
      <c r="F188" s="23" t="s">
        <v>298</v>
      </c>
      <c r="G188" s="6" t="s">
        <v>304</v>
      </c>
      <c r="H188" s="25">
        <v>1000500</v>
      </c>
      <c r="I188" s="6">
        <f t="shared" ca="1" si="12"/>
        <v>33</v>
      </c>
      <c r="J188" s="13" t="str">
        <f t="shared" ca="1" si="15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195</v>
      </c>
      <c r="F189" s="23" t="s">
        <v>302</v>
      </c>
      <c r="G189" s="6" t="s">
        <v>304</v>
      </c>
      <c r="H189" s="25">
        <v>5775000</v>
      </c>
      <c r="I189" s="6">
        <f t="shared" ca="1" si="12"/>
        <v>33</v>
      </c>
      <c r="J189" s="13" t="str">
        <f t="shared" ca="1" si="15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199</v>
      </c>
      <c r="F190" s="23" t="s">
        <v>299</v>
      </c>
      <c r="G190" s="6" t="s">
        <v>304</v>
      </c>
      <c r="H190" s="25">
        <v>1190000</v>
      </c>
      <c r="I190" s="6">
        <f t="shared" ca="1" si="12"/>
        <v>33</v>
      </c>
      <c r="J190" s="13" t="str">
        <f t="shared" ca="1" si="15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100</v>
      </c>
      <c r="F191" s="23" t="s">
        <v>303</v>
      </c>
      <c r="G191" s="6" t="s">
        <v>304</v>
      </c>
      <c r="H191" s="25">
        <v>11147800</v>
      </c>
      <c r="I191" s="6">
        <f t="shared" ref="I191:I254" ca="1" si="16">IF(C191="","",IF(L191="",TODAY()-C191,L191-C191))</f>
        <v>33</v>
      </c>
      <c r="J191" s="13" t="str">
        <f t="shared" ref="J191:J222" ca="1" si="17">IF(I191="","",
 IF(G191="선급금",
   IF(I191&lt;=20,"정상",IF(I191&lt;=90,"관리","장기미수")),
 IF(G191="자재",
   IF(I191&lt;=40,"정상",IF(I191&lt;=90,"관리","장기미수")),
   IF(I191&lt;=30,"정상",IF(I191&lt;=90,"관리","장기미수"))
  )
 )
)</f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218</v>
      </c>
      <c r="F192" s="23" t="s">
        <v>300</v>
      </c>
      <c r="G192" s="6" t="s">
        <v>304</v>
      </c>
      <c r="H192" s="25">
        <v>2613000</v>
      </c>
      <c r="I192" s="6">
        <f t="shared" ca="1" si="16"/>
        <v>33</v>
      </c>
      <c r="J192" s="13" t="str">
        <f t="shared" ca="1" si="17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0">
        <v>46093</v>
      </c>
      <c r="D193" s="10" t="str">
        <f t="shared" si="14"/>
        <v>B</v>
      </c>
      <c r="E193" s="23" t="s">
        <v>110</v>
      </c>
      <c r="F193" s="23" t="s">
        <v>301</v>
      </c>
      <c r="G193" s="6" t="s">
        <v>304</v>
      </c>
      <c r="H193" s="25">
        <v>7339000</v>
      </c>
      <c r="I193" s="6">
        <f t="shared" ca="1" si="16"/>
        <v>33</v>
      </c>
      <c r="J193" s="13" t="str">
        <f t="shared" ca="1" si="17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11">
        <v>46094</v>
      </c>
      <c r="D194" s="10" t="str">
        <f t="shared" si="14"/>
        <v>C</v>
      </c>
      <c r="E194" s="6" t="s">
        <v>305</v>
      </c>
      <c r="F194" s="6" t="s">
        <v>306</v>
      </c>
      <c r="G194" s="6" t="s">
        <v>307</v>
      </c>
      <c r="H194" s="4">
        <v>1291250</v>
      </c>
      <c r="I194" s="6">
        <f t="shared" ca="1" si="16"/>
        <v>18</v>
      </c>
      <c r="J194" s="13" t="str">
        <f t="shared" ca="1" si="17"/>
        <v>정상</v>
      </c>
      <c r="K194" s="11"/>
      <c r="L194" s="11">
        <v>46112</v>
      </c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315</v>
      </c>
      <c r="F195" s="23" t="s">
        <v>308</v>
      </c>
      <c r="G195" s="6" t="s">
        <v>317</v>
      </c>
      <c r="H195" s="25">
        <v>500500</v>
      </c>
      <c r="I195" s="6">
        <f t="shared" ca="1" si="16"/>
        <v>32</v>
      </c>
      <c r="J195" s="13" t="str">
        <f t="shared" ca="1" si="17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309</v>
      </c>
      <c r="G196" s="6" t="s">
        <v>317</v>
      </c>
      <c r="H196" s="25">
        <v>3448000</v>
      </c>
      <c r="I196" s="6">
        <f t="shared" ca="1" si="16"/>
        <v>32</v>
      </c>
      <c r="J196" s="13" t="str">
        <f t="shared" ca="1" si="17"/>
        <v>정상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24</v>
      </c>
      <c r="F197" s="23" t="s">
        <v>310</v>
      </c>
      <c r="G197" s="6" t="s">
        <v>317</v>
      </c>
      <c r="H197" s="25">
        <v>28750000</v>
      </c>
      <c r="I197" s="6">
        <f t="shared" ca="1" si="16"/>
        <v>32</v>
      </c>
      <c r="J197" s="13" t="str">
        <f t="shared" ca="1" si="17"/>
        <v>정상</v>
      </c>
      <c r="K197" s="11"/>
      <c r="L197" s="11"/>
      <c r="M197" s="10"/>
      <c r="N197" s="10" t="s">
        <v>20</v>
      </c>
      <c r="O197" s="6" t="s">
        <v>58</v>
      </c>
      <c r="P197" s="6" t="s">
        <v>153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220</v>
      </c>
      <c r="F198" s="23" t="s">
        <v>311</v>
      </c>
      <c r="G198" s="6" t="s">
        <v>317</v>
      </c>
      <c r="H198" s="25">
        <v>3430000</v>
      </c>
      <c r="I198" s="6">
        <f t="shared" ca="1" si="16"/>
        <v>3</v>
      </c>
      <c r="J198" s="13" t="str">
        <f t="shared" ca="1" si="17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218</v>
      </c>
      <c r="F199" s="23" t="s">
        <v>312</v>
      </c>
      <c r="G199" s="6" t="s">
        <v>317</v>
      </c>
      <c r="H199" s="25">
        <v>14700000</v>
      </c>
      <c r="I199" s="6">
        <f t="shared" ca="1" si="16"/>
        <v>32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316</v>
      </c>
      <c r="F200" s="23" t="s">
        <v>313</v>
      </c>
      <c r="G200" s="6" t="s">
        <v>317</v>
      </c>
      <c r="H200" s="25">
        <v>780000</v>
      </c>
      <c r="I200" s="6">
        <f t="shared" ca="1" si="16"/>
        <v>32</v>
      </c>
      <c r="J200" s="13" t="str">
        <f t="shared" ca="1" si="17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46094</v>
      </c>
      <c r="D201" s="10" t="str">
        <f t="shared" si="14"/>
        <v>B</v>
      </c>
      <c r="E201" s="23" t="s">
        <v>39</v>
      </c>
      <c r="F201" s="23" t="s">
        <v>314</v>
      </c>
      <c r="G201" s="6" t="s">
        <v>317</v>
      </c>
      <c r="H201" s="25">
        <v>220100</v>
      </c>
      <c r="I201" s="6">
        <f t="shared" ca="1" si="16"/>
        <v>18</v>
      </c>
      <c r="J201" s="13" t="str">
        <f t="shared" ca="1" si="17"/>
        <v>정상</v>
      </c>
      <c r="K201" s="11"/>
      <c r="L201" s="11">
        <v>46112</v>
      </c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46097</v>
      </c>
      <c r="D202" s="10" t="str">
        <f t="shared" si="14"/>
        <v>A</v>
      </c>
      <c r="E202" s="6" t="s">
        <v>318</v>
      </c>
      <c r="F202" s="6" t="s">
        <v>319</v>
      </c>
      <c r="G202" s="6" t="s">
        <v>320</v>
      </c>
      <c r="H202" s="4">
        <v>22342800</v>
      </c>
      <c r="I202" s="6">
        <f t="shared" ca="1" si="16"/>
        <v>21</v>
      </c>
      <c r="J202" s="13" t="str">
        <f t="shared" ca="1" si="17"/>
        <v>정상</v>
      </c>
      <c r="K202" s="11"/>
      <c r="L202" s="11">
        <v>46118</v>
      </c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si="14"/>
        <v>B</v>
      </c>
      <c r="E203" s="23" t="s">
        <v>126</v>
      </c>
      <c r="F203" s="23" t="s">
        <v>321</v>
      </c>
      <c r="G203" s="6" t="s">
        <v>334</v>
      </c>
      <c r="H203" s="25">
        <v>19467400</v>
      </c>
      <c r="I203" s="6">
        <f t="shared" ca="1" si="16"/>
        <v>28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ref="D204:D267" si="18">IF(G204="","",IF(OR(G204="선급금",G204="중도금",G204="잔금"),"A",IF(G204="자재","B",IF(G204="특허료","C",""))))</f>
        <v>B</v>
      </c>
      <c r="E204" s="23" t="s">
        <v>126</v>
      </c>
      <c r="F204" s="23" t="s">
        <v>321</v>
      </c>
      <c r="G204" s="6" t="s">
        <v>334</v>
      </c>
      <c r="H204" s="25">
        <v>4765000</v>
      </c>
      <c r="I204" s="6">
        <f t="shared" ca="1" si="16"/>
        <v>28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222</v>
      </c>
      <c r="F205" s="23" t="s">
        <v>322</v>
      </c>
      <c r="G205" s="6" t="s">
        <v>334</v>
      </c>
      <c r="H205" s="25">
        <v>954500</v>
      </c>
      <c r="I205" s="6">
        <f t="shared" ca="1" si="16"/>
        <v>28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100</v>
      </c>
      <c r="F206" s="23" t="s">
        <v>323</v>
      </c>
      <c r="G206" s="6" t="s">
        <v>334</v>
      </c>
      <c r="H206" s="25">
        <v>9631000</v>
      </c>
      <c r="I206" s="6">
        <f t="shared" ca="1" si="16"/>
        <v>28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30</v>
      </c>
      <c r="F207" s="23" t="s">
        <v>324</v>
      </c>
      <c r="G207" s="6" t="s">
        <v>334</v>
      </c>
      <c r="H207" s="25">
        <v>1745000</v>
      </c>
      <c r="I207" s="6">
        <f t="shared" ca="1" si="16"/>
        <v>28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325</v>
      </c>
      <c r="G208" s="6" t="s">
        <v>334</v>
      </c>
      <c r="H208" s="25">
        <v>493400</v>
      </c>
      <c r="I208" s="6">
        <f t="shared" ca="1" si="16"/>
        <v>28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3568200</v>
      </c>
      <c r="I209" s="6">
        <f t="shared" ca="1" si="16"/>
        <v>28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126</v>
      </c>
      <c r="F210" s="23" t="s">
        <v>326</v>
      </c>
      <c r="G210" s="6" t="s">
        <v>334</v>
      </c>
      <c r="H210" s="25">
        <v>4110300</v>
      </c>
      <c r="I210" s="6">
        <f t="shared" ca="1" si="16"/>
        <v>28</v>
      </c>
      <c r="J210" s="13" t="str">
        <f t="shared" ca="1" si="17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163</v>
      </c>
      <c r="F211" s="23" t="s">
        <v>327</v>
      </c>
      <c r="G211" s="6" t="s">
        <v>334</v>
      </c>
      <c r="H211" s="25">
        <v>1318600</v>
      </c>
      <c r="I211" s="6">
        <f t="shared" ca="1" si="16"/>
        <v>7</v>
      </c>
      <c r="J211" s="13" t="str">
        <f t="shared" ca="1" si="17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333</v>
      </c>
      <c r="F212" s="23" t="s">
        <v>328</v>
      </c>
      <c r="G212" s="6" t="s">
        <v>334</v>
      </c>
      <c r="H212" s="25">
        <v>3541500</v>
      </c>
      <c r="I212" s="6">
        <f t="shared" ca="1" si="16"/>
        <v>28</v>
      </c>
      <c r="J212" s="13" t="str">
        <f t="shared" ca="1" si="17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207</v>
      </c>
      <c r="F213" s="23" t="s">
        <v>329</v>
      </c>
      <c r="G213" s="6" t="s">
        <v>334</v>
      </c>
      <c r="H213" s="25">
        <v>3512300</v>
      </c>
      <c r="I213" s="6">
        <f t="shared" ca="1" si="16"/>
        <v>28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249</v>
      </c>
      <c r="F214" s="23" t="s">
        <v>330</v>
      </c>
      <c r="G214" s="6" t="s">
        <v>334</v>
      </c>
      <c r="H214" s="25">
        <v>11000000</v>
      </c>
      <c r="I214" s="6">
        <f t="shared" ca="1" si="16"/>
        <v>28</v>
      </c>
      <c r="J214" s="13" t="str">
        <f t="shared" ca="1" si="17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108</v>
      </c>
      <c r="F215" s="23" t="s">
        <v>331</v>
      </c>
      <c r="G215" s="6" t="s">
        <v>334</v>
      </c>
      <c r="H215" s="25">
        <v>21000000</v>
      </c>
      <c r="I215" s="6">
        <f t="shared" ca="1" si="16"/>
        <v>28</v>
      </c>
      <c r="J215" s="13" t="str">
        <f t="shared" ca="1" si="17"/>
        <v>정상</v>
      </c>
      <c r="K215" s="11">
        <v>46172</v>
      </c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0">
        <v>46098</v>
      </c>
      <c r="D216" s="10" t="str">
        <f t="shared" si="18"/>
        <v>B</v>
      </c>
      <c r="E216" s="23" t="s">
        <v>116</v>
      </c>
      <c r="F216" s="23" t="s">
        <v>332</v>
      </c>
      <c r="G216" s="6" t="s">
        <v>334</v>
      </c>
      <c r="H216" s="25">
        <v>806000</v>
      </c>
      <c r="I216" s="6">
        <f t="shared" ca="1" si="16"/>
        <v>28</v>
      </c>
      <c r="J216" s="13" t="str">
        <f t="shared" ca="1" si="17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23" t="s">
        <v>336</v>
      </c>
      <c r="F217" s="41" t="s">
        <v>335</v>
      </c>
      <c r="G217" s="6" t="s">
        <v>337</v>
      </c>
      <c r="H217" s="40">
        <v>4354200</v>
      </c>
      <c r="I217" s="6">
        <f t="shared" ca="1" si="16"/>
        <v>27</v>
      </c>
      <c r="J217" s="13" t="str">
        <f t="shared" ca="1" si="17"/>
        <v>관리</v>
      </c>
      <c r="K217" s="11">
        <v>46127</v>
      </c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116</v>
      </c>
      <c r="F218" s="6" t="s">
        <v>338</v>
      </c>
      <c r="G218" s="6" t="s">
        <v>337</v>
      </c>
      <c r="H218" s="4">
        <v>28530900</v>
      </c>
      <c r="I218" s="6">
        <f t="shared" ca="1" si="16"/>
        <v>16</v>
      </c>
      <c r="J218" s="13" t="str">
        <f t="shared" ca="1" si="17"/>
        <v>정상</v>
      </c>
      <c r="K218" s="11"/>
      <c r="L218" s="11">
        <v>46115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341</v>
      </c>
      <c r="F219" s="6" t="s">
        <v>339</v>
      </c>
      <c r="G219" s="6" t="s">
        <v>337</v>
      </c>
      <c r="H219" s="4">
        <v>26089600</v>
      </c>
      <c r="I219" s="6">
        <f t="shared" ca="1" si="16"/>
        <v>0</v>
      </c>
      <c r="J219" s="13" t="str">
        <f t="shared" ca="1" si="17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39">
        <v>46099</v>
      </c>
      <c r="D220" s="10" t="str">
        <f t="shared" si="18"/>
        <v>A</v>
      </c>
      <c r="E220" s="6" t="s">
        <v>342</v>
      </c>
      <c r="F220" s="6" t="s">
        <v>340</v>
      </c>
      <c r="G220" s="6" t="s">
        <v>337</v>
      </c>
      <c r="H220" s="4">
        <v>27749100</v>
      </c>
      <c r="I220" s="6">
        <f t="shared" ca="1" si="16"/>
        <v>16</v>
      </c>
      <c r="J220" s="13" t="str">
        <f t="shared" ca="1" si="17"/>
        <v>정상</v>
      </c>
      <c r="K220" s="11"/>
      <c r="L220" s="11">
        <v>46115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56</v>
      </c>
      <c r="F221" s="23" t="s">
        <v>343</v>
      </c>
      <c r="G221" s="6" t="s">
        <v>368</v>
      </c>
      <c r="H221" s="25">
        <v>1842500</v>
      </c>
      <c r="I221" s="6">
        <f t="shared" ca="1" si="16"/>
        <v>1</v>
      </c>
      <c r="J221" s="13" t="str">
        <f t="shared" ca="1" si="17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126</v>
      </c>
      <c r="F222" s="23" t="s">
        <v>344</v>
      </c>
      <c r="G222" s="6" t="s">
        <v>368</v>
      </c>
      <c r="H222" s="25">
        <v>6583500</v>
      </c>
      <c r="I222" s="6">
        <f t="shared" ca="1" si="16"/>
        <v>27</v>
      </c>
      <c r="J222" s="13" t="str">
        <f t="shared" ca="1" si="17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69</v>
      </c>
      <c r="F223" s="23" t="s">
        <v>345</v>
      </c>
      <c r="G223" s="6" t="s">
        <v>368</v>
      </c>
      <c r="H223" s="25">
        <v>2038700</v>
      </c>
      <c r="I223" s="6">
        <f t="shared" ca="1" si="16"/>
        <v>19</v>
      </c>
      <c r="J223" s="13" t="str">
        <f t="shared" ref="J223:J254" ca="1" si="19">IF(I223="","",
 IF(G223="선급금",
   IF(I223&lt;=20,"정상",IF(I223&lt;=90,"관리","장기미수")),
 IF(G223="자재",
   IF(I223&lt;=40,"정상",IF(I223&lt;=90,"관리","장기미수")),
   IF(I223&lt;=30,"정상",IF(I223&lt;=90,"관리","장기미수"))
  )
 )
)</f>
        <v>정상</v>
      </c>
      <c r="K223" s="11"/>
      <c r="L223" s="11">
        <v>46118</v>
      </c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122</v>
      </c>
      <c r="F224" s="23" t="s">
        <v>346</v>
      </c>
      <c r="G224" s="6" t="s">
        <v>368</v>
      </c>
      <c r="H224" s="25">
        <v>4750000</v>
      </c>
      <c r="I224" s="6">
        <f t="shared" ca="1" si="16"/>
        <v>23</v>
      </c>
      <c r="J224" s="13" t="str">
        <f t="shared" ca="1" si="19"/>
        <v>정상</v>
      </c>
      <c r="K224" s="11"/>
      <c r="L224" s="11">
        <v>46122</v>
      </c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126</v>
      </c>
      <c r="F225" s="23" t="s">
        <v>347</v>
      </c>
      <c r="G225" s="6" t="s">
        <v>368</v>
      </c>
      <c r="H225" s="25">
        <v>3572000</v>
      </c>
      <c r="I225" s="6">
        <f t="shared" ca="1" si="16"/>
        <v>27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24</v>
      </c>
      <c r="F226" s="23" t="s">
        <v>348</v>
      </c>
      <c r="G226" s="6" t="s">
        <v>368</v>
      </c>
      <c r="H226" s="25">
        <v>435000</v>
      </c>
      <c r="I226" s="6">
        <f t="shared" ca="1" si="16"/>
        <v>27</v>
      </c>
      <c r="J226" s="13" t="str">
        <f t="shared" ca="1" si="19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365</v>
      </c>
      <c r="F227" s="23" t="s">
        <v>349</v>
      </c>
      <c r="G227" s="6" t="s">
        <v>368</v>
      </c>
      <c r="H227" s="25">
        <v>637000</v>
      </c>
      <c r="I227" s="6">
        <f t="shared" ca="1" si="16"/>
        <v>27</v>
      </c>
      <c r="J227" s="13" t="str">
        <f t="shared" ca="1" si="19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366</v>
      </c>
      <c r="F228" s="23" t="s">
        <v>350</v>
      </c>
      <c r="G228" s="6" t="s">
        <v>368</v>
      </c>
      <c r="H228" s="25">
        <v>34583000</v>
      </c>
      <c r="I228" s="6">
        <f t="shared" ca="1" si="16"/>
        <v>19</v>
      </c>
      <c r="J228" s="13" t="str">
        <f t="shared" ca="1" si="19"/>
        <v>정상</v>
      </c>
      <c r="K228" s="11"/>
      <c r="L228" s="11">
        <v>46118</v>
      </c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208</v>
      </c>
      <c r="F229" s="23" t="s">
        <v>351</v>
      </c>
      <c r="G229" s="6" t="s">
        <v>368</v>
      </c>
      <c r="H229" s="25">
        <v>6600000</v>
      </c>
      <c r="I229" s="6">
        <f t="shared" ca="1" si="16"/>
        <v>27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46099</v>
      </c>
      <c r="D230" s="10" t="str">
        <f t="shared" si="18"/>
        <v>B</v>
      </c>
      <c r="E230" s="23" t="s">
        <v>221</v>
      </c>
      <c r="F230" s="23" t="s">
        <v>352</v>
      </c>
      <c r="G230" s="6" t="s">
        <v>368</v>
      </c>
      <c r="H230" s="25">
        <v>15802000</v>
      </c>
      <c r="I230" s="6">
        <f t="shared" ca="1" si="16"/>
        <v>27</v>
      </c>
      <c r="J230" s="13" t="str">
        <f t="shared" ca="1" si="19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218</v>
      </c>
      <c r="F231" s="23" t="s">
        <v>353</v>
      </c>
      <c r="G231" s="6" t="s">
        <v>368</v>
      </c>
      <c r="H231" s="25">
        <v>9450000</v>
      </c>
      <c r="I231" s="6">
        <f t="shared" ca="1" si="16"/>
        <v>26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126</v>
      </c>
      <c r="F232" s="23" t="s">
        <v>347</v>
      </c>
      <c r="G232" s="6" t="s">
        <v>368</v>
      </c>
      <c r="H232" s="25">
        <v>521000</v>
      </c>
      <c r="I232" s="6">
        <f t="shared" ca="1" si="16"/>
        <v>26</v>
      </c>
      <c r="J232" s="13" t="str">
        <f t="shared" ca="1" si="19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39</v>
      </c>
      <c r="F233" s="23" t="s">
        <v>354</v>
      </c>
      <c r="G233" s="6" t="s">
        <v>368</v>
      </c>
      <c r="H233" s="25">
        <v>333000</v>
      </c>
      <c r="I233" s="6">
        <f t="shared" ca="1" si="16"/>
        <v>12</v>
      </c>
      <c r="J233" s="13" t="str">
        <f t="shared" ca="1" si="19"/>
        <v>정상</v>
      </c>
      <c r="K233" s="11"/>
      <c r="L233" s="11">
        <v>46112</v>
      </c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81</v>
      </c>
      <c r="F234" s="23" t="s">
        <v>355</v>
      </c>
      <c r="G234" s="6" t="s">
        <v>368</v>
      </c>
      <c r="H234" s="25">
        <v>2835000</v>
      </c>
      <c r="I234" s="6">
        <f t="shared" ca="1" si="16"/>
        <v>26</v>
      </c>
      <c r="J234" s="13" t="str">
        <f t="shared" ca="1" si="19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128</v>
      </c>
      <c r="F235" s="23" t="s">
        <v>356</v>
      </c>
      <c r="G235" s="6" t="s">
        <v>368</v>
      </c>
      <c r="H235" s="25">
        <v>351900</v>
      </c>
      <c r="I235" s="6">
        <f t="shared" ca="1" si="16"/>
        <v>0</v>
      </c>
      <c r="J235" s="13" t="str">
        <f t="shared" ca="1" si="19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17</v>
      </c>
      <c r="F236" s="23" t="s">
        <v>357</v>
      </c>
      <c r="G236" s="6" t="s">
        <v>368</v>
      </c>
      <c r="H236" s="25">
        <v>839000</v>
      </c>
      <c r="I236" s="6">
        <f t="shared" ca="1" si="16"/>
        <v>26</v>
      </c>
      <c r="J236" s="13" t="str">
        <f t="shared" ca="1" si="19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367</v>
      </c>
      <c r="F237" s="23" t="s">
        <v>358</v>
      </c>
      <c r="G237" s="6" t="s">
        <v>368</v>
      </c>
      <c r="H237" s="25">
        <v>1507200</v>
      </c>
      <c r="I237" s="6">
        <f t="shared" ca="1" si="16"/>
        <v>26</v>
      </c>
      <c r="J237" s="13" t="str">
        <f t="shared" ca="1" si="19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219</v>
      </c>
      <c r="F238" s="23" t="s">
        <v>359</v>
      </c>
      <c r="G238" s="6" t="s">
        <v>368</v>
      </c>
      <c r="H238" s="25">
        <v>585000</v>
      </c>
      <c r="I238" s="6">
        <f t="shared" ca="1" si="16"/>
        <v>26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221</v>
      </c>
      <c r="F239" s="23" t="s">
        <v>352</v>
      </c>
      <c r="G239" s="6" t="s">
        <v>368</v>
      </c>
      <c r="H239" s="25">
        <v>615000</v>
      </c>
      <c r="I239" s="6">
        <f t="shared" ca="1" si="16"/>
        <v>26</v>
      </c>
      <c r="J239" s="13" t="str">
        <f t="shared" ca="1" si="19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219</v>
      </c>
      <c r="F240" s="23" t="s">
        <v>360</v>
      </c>
      <c r="G240" s="6" t="s">
        <v>368</v>
      </c>
      <c r="H240" s="25">
        <v>44793500</v>
      </c>
      <c r="I240" s="6">
        <f t="shared" ca="1" si="16"/>
        <v>26</v>
      </c>
      <c r="J240" s="13" t="str">
        <f t="shared" ca="1" si="19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39</v>
      </c>
      <c r="F241" s="23" t="s">
        <v>361</v>
      </c>
      <c r="G241" s="6" t="s">
        <v>368</v>
      </c>
      <c r="H241" s="25">
        <v>602300</v>
      </c>
      <c r="I241" s="6">
        <f t="shared" ca="1" si="16"/>
        <v>12</v>
      </c>
      <c r="J241" s="13" t="str">
        <f t="shared" ca="1" si="19"/>
        <v>정상</v>
      </c>
      <c r="K241" s="11"/>
      <c r="L241" s="11">
        <v>46112</v>
      </c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218</v>
      </c>
      <c r="F242" s="23" t="s">
        <v>362</v>
      </c>
      <c r="G242" s="6" t="s">
        <v>368</v>
      </c>
      <c r="H242" s="25">
        <v>1180000</v>
      </c>
      <c r="I242" s="6">
        <f t="shared" ca="1" si="16"/>
        <v>26</v>
      </c>
      <c r="J242" s="13" t="str">
        <f t="shared" ca="1" si="19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333</v>
      </c>
      <c r="F243" s="23" t="s">
        <v>363</v>
      </c>
      <c r="G243" s="6" t="s">
        <v>368</v>
      </c>
      <c r="H243" s="25">
        <v>3300000</v>
      </c>
      <c r="I243" s="6">
        <f t="shared" ca="1" si="16"/>
        <v>26</v>
      </c>
      <c r="J243" s="13" t="str">
        <f t="shared" ca="1" si="19"/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46100</v>
      </c>
      <c r="D244" s="10" t="str">
        <f t="shared" si="18"/>
        <v>B</v>
      </c>
      <c r="E244" s="23" t="s">
        <v>218</v>
      </c>
      <c r="F244" s="23" t="s">
        <v>364</v>
      </c>
      <c r="G244" s="6" t="s">
        <v>368</v>
      </c>
      <c r="H244" s="25">
        <v>1548500</v>
      </c>
      <c r="I244" s="6">
        <f t="shared" ca="1" si="16"/>
        <v>26</v>
      </c>
      <c r="J244" s="13" t="str">
        <f t="shared" ca="1" si="19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243</v>
      </c>
      <c r="E245" s="6" t="s">
        <v>370</v>
      </c>
      <c r="F245" s="6" t="s">
        <v>369</v>
      </c>
      <c r="G245" s="6" t="s">
        <v>377</v>
      </c>
      <c r="H245" s="4">
        <v>10716800</v>
      </c>
      <c r="I245" s="6">
        <f t="shared" ca="1" si="16"/>
        <v>12</v>
      </c>
      <c r="J245" s="13" t="str">
        <f t="shared" ca="1" si="19"/>
        <v>정상</v>
      </c>
      <c r="K245" s="11"/>
      <c r="L245" s="11">
        <v>46113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374</v>
      </c>
      <c r="F246" s="6" t="s">
        <v>371</v>
      </c>
      <c r="G246" s="6" t="s">
        <v>233</v>
      </c>
      <c r="H246" s="4">
        <v>9029600</v>
      </c>
      <c r="I246" s="6">
        <f t="shared" ca="1" si="16"/>
        <v>13</v>
      </c>
      <c r="J246" s="13" t="str">
        <f t="shared" ca="1" si="19"/>
        <v>정상</v>
      </c>
      <c r="K246" s="11"/>
      <c r="L246" s="11">
        <v>46114</v>
      </c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375</v>
      </c>
      <c r="F247" s="6" t="s">
        <v>372</v>
      </c>
      <c r="G247" s="6" t="s">
        <v>233</v>
      </c>
      <c r="H247" s="4">
        <v>6484400</v>
      </c>
      <c r="I247" s="6">
        <f t="shared" ca="1" si="16"/>
        <v>25</v>
      </c>
      <c r="J247" s="13" t="str">
        <f t="shared" ca="1" si="19"/>
        <v>관리</v>
      </c>
      <c r="K247" s="11">
        <v>46127</v>
      </c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9">
        <v>46101</v>
      </c>
      <c r="D248" s="10" t="s">
        <v>243</v>
      </c>
      <c r="E248" s="6" t="s">
        <v>376</v>
      </c>
      <c r="F248" s="6" t="s">
        <v>373</v>
      </c>
      <c r="G248" s="6" t="s">
        <v>233</v>
      </c>
      <c r="H248" s="4">
        <v>52857300</v>
      </c>
      <c r="I248" s="6">
        <f t="shared" ca="1" si="16"/>
        <v>11</v>
      </c>
      <c r="J248" s="13" t="str">
        <f t="shared" ca="1" si="19"/>
        <v>정상</v>
      </c>
      <c r="K248" s="11"/>
      <c r="L248" s="11">
        <v>46112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383</v>
      </c>
      <c r="F249" s="23" t="s">
        <v>378</v>
      </c>
      <c r="G249" s="6" t="s">
        <v>385</v>
      </c>
      <c r="H249" s="25">
        <v>114000</v>
      </c>
      <c r="I249" s="6">
        <f t="shared" ca="1" si="16"/>
        <v>21</v>
      </c>
      <c r="J249" s="13" t="str">
        <f t="shared" ca="1" si="19"/>
        <v>정상</v>
      </c>
      <c r="K249" s="11"/>
      <c r="L249" s="11">
        <v>46122</v>
      </c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24</v>
      </c>
      <c r="F250" s="23" t="s">
        <v>379</v>
      </c>
      <c r="G250" s="6" t="s">
        <v>385</v>
      </c>
      <c r="H250" s="25">
        <v>9563000</v>
      </c>
      <c r="I250" s="6">
        <f t="shared" ca="1" si="16"/>
        <v>25</v>
      </c>
      <c r="J250" s="13" t="str">
        <f t="shared" ca="1" si="19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100</v>
      </c>
      <c r="F251" s="23" t="s">
        <v>380</v>
      </c>
      <c r="G251" s="6" t="s">
        <v>385</v>
      </c>
      <c r="H251" s="25">
        <v>2270000</v>
      </c>
      <c r="I251" s="6">
        <f t="shared" ca="1" si="16"/>
        <v>25</v>
      </c>
      <c r="J251" s="13" t="str">
        <f t="shared" ca="1" si="19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384</v>
      </c>
      <c r="F252" s="23" t="s">
        <v>381</v>
      </c>
      <c r="G252" s="6" t="s">
        <v>385</v>
      </c>
      <c r="H252" s="25">
        <v>121500</v>
      </c>
      <c r="I252" s="6">
        <f t="shared" ca="1" si="16"/>
        <v>0</v>
      </c>
      <c r="J252" s="13" t="str">
        <f t="shared" ca="1" si="19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0">
        <v>46101</v>
      </c>
      <c r="D253" s="10" t="s">
        <v>178</v>
      </c>
      <c r="E253" s="23" t="s">
        <v>122</v>
      </c>
      <c r="F253" s="23" t="s">
        <v>382</v>
      </c>
      <c r="G253" s="6" t="s">
        <v>385</v>
      </c>
      <c r="H253" s="25">
        <v>658000</v>
      </c>
      <c r="I253" s="6">
        <f t="shared" ca="1" si="16"/>
        <v>21</v>
      </c>
      <c r="J253" s="13" t="str">
        <f t="shared" ca="1" si="19"/>
        <v>정상</v>
      </c>
      <c r="K253" s="11"/>
      <c r="L253" s="11">
        <v>46122</v>
      </c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387</v>
      </c>
      <c r="F254" s="6" t="s">
        <v>386</v>
      </c>
      <c r="G254" s="6" t="s">
        <v>230</v>
      </c>
      <c r="H254" s="4">
        <v>23835400</v>
      </c>
      <c r="I254" s="6">
        <f t="shared" ca="1" si="16"/>
        <v>22</v>
      </c>
      <c r="J254" s="13" t="str">
        <f t="shared" ca="1" si="19"/>
        <v>정상</v>
      </c>
      <c r="K254" s="11"/>
      <c r="L254" s="11"/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46104</v>
      </c>
      <c r="D255" s="10" t="s">
        <v>243</v>
      </c>
      <c r="E255" s="6" t="s">
        <v>389</v>
      </c>
      <c r="F255" s="6" t="s">
        <v>388</v>
      </c>
      <c r="G255" s="6" t="s">
        <v>230</v>
      </c>
      <c r="H255" s="4">
        <v>8708400</v>
      </c>
      <c r="I255" s="6">
        <f t="shared" ref="I255:I317" ca="1" si="20">IF(C255="","",IF(L255="",TODAY()-C255,L255-C255))</f>
        <v>22</v>
      </c>
      <c r="J255" s="13" t="str">
        <f t="shared" ref="J255:J286" ca="1" si="21">IF(I255="","",
 IF(G255="선급금",
   IF(I255&lt;=20,"정상",IF(I255&lt;=90,"관리","장기미수")),
 IF(G255="자재",
   IF(I255&lt;=40,"정상",IF(I255&lt;=90,"관리","장기미수")),
   IF(I255&lt;=30,"정상",IF(I255&lt;=90,"관리","장기미수"))
  )
 )
)</f>
        <v>정상</v>
      </c>
      <c r="K255" s="11">
        <v>46127</v>
      </c>
      <c r="L255" s="11"/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393</v>
      </c>
      <c r="F256" s="6" t="s">
        <v>390</v>
      </c>
      <c r="G256" s="6" t="s">
        <v>227</v>
      </c>
      <c r="H256" s="4">
        <v>8559000</v>
      </c>
      <c r="I256" s="6">
        <f t="shared" ca="1" si="20"/>
        <v>2</v>
      </c>
      <c r="J256" s="13" t="str">
        <f t="shared" ca="1" si="21"/>
        <v>정상</v>
      </c>
      <c r="K256" s="11"/>
      <c r="L256" s="11">
        <v>46107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39">
        <v>46105</v>
      </c>
      <c r="D257" s="10" t="str">
        <f t="shared" si="18"/>
        <v>A</v>
      </c>
      <c r="E257" s="6" t="s">
        <v>394</v>
      </c>
      <c r="F257" s="6" t="s">
        <v>391</v>
      </c>
      <c r="G257" s="6" t="s">
        <v>392</v>
      </c>
      <c r="H257" s="4">
        <v>3281000</v>
      </c>
      <c r="I257" s="6">
        <f t="shared" ca="1" si="20"/>
        <v>21</v>
      </c>
      <c r="J257" s="13" t="str">
        <f t="shared" ca="1" si="21"/>
        <v>관리</v>
      </c>
      <c r="K257" s="11">
        <v>46127</v>
      </c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218</v>
      </c>
      <c r="F258" s="23" t="s">
        <v>397</v>
      </c>
      <c r="G258" s="6" t="s">
        <v>416</v>
      </c>
      <c r="H258" s="4">
        <v>4290000</v>
      </c>
      <c r="I258" s="6">
        <f t="shared" ca="1" si="20"/>
        <v>22</v>
      </c>
      <c r="J258" s="13" t="str">
        <f t="shared" ca="1" si="21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530</v>
      </c>
      <c r="F259" s="23" t="s">
        <v>398</v>
      </c>
      <c r="G259" s="6" t="s">
        <v>416</v>
      </c>
      <c r="H259" s="4">
        <v>8800000</v>
      </c>
      <c r="I259" s="6">
        <f t="shared" ca="1" si="20"/>
        <v>2</v>
      </c>
      <c r="J259" s="13" t="str">
        <f t="shared" ca="1" si="21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26</v>
      </c>
      <c r="F260" s="23" t="s">
        <v>399</v>
      </c>
      <c r="G260" s="6" t="s">
        <v>416</v>
      </c>
      <c r="H260" s="4">
        <v>465000</v>
      </c>
      <c r="I260" s="6">
        <f t="shared" ca="1" si="20"/>
        <v>22</v>
      </c>
      <c r="J260" s="13" t="str">
        <f t="shared" ca="1" si="21"/>
        <v>정상</v>
      </c>
      <c r="K260" s="11"/>
      <c r="L260" s="11"/>
      <c r="M260" s="10"/>
      <c r="N260" s="10" t="s">
        <v>33</v>
      </c>
      <c r="P260" s="6" t="s">
        <v>80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126</v>
      </c>
      <c r="F261" s="23" t="s">
        <v>400</v>
      </c>
      <c r="G261" s="6" t="s">
        <v>416</v>
      </c>
      <c r="H261" s="4">
        <v>5765500</v>
      </c>
      <c r="I261" s="6">
        <f t="shared" ca="1" si="20"/>
        <v>22</v>
      </c>
      <c r="J261" s="13" t="str">
        <f t="shared" ca="1" si="21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120</v>
      </c>
      <c r="F262" s="23" t="s">
        <v>401</v>
      </c>
      <c r="G262" s="6" t="s">
        <v>416</v>
      </c>
      <c r="H262" s="4">
        <v>222000</v>
      </c>
      <c r="I262" s="6">
        <f t="shared" ca="1" si="20"/>
        <v>11</v>
      </c>
      <c r="J262" s="13" t="str">
        <f t="shared" ca="1" si="21"/>
        <v>정상</v>
      </c>
      <c r="K262" s="11"/>
      <c r="L262" s="11">
        <v>46115</v>
      </c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207</v>
      </c>
      <c r="F263" s="23" t="s">
        <v>402</v>
      </c>
      <c r="G263" s="6" t="s">
        <v>416</v>
      </c>
      <c r="H263" s="4">
        <v>1866000</v>
      </c>
      <c r="I263" s="6">
        <f t="shared" ca="1" si="20"/>
        <v>22</v>
      </c>
      <c r="J263" s="13" t="str">
        <f t="shared" ca="1" si="21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179</v>
      </c>
      <c r="F264" s="23" t="s">
        <v>403</v>
      </c>
      <c r="G264" s="6" t="s">
        <v>416</v>
      </c>
      <c r="H264" s="4">
        <v>798500</v>
      </c>
      <c r="I264" s="6">
        <f t="shared" ca="1" si="20"/>
        <v>18</v>
      </c>
      <c r="J264" s="13" t="str">
        <f t="shared" ca="1" si="21"/>
        <v>정상</v>
      </c>
      <c r="K264" s="11"/>
      <c r="L264" s="11">
        <v>46122</v>
      </c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395</v>
      </c>
      <c r="F265" s="23" t="s">
        <v>404</v>
      </c>
      <c r="G265" s="6" t="s">
        <v>416</v>
      </c>
      <c r="H265" s="4">
        <v>5442500</v>
      </c>
      <c r="I265" s="6">
        <f t="shared" ca="1" si="20"/>
        <v>18</v>
      </c>
      <c r="J265" s="13" t="str">
        <f t="shared" ca="1" si="21"/>
        <v>정상</v>
      </c>
      <c r="K265" s="11"/>
      <c r="L265" s="11">
        <v>46122</v>
      </c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208</v>
      </c>
      <c r="F266" s="23" t="s">
        <v>405</v>
      </c>
      <c r="G266" s="6" t="s">
        <v>416</v>
      </c>
      <c r="H266" s="4">
        <v>2969500</v>
      </c>
      <c r="I266" s="6">
        <f t="shared" ca="1" si="20"/>
        <v>22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si="18"/>
        <v>B</v>
      </c>
      <c r="E267" s="6" t="s">
        <v>195</v>
      </c>
      <c r="F267" s="23" t="s">
        <v>406</v>
      </c>
      <c r="G267" s="6" t="s">
        <v>416</v>
      </c>
      <c r="H267" s="4">
        <v>10451300</v>
      </c>
      <c r="I267" s="6">
        <f t="shared" ca="1" si="20"/>
        <v>22</v>
      </c>
      <c r="J267" s="13" t="str">
        <f t="shared" ca="1" si="21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46104</v>
      </c>
      <c r="D268" s="10" t="str">
        <f t="shared" ref="D268:D308" si="22">IF(G268="","",IF(OR(G268="선급금",G268="중도금",G268="잔금"),"A",IF(G268="자재","B",IF(G268="특허료","C",""))))</f>
        <v>B</v>
      </c>
      <c r="E268" s="6" t="s">
        <v>108</v>
      </c>
      <c r="F268" s="23" t="s">
        <v>407</v>
      </c>
      <c r="G268" s="6" t="s">
        <v>416</v>
      </c>
      <c r="H268" s="4">
        <v>2250000</v>
      </c>
      <c r="I268" s="6">
        <f t="shared" ca="1" si="20"/>
        <v>22</v>
      </c>
      <c r="J268" s="13" t="str">
        <f t="shared" ca="1" si="21"/>
        <v>정상</v>
      </c>
      <c r="K268" s="11">
        <v>46172</v>
      </c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408</v>
      </c>
      <c r="G269" s="6" t="s">
        <v>416</v>
      </c>
      <c r="H269" s="4">
        <v>2711000</v>
      </c>
      <c r="I269" s="6">
        <f t="shared" ca="1" si="20"/>
        <v>21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126</v>
      </c>
      <c r="F270" s="23" t="s">
        <v>409</v>
      </c>
      <c r="G270" s="6" t="s">
        <v>416</v>
      </c>
      <c r="H270" s="4">
        <v>10539000</v>
      </c>
      <c r="I270" s="6">
        <f t="shared" ca="1" si="20"/>
        <v>21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396</v>
      </c>
      <c r="F271" s="23" t="s">
        <v>410</v>
      </c>
      <c r="G271" s="6" t="s">
        <v>416</v>
      </c>
      <c r="H271" s="4">
        <v>1021000</v>
      </c>
      <c r="I271" s="6">
        <f t="shared" ca="1" si="20"/>
        <v>21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98</v>
      </c>
      <c r="F272" s="23" t="s">
        <v>411</v>
      </c>
      <c r="G272" s="6" t="s">
        <v>416</v>
      </c>
      <c r="H272" s="4">
        <v>427800</v>
      </c>
      <c r="I272" s="6">
        <f t="shared" ca="1" si="20"/>
        <v>21</v>
      </c>
      <c r="J272" s="13" t="str">
        <f t="shared" ca="1" si="21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218</v>
      </c>
      <c r="F273" s="23" t="s">
        <v>412</v>
      </c>
      <c r="G273" s="6" t="s">
        <v>416</v>
      </c>
      <c r="H273" s="4">
        <v>1180000</v>
      </c>
      <c r="I273" s="6">
        <f t="shared" ca="1" si="20"/>
        <v>21</v>
      </c>
      <c r="J273" s="13" t="str">
        <f t="shared" ca="1" si="21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208</v>
      </c>
      <c r="F274" s="23" t="s">
        <v>413</v>
      </c>
      <c r="G274" s="6" t="s">
        <v>416</v>
      </c>
      <c r="H274" s="4">
        <v>4520000</v>
      </c>
      <c r="I274" s="6">
        <f t="shared" ca="1" si="20"/>
        <v>21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126</v>
      </c>
      <c r="F275" s="23" t="s">
        <v>414</v>
      </c>
      <c r="G275" s="6" t="s">
        <v>416</v>
      </c>
      <c r="H275" s="4">
        <v>157000</v>
      </c>
      <c r="I275" s="6">
        <f t="shared" ca="1" si="20"/>
        <v>21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46105</v>
      </c>
      <c r="D276" s="10" t="str">
        <f t="shared" si="22"/>
        <v>B</v>
      </c>
      <c r="E276" s="6" t="s">
        <v>222</v>
      </c>
      <c r="F276" s="23" t="s">
        <v>415</v>
      </c>
      <c r="G276" s="6" t="s">
        <v>416</v>
      </c>
      <c r="H276" s="4">
        <v>2380000</v>
      </c>
      <c r="I276" s="6">
        <f t="shared" ca="1" si="20"/>
        <v>21</v>
      </c>
      <c r="J276" s="13" t="str">
        <f t="shared" ca="1" si="21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46106</v>
      </c>
      <c r="D277" s="10" t="s">
        <v>243</v>
      </c>
      <c r="E277" s="6" t="s">
        <v>421</v>
      </c>
      <c r="F277" s="6" t="s">
        <v>420</v>
      </c>
      <c r="G277" s="6" t="s">
        <v>422</v>
      </c>
      <c r="H277" s="4">
        <v>8080000</v>
      </c>
      <c r="I277" s="6">
        <f t="shared" ca="1" si="20"/>
        <v>7</v>
      </c>
      <c r="J277" s="13" t="str">
        <f t="shared" ca="1" si="21"/>
        <v>정상</v>
      </c>
      <c r="K277" s="11"/>
      <c r="L277" s="11">
        <v>46113</v>
      </c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46107</v>
      </c>
      <c r="D278" s="10" t="s">
        <v>243</v>
      </c>
      <c r="E278" s="6" t="s">
        <v>423</v>
      </c>
      <c r="F278" s="6" t="s">
        <v>424</v>
      </c>
      <c r="G278" s="6" t="s">
        <v>422</v>
      </c>
      <c r="H278" s="4">
        <v>2878800</v>
      </c>
      <c r="I278" s="6">
        <f t="shared" ca="1" si="20"/>
        <v>19</v>
      </c>
      <c r="J278" s="13" t="str">
        <f t="shared" ca="1" si="21"/>
        <v>정상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206</v>
      </c>
      <c r="F279" s="6" t="s">
        <v>211</v>
      </c>
      <c r="G279" s="6" t="s">
        <v>435</v>
      </c>
      <c r="H279" s="4">
        <v>350000</v>
      </c>
      <c r="I279" s="6">
        <f t="shared" ca="1" si="20"/>
        <v>0</v>
      </c>
      <c r="J279" s="13" t="str">
        <f t="shared" ca="1" si="21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126</v>
      </c>
      <c r="F280" s="6" t="s">
        <v>425</v>
      </c>
      <c r="G280" s="6" t="s">
        <v>435</v>
      </c>
      <c r="H280" s="4">
        <v>4748300</v>
      </c>
      <c r="I280" s="6">
        <f t="shared" ca="1" si="20"/>
        <v>20</v>
      </c>
      <c r="J280" s="13" t="str">
        <f t="shared" ca="1" si="21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105</v>
      </c>
      <c r="F281" s="6" t="s">
        <v>426</v>
      </c>
      <c r="G281" s="6" t="s">
        <v>435</v>
      </c>
      <c r="H281" s="4">
        <v>396000</v>
      </c>
      <c r="I281" s="6">
        <f t="shared" ca="1" si="20"/>
        <v>6</v>
      </c>
      <c r="J281" s="13" t="str">
        <f t="shared" ca="1" si="21"/>
        <v>정상</v>
      </c>
      <c r="K281" s="11"/>
      <c r="L281" s="11">
        <v>46112</v>
      </c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126</v>
      </c>
      <c r="F282" s="6" t="s">
        <v>427</v>
      </c>
      <c r="G282" s="6" t="s">
        <v>435</v>
      </c>
      <c r="H282" s="4">
        <v>1414500</v>
      </c>
      <c r="I282" s="6">
        <f t="shared" ca="1" si="20"/>
        <v>20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249</v>
      </c>
      <c r="F283" s="6" t="s">
        <v>428</v>
      </c>
      <c r="G283" s="6" t="s">
        <v>435</v>
      </c>
      <c r="H283" s="4">
        <v>936000</v>
      </c>
      <c r="I283" s="6">
        <f t="shared" ca="1" si="20"/>
        <v>20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429</v>
      </c>
      <c r="G284" s="6" t="s">
        <v>435</v>
      </c>
      <c r="H284" s="4">
        <v>8336500</v>
      </c>
      <c r="I284" s="6">
        <f t="shared" ca="1" si="20"/>
        <v>20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126</v>
      </c>
      <c r="F285" s="6" t="s">
        <v>430</v>
      </c>
      <c r="G285" s="6" t="s">
        <v>435</v>
      </c>
      <c r="H285" s="4">
        <v>555000</v>
      </c>
      <c r="I285" s="6">
        <f t="shared" ca="1" si="20"/>
        <v>20</v>
      </c>
      <c r="J285" s="13" t="str">
        <f t="shared" ca="1" si="21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207</v>
      </c>
      <c r="F286" s="6" t="s">
        <v>431</v>
      </c>
      <c r="G286" s="6" t="s">
        <v>435</v>
      </c>
      <c r="H286" s="4">
        <v>508400</v>
      </c>
      <c r="I286" s="6">
        <f t="shared" ca="1" si="20"/>
        <v>20</v>
      </c>
      <c r="J286" s="13" t="str">
        <f t="shared" ca="1" si="21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434</v>
      </c>
      <c r="F287" s="6" t="s">
        <v>432</v>
      </c>
      <c r="G287" s="6" t="s">
        <v>435</v>
      </c>
      <c r="H287" s="4">
        <v>6771000</v>
      </c>
      <c r="I287" s="6">
        <f t="shared" ca="1" si="20"/>
        <v>20</v>
      </c>
      <c r="J287" s="13" t="str">
        <f t="shared" ref="J287:J349" ca="1" si="23">IF(I287="","",
 IF(G287="선급금",
   IF(I287&lt;=20,"정상",IF(I287&lt;=90,"관리","장기미수")),
 IF(G287="자재",
   IF(I287&lt;=40,"정상",IF(I287&lt;=90,"관리","장기미수")),
   IF(I287&lt;=30,"정상",IF(I287&lt;=90,"관리","장기미수"))
  )
 )
)</f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178</v>
      </c>
      <c r="E288" s="6" t="s">
        <v>24</v>
      </c>
      <c r="F288" s="6" t="s">
        <v>433</v>
      </c>
      <c r="G288" s="6" t="s">
        <v>435</v>
      </c>
      <c r="H288" s="4">
        <v>2997000</v>
      </c>
      <c r="I288" s="6">
        <f t="shared" ca="1" si="20"/>
        <v>20</v>
      </c>
      <c r="J288" s="13" t="str">
        <f t="shared" ca="1" si="23"/>
        <v>정상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>
        <v>46106</v>
      </c>
      <c r="D289" s="10" t="s">
        <v>437</v>
      </c>
      <c r="E289" s="6" t="s">
        <v>234</v>
      </c>
      <c r="F289" s="6" t="s">
        <v>232</v>
      </c>
      <c r="G289" s="6" t="s">
        <v>438</v>
      </c>
      <c r="H289" s="4">
        <v>30186600</v>
      </c>
      <c r="I289" s="6">
        <f t="shared" ca="1" si="20"/>
        <v>20</v>
      </c>
      <c r="J289" s="13" t="str">
        <f t="shared" ca="1" si="23"/>
        <v>정상</v>
      </c>
      <c r="K289" s="11"/>
      <c r="L289" s="11"/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219</v>
      </c>
      <c r="F290" s="23" t="s">
        <v>439</v>
      </c>
      <c r="G290" s="6" t="s">
        <v>458</v>
      </c>
      <c r="H290" s="25">
        <v>111000</v>
      </c>
      <c r="I290" s="6">
        <f t="shared" ca="1" si="20"/>
        <v>19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221</v>
      </c>
      <c r="F291" s="23" t="s">
        <v>440</v>
      </c>
      <c r="G291" s="6" t="s">
        <v>458</v>
      </c>
      <c r="H291" s="25">
        <v>1135000</v>
      </c>
      <c r="I291" s="6">
        <f t="shared" ca="1" si="20"/>
        <v>19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249</v>
      </c>
      <c r="F292" s="23" t="s">
        <v>441</v>
      </c>
      <c r="G292" s="6" t="s">
        <v>458</v>
      </c>
      <c r="H292" s="25">
        <v>14380000</v>
      </c>
      <c r="I292" s="6">
        <f t="shared" ca="1" si="20"/>
        <v>19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221</v>
      </c>
      <c r="F293" s="23" t="s">
        <v>440</v>
      </c>
      <c r="G293" s="6" t="s">
        <v>458</v>
      </c>
      <c r="H293" s="25">
        <v>4175400</v>
      </c>
      <c r="I293" s="6">
        <f t="shared" ca="1" si="20"/>
        <v>19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209</v>
      </c>
      <c r="F294" s="23" t="s">
        <v>442</v>
      </c>
      <c r="G294" s="6" t="s">
        <v>458</v>
      </c>
      <c r="H294" s="25">
        <v>5473000</v>
      </c>
      <c r="I294" s="6">
        <f t="shared" ca="1" si="20"/>
        <v>19</v>
      </c>
      <c r="J294" s="13" t="str">
        <f t="shared" ca="1" si="23"/>
        <v>정상</v>
      </c>
      <c r="K294" s="11"/>
      <c r="L294" s="11"/>
      <c r="M294" s="10"/>
      <c r="N294" s="10" t="s">
        <v>33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24</v>
      </c>
      <c r="F295" s="23" t="s">
        <v>443</v>
      </c>
      <c r="G295" s="6" t="s">
        <v>458</v>
      </c>
      <c r="H295" s="25">
        <v>52914000</v>
      </c>
      <c r="I295" s="6">
        <f t="shared" ca="1" si="20"/>
        <v>19</v>
      </c>
      <c r="J295" s="13" t="str">
        <f t="shared" ca="1" si="23"/>
        <v>정상</v>
      </c>
      <c r="K295" s="11"/>
      <c r="L295" s="11"/>
      <c r="M295" s="10"/>
      <c r="N295" s="10" t="s">
        <v>20</v>
      </c>
      <c r="O295" s="6" t="s">
        <v>58</v>
      </c>
      <c r="P295" s="6" t="s">
        <v>153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69</v>
      </c>
      <c r="F296" s="23" t="s">
        <v>444</v>
      </c>
      <c r="G296" s="6" t="s">
        <v>458</v>
      </c>
      <c r="H296" s="25">
        <v>427500</v>
      </c>
      <c r="I296" s="6">
        <f t="shared" ca="1" si="20"/>
        <v>19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195</v>
      </c>
      <c r="F297" s="23" t="s">
        <v>445</v>
      </c>
      <c r="G297" s="6" t="s">
        <v>458</v>
      </c>
      <c r="H297" s="25">
        <v>5032500</v>
      </c>
      <c r="I297" s="6">
        <f t="shared" ca="1" si="20"/>
        <v>19</v>
      </c>
      <c r="J297" s="13" t="str">
        <f t="shared" ca="1" si="23"/>
        <v>정상</v>
      </c>
      <c r="K297" s="11"/>
      <c r="L297" s="11"/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56</v>
      </c>
      <c r="F298" s="23" t="s">
        <v>446</v>
      </c>
      <c r="G298" s="6" t="s">
        <v>458</v>
      </c>
      <c r="H298" s="25">
        <v>987000</v>
      </c>
      <c r="I298" s="6">
        <f t="shared" ca="1" si="20"/>
        <v>0</v>
      </c>
      <c r="J298" s="13" t="str">
        <f t="shared" ca="1" si="23"/>
        <v>정상</v>
      </c>
      <c r="K298" s="11"/>
      <c r="L298" s="11">
        <v>46107</v>
      </c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459</v>
      </c>
      <c r="F299" s="23" t="s">
        <v>447</v>
      </c>
      <c r="G299" s="6" t="s">
        <v>458</v>
      </c>
      <c r="H299" s="25">
        <v>2884600</v>
      </c>
      <c r="I299" s="6">
        <f t="shared" ca="1" si="20"/>
        <v>19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98</v>
      </c>
      <c r="F300" s="23" t="s">
        <v>448</v>
      </c>
      <c r="G300" s="6" t="s">
        <v>458</v>
      </c>
      <c r="H300" s="25">
        <v>180000</v>
      </c>
      <c r="I300" s="6">
        <f t="shared" ca="1" si="20"/>
        <v>19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126</v>
      </c>
      <c r="F301" s="23" t="s">
        <v>449</v>
      </c>
      <c r="G301" s="6" t="s">
        <v>458</v>
      </c>
      <c r="H301" s="25">
        <v>24591000</v>
      </c>
      <c r="I301" s="6">
        <f t="shared" ca="1" si="20"/>
        <v>19</v>
      </c>
      <c r="J301" s="13" t="str">
        <f t="shared" ca="1" si="23"/>
        <v>정상</v>
      </c>
      <c r="K301" s="11"/>
      <c r="L301" s="11"/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208</v>
      </c>
      <c r="F302" s="23" t="s">
        <v>450</v>
      </c>
      <c r="G302" s="6" t="s">
        <v>458</v>
      </c>
      <c r="H302" s="25">
        <v>3390000</v>
      </c>
      <c r="I302" s="6">
        <f t="shared" ca="1" si="20"/>
        <v>19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464</v>
      </c>
      <c r="D303" s="10" t="str">
        <f t="shared" si="22"/>
        <v>B</v>
      </c>
      <c r="E303" s="6" t="s">
        <v>222</v>
      </c>
      <c r="F303" s="23" t="s">
        <v>451</v>
      </c>
      <c r="G303" s="6" t="s">
        <v>458</v>
      </c>
      <c r="H303" s="25">
        <v>4637500</v>
      </c>
      <c r="I303" s="6">
        <f t="shared" ca="1" si="20"/>
        <v>19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81</v>
      </c>
      <c r="F304" s="23" t="s">
        <v>452</v>
      </c>
      <c r="G304" s="6" t="s">
        <v>458</v>
      </c>
      <c r="H304" s="25">
        <v>121500</v>
      </c>
      <c r="I304" s="6">
        <f t="shared" ca="1" si="20"/>
        <v>18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460</v>
      </c>
      <c r="F305" s="23" t="s">
        <v>453</v>
      </c>
      <c r="G305" s="6" t="s">
        <v>458</v>
      </c>
      <c r="H305" s="25">
        <v>13647200</v>
      </c>
      <c r="I305" s="6">
        <f t="shared" ca="1" si="20"/>
        <v>18</v>
      </c>
      <c r="J305" s="13" t="str">
        <f t="shared" ca="1" si="23"/>
        <v>정상</v>
      </c>
      <c r="K305" s="11"/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1810000</v>
      </c>
      <c r="I306" s="6">
        <f t="shared" ca="1" si="20"/>
        <v>18</v>
      </c>
      <c r="J306" s="13" t="str">
        <f t="shared" ca="1" si="23"/>
        <v>정상</v>
      </c>
      <c r="K306" s="11">
        <v>46172</v>
      </c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108</v>
      </c>
      <c r="F307" s="23" t="s">
        <v>454</v>
      </c>
      <c r="G307" s="6" t="s">
        <v>458</v>
      </c>
      <c r="H307" s="25">
        <v>33000000</v>
      </c>
      <c r="I307" s="6">
        <f t="shared" ca="1" si="20"/>
        <v>18</v>
      </c>
      <c r="J307" s="13" t="str">
        <f t="shared" ca="1" si="23"/>
        <v>정상</v>
      </c>
      <c r="K307" s="11">
        <v>46172</v>
      </c>
      <c r="L307" s="11"/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465</v>
      </c>
      <c r="D308" s="10" t="str">
        <f t="shared" si="22"/>
        <v>B</v>
      </c>
      <c r="E308" s="6" t="s">
        <v>461</v>
      </c>
      <c r="F308" s="23" t="s">
        <v>455</v>
      </c>
      <c r="G308" s="6" t="s">
        <v>458</v>
      </c>
      <c r="H308" s="25">
        <v>548000</v>
      </c>
      <c r="I308" s="6">
        <f t="shared" ca="1" si="20"/>
        <v>18</v>
      </c>
      <c r="J308" s="13" t="str">
        <f t="shared" ca="1" si="23"/>
        <v>정상</v>
      </c>
      <c r="K308" s="11"/>
      <c r="L308" s="11"/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466</v>
      </c>
      <c r="D309" s="10" t="str">
        <f>IF(G310="","",IF(OR(G310="선급금",G310="중도금",G310="잔금"),"A",IF(G310="자재","B",IF(G310="특허료","C",""))))</f>
        <v>B</v>
      </c>
      <c r="E309" s="6" t="s">
        <v>462</v>
      </c>
      <c r="F309" s="23" t="s">
        <v>456</v>
      </c>
      <c r="G309" s="6" t="s">
        <v>458</v>
      </c>
      <c r="H309" s="25">
        <v>216000</v>
      </c>
      <c r="I309" s="6">
        <f t="shared" ca="1" si="20"/>
        <v>0</v>
      </c>
      <c r="J309" s="13" t="str">
        <f t="shared" ca="1" si="23"/>
        <v>정상</v>
      </c>
      <c r="K309" s="11"/>
      <c r="L309" s="11">
        <v>46111</v>
      </c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 t="s">
        <v>466</v>
      </c>
      <c r="D310" s="10" t="s">
        <v>178</v>
      </c>
      <c r="E310" s="6" t="s">
        <v>463</v>
      </c>
      <c r="F310" s="23" t="s">
        <v>457</v>
      </c>
      <c r="G310" s="6" t="s">
        <v>458</v>
      </c>
      <c r="H310" s="25">
        <v>35839300</v>
      </c>
      <c r="I310" s="6">
        <f t="shared" ca="1" si="20"/>
        <v>15</v>
      </c>
      <c r="J310" s="13" t="str">
        <f t="shared" ca="1" si="23"/>
        <v>정상</v>
      </c>
      <c r="K310" s="11"/>
      <c r="L310" s="11"/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46111</v>
      </c>
      <c r="D311" s="10" t="s">
        <v>243</v>
      </c>
      <c r="E311" s="6" t="s">
        <v>469</v>
      </c>
      <c r="F311" s="6" t="s">
        <v>467</v>
      </c>
      <c r="G311" s="6" t="s">
        <v>468</v>
      </c>
      <c r="H311" s="4">
        <v>109031200</v>
      </c>
      <c r="I311" s="6">
        <f t="shared" ca="1" si="20"/>
        <v>15</v>
      </c>
      <c r="J311" s="13" t="str">
        <f t="shared" ca="1" si="23"/>
        <v>정상</v>
      </c>
      <c r="K311" s="11"/>
      <c r="L311" s="11"/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11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11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11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11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11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11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11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11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11</v>
      </c>
      <c r="J324" s="13" t="str">
        <f t="shared" ca="1" si="23"/>
        <v>정상</v>
      </c>
      <c r="K324" s="11"/>
      <c r="L324" s="11"/>
      <c r="M324" s="10"/>
      <c r="N324" s="10" t="s">
        <v>33</v>
      </c>
      <c r="Q324" s="11"/>
      <c r="R324" s="11"/>
      <c r="S324" s="10"/>
    </row>
    <row r="325" spans="2:19" s="6" customFormat="1" ht="16.5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11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11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11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11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11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11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11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11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11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8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8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8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8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8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4</v>
      </c>
      <c r="J340" s="13" t="str">
        <f t="shared" ca="1" si="23"/>
        <v>정상</v>
      </c>
      <c r="K340" s="11"/>
      <c r="L340" s="11">
        <v>46122</v>
      </c>
      <c r="M340" s="10"/>
      <c r="N340" s="10" t="s">
        <v>33</v>
      </c>
      <c r="Q340" s="11"/>
      <c r="R340" s="11"/>
      <c r="S340" s="10"/>
    </row>
    <row r="341" spans="2:19" s="6" customFormat="1" ht="16.5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8</v>
      </c>
      <c r="J341" s="13" t="str">
        <f t="shared" ca="1" si="23"/>
        <v>정상</v>
      </c>
      <c r="K341" s="11"/>
      <c r="L341" s="11"/>
      <c r="M341" s="10"/>
      <c r="N341" s="10" t="s">
        <v>33</v>
      </c>
      <c r="Q341" s="11"/>
      <c r="R341" s="11"/>
      <c r="S341" s="10"/>
    </row>
    <row r="342" spans="2:19" s="6" customFormat="1" ht="16.5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8</v>
      </c>
      <c r="J342" s="13" t="str">
        <f t="shared" ca="1" si="23"/>
        <v>정상</v>
      </c>
      <c r="K342" s="11"/>
      <c r="L342" s="11"/>
      <c r="M342" s="10"/>
      <c r="N342" s="10" t="s">
        <v>33</v>
      </c>
      <c r="Q342" s="11"/>
      <c r="R342" s="11"/>
      <c r="S342" s="10"/>
    </row>
    <row r="343" spans="2:19" s="6" customFormat="1" ht="16.5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8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8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8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8</v>
      </c>
      <c r="J347" s="13" t="str">
        <f t="shared" ca="1" si="23"/>
        <v>정상</v>
      </c>
      <c r="K347" s="11"/>
      <c r="L347" s="11"/>
      <c r="M347" s="10"/>
      <c r="N347" s="10" t="s">
        <v>33</v>
      </c>
      <c r="P347" s="6" t="s">
        <v>80</v>
      </c>
      <c r="Q347" s="11"/>
      <c r="R347" s="11"/>
      <c r="S347" s="10"/>
    </row>
    <row r="348" spans="2:19" s="6" customFormat="1" ht="16.5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8</v>
      </c>
      <c r="J348" s="13" t="str">
        <f t="shared" ca="1" si="23"/>
        <v>정상</v>
      </c>
      <c r="K348" s="11"/>
      <c r="L348" s="11"/>
      <c r="M348" s="10"/>
      <c r="N348" s="10" t="s">
        <v>33</v>
      </c>
      <c r="P348" s="6" t="s">
        <v>80</v>
      </c>
      <c r="Q348" s="11"/>
      <c r="R348" s="11"/>
      <c r="S348" s="10"/>
    </row>
    <row r="349" spans="2:19" s="6" customFormat="1" ht="16.5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8</v>
      </c>
      <c r="J349" s="13" t="str">
        <f t="shared" ca="1" si="23"/>
        <v>정상</v>
      </c>
      <c r="K349" s="11"/>
      <c r="L349" s="11"/>
      <c r="M349" s="10"/>
      <c r="N349" s="10" t="s">
        <v>33</v>
      </c>
      <c r="Q349" s="11"/>
      <c r="R349" s="11"/>
      <c r="S349" s="10"/>
    </row>
    <row r="350" spans="2:19" s="6" customFormat="1" ht="16.5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8</v>
      </c>
      <c r="J350" s="13" t="str">
        <f t="shared" ref="J350:J413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8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8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8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11</v>
      </c>
      <c r="J354" s="13" t="str">
        <f t="shared" ca="1" si="25"/>
        <v>정상</v>
      </c>
      <c r="K354" s="11"/>
      <c r="L354" s="11"/>
      <c r="M354" s="10"/>
      <c r="N354" s="10" t="s">
        <v>33</v>
      </c>
      <c r="Q354" s="11"/>
      <c r="R354" s="11"/>
      <c r="S354" s="10"/>
    </row>
    <row r="355" spans="2:19" s="6" customFormat="1" ht="16.5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8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13</v>
      </c>
      <c r="J356" s="13" t="str">
        <f t="shared" ca="1" si="25"/>
        <v>정상</v>
      </c>
      <c r="K356" s="11"/>
      <c r="L356" s="11"/>
      <c r="M356" s="10"/>
      <c r="N356" s="10" t="s">
        <v>33</v>
      </c>
      <c r="Q356" s="11"/>
      <c r="R356" s="11"/>
      <c r="S356" s="10"/>
    </row>
    <row r="357" spans="2:19" s="6" customFormat="1" ht="16.5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8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11</v>
      </c>
      <c r="J358" s="13" t="str">
        <f t="shared" ca="1" si="25"/>
        <v>정상</v>
      </c>
      <c r="K358" s="11"/>
      <c r="L358" s="11"/>
      <c r="M358" s="10"/>
      <c r="N358" s="10" t="s">
        <v>33</v>
      </c>
      <c r="Q358" s="11"/>
      <c r="R358" s="11"/>
      <c r="S358" s="10"/>
    </row>
    <row r="359" spans="2:19" s="6" customFormat="1" ht="16.5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11</v>
      </c>
      <c r="J359" s="13" t="str">
        <f t="shared" ca="1" si="25"/>
        <v>정상</v>
      </c>
      <c r="K359" s="11">
        <v>46142</v>
      </c>
      <c r="L359" s="11"/>
      <c r="M359" s="10"/>
      <c r="N359" s="10" t="s">
        <v>33</v>
      </c>
      <c r="Q359" s="11"/>
      <c r="R359" s="11"/>
      <c r="S359" s="10"/>
    </row>
    <row r="360" spans="2:19" s="6" customFormat="1" ht="16.5" customHeight="1">
      <c r="B360" s="10">
        <f>IF(C360="","",COUNTA($C$2:C360))</f>
        <v>359</v>
      </c>
      <c r="C360" s="11">
        <v>46115</v>
      </c>
      <c r="D360" s="10" t="str">
        <f t="shared" ref="D360:D36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11</v>
      </c>
      <c r="J360" s="13" t="str">
        <f t="shared" ca="1" si="25"/>
        <v>정상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13</v>
      </c>
      <c r="J361" s="13" t="str">
        <f t="shared" ca="1" si="25"/>
        <v>정상</v>
      </c>
      <c r="K361" s="11">
        <v>46127</v>
      </c>
      <c r="L361" s="11"/>
      <c r="M361" s="10"/>
      <c r="N361" s="10" t="s">
        <v>33</v>
      </c>
      <c r="Q361" s="11"/>
      <c r="R361" s="11"/>
      <c r="S361" s="10"/>
    </row>
    <row r="362" spans="2:19" s="6" customFormat="1" ht="16.5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12</v>
      </c>
      <c r="J362" s="13" t="str">
        <f t="shared" ca="1" si="25"/>
        <v>정상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8</v>
      </c>
      <c r="J363" s="13" t="str">
        <f t="shared" ca="1" si="25"/>
        <v>정상</v>
      </c>
      <c r="K363" s="11">
        <v>46142</v>
      </c>
      <c r="L363" s="11"/>
      <c r="M363" s="10"/>
      <c r="N363" s="10" t="s">
        <v>33</v>
      </c>
      <c r="Q363" s="11"/>
      <c r="R363" s="11"/>
      <c r="S363" s="10"/>
    </row>
    <row r="364" spans="2:19" s="6" customFormat="1" ht="16.5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13</v>
      </c>
      <c r="J364" s="13" t="str">
        <f t="shared" ca="1" si="25"/>
        <v>정상</v>
      </c>
      <c r="K364" s="11">
        <v>46122</v>
      </c>
      <c r="L364" s="11"/>
      <c r="M364" s="10"/>
      <c r="N364" s="10" t="s">
        <v>33</v>
      </c>
      <c r="Q364" s="11"/>
      <c r="R364" s="11"/>
      <c r="S364" s="10"/>
    </row>
    <row r="365" spans="2:19" s="6" customFormat="1" ht="16.5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13</v>
      </c>
      <c r="J365" s="13" t="str">
        <f t="shared" ca="1" si="25"/>
        <v>정상</v>
      </c>
      <c r="K365" s="11">
        <v>46127</v>
      </c>
      <c r="L365" s="11"/>
      <c r="M365" s="10"/>
      <c r="N365" s="10" t="s">
        <v>33</v>
      </c>
      <c r="Q365" s="11"/>
      <c r="R365" s="11"/>
      <c r="S365" s="10"/>
    </row>
    <row r="366" spans="2:19" s="6" customFormat="1" ht="16.5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7</v>
      </c>
      <c r="J368" s="13" t="str">
        <f t="shared" ca="1" si="25"/>
        <v>정상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567</v>
      </c>
      <c r="F369" s="6" t="s">
        <v>533</v>
      </c>
      <c r="G369" s="6" t="s">
        <v>534</v>
      </c>
      <c r="H369" s="4">
        <v>2040000</v>
      </c>
      <c r="I369" s="6">
        <f t="shared" ca="1" si="24"/>
        <v>7</v>
      </c>
      <c r="J369" s="13" t="str">
        <f t="shared" ca="1" si="25"/>
        <v>정상</v>
      </c>
      <c r="K369" s="11"/>
      <c r="L369" s="11"/>
      <c r="M369" s="10"/>
      <c r="N369" s="10" t="s">
        <v>33</v>
      </c>
      <c r="Q369" s="11"/>
      <c r="R369" s="11"/>
      <c r="S369" s="10"/>
    </row>
    <row r="370" spans="2:19" s="6" customFormat="1" ht="16.5" customHeight="1">
      <c r="B370" s="10">
        <f>IF(C370="","",COUNTA($C$2:C370))</f>
        <v>369</v>
      </c>
      <c r="C370" s="11" t="s">
        <v>543</v>
      </c>
      <c r="D370" s="10" t="s">
        <v>178</v>
      </c>
      <c r="E370" s="6" t="s">
        <v>521</v>
      </c>
      <c r="F370" s="6" t="s">
        <v>535</v>
      </c>
      <c r="G370" s="6" t="s">
        <v>544</v>
      </c>
      <c r="H370" s="4">
        <v>1019800</v>
      </c>
      <c r="I370" s="6">
        <f t="shared" ca="1" si="24"/>
        <v>6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customHeight="1">
      <c r="B371" s="10">
        <f>IF(C371="","",COUNTA($C$2:C371))</f>
        <v>370</v>
      </c>
      <c r="C371" s="11" t="s">
        <v>543</v>
      </c>
      <c r="D371" s="10" t="s">
        <v>178</v>
      </c>
      <c r="E371" s="6" t="s">
        <v>126</v>
      </c>
      <c r="F371" s="6" t="s">
        <v>479</v>
      </c>
      <c r="G371" s="6" t="s">
        <v>544</v>
      </c>
      <c r="H371" s="4">
        <v>565000</v>
      </c>
      <c r="I371" s="6">
        <f t="shared" ca="1" si="24"/>
        <v>6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customHeight="1">
      <c r="B372" s="10">
        <f>IF(C372="","",COUNTA($C$2:C372))</f>
        <v>371</v>
      </c>
      <c r="C372" s="11" t="s">
        <v>543</v>
      </c>
      <c r="D372" s="10" t="s">
        <v>178</v>
      </c>
      <c r="E372" s="6" t="s">
        <v>221</v>
      </c>
      <c r="F372" s="6" t="s">
        <v>216</v>
      </c>
      <c r="G372" s="6" t="s">
        <v>544</v>
      </c>
      <c r="H372" s="4">
        <v>102368000</v>
      </c>
      <c r="I372" s="6">
        <f t="shared" ca="1" si="24"/>
        <v>6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customHeight="1">
      <c r="B373" s="10">
        <f>IF(C373="","",COUNTA($C$2:C373))</f>
        <v>372</v>
      </c>
      <c r="C373" s="11" t="s">
        <v>543</v>
      </c>
      <c r="D373" s="10" t="s">
        <v>178</v>
      </c>
      <c r="E373" s="6" t="s">
        <v>266</v>
      </c>
      <c r="F373" s="6" t="s">
        <v>536</v>
      </c>
      <c r="G373" s="6" t="s">
        <v>544</v>
      </c>
      <c r="H373" s="4">
        <v>11000000</v>
      </c>
      <c r="I373" s="6">
        <f t="shared" ca="1" si="24"/>
        <v>6</v>
      </c>
      <c r="J373" s="13" t="str">
        <f t="shared" ca="1" si="25"/>
        <v>정상</v>
      </c>
      <c r="K373" s="11"/>
      <c r="L373" s="11"/>
      <c r="M373" s="10"/>
      <c r="N373" s="10" t="s">
        <v>33</v>
      </c>
      <c r="Q373" s="11"/>
      <c r="R373" s="11"/>
      <c r="S373" s="10"/>
    </row>
    <row r="374" spans="2:19" s="6" customFormat="1" ht="16.5" customHeight="1">
      <c r="B374" s="10">
        <f>IF(C374="","",COUNTA($C$2:C374))</f>
        <v>373</v>
      </c>
      <c r="C374" s="11" t="s">
        <v>543</v>
      </c>
      <c r="D374" s="10" t="s">
        <v>178</v>
      </c>
      <c r="E374" s="6" t="s">
        <v>249</v>
      </c>
      <c r="F374" s="6" t="s">
        <v>536</v>
      </c>
      <c r="G374" s="6" t="s">
        <v>544</v>
      </c>
      <c r="H374" s="4">
        <v>22000000</v>
      </c>
      <c r="I374" s="6">
        <f t="shared" ca="1" si="24"/>
        <v>6</v>
      </c>
      <c r="J374" s="13" t="str">
        <f t="shared" ca="1" si="25"/>
        <v>정상</v>
      </c>
      <c r="K374" s="11"/>
      <c r="L374" s="11"/>
      <c r="M374" s="10"/>
      <c r="N374" s="10" t="s">
        <v>33</v>
      </c>
      <c r="Q374" s="11"/>
      <c r="R374" s="11"/>
      <c r="S374" s="10"/>
    </row>
    <row r="375" spans="2:19" s="6" customFormat="1" ht="16.5" customHeight="1">
      <c r="B375" s="10">
        <f>IF(C375="","",COUNTA($C$2:C375))</f>
        <v>374</v>
      </c>
      <c r="C375" s="11" t="s">
        <v>543</v>
      </c>
      <c r="D375" s="10" t="s">
        <v>178</v>
      </c>
      <c r="E375" s="6" t="s">
        <v>208</v>
      </c>
      <c r="F375" s="6" t="s">
        <v>537</v>
      </c>
      <c r="G375" s="6" t="s">
        <v>544</v>
      </c>
      <c r="H375" s="12">
        <v>22000000</v>
      </c>
      <c r="I375" s="6">
        <f t="shared" ca="1" si="24"/>
        <v>6</v>
      </c>
      <c r="J375" s="13" t="str">
        <f t="shared" ca="1" si="25"/>
        <v>정상</v>
      </c>
      <c r="K375" s="11"/>
      <c r="L375" s="11"/>
      <c r="M375" s="10"/>
      <c r="N375" s="10" t="s">
        <v>33</v>
      </c>
      <c r="Q375" s="11"/>
      <c r="R375" s="11"/>
      <c r="S375" s="10"/>
    </row>
    <row r="376" spans="2:19" s="6" customFormat="1" ht="16.5" customHeight="1">
      <c r="B376" s="10">
        <f>IF(C376="","",COUNTA($C$2:C376))</f>
        <v>375</v>
      </c>
      <c r="C376" s="11" t="s">
        <v>543</v>
      </c>
      <c r="D376" s="10" t="s">
        <v>178</v>
      </c>
      <c r="E376" s="6" t="s">
        <v>126</v>
      </c>
      <c r="F376" s="6" t="s">
        <v>425</v>
      </c>
      <c r="G376" s="6" t="s">
        <v>544</v>
      </c>
      <c r="H376" s="12">
        <v>3689400</v>
      </c>
      <c r="I376" s="6">
        <f t="shared" ca="1" si="24"/>
        <v>6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customHeight="1">
      <c r="B377" s="10">
        <f>IF(C377="","",COUNTA($C$2:C377))</f>
        <v>376</v>
      </c>
      <c r="C377" s="11" t="s">
        <v>543</v>
      </c>
      <c r="D377" s="10" t="s">
        <v>178</v>
      </c>
      <c r="E377" s="6" t="s">
        <v>24</v>
      </c>
      <c r="F377" s="6" t="s">
        <v>107</v>
      </c>
      <c r="G377" s="6" t="s">
        <v>544</v>
      </c>
      <c r="H377" s="12">
        <v>416000</v>
      </c>
      <c r="I377" s="6">
        <f t="shared" ca="1" si="24"/>
        <v>6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customHeight="1">
      <c r="B378" s="10">
        <f>IF(C378="","",COUNTA($C$2:C378))</f>
        <v>377</v>
      </c>
      <c r="C378" s="11" t="s">
        <v>543</v>
      </c>
      <c r="D378" s="10" t="s">
        <v>178</v>
      </c>
      <c r="E378" s="6" t="s">
        <v>24</v>
      </c>
      <c r="F378" s="6" t="s">
        <v>107</v>
      </c>
      <c r="G378" s="6" t="s">
        <v>544</v>
      </c>
      <c r="H378" s="12">
        <v>1754000</v>
      </c>
      <c r="I378" s="6">
        <f t="shared" ca="1" si="24"/>
        <v>6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customHeight="1">
      <c r="B379" s="10">
        <f>IF(C379="","",COUNTA($C$2:C379))</f>
        <v>378</v>
      </c>
      <c r="C379" s="11" t="s">
        <v>543</v>
      </c>
      <c r="D379" s="10" t="s">
        <v>178</v>
      </c>
      <c r="E379" s="6" t="s">
        <v>541</v>
      </c>
      <c r="F379" s="6" t="s">
        <v>538</v>
      </c>
      <c r="G379" s="6" t="s">
        <v>544</v>
      </c>
      <c r="H379" s="12">
        <v>6917000</v>
      </c>
      <c r="I379" s="6">
        <f t="shared" ca="1" si="24"/>
        <v>6</v>
      </c>
      <c r="J379" s="13" t="str">
        <f t="shared" ca="1" si="25"/>
        <v>정상</v>
      </c>
      <c r="K379" s="11"/>
      <c r="L379" s="11"/>
      <c r="M379" s="10"/>
      <c r="N379" s="10" t="s">
        <v>33</v>
      </c>
      <c r="Q379" s="11"/>
      <c r="R379" s="11"/>
      <c r="S379" s="10"/>
    </row>
    <row r="380" spans="2:19" s="6" customFormat="1" ht="16.5" customHeight="1">
      <c r="B380" s="10">
        <f>IF(C380="","",COUNTA($C$2:C380))</f>
        <v>379</v>
      </c>
      <c r="C380" s="11" t="s">
        <v>543</v>
      </c>
      <c r="D380" s="10" t="s">
        <v>178</v>
      </c>
      <c r="E380" s="6" t="s">
        <v>542</v>
      </c>
      <c r="F380" s="6" t="s">
        <v>539</v>
      </c>
      <c r="G380" s="6" t="s">
        <v>544</v>
      </c>
      <c r="H380" s="12">
        <v>13478000</v>
      </c>
      <c r="I380" s="6">
        <f t="shared" ca="1" si="24"/>
        <v>2</v>
      </c>
      <c r="J380" s="13" t="str">
        <f t="shared" ca="1" si="25"/>
        <v>정상</v>
      </c>
      <c r="K380" s="11"/>
      <c r="L380" s="11">
        <v>46122</v>
      </c>
      <c r="M380" s="10"/>
      <c r="N380" s="10" t="s">
        <v>33</v>
      </c>
      <c r="Q380" s="11"/>
      <c r="R380" s="11"/>
      <c r="S380" s="10"/>
    </row>
    <row r="381" spans="2:19" s="6" customFormat="1" ht="16.5" customHeight="1">
      <c r="B381" s="10">
        <f>IF(C381="","",COUNTA($C$2:C381))</f>
        <v>380</v>
      </c>
      <c r="C381" s="11" t="s">
        <v>543</v>
      </c>
      <c r="D381" s="10" t="s">
        <v>178</v>
      </c>
      <c r="E381" s="6" t="s">
        <v>126</v>
      </c>
      <c r="F381" s="6" t="s">
        <v>540</v>
      </c>
      <c r="G381" s="6" t="s">
        <v>544</v>
      </c>
      <c r="H381" s="12">
        <v>11211800</v>
      </c>
      <c r="I381" s="6">
        <f t="shared" ca="1" si="24"/>
        <v>6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customHeight="1">
      <c r="B382" s="10">
        <f>IF(C382="","",COUNTA($C$2:C382))</f>
        <v>381</v>
      </c>
      <c r="C382" s="11" t="s">
        <v>543</v>
      </c>
      <c r="D382" s="10" t="s">
        <v>178</v>
      </c>
      <c r="E382" s="6" t="s">
        <v>126</v>
      </c>
      <c r="F382" s="6" t="s">
        <v>485</v>
      </c>
      <c r="G382" s="6" t="s">
        <v>544</v>
      </c>
      <c r="H382" s="12">
        <v>3180000</v>
      </c>
      <c r="I382" s="6">
        <f t="shared" ref="I382:I426" ca="1" si="27">IF(C382="","",IF(L382="",TODAY()-C382,L382-C382))</f>
        <v>6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customHeight="1">
      <c r="B383" s="10">
        <f>IF(C383="","",COUNTA($C$2:C383))</f>
        <v>382</v>
      </c>
      <c r="C383" s="11">
        <v>46120</v>
      </c>
      <c r="D383" s="10" t="s">
        <v>243</v>
      </c>
      <c r="E383" s="6" t="s">
        <v>270</v>
      </c>
      <c r="F383" s="6" t="s">
        <v>545</v>
      </c>
      <c r="G383" s="6" t="s">
        <v>546</v>
      </c>
      <c r="H383" s="12">
        <v>20237900</v>
      </c>
      <c r="I383" s="6">
        <f t="shared" ca="1" si="27"/>
        <v>6</v>
      </c>
      <c r="J383" s="13" t="str">
        <f t="shared" ca="1" si="25"/>
        <v>정상</v>
      </c>
      <c r="K383" s="11"/>
      <c r="L383" s="11"/>
      <c r="M383" s="10"/>
      <c r="N383" s="10" t="s">
        <v>33</v>
      </c>
      <c r="Q383" s="11"/>
      <c r="R383" s="11"/>
      <c r="S383" s="10"/>
    </row>
    <row r="384" spans="2:19" s="6" customFormat="1" ht="16.5" customHeight="1">
      <c r="B384" s="10">
        <f>IF(C384="","",COUNTA($C$2:C384))</f>
        <v>383</v>
      </c>
      <c r="C384" s="11">
        <v>46120</v>
      </c>
      <c r="D384" s="10" t="s">
        <v>243</v>
      </c>
      <c r="E384" s="6" t="s">
        <v>548</v>
      </c>
      <c r="F384" s="6" t="s">
        <v>547</v>
      </c>
      <c r="G384" s="6" t="s">
        <v>549</v>
      </c>
      <c r="H384" s="12">
        <v>6013200</v>
      </c>
      <c r="I384" s="6">
        <f t="shared" ca="1" si="27"/>
        <v>1</v>
      </c>
      <c r="J384" s="13" t="str">
        <f t="shared" ca="1" si="25"/>
        <v>정상</v>
      </c>
      <c r="K384" s="11"/>
      <c r="L384" s="11">
        <v>46121</v>
      </c>
      <c r="M384" s="10"/>
      <c r="N384" s="10" t="s">
        <v>33</v>
      </c>
      <c r="Q384" s="11"/>
      <c r="R384" s="11"/>
      <c r="S384" s="10"/>
    </row>
    <row r="385" spans="2:19" s="6" customFormat="1" ht="16.5" customHeight="1">
      <c r="B385" s="10">
        <f>IF(C385="","",COUNTA($C$2:C385))</f>
        <v>384</v>
      </c>
      <c r="C385" s="11" t="s">
        <v>563</v>
      </c>
      <c r="D385" s="10" t="s">
        <v>178</v>
      </c>
      <c r="E385" s="6" t="s">
        <v>24</v>
      </c>
      <c r="F385" s="6" t="s">
        <v>550</v>
      </c>
      <c r="G385" s="6" t="s">
        <v>565</v>
      </c>
      <c r="H385" s="12">
        <v>4492000</v>
      </c>
      <c r="I385" s="6">
        <f t="shared" ca="1" si="27"/>
        <v>5</v>
      </c>
      <c r="J385" s="13" t="str">
        <f t="shared" ca="1" si="25"/>
        <v>정상</v>
      </c>
      <c r="K385" s="11"/>
      <c r="L385" s="11"/>
      <c r="M385" s="10"/>
      <c r="N385" s="10" t="s">
        <v>33</v>
      </c>
      <c r="Q385" s="11"/>
      <c r="R385" s="11"/>
      <c r="S385" s="10"/>
    </row>
    <row r="386" spans="2:19" s="6" customFormat="1" ht="16.5" customHeight="1">
      <c r="B386" s="10">
        <f>IF(C386="","",COUNTA($C$2:C386))</f>
        <v>385</v>
      </c>
      <c r="C386" s="11" t="s">
        <v>563</v>
      </c>
      <c r="D386" s="10" t="s">
        <v>178</v>
      </c>
      <c r="E386" s="6" t="s">
        <v>542</v>
      </c>
      <c r="F386" s="6" t="s">
        <v>551</v>
      </c>
      <c r="G386" s="6" t="s">
        <v>565</v>
      </c>
      <c r="H386" s="12">
        <v>31045500</v>
      </c>
      <c r="I386" s="6">
        <f t="shared" ca="1" si="27"/>
        <v>5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customHeight="1">
      <c r="B387" s="10">
        <f>IF(C387="","",COUNTA($C$2:C387))</f>
        <v>386</v>
      </c>
      <c r="C387" s="11" t="s">
        <v>563</v>
      </c>
      <c r="D387" s="10" t="s">
        <v>178</v>
      </c>
      <c r="E387" s="6" t="s">
        <v>542</v>
      </c>
      <c r="F387" s="6" t="s">
        <v>552</v>
      </c>
      <c r="G387" s="6" t="s">
        <v>565</v>
      </c>
      <c r="H387" s="12">
        <v>574800</v>
      </c>
      <c r="I387" s="6">
        <f t="shared" ca="1" si="27"/>
        <v>5</v>
      </c>
      <c r="J387" s="13" t="str">
        <f t="shared" ca="1" si="25"/>
        <v>정상</v>
      </c>
      <c r="K387" s="11"/>
      <c r="L387" s="11"/>
      <c r="M387" s="10"/>
      <c r="N387" s="10" t="s">
        <v>33</v>
      </c>
      <c r="Q387" s="11"/>
      <c r="R387" s="11"/>
      <c r="S387" s="10"/>
    </row>
    <row r="388" spans="2:19" s="6" customFormat="1" ht="16.5" customHeight="1">
      <c r="B388" s="10">
        <f>IF(C388="","",COUNTA($C$2:C388))</f>
        <v>387</v>
      </c>
      <c r="C388" s="11" t="s">
        <v>563</v>
      </c>
      <c r="D388" s="10" t="s">
        <v>178</v>
      </c>
      <c r="E388" s="6" t="s">
        <v>128</v>
      </c>
      <c r="F388" s="6" t="s">
        <v>553</v>
      </c>
      <c r="G388" s="6" t="s">
        <v>565</v>
      </c>
      <c r="H388" s="12">
        <v>3687500</v>
      </c>
      <c r="I388" s="6">
        <f t="shared" ca="1" si="27"/>
        <v>5</v>
      </c>
      <c r="J388" s="13" t="str">
        <f t="shared" ca="1" si="25"/>
        <v>정상</v>
      </c>
      <c r="K388" s="11"/>
      <c r="L388" s="11"/>
      <c r="M388" s="10"/>
      <c r="N388" s="10" t="s">
        <v>33</v>
      </c>
      <c r="Q388" s="11"/>
      <c r="R388" s="11"/>
      <c r="S388" s="10"/>
    </row>
    <row r="389" spans="2:19" s="6" customFormat="1" ht="16.5" customHeight="1">
      <c r="B389" s="10">
        <f>IF(C389="","",COUNTA($C$2:C389))</f>
        <v>388</v>
      </c>
      <c r="C389" s="11" t="s">
        <v>563</v>
      </c>
      <c r="D389" s="10" t="s">
        <v>178</v>
      </c>
      <c r="E389" s="6" t="s">
        <v>208</v>
      </c>
      <c r="F389" s="6" t="s">
        <v>554</v>
      </c>
      <c r="G389" s="6" t="s">
        <v>565</v>
      </c>
      <c r="H389" s="12">
        <v>21780000</v>
      </c>
      <c r="I389" s="6">
        <f t="shared" ca="1" si="27"/>
        <v>5</v>
      </c>
      <c r="J389" s="13" t="str">
        <f t="shared" ca="1" si="25"/>
        <v>정상</v>
      </c>
      <c r="K389" s="11"/>
      <c r="L389" s="11"/>
      <c r="M389" s="10"/>
      <c r="N389" s="10" t="s">
        <v>33</v>
      </c>
      <c r="Q389" s="11"/>
      <c r="R389" s="11"/>
      <c r="S389" s="10"/>
    </row>
    <row r="390" spans="2:19" s="6" customFormat="1" ht="16.5" customHeight="1">
      <c r="B390" s="10">
        <f>IF(C390="","",COUNTA($C$2:C390))</f>
        <v>389</v>
      </c>
      <c r="C390" s="11" t="s">
        <v>563</v>
      </c>
      <c r="D390" s="10" t="s">
        <v>178</v>
      </c>
      <c r="E390" s="6" t="s">
        <v>561</v>
      </c>
      <c r="F390" s="6" t="s">
        <v>555</v>
      </c>
      <c r="G390" s="6" t="s">
        <v>565</v>
      </c>
      <c r="H390" s="12">
        <v>1630000</v>
      </c>
      <c r="I390" s="6">
        <f t="shared" ca="1" si="27"/>
        <v>5</v>
      </c>
      <c r="J390" s="13" t="str">
        <f t="shared" ca="1" si="25"/>
        <v>정상</v>
      </c>
      <c r="K390" s="11"/>
      <c r="L390" s="11"/>
      <c r="M390" s="10"/>
      <c r="N390" s="10" t="s">
        <v>33</v>
      </c>
      <c r="Q390" s="11"/>
      <c r="R390" s="11"/>
      <c r="S390" s="10"/>
    </row>
    <row r="391" spans="2:19" s="6" customFormat="1" ht="16.5" customHeight="1">
      <c r="B391" s="10">
        <f>IF(C391="","",COUNTA($C$2:C391))</f>
        <v>390</v>
      </c>
      <c r="C391" s="11" t="s">
        <v>563</v>
      </c>
      <c r="D391" s="10" t="s">
        <v>178</v>
      </c>
      <c r="E391" s="6" t="s">
        <v>395</v>
      </c>
      <c r="F391" s="6" t="s">
        <v>556</v>
      </c>
      <c r="G391" s="6" t="s">
        <v>565</v>
      </c>
      <c r="H391" s="12">
        <v>20219600</v>
      </c>
      <c r="I391" s="6">
        <f t="shared" ca="1" si="27"/>
        <v>5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customHeight="1">
      <c r="B392" s="10">
        <f>IF(C392="","",COUNTA($C$2:C392))</f>
        <v>391</v>
      </c>
      <c r="C392" s="11" t="s">
        <v>563</v>
      </c>
      <c r="D392" s="10" t="s">
        <v>178</v>
      </c>
      <c r="E392" s="6" t="s">
        <v>126</v>
      </c>
      <c r="F392" s="6" t="s">
        <v>557</v>
      </c>
      <c r="G392" s="6" t="s">
        <v>565</v>
      </c>
      <c r="H392" s="12">
        <v>963200</v>
      </c>
      <c r="I392" s="6">
        <f t="shared" ca="1" si="27"/>
        <v>5</v>
      </c>
      <c r="J392" s="13" t="str">
        <f t="shared" ca="1" si="25"/>
        <v>정상</v>
      </c>
      <c r="K392" s="11"/>
      <c r="L392" s="11"/>
      <c r="M392" s="10"/>
      <c r="N392" s="10" t="s">
        <v>33</v>
      </c>
      <c r="Q392" s="11"/>
      <c r="R392" s="11"/>
      <c r="S392" s="10"/>
    </row>
    <row r="393" spans="2:19" s="6" customFormat="1" ht="16.5" customHeight="1">
      <c r="B393" s="10">
        <f>IF(C393="","",COUNTA($C$2:C393))</f>
        <v>392</v>
      </c>
      <c r="C393" s="11" t="s">
        <v>563</v>
      </c>
      <c r="D393" s="10" t="s">
        <v>178</v>
      </c>
      <c r="E393" s="6" t="s">
        <v>562</v>
      </c>
      <c r="F393" s="6" t="s">
        <v>558</v>
      </c>
      <c r="G393" s="6" t="s">
        <v>565</v>
      </c>
      <c r="H393" s="12">
        <v>1380000</v>
      </c>
      <c r="I393" s="6">
        <f t="shared" ca="1" si="27"/>
        <v>5</v>
      </c>
      <c r="J393" s="13" t="str">
        <f t="shared" ca="1" si="25"/>
        <v>정상</v>
      </c>
      <c r="K393" s="11"/>
      <c r="L393" s="11"/>
      <c r="M393" s="10"/>
      <c r="N393" s="10" t="s">
        <v>33</v>
      </c>
      <c r="Q393" s="11"/>
      <c r="R393" s="11"/>
      <c r="S393" s="10"/>
    </row>
    <row r="394" spans="2:19" s="6" customFormat="1" ht="16.5" customHeight="1">
      <c r="B394" s="10">
        <f>IF(C394="","",COUNTA($C$2:C394))</f>
        <v>393</v>
      </c>
      <c r="C394" s="11" t="s">
        <v>564</v>
      </c>
      <c r="D394" s="10" t="s">
        <v>178</v>
      </c>
      <c r="E394" s="6" t="s">
        <v>62</v>
      </c>
      <c r="F394" s="6" t="s">
        <v>559</v>
      </c>
      <c r="G394" s="6" t="s">
        <v>565</v>
      </c>
      <c r="H394" s="12">
        <v>410000</v>
      </c>
      <c r="I394" s="6">
        <f t="shared" ca="1" si="27"/>
        <v>4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customHeight="1">
      <c r="B395" s="10">
        <f>IF(C395="","",COUNTA($C$2:C395))</f>
        <v>394</v>
      </c>
      <c r="C395" s="11" t="s">
        <v>564</v>
      </c>
      <c r="D395" s="10" t="s">
        <v>178</v>
      </c>
      <c r="E395" s="6" t="s">
        <v>126</v>
      </c>
      <c r="F395" s="6" t="s">
        <v>485</v>
      </c>
      <c r="G395" s="6" t="s">
        <v>565</v>
      </c>
      <c r="H395" s="12">
        <v>464000</v>
      </c>
      <c r="I395" s="6">
        <f t="shared" ca="1" si="27"/>
        <v>4</v>
      </c>
      <c r="J395" s="13" t="str">
        <f t="shared" ca="1" si="25"/>
        <v>정상</v>
      </c>
      <c r="K395" s="11"/>
      <c r="L395" s="11"/>
      <c r="M395" s="10"/>
      <c r="N395" s="10" t="s">
        <v>33</v>
      </c>
      <c r="Q395" s="11"/>
      <c r="R395" s="11"/>
      <c r="S395" s="10"/>
    </row>
    <row r="396" spans="2:19" s="6" customFormat="1" ht="16.5" customHeight="1">
      <c r="B396" s="10">
        <f>IF(C396="","",COUNTA($C$2:C396))</f>
        <v>395</v>
      </c>
      <c r="C396" s="11" t="s">
        <v>564</v>
      </c>
      <c r="D396" s="10" t="s">
        <v>178</v>
      </c>
      <c r="E396" s="6" t="s">
        <v>207</v>
      </c>
      <c r="F396" s="6" t="s">
        <v>560</v>
      </c>
      <c r="G396" s="6" t="s">
        <v>565</v>
      </c>
      <c r="H396" s="12">
        <v>1261000</v>
      </c>
      <c r="I396" s="6">
        <f t="shared" ca="1" si="27"/>
        <v>4</v>
      </c>
      <c r="J396" s="13" t="str">
        <f t="shared" ca="1" si="25"/>
        <v>정상</v>
      </c>
      <c r="K396" s="11"/>
      <c r="L396" s="11"/>
      <c r="M396" s="10"/>
      <c r="N396" s="10" t="s">
        <v>33</v>
      </c>
      <c r="Q396" s="11"/>
      <c r="R396" s="11"/>
      <c r="S396" s="10"/>
    </row>
    <row r="397" spans="2:19" s="6" customFormat="1" ht="16.5" customHeight="1">
      <c r="B397" s="10">
        <f>IF(C397="","",COUNTA($C$2:C397))</f>
        <v>396</v>
      </c>
      <c r="C397" s="11" t="s">
        <v>564</v>
      </c>
      <c r="D397" s="10" t="str">
        <f t="shared" ref="D397:D427" si="28">IF(G397="","",IF(OR(G397="선급금",G397="중도금",G397="잔금"),"A",IF(G397="자재","B",IF(G397="특허료","C",""))))</f>
        <v>B</v>
      </c>
      <c r="E397" s="6" t="s">
        <v>124</v>
      </c>
      <c r="F397" s="6" t="s">
        <v>568</v>
      </c>
      <c r="G397" s="6" t="s">
        <v>172</v>
      </c>
      <c r="H397" s="12">
        <v>866400</v>
      </c>
      <c r="I397" s="6">
        <f t="shared" ca="1" si="27"/>
        <v>0</v>
      </c>
      <c r="J397" s="13" t="str">
        <f t="shared" ca="1" si="25"/>
        <v>정상</v>
      </c>
      <c r="K397" s="11"/>
      <c r="L397" s="11">
        <v>46122</v>
      </c>
      <c r="M397" s="10"/>
      <c r="N397" s="10" t="s">
        <v>33</v>
      </c>
      <c r="Q397" s="11"/>
      <c r="R397" s="11"/>
      <c r="S397" s="10"/>
    </row>
    <row r="398" spans="2:19" s="18" customFormat="1" ht="13.5">
      <c r="B398" s="10">
        <f>IF(C398="","",COUNTA($C$2:C398))</f>
        <v>397</v>
      </c>
      <c r="C398" s="11" t="s">
        <v>564</v>
      </c>
      <c r="D398" s="10" t="str">
        <f t="shared" si="28"/>
        <v>B</v>
      </c>
      <c r="E398" s="18" t="s">
        <v>126</v>
      </c>
      <c r="F398" s="18" t="s">
        <v>569</v>
      </c>
      <c r="G398" s="6" t="s">
        <v>172</v>
      </c>
      <c r="H398" s="12">
        <v>-785400</v>
      </c>
      <c r="I398" s="18">
        <f t="shared" ca="1" si="27"/>
        <v>4</v>
      </c>
      <c r="J398" s="13" t="str">
        <f t="shared" ca="1" si="25"/>
        <v>정상</v>
      </c>
      <c r="K398" s="11"/>
      <c r="L398" s="11"/>
      <c r="M398" s="42"/>
      <c r="N398" s="10" t="s">
        <v>33</v>
      </c>
      <c r="Q398" s="11"/>
      <c r="R398" s="11"/>
    </row>
    <row r="399" spans="2:19" s="18" customFormat="1" ht="13.5">
      <c r="B399" s="10">
        <f>IF(C399="","",COUNTA($C$2:C399))</f>
        <v>398</v>
      </c>
      <c r="C399" s="11" t="s">
        <v>564</v>
      </c>
      <c r="D399" s="10" t="s">
        <v>181</v>
      </c>
      <c r="E399" s="18" t="s">
        <v>421</v>
      </c>
      <c r="F399" s="18" t="s">
        <v>570</v>
      </c>
      <c r="G399" s="6" t="s">
        <v>571</v>
      </c>
      <c r="H399" s="12">
        <v>2421500</v>
      </c>
      <c r="I399" s="18">
        <f t="shared" ca="1" si="27"/>
        <v>4</v>
      </c>
      <c r="J399" s="13" t="str">
        <f t="shared" ca="1" si="25"/>
        <v>정상</v>
      </c>
      <c r="K399" s="11"/>
      <c r="L399" s="11"/>
      <c r="M399" s="42"/>
      <c r="N399" s="10" t="s">
        <v>33</v>
      </c>
      <c r="Q399" s="11"/>
      <c r="R399" s="11"/>
    </row>
    <row r="400" spans="2:19" s="18" customFormat="1" ht="13.5">
      <c r="B400" s="10">
        <f>IF(C400="","",COUNTA($C$2:C400))</f>
        <v>399</v>
      </c>
      <c r="C400" s="11">
        <v>46122</v>
      </c>
      <c r="D400" s="42" t="s">
        <v>243</v>
      </c>
      <c r="E400" s="43" t="s">
        <v>573</v>
      </c>
      <c r="F400" s="43" t="s">
        <v>572</v>
      </c>
      <c r="G400" s="6" t="s">
        <v>230</v>
      </c>
      <c r="H400" s="12">
        <v>72676000</v>
      </c>
      <c r="I400" s="18">
        <f t="shared" ca="1" si="27"/>
        <v>4</v>
      </c>
      <c r="J400" s="13" t="str">
        <f t="shared" ca="1" si="25"/>
        <v>정상</v>
      </c>
      <c r="K400" s="44"/>
      <c r="L400" s="44"/>
      <c r="M400" s="42"/>
      <c r="N400" s="10" t="s">
        <v>33</v>
      </c>
      <c r="Q400" s="11"/>
      <c r="R400" s="11"/>
    </row>
    <row r="401" spans="2:18" s="18" customFormat="1" ht="13.5">
      <c r="B401" s="10">
        <f>IF(C401="","",COUNTA($C$2:C401))</f>
        <v>400</v>
      </c>
      <c r="C401" s="11">
        <v>46122</v>
      </c>
      <c r="D401" s="42" t="s">
        <v>243</v>
      </c>
      <c r="E401" s="18" t="s">
        <v>126</v>
      </c>
      <c r="F401" s="18" t="s">
        <v>420</v>
      </c>
      <c r="G401" s="18" t="s">
        <v>574</v>
      </c>
      <c r="H401" s="12">
        <v>14760000</v>
      </c>
      <c r="I401" s="18">
        <f t="shared" ca="1" si="27"/>
        <v>4</v>
      </c>
      <c r="J401" s="13" t="str">
        <f t="shared" ca="1" si="25"/>
        <v>정상</v>
      </c>
      <c r="K401" s="44"/>
      <c r="L401" s="44"/>
      <c r="M401" s="42"/>
      <c r="N401" s="10" t="s">
        <v>33</v>
      </c>
      <c r="Q401" s="11"/>
      <c r="R401" s="11"/>
    </row>
    <row r="402" spans="2:18" s="18" customFormat="1" ht="13.5">
      <c r="B402" s="10">
        <f>IF(C402="","",COUNTA($C$2:C402))</f>
        <v>401</v>
      </c>
      <c r="C402" s="11">
        <v>46122</v>
      </c>
      <c r="D402" s="42" t="s">
        <v>243</v>
      </c>
      <c r="E402" s="18" t="s">
        <v>423</v>
      </c>
      <c r="F402" s="18" t="s">
        <v>575</v>
      </c>
      <c r="G402" s="18" t="s">
        <v>574</v>
      </c>
      <c r="H402" s="12">
        <v>2480000</v>
      </c>
      <c r="I402" s="18">
        <f t="shared" ca="1" si="27"/>
        <v>4</v>
      </c>
      <c r="J402" s="13" t="str">
        <f t="shared" ca="1" si="25"/>
        <v>정상</v>
      </c>
      <c r="K402" s="44"/>
      <c r="L402" s="44"/>
      <c r="M402" s="42"/>
      <c r="N402" s="10" t="s">
        <v>33</v>
      </c>
      <c r="Q402" s="11"/>
      <c r="R402" s="11"/>
    </row>
    <row r="403" spans="2:18" s="18" customFormat="1" ht="13.5">
      <c r="B403" s="10">
        <f>IF(C403="","",COUNTA($C$2:C403))</f>
        <v>402</v>
      </c>
      <c r="C403" s="45" t="s">
        <v>586</v>
      </c>
      <c r="D403" s="42" t="str">
        <f t="shared" si="28"/>
        <v>B</v>
      </c>
      <c r="E403" s="18" t="s">
        <v>126</v>
      </c>
      <c r="F403" s="18" t="s">
        <v>479</v>
      </c>
      <c r="G403" s="6" t="s">
        <v>598</v>
      </c>
      <c r="H403" s="12">
        <v>52695000</v>
      </c>
      <c r="I403" s="18">
        <f t="shared" ca="1" si="27"/>
        <v>0</v>
      </c>
      <c r="J403" s="13" t="str">
        <f t="shared" ca="1" si="25"/>
        <v>정상</v>
      </c>
      <c r="K403" s="44"/>
      <c r="L403" s="44"/>
      <c r="M403" s="42"/>
      <c r="N403" s="10" t="s">
        <v>33</v>
      </c>
      <c r="Q403" s="11"/>
      <c r="R403" s="11"/>
    </row>
    <row r="404" spans="2:18" s="18" customFormat="1" ht="16.5" customHeight="1">
      <c r="B404" s="10">
        <f>IF(C404="","",COUNTA($C$2:C404))</f>
        <v>403</v>
      </c>
      <c r="C404" s="45" t="s">
        <v>586</v>
      </c>
      <c r="D404" s="42" t="str">
        <f t="shared" si="28"/>
        <v>B</v>
      </c>
      <c r="E404" s="18" t="s">
        <v>577</v>
      </c>
      <c r="F404" s="38" t="s">
        <v>588</v>
      </c>
      <c r="G404" s="6" t="s">
        <v>598</v>
      </c>
      <c r="H404" s="12">
        <v>1217300</v>
      </c>
      <c r="I404" s="18">
        <f t="shared" ca="1" si="27"/>
        <v>0</v>
      </c>
      <c r="J404" s="13" t="str">
        <f t="shared" ca="1" si="25"/>
        <v>정상</v>
      </c>
      <c r="K404" s="44"/>
      <c r="L404" s="44"/>
      <c r="M404" s="42"/>
      <c r="N404" s="10" t="s">
        <v>33</v>
      </c>
      <c r="Q404" s="46"/>
      <c r="R404" s="46"/>
    </row>
    <row r="405" spans="2:18" s="18" customFormat="1" ht="16.5" customHeight="1">
      <c r="B405" s="10">
        <f>IF(C405="","",COUNTA($C$2:C405))</f>
        <v>404</v>
      </c>
      <c r="C405" s="45" t="s">
        <v>586</v>
      </c>
      <c r="D405" s="42" t="str">
        <f t="shared" si="28"/>
        <v>B</v>
      </c>
      <c r="E405" s="18" t="s">
        <v>375</v>
      </c>
      <c r="F405" s="18" t="s">
        <v>500</v>
      </c>
      <c r="G405" s="6" t="s">
        <v>598</v>
      </c>
      <c r="H405" s="12">
        <v>23634000</v>
      </c>
      <c r="I405" s="18">
        <f t="shared" ca="1" si="27"/>
        <v>0</v>
      </c>
      <c r="J405" s="13" t="str">
        <f t="shared" ca="1" si="25"/>
        <v>정상</v>
      </c>
      <c r="K405" s="44"/>
      <c r="L405" s="44"/>
      <c r="M405" s="42"/>
      <c r="N405" s="10" t="s">
        <v>33</v>
      </c>
      <c r="Q405" s="46"/>
      <c r="R405" s="46"/>
    </row>
    <row r="406" spans="2:18" s="18" customFormat="1" ht="16.5" customHeight="1">
      <c r="B406" s="10">
        <f>IF(C406="","",COUNTA($C$2:C406))</f>
        <v>405</v>
      </c>
      <c r="C406" s="45" t="s">
        <v>586</v>
      </c>
      <c r="D406" s="42" t="str">
        <f t="shared" si="28"/>
        <v>B</v>
      </c>
      <c r="E406" s="18" t="s">
        <v>578</v>
      </c>
      <c r="F406" s="18" t="s">
        <v>589</v>
      </c>
      <c r="G406" s="6" t="s">
        <v>598</v>
      </c>
      <c r="H406" s="12">
        <v>7826000</v>
      </c>
      <c r="I406" s="18">
        <f t="shared" ca="1" si="27"/>
        <v>0</v>
      </c>
      <c r="J406" s="13" t="str">
        <f t="shared" ca="1" si="25"/>
        <v>정상</v>
      </c>
      <c r="K406" s="44"/>
      <c r="L406" s="44"/>
      <c r="M406" s="42"/>
      <c r="N406" s="10" t="s">
        <v>33</v>
      </c>
      <c r="Q406" s="46"/>
      <c r="R406" s="46"/>
    </row>
    <row r="407" spans="2:18" s="18" customFormat="1" ht="16.5" customHeight="1">
      <c r="B407" s="10">
        <f>IF(C407="","",COUNTA($C$2:C407))</f>
        <v>406</v>
      </c>
      <c r="C407" s="45" t="s">
        <v>586</v>
      </c>
      <c r="D407" s="42" t="str">
        <f t="shared" si="28"/>
        <v>B</v>
      </c>
      <c r="E407" s="18" t="s">
        <v>579</v>
      </c>
      <c r="F407" s="18" t="s">
        <v>590</v>
      </c>
      <c r="G407" s="6" t="s">
        <v>598</v>
      </c>
      <c r="H407" s="12">
        <v>13317700</v>
      </c>
      <c r="I407" s="18">
        <f t="shared" ca="1" si="27"/>
        <v>0</v>
      </c>
      <c r="J407" s="13" t="str">
        <f t="shared" ca="1" si="25"/>
        <v>정상</v>
      </c>
      <c r="K407" s="44"/>
      <c r="L407" s="44"/>
      <c r="M407" s="42"/>
      <c r="N407" s="10" t="s">
        <v>33</v>
      </c>
      <c r="Q407" s="46"/>
      <c r="R407" s="46"/>
    </row>
    <row r="408" spans="2:18" s="18" customFormat="1" ht="16.5" customHeight="1">
      <c r="B408" s="10">
        <f>IF(C408="","",COUNTA($C$2:C408))</f>
        <v>407</v>
      </c>
      <c r="C408" s="45" t="s">
        <v>587</v>
      </c>
      <c r="D408" s="42" t="str">
        <f t="shared" si="28"/>
        <v>B</v>
      </c>
      <c r="E408" s="18" t="s">
        <v>249</v>
      </c>
      <c r="F408" s="18" t="s">
        <v>428</v>
      </c>
      <c r="G408" s="6" t="s">
        <v>598</v>
      </c>
      <c r="H408" s="12">
        <v>44522500</v>
      </c>
      <c r="I408" s="18">
        <f t="shared" ca="1" si="27"/>
        <v>1</v>
      </c>
      <c r="J408" s="13" t="str">
        <f t="shared" ca="1" si="25"/>
        <v>정상</v>
      </c>
      <c r="K408" s="44"/>
      <c r="L408" s="44"/>
      <c r="M408" s="42"/>
      <c r="N408" s="10" t="s">
        <v>33</v>
      </c>
      <c r="Q408" s="46"/>
      <c r="R408" s="46"/>
    </row>
    <row r="409" spans="2:18" s="18" customFormat="1" ht="16.5" customHeight="1">
      <c r="B409" s="10">
        <f>IF(C409="","",COUNTA($C$2:C409))</f>
        <v>408</v>
      </c>
      <c r="C409" s="30" t="s">
        <v>587</v>
      </c>
      <c r="D409" s="42" t="str">
        <f t="shared" si="28"/>
        <v>B</v>
      </c>
      <c r="E409" s="18" t="s">
        <v>580</v>
      </c>
      <c r="F409" s="18" t="s">
        <v>591</v>
      </c>
      <c r="G409" s="6" t="s">
        <v>598</v>
      </c>
      <c r="H409" s="12">
        <v>10572000</v>
      </c>
      <c r="I409" s="18">
        <f t="shared" ca="1" si="27"/>
        <v>1</v>
      </c>
      <c r="J409" s="13" t="str">
        <f t="shared" ca="1" si="25"/>
        <v>정상</v>
      </c>
      <c r="K409" s="44"/>
      <c r="L409" s="44"/>
      <c r="M409" s="42"/>
      <c r="N409" s="10" t="s">
        <v>33</v>
      </c>
      <c r="Q409" s="46"/>
      <c r="R409" s="46"/>
    </row>
    <row r="410" spans="2:18" s="18" customFormat="1" ht="16.5" customHeight="1">
      <c r="B410" s="10">
        <f>IF(C410="","",COUNTA($C$2:C410))</f>
        <v>409</v>
      </c>
      <c r="C410" s="30" t="s">
        <v>587</v>
      </c>
      <c r="D410" s="42" t="str">
        <f t="shared" si="28"/>
        <v>B</v>
      </c>
      <c r="E410" s="18" t="s">
        <v>581</v>
      </c>
      <c r="F410" s="18" t="s">
        <v>211</v>
      </c>
      <c r="G410" s="6" t="s">
        <v>598</v>
      </c>
      <c r="H410" s="12">
        <v>280000</v>
      </c>
      <c r="I410" s="18">
        <f t="shared" ca="1" si="27"/>
        <v>0</v>
      </c>
      <c r="J410" s="13" t="str">
        <f t="shared" ca="1" si="25"/>
        <v>정상</v>
      </c>
      <c r="K410" s="44"/>
      <c r="L410" s="44">
        <v>46125</v>
      </c>
      <c r="M410" s="42"/>
      <c r="N410" s="10" t="s">
        <v>33</v>
      </c>
      <c r="Q410" s="46"/>
      <c r="R410" s="46"/>
    </row>
    <row r="411" spans="2:18" s="18" customFormat="1" ht="16.5" customHeight="1">
      <c r="B411" s="10">
        <f>IF(C411="","",COUNTA($C$2:C411))</f>
        <v>410</v>
      </c>
      <c r="C411" s="30" t="s">
        <v>587</v>
      </c>
      <c r="D411" s="42" t="str">
        <f t="shared" si="28"/>
        <v>B</v>
      </c>
      <c r="E411" s="18" t="s">
        <v>395</v>
      </c>
      <c r="F411" s="18" t="s">
        <v>477</v>
      </c>
      <c r="G411" s="6" t="s">
        <v>598</v>
      </c>
      <c r="H411" s="12">
        <v>7665000</v>
      </c>
      <c r="I411" s="18">
        <f t="shared" ca="1" si="27"/>
        <v>1</v>
      </c>
      <c r="J411" s="13" t="str">
        <f t="shared" ca="1" si="25"/>
        <v>정상</v>
      </c>
      <c r="K411" s="44"/>
      <c r="L411" s="44"/>
      <c r="M411" s="42"/>
      <c r="N411" s="10" t="s">
        <v>33</v>
      </c>
      <c r="Q411" s="46"/>
      <c r="R411" s="46"/>
    </row>
    <row r="412" spans="2:18" s="18" customFormat="1" ht="16.5" customHeight="1">
      <c r="B412" s="10">
        <f>IF(C412="","",COUNTA($C$2:C412))</f>
        <v>411</v>
      </c>
      <c r="C412" s="30" t="s">
        <v>587</v>
      </c>
      <c r="D412" s="42" t="str">
        <f t="shared" si="28"/>
        <v>B</v>
      </c>
      <c r="E412" s="18" t="s">
        <v>582</v>
      </c>
      <c r="F412" s="18" t="s">
        <v>592</v>
      </c>
      <c r="G412" s="6" t="s">
        <v>598</v>
      </c>
      <c r="H412" s="12">
        <v>481100</v>
      </c>
      <c r="I412" s="18">
        <f t="shared" ca="1" si="27"/>
        <v>1</v>
      </c>
      <c r="J412" s="13" t="str">
        <f t="shared" ca="1" si="25"/>
        <v>정상</v>
      </c>
      <c r="K412" s="44"/>
      <c r="L412" s="44"/>
      <c r="M412" s="42"/>
      <c r="N412" s="10" t="s">
        <v>33</v>
      </c>
      <c r="Q412" s="46"/>
      <c r="R412" s="46"/>
    </row>
    <row r="413" spans="2:18" s="18" customFormat="1" ht="16.5" customHeight="1">
      <c r="B413" s="10">
        <f>IF(C413="","",COUNTA($C$2:C413))</f>
        <v>412</v>
      </c>
      <c r="C413" s="30" t="s">
        <v>587</v>
      </c>
      <c r="D413" s="42" t="str">
        <f t="shared" si="28"/>
        <v>B</v>
      </c>
      <c r="E413" s="18" t="s">
        <v>434</v>
      </c>
      <c r="F413" s="18" t="s">
        <v>432</v>
      </c>
      <c r="G413" s="6" t="s">
        <v>598</v>
      </c>
      <c r="H413" s="12">
        <v>3109500</v>
      </c>
      <c r="I413" s="18">
        <f t="shared" ca="1" si="27"/>
        <v>1</v>
      </c>
      <c r="J413" s="13" t="str">
        <f t="shared" ca="1" si="25"/>
        <v>정상</v>
      </c>
      <c r="K413" s="44"/>
      <c r="L413" s="44"/>
      <c r="M413" s="42"/>
      <c r="N413" s="10" t="s">
        <v>33</v>
      </c>
      <c r="Q413" s="46"/>
      <c r="R413" s="46"/>
    </row>
    <row r="414" spans="2:18" s="18" customFormat="1" ht="16.5" customHeight="1">
      <c r="B414" s="10">
        <f>IF(C414="","",COUNTA($C$2:C414))</f>
        <v>413</v>
      </c>
      <c r="C414" s="30" t="s">
        <v>587</v>
      </c>
      <c r="D414" s="42" t="str">
        <f t="shared" si="28"/>
        <v>B</v>
      </c>
      <c r="E414" s="18" t="s">
        <v>583</v>
      </c>
      <c r="F414" s="18" t="s">
        <v>588</v>
      </c>
      <c r="G414" s="6" t="s">
        <v>598</v>
      </c>
      <c r="H414" s="12">
        <v>399900</v>
      </c>
      <c r="I414" s="18">
        <f t="shared" ca="1" si="27"/>
        <v>1</v>
      </c>
      <c r="J414" s="13" t="str">
        <f t="shared" ref="J414:J426" ca="1" si="29">IF(I414="","",
 IF(G414="선급금",
   IF(I414&lt;=20,"정상",IF(I414&lt;=90,"관리","장기미수")),
 IF(G414="자재",
   IF(I414&lt;=40,"정상",IF(I414&lt;=90,"관리","장기미수")),
   IF(I414&lt;=30,"정상",IF(I414&lt;=90,"관리","장기미수"))
  )
 )
)</f>
        <v>정상</v>
      </c>
      <c r="K414" s="44"/>
      <c r="L414" s="44"/>
      <c r="M414" s="42"/>
      <c r="N414" s="10" t="s">
        <v>33</v>
      </c>
      <c r="Q414" s="46"/>
      <c r="R414" s="46"/>
    </row>
    <row r="415" spans="2:18" s="18" customFormat="1" ht="16.5" customHeight="1">
      <c r="B415" s="10">
        <f>IF(C415="","",COUNTA($C$2:C415))</f>
        <v>414</v>
      </c>
      <c r="C415" s="30" t="s">
        <v>587</v>
      </c>
      <c r="D415" s="42" t="str">
        <f t="shared" si="28"/>
        <v>B</v>
      </c>
      <c r="E415" s="18" t="s">
        <v>584</v>
      </c>
      <c r="F415" s="18" t="s">
        <v>593</v>
      </c>
      <c r="G415" s="6" t="s">
        <v>598</v>
      </c>
      <c r="H415" s="12">
        <v>4678300</v>
      </c>
      <c r="I415" s="18">
        <f t="shared" ca="1" si="27"/>
        <v>1</v>
      </c>
      <c r="J415" s="13" t="str">
        <f t="shared" ca="1" si="29"/>
        <v>정상</v>
      </c>
      <c r="K415" s="44"/>
      <c r="L415" s="44"/>
      <c r="M415" s="42"/>
      <c r="N415" s="10" t="s">
        <v>33</v>
      </c>
      <c r="Q415" s="46"/>
      <c r="R415" s="46"/>
    </row>
    <row r="416" spans="2:18" s="18" customFormat="1" ht="16.5" customHeight="1">
      <c r="B416" s="10">
        <f>IF(C416="","",COUNTA($C$2:C416))</f>
        <v>415</v>
      </c>
      <c r="C416" s="30" t="s">
        <v>587</v>
      </c>
      <c r="D416" s="42" t="str">
        <f t="shared" si="28"/>
        <v>B</v>
      </c>
      <c r="E416" s="18" t="s">
        <v>584</v>
      </c>
      <c r="F416" s="18" t="s">
        <v>594</v>
      </c>
      <c r="G416" s="6" t="s">
        <v>598</v>
      </c>
      <c r="H416" s="12">
        <v>941200</v>
      </c>
      <c r="I416" s="18">
        <f t="shared" ca="1" si="27"/>
        <v>1</v>
      </c>
      <c r="J416" s="13" t="str">
        <f t="shared" ca="1" si="29"/>
        <v>정상</v>
      </c>
      <c r="K416" s="44"/>
      <c r="L416" s="44"/>
      <c r="M416" s="42"/>
      <c r="N416" s="10" t="s">
        <v>33</v>
      </c>
      <c r="Q416" s="46"/>
      <c r="R416" s="46"/>
    </row>
    <row r="417" spans="2:18" s="18" customFormat="1" ht="16.5" customHeight="1">
      <c r="B417" s="10">
        <f>IF(C417="","",COUNTA($C$2:C417))</f>
        <v>416</v>
      </c>
      <c r="C417" s="30" t="s">
        <v>587</v>
      </c>
      <c r="D417" s="42" t="str">
        <f t="shared" si="28"/>
        <v>B</v>
      </c>
      <c r="E417" s="18" t="s">
        <v>128</v>
      </c>
      <c r="F417" s="18" t="s">
        <v>129</v>
      </c>
      <c r="G417" s="6" t="s">
        <v>598</v>
      </c>
      <c r="H417" s="12">
        <v>1885800</v>
      </c>
      <c r="I417" s="18">
        <f t="shared" ca="1" si="27"/>
        <v>1</v>
      </c>
      <c r="J417" s="13" t="str">
        <f t="shared" ca="1" si="29"/>
        <v>정상</v>
      </c>
      <c r="K417" s="44"/>
      <c r="L417" s="44"/>
      <c r="M417" s="42"/>
      <c r="N417" s="10" t="s">
        <v>33</v>
      </c>
      <c r="Q417" s="46"/>
      <c r="R417" s="46"/>
    </row>
    <row r="418" spans="2:18" s="18" customFormat="1" ht="16.5" customHeight="1">
      <c r="B418" s="10">
        <f>IF(C418="","",COUNTA($C$2:C418))</f>
        <v>417</v>
      </c>
      <c r="C418" s="30" t="s">
        <v>587</v>
      </c>
      <c r="D418" s="42" t="str">
        <f>IF(G418="","",IF(OR(G418="선급금",G418="중도금",G418="잔금"),"A",IF(G418="자재","B",IF(G418="특허료","C",""))))</f>
        <v>B</v>
      </c>
      <c r="E418" s="18" t="s">
        <v>39</v>
      </c>
      <c r="F418" s="18" t="s">
        <v>595</v>
      </c>
      <c r="G418" s="6" t="s">
        <v>598</v>
      </c>
      <c r="H418" s="12">
        <v>332400</v>
      </c>
      <c r="I418" s="18">
        <f t="shared" ca="1" si="27"/>
        <v>1</v>
      </c>
      <c r="J418" s="13" t="str">
        <f t="shared" ca="1" si="29"/>
        <v>정상</v>
      </c>
      <c r="K418" s="44"/>
      <c r="L418" s="44"/>
      <c r="M418" s="42"/>
      <c r="N418" s="10" t="s">
        <v>33</v>
      </c>
      <c r="Q418" s="46"/>
      <c r="R418" s="46"/>
    </row>
    <row r="419" spans="2:18" s="18" customFormat="1" ht="16.5" customHeight="1">
      <c r="B419" s="10">
        <f>IF(C419="","",COUNTA($C$2:C419))</f>
        <v>418</v>
      </c>
      <c r="C419" s="30" t="s">
        <v>587</v>
      </c>
      <c r="D419" s="42" t="str">
        <f t="shared" si="28"/>
        <v>B</v>
      </c>
      <c r="E419" s="18" t="s">
        <v>585</v>
      </c>
      <c r="F419" s="18" t="s">
        <v>596</v>
      </c>
      <c r="G419" s="6" t="s">
        <v>598</v>
      </c>
      <c r="H419" s="12">
        <v>1254000</v>
      </c>
      <c r="I419" s="18">
        <f t="shared" ca="1" si="27"/>
        <v>1</v>
      </c>
      <c r="J419" s="13" t="str">
        <f t="shared" ca="1" si="29"/>
        <v>정상</v>
      </c>
      <c r="K419" s="44"/>
      <c r="L419" s="44"/>
      <c r="M419" s="42"/>
      <c r="N419" s="10" t="s">
        <v>33</v>
      </c>
      <c r="Q419" s="46"/>
      <c r="R419" s="46"/>
    </row>
    <row r="420" spans="2:18" s="18" customFormat="1" ht="16.5" customHeight="1">
      <c r="B420" s="10">
        <f>IF(C420="","",COUNTA($C$2:C420))</f>
        <v>419</v>
      </c>
      <c r="C420" s="30" t="s">
        <v>587</v>
      </c>
      <c r="D420" s="42" t="str">
        <f t="shared" si="28"/>
        <v>B</v>
      </c>
      <c r="E420" s="18" t="s">
        <v>83</v>
      </c>
      <c r="F420" s="18" t="s">
        <v>493</v>
      </c>
      <c r="G420" s="6" t="s">
        <v>598</v>
      </c>
      <c r="H420" s="12">
        <v>7680000</v>
      </c>
      <c r="I420" s="18">
        <f t="shared" ca="1" si="27"/>
        <v>1</v>
      </c>
      <c r="J420" s="13" t="str">
        <f t="shared" ca="1" si="29"/>
        <v>정상</v>
      </c>
      <c r="K420" s="44"/>
      <c r="L420" s="44"/>
      <c r="M420" s="42"/>
      <c r="N420" s="10" t="s">
        <v>33</v>
      </c>
      <c r="Q420" s="46"/>
      <c r="R420" s="46"/>
    </row>
    <row r="421" spans="2:18" s="18" customFormat="1" ht="16.5" customHeight="1">
      <c r="B421" s="10">
        <f>IF(C421="","",COUNTA($C$2:C421))</f>
        <v>420</v>
      </c>
      <c r="C421" s="30" t="s">
        <v>587</v>
      </c>
      <c r="D421" s="42" t="str">
        <f t="shared" si="28"/>
        <v>B</v>
      </c>
      <c r="E421" s="18" t="s">
        <v>195</v>
      </c>
      <c r="F421" s="18" t="s">
        <v>597</v>
      </c>
      <c r="G421" s="6" t="s">
        <v>598</v>
      </c>
      <c r="H421" s="12">
        <v>720200</v>
      </c>
      <c r="I421" s="18">
        <f t="shared" ca="1" si="27"/>
        <v>1</v>
      </c>
      <c r="J421" s="13" t="str">
        <f t="shared" ca="1" si="29"/>
        <v>정상</v>
      </c>
      <c r="K421" s="44"/>
      <c r="L421" s="44"/>
      <c r="M421" s="42"/>
      <c r="N421" s="10" t="s">
        <v>33</v>
      </c>
      <c r="Q421" s="46"/>
      <c r="R421" s="46"/>
    </row>
    <row r="422" spans="2:18" s="18" customFormat="1" ht="16.5" customHeight="1">
      <c r="B422" s="10">
        <f>IF(C422="","",COUNTA($C$2:C422))</f>
        <v>421</v>
      </c>
      <c r="C422" s="30" t="s">
        <v>543</v>
      </c>
      <c r="D422" s="42" t="str">
        <f t="shared" si="28"/>
        <v>B</v>
      </c>
      <c r="E422" s="18" t="s">
        <v>126</v>
      </c>
      <c r="F422" s="18" t="s">
        <v>485</v>
      </c>
      <c r="G422" s="6" t="s">
        <v>598</v>
      </c>
      <c r="H422" s="12">
        <v>-3180000</v>
      </c>
      <c r="I422" s="18">
        <f t="shared" ca="1" si="27"/>
        <v>6</v>
      </c>
      <c r="J422" s="13" t="str">
        <f t="shared" ca="1" si="29"/>
        <v>정상</v>
      </c>
      <c r="K422" s="44"/>
      <c r="L422" s="44"/>
      <c r="M422" s="42"/>
      <c r="N422" s="10" t="s">
        <v>33</v>
      </c>
      <c r="Q422" s="46"/>
      <c r="R422" s="46"/>
    </row>
    <row r="423" spans="2:18" s="18" customFormat="1" ht="16.5" customHeight="1">
      <c r="B423" s="10">
        <f>IF(C423="","",COUNTA($C$2:C423))</f>
        <v>422</v>
      </c>
      <c r="C423" s="44">
        <v>46125</v>
      </c>
      <c r="D423" s="42" t="s">
        <v>178</v>
      </c>
      <c r="E423" s="18" t="s">
        <v>519</v>
      </c>
      <c r="F423" s="18" t="s">
        <v>272</v>
      </c>
      <c r="G423" s="18" t="s">
        <v>600</v>
      </c>
      <c r="H423" s="12">
        <v>59166000</v>
      </c>
      <c r="I423" s="18">
        <f t="shared" ca="1" si="27"/>
        <v>1</v>
      </c>
      <c r="J423" s="13" t="str">
        <f t="shared" ca="1" si="29"/>
        <v>정상</v>
      </c>
      <c r="K423" s="44"/>
      <c r="L423" s="44"/>
      <c r="M423" s="42"/>
      <c r="N423" s="10" t="s">
        <v>33</v>
      </c>
      <c r="Q423" s="46"/>
      <c r="R423" s="46"/>
    </row>
    <row r="424" spans="2:18" s="18" customFormat="1" ht="16.5" customHeight="1">
      <c r="B424" s="10">
        <f>IF(C424="","",COUNTA($C$2:C424))</f>
        <v>423</v>
      </c>
      <c r="C424" s="44">
        <v>46125</v>
      </c>
      <c r="D424" s="42" t="s">
        <v>178</v>
      </c>
      <c r="E424" s="18" t="s">
        <v>375</v>
      </c>
      <c r="F424" s="18" t="s">
        <v>372</v>
      </c>
      <c r="G424" s="18" t="s">
        <v>601</v>
      </c>
      <c r="H424" s="12">
        <v>12618800</v>
      </c>
      <c r="I424" s="18">
        <f t="shared" ca="1" si="27"/>
        <v>1</v>
      </c>
      <c r="J424" s="13" t="str">
        <f t="shared" ca="1" si="29"/>
        <v>정상</v>
      </c>
      <c r="K424" s="44"/>
      <c r="L424" s="44"/>
      <c r="M424" s="42"/>
      <c r="N424" s="10" t="s">
        <v>33</v>
      </c>
      <c r="Q424" s="46"/>
      <c r="R424" s="46"/>
    </row>
    <row r="425" spans="2:18" s="18" customFormat="1" ht="16.5" customHeight="1">
      <c r="B425" s="10">
        <f>IF(C425="","",COUNTA($C$2:C425))</f>
        <v>424</v>
      </c>
      <c r="C425" s="44">
        <v>46125</v>
      </c>
      <c r="D425" s="42" t="s">
        <v>178</v>
      </c>
      <c r="E425" s="18" t="s">
        <v>548</v>
      </c>
      <c r="F425" s="18" t="s">
        <v>547</v>
      </c>
      <c r="G425" s="18" t="s">
        <v>602</v>
      </c>
      <c r="H425" s="12">
        <v>12026400</v>
      </c>
      <c r="I425" s="18">
        <f t="shared" ca="1" si="27"/>
        <v>1</v>
      </c>
      <c r="J425" s="13" t="str">
        <f t="shared" ca="1" si="29"/>
        <v>정상</v>
      </c>
      <c r="K425" s="44"/>
      <c r="L425" s="44"/>
      <c r="M425" s="42"/>
      <c r="N425" s="10" t="s">
        <v>33</v>
      </c>
      <c r="Q425" s="46"/>
      <c r="R425" s="46"/>
    </row>
    <row r="426" spans="2:18" s="18" customFormat="1" ht="16.5" customHeight="1">
      <c r="B426" s="10">
        <f>IF(C426="","",COUNTA($C$2:C426))</f>
        <v>425</v>
      </c>
      <c r="C426" s="44">
        <v>46125</v>
      </c>
      <c r="D426" s="42" t="s">
        <v>178</v>
      </c>
      <c r="E426" s="18" t="s">
        <v>394</v>
      </c>
      <c r="F426" s="18" t="s">
        <v>599</v>
      </c>
      <c r="G426" s="18" t="s">
        <v>603</v>
      </c>
      <c r="H426" s="12">
        <v>5365000</v>
      </c>
      <c r="I426" s="18">
        <f t="shared" ca="1" si="27"/>
        <v>1</v>
      </c>
      <c r="J426" s="13" t="str">
        <f t="shared" ca="1" si="29"/>
        <v>정상</v>
      </c>
      <c r="K426" s="44"/>
      <c r="L426" s="44"/>
      <c r="M426" s="42"/>
      <c r="N426" s="10" t="s">
        <v>33</v>
      </c>
      <c r="Q426" s="46"/>
      <c r="R426" s="46"/>
    </row>
    <row r="427" spans="2:18" s="18" customFormat="1" ht="16.5" customHeight="1">
      <c r="B427" s="42"/>
      <c r="C427" s="46"/>
      <c r="D427" s="42" t="str">
        <f t="shared" si="28"/>
        <v/>
      </c>
      <c r="H427" s="12"/>
      <c r="K427" s="44"/>
      <c r="L427" s="44"/>
      <c r="M427" s="42"/>
      <c r="Q427" s="46"/>
      <c r="R427" s="46"/>
    </row>
  </sheetData>
  <autoFilter ref="A1:S427"/>
  <phoneticPr fontId="5" type="noConversion"/>
  <conditionalFormatting sqref="E3 F57:F60 E37">
    <cfRule type="expression" dxfId="91" priority="122">
      <formula>$J3="잔금"</formula>
    </cfRule>
  </conditionalFormatting>
  <conditionalFormatting sqref="E8">
    <cfRule type="expression" dxfId="90" priority="121">
      <formula>$J8="잔금"</formula>
    </cfRule>
  </conditionalFormatting>
  <conditionalFormatting sqref="E4">
    <cfRule type="expression" dxfId="89" priority="120">
      <formula>$J4="잔금"</formula>
    </cfRule>
  </conditionalFormatting>
  <conditionalFormatting sqref="E9">
    <cfRule type="expression" dxfId="88" priority="119">
      <formula>$J9="잔금"</formula>
    </cfRule>
  </conditionalFormatting>
  <conditionalFormatting sqref="E41">
    <cfRule type="expression" dxfId="87" priority="114">
      <formula>$J41="잔금"</formula>
    </cfRule>
  </conditionalFormatting>
  <conditionalFormatting sqref="E98:E99 E187:F193 H187:H193 F113 C187:C193 C422">
    <cfRule type="expression" dxfId="86" priority="104">
      <formula>$J98="잔금"</formula>
    </cfRule>
  </conditionalFormatting>
  <conditionalFormatting sqref="F98:F99">
    <cfRule type="expression" dxfId="85" priority="103">
      <formula>$J98="잔금"</formula>
    </cfRule>
  </conditionalFormatting>
  <conditionalFormatting sqref="F104:F105">
    <cfRule type="expression" dxfId="84" priority="101">
      <formula>$J104="잔금"</formula>
    </cfRule>
  </conditionalFormatting>
  <conditionalFormatting sqref="H104:H105">
    <cfRule type="expression" dxfId="83" priority="100">
      <formula>$J104="잔금"</formula>
    </cfRule>
  </conditionalFormatting>
  <conditionalFormatting sqref="E106:E108">
    <cfRule type="expression" dxfId="82" priority="99">
      <formula>$J106="잔금"</formula>
    </cfRule>
  </conditionalFormatting>
  <conditionalFormatting sqref="F106:F108">
    <cfRule type="expression" dxfId="81" priority="98">
      <formula>$J106="잔금"</formula>
    </cfRule>
  </conditionalFormatting>
  <conditionalFormatting sqref="H106:H108">
    <cfRule type="expression" dxfId="80" priority="97">
      <formula>$J106="잔금"</formula>
    </cfRule>
  </conditionalFormatting>
  <conditionalFormatting sqref="E110">
    <cfRule type="expression" dxfId="79" priority="96">
      <formula>$J110="잔금"</formula>
    </cfRule>
  </conditionalFormatting>
  <conditionalFormatting sqref="F110">
    <cfRule type="expression" dxfId="78" priority="95">
      <formula>$J110="잔금"</formula>
    </cfRule>
  </conditionalFormatting>
  <conditionalFormatting sqref="E111:E113">
    <cfRule type="expression" dxfId="77" priority="94">
      <formula>$J111="잔금"</formula>
    </cfRule>
  </conditionalFormatting>
  <conditionalFormatting sqref="F111">
    <cfRule type="expression" dxfId="76" priority="93">
      <formula>$J111="잔금"</formula>
    </cfRule>
  </conditionalFormatting>
  <conditionalFormatting sqref="F112">
    <cfRule type="expression" dxfId="75" priority="92">
      <formula>$J112="잔금"</formula>
    </cfRule>
  </conditionalFormatting>
  <conditionalFormatting sqref="H111:H113">
    <cfRule type="expression" dxfId="74" priority="91">
      <formula>$J111="잔금"</formula>
    </cfRule>
  </conditionalFormatting>
  <conditionalFormatting sqref="C111:C113">
    <cfRule type="expression" dxfId="73" priority="90">
      <formula>$J111="잔금"</formula>
    </cfRule>
  </conditionalFormatting>
  <conditionalFormatting sqref="E117">
    <cfRule type="expression" dxfId="72" priority="89">
      <formula>$J117="잔금"</formula>
    </cfRule>
  </conditionalFormatting>
  <conditionalFormatting sqref="F117">
    <cfRule type="expression" dxfId="71" priority="88">
      <formula>$J117="잔금"</formula>
    </cfRule>
  </conditionalFormatting>
  <conditionalFormatting sqref="F143:F150">
    <cfRule type="expression" dxfId="70" priority="87">
      <formula>$J143="잔금"</formula>
    </cfRule>
  </conditionalFormatting>
  <conditionalFormatting sqref="E143:E150">
    <cfRule type="expression" dxfId="69" priority="86">
      <formula>$J143="잔금"</formula>
    </cfRule>
  </conditionalFormatting>
  <conditionalFormatting sqref="H143:H150">
    <cfRule type="expression" dxfId="68" priority="85">
      <formula>$J143="잔금"</formula>
    </cfRule>
  </conditionalFormatting>
  <conditionalFormatting sqref="E152:E158">
    <cfRule type="expression" dxfId="67" priority="83">
      <formula>$J152="잔금"</formula>
    </cfRule>
  </conditionalFormatting>
  <conditionalFormatting sqref="F152:F158">
    <cfRule type="expression" dxfId="66" priority="82">
      <formula>$J152="잔금"</formula>
    </cfRule>
  </conditionalFormatting>
  <conditionalFormatting sqref="C152:C158">
    <cfRule type="expression" dxfId="65" priority="81">
      <formula>$J152="잔금"</formula>
    </cfRule>
  </conditionalFormatting>
  <conditionalFormatting sqref="H152:H158">
    <cfRule type="expression" dxfId="64" priority="80">
      <formula>$J152="잔금"</formula>
    </cfRule>
  </conditionalFormatting>
  <conditionalFormatting sqref="C159">
    <cfRule type="expression" dxfId="63" priority="79">
      <formula>$I159="잔금"</formula>
    </cfRule>
  </conditionalFormatting>
  <conditionalFormatting sqref="F160:F163">
    <cfRule type="expression" dxfId="62" priority="78">
      <formula>$J160="잔금"</formula>
    </cfRule>
  </conditionalFormatting>
  <conditionalFormatting sqref="E160:E163">
    <cfRule type="expression" dxfId="61" priority="77">
      <formula>$J160="잔금"</formula>
    </cfRule>
  </conditionalFormatting>
  <conditionalFormatting sqref="C160:C166">
    <cfRule type="expression" dxfId="60" priority="76">
      <formula>$J160="잔금"</formula>
    </cfRule>
  </conditionalFormatting>
  <conditionalFormatting sqref="H160:H163">
    <cfRule type="expression" dxfId="59" priority="75">
      <formula>$J160="잔금"</formula>
    </cfRule>
  </conditionalFormatting>
  <conditionalFormatting sqref="F167:F179">
    <cfRule type="expression" dxfId="58" priority="74">
      <formula>$J167="잔금"</formula>
    </cfRule>
  </conditionalFormatting>
  <conditionalFormatting sqref="F180:F186">
    <cfRule type="expression" dxfId="57" priority="73">
      <formula>$J180="잔금"</formula>
    </cfRule>
  </conditionalFormatting>
  <conditionalFormatting sqref="E167:E179">
    <cfRule type="expression" dxfId="56" priority="72">
      <formula>$J167="잔금"</formula>
    </cfRule>
  </conditionalFormatting>
  <conditionalFormatting sqref="E180:E186">
    <cfRule type="expression" dxfId="55" priority="71">
      <formula>$J180="잔금"</formula>
    </cfRule>
  </conditionalFormatting>
  <conditionalFormatting sqref="C180:C186">
    <cfRule type="expression" dxfId="54" priority="69">
      <formula>$J180="잔금"</formula>
    </cfRule>
  </conditionalFormatting>
  <conditionalFormatting sqref="H167:H179">
    <cfRule type="expression" dxfId="53" priority="68">
      <formula>$J167="잔금"</formula>
    </cfRule>
  </conditionalFormatting>
  <conditionalFormatting sqref="H180:H186">
    <cfRule type="expression" dxfId="52" priority="67">
      <formula>$J180="잔금"</formula>
    </cfRule>
  </conditionalFormatting>
  <conditionalFormatting sqref="F195:F201">
    <cfRule type="expression" dxfId="51" priority="62">
      <formula>$J195="잔금"</formula>
    </cfRule>
  </conditionalFormatting>
  <conditionalFormatting sqref="E195:E201">
    <cfRule type="expression" dxfId="50" priority="61">
      <formula>$J195="잔금"</formula>
    </cfRule>
  </conditionalFormatting>
  <conditionalFormatting sqref="C195:C202">
    <cfRule type="expression" dxfId="49" priority="60">
      <formula>$J195="잔금"</formula>
    </cfRule>
  </conditionalFormatting>
  <conditionalFormatting sqref="H195:H201">
    <cfRule type="expression" dxfId="48" priority="59">
      <formula>$J195="잔금"</formula>
    </cfRule>
  </conditionalFormatting>
  <conditionalFormatting sqref="C203:C216">
    <cfRule type="expression" dxfId="47" priority="58">
      <formula>$J203="잔금"</formula>
    </cfRule>
  </conditionalFormatting>
  <conditionalFormatting sqref="F203:F216">
    <cfRule type="expression" dxfId="46" priority="57">
      <formula>$J203="잔금"</formula>
    </cfRule>
  </conditionalFormatting>
  <conditionalFormatting sqref="H203:H216">
    <cfRule type="expression" dxfId="45" priority="56">
      <formula>$J203="잔금"</formula>
    </cfRule>
  </conditionalFormatting>
  <conditionalFormatting sqref="E203:E217">
    <cfRule type="expression" dxfId="44" priority="55">
      <formula>$J203="잔금"</formula>
    </cfRule>
  </conditionalFormatting>
  <conditionalFormatting sqref="C217">
    <cfRule type="expression" dxfId="43" priority="54">
      <formula>$I217="잔금"</formula>
    </cfRule>
  </conditionalFormatting>
  <conditionalFormatting sqref="H217">
    <cfRule type="expression" dxfId="42" priority="49">
      <formula>$I217="잔금"</formula>
    </cfRule>
  </conditionalFormatting>
  <conditionalFormatting sqref="C218">
    <cfRule type="expression" dxfId="41" priority="48">
      <formula>$I218="잔금"</formula>
    </cfRule>
  </conditionalFormatting>
  <conditionalFormatting sqref="C219">
    <cfRule type="expression" dxfId="40" priority="47">
      <formula>$I219="잔금"</formula>
    </cfRule>
  </conditionalFormatting>
  <conditionalFormatting sqref="C220">
    <cfRule type="expression" dxfId="39" priority="46">
      <formula>$I220="잔금"</formula>
    </cfRule>
  </conditionalFormatting>
  <conditionalFormatting sqref="F221:F230">
    <cfRule type="expression" dxfId="38" priority="45">
      <formula>$J221="잔금"</formula>
    </cfRule>
  </conditionalFormatting>
  <conditionalFormatting sqref="F231:F244">
    <cfRule type="expression" dxfId="37" priority="44">
      <formula>$J231="잔금"</formula>
    </cfRule>
  </conditionalFormatting>
  <conditionalFormatting sqref="E221:E230">
    <cfRule type="expression" dxfId="36" priority="43">
      <formula>$J221="잔금"</formula>
    </cfRule>
  </conditionalFormatting>
  <conditionalFormatting sqref="E231:E244">
    <cfRule type="expression" dxfId="35" priority="42">
      <formula>$J231="잔금"</formula>
    </cfRule>
  </conditionalFormatting>
  <conditionalFormatting sqref="H221:H230">
    <cfRule type="expression" dxfId="34" priority="41">
      <formula>$J221="잔금"</formula>
    </cfRule>
  </conditionalFormatting>
  <conditionalFormatting sqref="H231:H244">
    <cfRule type="expression" dxfId="33" priority="40">
      <formula>$J231="잔금"</formula>
    </cfRule>
  </conditionalFormatting>
  <conditionalFormatting sqref="C246">
    <cfRule type="expression" dxfId="32" priority="39">
      <formula>$I246="잔금"</formula>
    </cfRule>
  </conditionalFormatting>
  <conditionalFormatting sqref="C247">
    <cfRule type="expression" dxfId="31" priority="38">
      <formula>$I247="잔금"</formula>
    </cfRule>
  </conditionalFormatting>
  <conditionalFormatting sqref="C248">
    <cfRule type="expression" dxfId="30" priority="37">
      <formula>$I248="잔금"</formula>
    </cfRule>
  </conditionalFormatting>
  <conditionalFormatting sqref="F249:F253">
    <cfRule type="expression" dxfId="29" priority="36">
      <formula>$J249="잔금"</formula>
    </cfRule>
  </conditionalFormatting>
  <conditionalFormatting sqref="E249:E253">
    <cfRule type="expression" dxfId="28" priority="35">
      <formula>$J249="잔금"</formula>
    </cfRule>
  </conditionalFormatting>
  <conditionalFormatting sqref="C249:C253">
    <cfRule type="expression" dxfId="27" priority="34">
      <formula>$J249="잔금"</formula>
    </cfRule>
  </conditionalFormatting>
  <conditionalFormatting sqref="H249:H253">
    <cfRule type="expression" dxfId="26" priority="33">
      <formula>$J249="잔금"</formula>
    </cfRule>
  </conditionalFormatting>
  <conditionalFormatting sqref="C254:C257">
    <cfRule type="expression" dxfId="25" priority="32">
      <formula>$I254="잔금"</formula>
    </cfRule>
  </conditionalFormatting>
  <conditionalFormatting sqref="F258:F267">
    <cfRule type="expression" dxfId="24" priority="31">
      <formula>$J258="잔금"</formula>
    </cfRule>
  </conditionalFormatting>
  <conditionalFormatting sqref="F268:F276">
    <cfRule type="expression" dxfId="23" priority="30">
      <formula>$J268="잔금"</formula>
    </cfRule>
  </conditionalFormatting>
  <conditionalFormatting sqref="C115">
    <cfRule type="expression" dxfId="22" priority="24">
      <formula>$J115="잔금"</formula>
    </cfRule>
  </conditionalFormatting>
  <conditionalFormatting sqref="C114">
    <cfRule type="expression" dxfId="21" priority="25">
      <formula>$J114="잔금"</formula>
    </cfRule>
  </conditionalFormatting>
  <conditionalFormatting sqref="C167">
    <cfRule type="expression" dxfId="20" priority="23">
      <formula>$J167="잔금"</formula>
    </cfRule>
  </conditionalFormatting>
  <conditionalFormatting sqref="C168">
    <cfRule type="expression" dxfId="19" priority="22">
      <formula>$J168="잔금"</formula>
    </cfRule>
  </conditionalFormatting>
  <conditionalFormatting sqref="C169">
    <cfRule type="expression" dxfId="18" priority="21">
      <formula>$J169="잔금"</formula>
    </cfRule>
  </conditionalFormatting>
  <conditionalFormatting sqref="C170">
    <cfRule type="expression" dxfId="17" priority="20">
      <formula>$J170="잔금"</formula>
    </cfRule>
  </conditionalFormatting>
  <conditionalFormatting sqref="C171">
    <cfRule type="expression" dxfId="16" priority="19">
      <formula>$J171="잔금"</formula>
    </cfRule>
  </conditionalFormatting>
  <conditionalFormatting sqref="C172">
    <cfRule type="expression" dxfId="15" priority="18">
      <formula>$J172="잔금"</formula>
    </cfRule>
  </conditionalFormatting>
  <conditionalFormatting sqref="C173">
    <cfRule type="expression" dxfId="14" priority="17">
      <formula>$J173="잔금"</formula>
    </cfRule>
  </conditionalFormatting>
  <conditionalFormatting sqref="C174">
    <cfRule type="expression" dxfId="13" priority="16">
      <formula>$J174="잔금"</formula>
    </cfRule>
  </conditionalFormatting>
  <conditionalFormatting sqref="C175">
    <cfRule type="expression" dxfId="12" priority="14">
      <formula>$J175="잔금"</formula>
    </cfRule>
  </conditionalFormatting>
  <conditionalFormatting sqref="C176">
    <cfRule type="expression" dxfId="11" priority="13">
      <formula>$J176="잔금"</formula>
    </cfRule>
  </conditionalFormatting>
  <conditionalFormatting sqref="C177">
    <cfRule type="expression" dxfId="10" priority="12">
      <formula>$J177="잔금"</formula>
    </cfRule>
  </conditionalFormatting>
  <conditionalFormatting sqref="C178">
    <cfRule type="expression" dxfId="9" priority="11">
      <formula>$J178="잔금"</formula>
    </cfRule>
  </conditionalFormatting>
  <conditionalFormatting sqref="C179">
    <cfRule type="expression" dxfId="8" priority="10">
      <formula>$J179="잔금"</formula>
    </cfRule>
  </conditionalFormatting>
  <conditionalFormatting sqref="H309:H310">
    <cfRule type="expression" dxfId="7" priority="4">
      <formula>$J309="잔금"</formula>
    </cfRule>
  </conditionalFormatting>
  <conditionalFormatting sqref="F290:F303">
    <cfRule type="expression" dxfId="6" priority="9">
      <formula>$J290="잔금"</formula>
    </cfRule>
  </conditionalFormatting>
  <conditionalFormatting sqref="F304:F308">
    <cfRule type="expression" dxfId="5" priority="8">
      <formula>$J304="잔금"</formula>
    </cfRule>
  </conditionalFormatting>
  <conditionalFormatting sqref="F309:F310">
    <cfRule type="expression" dxfId="4" priority="7">
      <formula>$J309="잔금"</formula>
    </cfRule>
  </conditionalFormatting>
  <conditionalFormatting sqref="H290:H303">
    <cfRule type="expression" dxfId="3" priority="6">
      <formula>$J290="잔금"</formula>
    </cfRule>
  </conditionalFormatting>
  <conditionalFormatting sqref="H304:H308">
    <cfRule type="expression" dxfId="2" priority="5">
      <formula>$J304="잔금"</formula>
    </cfRule>
  </conditionalFormatting>
  <conditionalFormatting sqref="H312:H353">
    <cfRule type="expression" dxfId="1" priority="3">
      <formula>$J312="잔금"</formula>
    </cfRule>
  </conditionalFormatting>
  <conditionalFormatting sqref="C403:C421">
    <cfRule type="expression" dxfId="0" priority="2">
      <formula>$J403="잔금"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426">
      <formula1>"Y,N"</formula1>
    </dataValidation>
    <dataValidation type="list" allowBlank="1" sqref="D2:D427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2026-04-14T04:18:40Z</dcterms:modified>
</cp:coreProperties>
</file>