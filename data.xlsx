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<sst xmlns="http://schemas.openxmlformats.org/spreadsheetml/2006/main" count="712" uniqueCount="219">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</sst>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  <numFmt numFmtId="181" formatCode="_-* #,##0_-;\-* #,##0_-;_-* &quot;-&quot;_-;_-@_-"/>
  </numFmts>
  <fonts count="13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5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81" fontId="8" fillId="0" borderId="0" applyFont="0" applyFill="0" applyBorder="0" applyAlignment="0" applyProtection="0">
      <alignment vertical="center"/>
    </xf>
  </cellStyleXfs>
  <cellXfs count="5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</cellXfs>
  <cellStyles count="15">
    <cellStyle name="Excel Built-in Comma [0]" xfId="8"/>
    <cellStyle name="백분율 2" xfId="2"/>
    <cellStyle name="백분율 3" xfId="10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표준" xfId="0" builtinId="0"/>
    <cellStyle name="표준 118 2 7 16" xfId="5"/>
    <cellStyle name="표준 125" xfId="6"/>
    <cellStyle name="표준 2" xfId="7"/>
    <cellStyle name="표준 3" xfId="1"/>
  </cellStyles>
  <dxfs count="2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7"/>
  <sheetViews>
    <sheetView tabSelected="1" zoomScaleNormal="100" workbookViewId="0">
      <pane xSplit="5" ySplit="1" topLeftCell="F104" activePane="bottomRight" state="frozen"/>
      <selection pane="topRight"/>
      <selection pane="bottomLeft"/>
      <selection pane="bottomRight" activeCell="E131" sqref="E131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287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137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117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267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169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119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74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69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252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112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427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847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651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491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629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628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720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362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357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347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341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337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337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336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334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313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299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278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266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236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214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285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209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187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182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168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139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137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126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120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117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116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113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46345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-261</v>
      </c>
      <c r="J49" s="13" t="str">
        <f t="shared" ca="1" si="2"/>
        <v>정상</v>
      </c>
      <c r="K49" s="11"/>
      <c r="L49" s="11"/>
      <c r="M49" s="10"/>
      <c r="N49" s="10" t="s">
        <v>201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76</v>
      </c>
      <c r="J54" s="13" t="str">
        <f t="shared" ca="1" si="2"/>
        <v>관리</v>
      </c>
      <c r="K54" s="11"/>
      <c r="L54" s="11"/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379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244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244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195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78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78</v>
      </c>
      <c r="J64" s="13" t="str">
        <f t="shared" ca="1" si="5"/>
        <v>관리</v>
      </c>
      <c r="K64" s="11">
        <v>46087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75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57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56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56</v>
      </c>
      <c r="J69" s="13" t="str">
        <f t="shared" ca="1" si="5"/>
        <v>관리</v>
      </c>
      <c r="K69" s="11"/>
      <c r="L69" s="11"/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57</v>
      </c>
      <c r="J72" s="13" t="str">
        <f t="shared" ca="1" si="5"/>
        <v>관리</v>
      </c>
      <c r="K72" s="11"/>
      <c r="L72" s="11"/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57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54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8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8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46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42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42</v>
      </c>
      <c r="J84" s="13" t="str">
        <f t="shared" ca="1" si="5"/>
        <v>관리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40</v>
      </c>
      <c r="J85" s="13" t="str">
        <f t="shared" ca="1" si="5"/>
        <v>정상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40</v>
      </c>
      <c r="J86" s="13" t="str">
        <f t="shared" ca="1" si="5"/>
        <v>정상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36</v>
      </c>
      <c r="J87" s="13" t="str">
        <f t="shared" ca="1" si="5"/>
        <v>정상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33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33</v>
      </c>
      <c r="J90" s="13" t="str">
        <f t="shared" ca="1" si="5"/>
        <v>정상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29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22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21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21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57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20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20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19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19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19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18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17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11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8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8</v>
      </c>
      <c r="J115" s="13" t="str">
        <f t="shared" ref="J115:J129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7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6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4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4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4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4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f>IF(C126="","",COUNTA($C$2:C126))</f>
        <v>125</v>
      </c>
      <c r="C126" s="52" t="s">
        <v>218</v>
      </c>
      <c r="D126" s="10" t="str">
        <f t="shared" si="9"/>
        <v>B</v>
      </c>
      <c r="E126" s="51" t="s">
        <v>217</v>
      </c>
      <c r="F126" s="49" t="s">
        <v>213</v>
      </c>
      <c r="G126" s="6" t="s">
        <v>176</v>
      </c>
      <c r="H126" s="50">
        <v>6520600</v>
      </c>
      <c r="I126" s="6">
        <f t="shared" ca="1" si="10"/>
        <v>4</v>
      </c>
      <c r="J126" s="13" t="str">
        <f t="shared" ca="1" si="11"/>
        <v>정상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/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ref="D139:D202" si="12">IF(G139="","",IF(OR(G139="선급금",G139="중도금",G139="잔금"),"A",IF(G139="자재","B",IF(G139="특허료","C",""))))</f>
        <v/>
      </c>
      <c r="H139" s="4"/>
      <c r="I139" s="6" t="str">
        <f t="shared" ref="I139:I202" ca="1" si="13">IF(C139="","",IF(L139="",TODAY()-C139,L139-C139))</f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si="12"/>
        <v/>
      </c>
      <c r="H140" s="4"/>
      <c r="I140" s="6" t="str">
        <f t="shared" ca="1" si="13"/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ref="D203:D266" si="14">IF(G203="","",IF(OR(G203="선급금",G203="중도금",G203="잔금"),"A",IF(G203="자재","B",IF(G203="특허료","C",""))))</f>
        <v/>
      </c>
      <c r="H203" s="4"/>
      <c r="I203" s="6" t="str">
        <f t="shared" ref="I203:I266" ca="1" si="15">IF(C203="","",IF(L203="",TODAY()-C203,L203-C203))</f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si="14"/>
        <v/>
      </c>
      <c r="H204" s="4"/>
      <c r="I204" s="6" t="str">
        <f t="shared" ca="1" si="15"/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/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ref="D267:D330" si="16">IF(G267="","",IF(OR(G267="선급금",G267="중도금",G267="잔금"),"A",IF(G267="자재","B",IF(G267="특허료","C",""))))</f>
        <v/>
      </c>
      <c r="H267" s="4"/>
      <c r="I267" s="6" t="str">
        <f t="shared" ref="I267:I330" ca="1" si="17">IF(C267="","",IF(L267="",TODAY()-C267,L267-C267))</f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6"/>
        <v/>
      </c>
      <c r="H268" s="4"/>
      <c r="I268" s="6" t="str">
        <f t="shared" ca="1" si="17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ref="D331:D394" si="18">IF(G331="","",IF(OR(G331="선급금",G331="중도금",G331="잔금"),"A",IF(G331="자재","B",IF(G331="특허료","C",""))))</f>
        <v/>
      </c>
      <c r="H331" s="4"/>
      <c r="I331" s="6" t="str">
        <f t="shared" ref="I331:I394" ca="1" si="19">IF(C331="","",IF(L331="",TODAY()-C331,L331-C331))</f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8"/>
        <v/>
      </c>
      <c r="H332" s="4"/>
      <c r="I332" s="6" t="str">
        <f t="shared" ca="1" si="19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0">IF(G395="","",IF(OR(G395="선급금",G395="중도금",G395="잔금"),"A",IF(G395="자재","B",IF(G395="특허료","C",""))))</f>
        <v/>
      </c>
      <c r="H395" s="4"/>
      <c r="I395" s="6" t="str">
        <f t="shared" ref="I395:I405" ca="1" si="21">IF(C395="","",IF(L395="",TODAY()-C395,L395-C395))</f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0"/>
        <v/>
      </c>
      <c r="H396" s="4"/>
      <c r="I396" s="6" t="str">
        <f t="shared" ca="1" si="21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0"/>
        <v/>
      </c>
      <c r="I402" s="1" t="str">
        <f t="shared" ca="1" si="21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>
      <c r="B406" s="10"/>
      <c r="C406" s="11"/>
      <c r="D406" s="1" t="str">
        <f t="shared" si="20"/>
        <v/>
      </c>
      <c r="Q406" s="11"/>
      <c r="R406" s="11"/>
    </row>
    <row r="407" spans="2:19">
      <c r="B407" s="10"/>
      <c r="C407" s="11"/>
      <c r="D407" s="1" t="str">
        <f t="shared" si="20"/>
        <v/>
      </c>
      <c r="Q407" s="11"/>
      <c r="R407" s="11"/>
    </row>
  </sheetData>
  <autoFilter ref="A1:S407"/>
  <phoneticPr fontId="5" type="noConversion"/>
  <conditionalFormatting sqref="E3 F57:F60">
    <cfRule type="expression" dxfId="20" priority="35">
      <formula>$J3="잔금"</formula>
    </cfRule>
  </conditionalFormatting>
  <conditionalFormatting sqref="E8">
    <cfRule type="expression" dxfId="19" priority="34">
      <formula>$J8="잔금"</formula>
    </cfRule>
  </conditionalFormatting>
  <conditionalFormatting sqref="E4">
    <cfRule type="expression" dxfId="18" priority="33">
      <formula>$J4="잔금"</formula>
    </cfRule>
  </conditionalFormatting>
  <conditionalFormatting sqref="E9">
    <cfRule type="expression" dxfId="17" priority="32">
      <formula>$J9="잔금"</formula>
    </cfRule>
  </conditionalFormatting>
  <conditionalFormatting sqref="E41 E37">
    <cfRule type="expression" dxfId="16" priority="27">
      <formula>$J37="잔금"</formula>
    </cfRule>
  </conditionalFormatting>
  <conditionalFormatting sqref="E98:E99">
    <cfRule type="expression" dxfId="15" priority="17">
      <formula>$J98="잔금"</formula>
    </cfRule>
  </conditionalFormatting>
  <conditionalFormatting sqref="F98:F99">
    <cfRule type="expression" dxfId="14" priority="16">
      <formula>$J98="잔금"</formula>
    </cfRule>
  </conditionalFormatting>
  <conditionalFormatting sqref="F104:F105">
    <cfRule type="expression" dxfId="13" priority="14">
      <formula>$J104="잔금"</formula>
    </cfRule>
  </conditionalFormatting>
  <conditionalFormatting sqref="H104:H105">
    <cfRule type="expression" dxfId="12" priority="13">
      <formula>$J104="잔금"</formula>
    </cfRule>
  </conditionalFormatting>
  <conditionalFormatting sqref="E106:E108">
    <cfRule type="expression" dxfId="11" priority="12">
      <formula>$J106="잔금"</formula>
    </cfRule>
  </conditionalFormatting>
  <conditionalFormatting sqref="F106:F108">
    <cfRule type="expression" dxfId="10" priority="11">
      <formula>$J106="잔금"</formula>
    </cfRule>
  </conditionalFormatting>
  <conditionalFormatting sqref="H106:H108">
    <cfRule type="expression" dxfId="9" priority="10">
      <formula>$J106="잔금"</formula>
    </cfRule>
  </conditionalFormatting>
  <conditionalFormatting sqref="E110">
    <cfRule type="expression" dxfId="8" priority="9">
      <formula>$J110="잔금"</formula>
    </cfRule>
  </conditionalFormatting>
  <conditionalFormatting sqref="F110">
    <cfRule type="expression" dxfId="7" priority="8">
      <formula>$J110="잔금"</formula>
    </cfRule>
  </conditionalFormatting>
  <conditionalFormatting sqref="E111:E113">
    <cfRule type="expression" dxfId="6" priority="7">
      <formula>$J111="잔금"</formula>
    </cfRule>
  </conditionalFormatting>
  <conditionalFormatting sqref="F111 F113">
    <cfRule type="expression" dxfId="5" priority="6">
      <formula>$J111="잔금"</formula>
    </cfRule>
  </conditionalFormatting>
  <conditionalFormatting sqref="F112">
    <cfRule type="expression" dxfId="4" priority="5">
      <formula>$J112="잔금"</formula>
    </cfRule>
  </conditionalFormatting>
  <conditionalFormatting sqref="H111:H113">
    <cfRule type="expression" dxfId="3" priority="4">
      <formula>$J111="잔금"</formula>
    </cfRule>
  </conditionalFormatting>
  <conditionalFormatting sqref="C111:C113">
    <cfRule type="expression" dxfId="2" priority="3">
      <formula>$J111="잔금"</formula>
    </cfRule>
  </conditionalFormatting>
  <conditionalFormatting sqref="E117">
    <cfRule type="expression" dxfId="1" priority="2">
      <formula>$J117="잔금"</formula>
    </cfRule>
  </conditionalFormatting>
  <conditionalFormatting sqref="F117">
    <cfRule type="expression" dxfId="0" priority="1">
      <formula>$J117="잔금"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126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2026-03-03T03:44:40Z</dcterms:modified>
</cp:coreProperties>
</file>