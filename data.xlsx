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<sst xmlns="http://schemas.openxmlformats.org/spreadsheetml/2006/main" count="2031" uniqueCount="569">
  <si>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</si>
  <si>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</si>
  <si>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</si>
  <si>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</si>
  <si>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</si>
  <si>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</si>
  <si>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</si>
  <si>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</si>
  <si>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</si>
  <si>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</si>
  <si>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</si>
  <si>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</si>
  <si>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</si>
  <si>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</si>
  <si>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</si>
  <si>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</si>
  <si>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</si>
  <si>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</si>
  <si>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</si>
  <si>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</si>
  <si>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</si>
  <si>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</si>
  <si>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</si>
  <si>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</si>
  <si>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</si>
  <si>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</si>
  <si>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</si>
  <si>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</si>
  <si>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</si>
  <si>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</si>
  <si>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</si>
  <si>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</si>
  <si>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</si>
  <si>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</si>
  <si>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</si>
  <si>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</si>
  <si>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</si>
  <si>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</si>
  <si>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</si>
  <si>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</si>
  <si>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</si>
  <si>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</si>
  <si>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</si>
  <si>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</si>
  <si>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</si>
  <si>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</si>
  <si>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</si>
  <si>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</si>
  <si>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</si>
  <si>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</si>
  <si>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</si>
  <si>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</si>
  <si>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</si>
  <si>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</si>
  <si>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</si>
  <si>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</si>
  <si>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</si>
  <si>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</si>
  <si>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</si>
  <si>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</si>
  <si>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</si>
  <si>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</si>
  <si>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</si>
  <si>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</si>
  <si>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</si>
  <si>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</si>
  <si>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</si>
  <si>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</si>
  <si>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</si>
  <si>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</si>
  <si>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</si>
  <si>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</si>
  <si>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</si>
  <si>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</si>
  <si>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</si>
  <si>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</si>
  <si>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</si>
  <si>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</si>
  <si>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</si>
  <si>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</si>
  <si>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</si>
  <si>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</si>
  <si>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</si>
  <si>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</si>
  <si>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</si>
  <si>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</si>
  <si>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</si>
  <si>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</si>
  <si>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</si>
  <si>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</si>
  <si>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</si>
  <si>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</si>
  <si>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</si>
  <si>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</si>
  <si>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</si>
  <si>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</si>
  <si>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</si>
  <si>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</si>
  <si>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</si>
  <si>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</si>
  <si>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</si>
  <si>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</si>
  <si>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</si>
  <si>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</si>
  <si>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</si>
  <si>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</si>
  <si>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</si>
  <si>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</si>
  <si>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</si>
  <si>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</si>
  <si>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</si>
  <si>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</si>
  <si>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</si>
  <si>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</si>
  <si>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</si>
  <si>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</si>
  <si>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</si>
  <si>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</si>
  <si>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</si>
  <si>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</si>
  <si>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</si>
  <si>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</si>
  <si>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</si>
  <si>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</si>
  <si>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</si>
  <si>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</si>
  <si>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</si>
  <si>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</si>
  <si>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</si>
  <si>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</si>
  <si>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</si>
  <si>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</si>
  <si>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</si>
  <si>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</si>
  <si>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</si>
  <si>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</si>
  <si>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</si>
  <si>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</si>
  <si>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</si>
  <si>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</si>
  <si>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</si>
  <si>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</si>
  <si>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</si>
  <si>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</si>
  <si>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</si>
  <si>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</si>
  <si>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</si>
  <si>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</si>
  <si>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</si>
  <si>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</si>
  <si>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</si>
  <si>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</si>
  <si>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</si>
  <si>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</si>
  <si>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</si>
  <si>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</si>
  <si>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</si>
  <si>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</si>
  <si>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</si>
  <si>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</si>
  <si>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</si>
  <si>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</si>
  <si>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</si>
  <si>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</si>
  <si>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</si>
  <si>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</si>
  <si>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</si>
  <si>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</si>
  <si>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</si>
  <si>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</si>
  <si>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</si>
  <si>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</si>
  <si>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</si>
  <si>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</si>
  <si>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</si>
  <si>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</si>
  <si>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</si>
  <si>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</si>
  <si>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</si>
  <si>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</si>
  <si>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</si>
  <si>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</si>
  <si>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</si>
  <si>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</si>
  <si>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</si>
  <si>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</si>
  <si>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</si>
  <si>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</si>
  <si>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</si>
  <si>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</si>
  <si>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</si>
  <si>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</si>
  <si>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</si>
  <si>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</si>
  <si>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</si>
  <si>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</si>
  <si>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</si>
  <si>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</si>
  <si>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</si>
  <si>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</si>
  <si>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</si>
  <si>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</si>
  <si>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</si>
  <si>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</si>
  <si>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</si>
  <si>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</si>
  <si>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</si>
  <si>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</si>
  <si>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</si>
  <si>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</si>
  <si>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</si>
  <si>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</si>
  <si>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</si>
  <si>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</si>
  <si>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</si>
  <si>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</si>
  <si>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</si>
  <si>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</si>
  <si>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</si>
  <si>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</si>
  <si>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</si>
  <si>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</si>
  <si>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</si>
  <si>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</si>
  <si>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</si>
  <si>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</si>
  <si>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</si>
  <si>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</si>
  <si>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</si>
  <si>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</si>
  <si>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</si>
  <si>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</si>
  <si>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</si>
  <si>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</si>
  <si>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</si>
  <si>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</si>
  <si>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</si>
  <si>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</si>
  <si>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</si>
  <si>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</si>
  <si>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</si>
  <si>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</si>
  <si>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</si>
  <si>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</si>
  <si>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</si>
  <si>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</si>
  <si>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</si>
  <si>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</si>
  <si>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</si>
  <si>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</si>
  <si>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</si>
  <si>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</si>
  <si>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</si>
  <si>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</si>
  <si>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</si>
  <si>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</si>
  <si>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</si>
  <si>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</si>
  <si>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</si>
  <si>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</si>
  <si>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</si>
  <si>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</si>
  <si>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</si>
  <si>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</si>
  <si>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</si>
  <si>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</si>
  <si>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</si>
  <si>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</si>
  <si>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</si>
  <si>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</si>
  <si>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</si>
  <si>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</si>
  <si>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</si>
  <si>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</si>
  <si>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</si>
  <si>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</si>
  <si>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</si>
  <si>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</si>
  <si>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</si>
  <si>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</si>
  <si>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</si>
  <si>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</si>
  <si>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</si>
  <si>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</si>
  <si>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</si>
  <si>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</si>
  <si>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</si>
  <si>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</si>
  <si>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</si>
  <si>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</si>
  <si>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</si>
  <si>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</si>
  <si>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</si>
  <si>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</si>
  <si>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</si>
  <si>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</si>
  <si>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</si>
  <si>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</si>
  <si>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</si>
  <si>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</si>
  <si>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</si>
  <si>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</si>
  <si>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</si>
  <si>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</si>
  <si>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</si>
  <si>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</si>
  <si>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</si>
  <si>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</si>
  <si>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</si>
  <si>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</si>
  <si>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</si>
  <si>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</si>
  <si>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</si>
  <si>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</si>
  <si>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</si>
  <si>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</si>
  <si>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</si>
  <si>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</si>
  <si>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</si>
  <si>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</si>
  <si>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</si>
  <si>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</si>
  <si>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</si>
  <si>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</si>
  <si>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</si>
  <si>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</si>
  <si>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</si>
  <si>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</si>
  <si>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</si>
  <si>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</si>
  <si>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</si>
  <si>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</si>
  <si>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</si>
  <si>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</si>
  <si>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</si>
  <si>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</si>
  <si>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</si>
  <si>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</si>
  <si>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</si>
  <si>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</si>
  <si>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</si>
  <si>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</si>
  <si>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</si>
  <si>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</si>
  <si>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</si>
  <si>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</si>
  <si>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</si>
  <si>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</si>
  <si>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</si>
  <si>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</si>
  <si>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</si>
  <si>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</si>
  <si>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</si>
  <si>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</si>
  <si>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</si>
  <si>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</si>
  <si>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</si>
  <si>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</si>
  <si>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</si>
  <si>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</si>
  <si>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</si>
  <si>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</si>
  <si>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</si>
  <si>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</si>
  <si>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</si>
  <si>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</si>
  <si>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</si>
  <si>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</si>
  <si>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</si>
  <si>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</si>
  <si>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</si>
  <si>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</si>
  <si>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</si>
  <si>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</si>
  <si>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</si>
  <si>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</si>
  <si>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</si>
  <si>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</si>
  <si>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</si>
  <si>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</si>
  <si>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</si>
  <si>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</si>
  <si>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</si>
  <si>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</si>
  <si>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</si>
  <si>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</si>
  <si>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</si>
  <si>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</si>
  <si>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</si>
  <si>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</si>
  <si>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</si>
  <si>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</si>
  <si>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</si>
  <si>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</si>
  <si>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</si>
  <si>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</si>
  <si>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</si>
  <si>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</si>
  <si>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</si>
  <si>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</si>
  <si>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</si>
  <si>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</si>
  <si>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</si>
  <si>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</si>
  <si>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</si>
  <si>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</si>
  <si>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</si>
  <si>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</si>
  <si>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</si>
  <si>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</si>
  <si>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</si>
  <si>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</si>
  <si>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</si>
  <si>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</si>
  <si>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</si>
  <si>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</si>
  <si>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</si>
  <si>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</si>
  <si>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</si>
  <si>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</si>
  <si>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</si>
  <si>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</si>
  <si>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</si>
  <si>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</si>
  <si>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</si>
  <si>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</si>
  <si>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</si>
  <si>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</si>
  <si>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</si>
  <si>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</si>
  <si>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</si>
  <si>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</si>
  <si>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</si>
  <si>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</si>
  <si>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</si>
  <si>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</si>
  <si>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</si>
  <si>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</si>
  <si>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</si>
  <si>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</si>
  <si>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</si>
  <si>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</si>
  <si>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</si>
  <si>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</si>
  <si>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</si>
  <si>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</si>
  <si>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</si>
  <si>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</si>
  <si>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</si>
  <si>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</si>
  <si>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</si>
  <si>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</si>
  <si>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</si>
  <si>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</si>
  <si>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</si>
  <si>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</si>
  <si>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</si>
  <si>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</si>
  <si>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</si>
  <si>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</si>
  <si>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</si>
  <si>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</si>
  <si>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</si>
  <si>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</si>
  <si>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</si>
  <si>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</si>
  <si>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</si>
  <si>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</si>
  <si>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</si>
  <si>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</si>
  <si>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</si>
  <si>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</si>
  <si>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</si>
  <si>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</si>
  <si>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</si>
  <si>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</si>
  <si>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</si>
  <si>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</si>
  <si>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</si>
  <si>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</si>
  <si>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</si>
  <si>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</si>
  <si>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</si>
  <si>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</si>
  <si>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</si>
  <si>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</si>
  <si>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</si>
  <si>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</si>
  <si>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</si>
  <si>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</si>
  <si>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</si>
  <si>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</si>
  <si>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</si>
  <si>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</si>
  <si>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</si>
  <si>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</si>
  <si>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</si>
  <si>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</si>
  <si>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</si>
  <si>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</si>
  <si>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</si>
  <si>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</si>
  <si>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</si>
  <si>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</si>
  <si>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</si>
  <si>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</si>
  <si>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</si>
  <si>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</si>
  <si>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</si>
  <si>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</si>
  <si>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</si>
  <si>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</si>
  <si>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</si>
  <si>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</si>
  <si>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</si>
  <si>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</si>
  <si>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</si>
  <si>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</si>
  <si>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</si>
  <si>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</si>
  <si>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</si>
  <si>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</si>
  <si>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</si>
  <si>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</si>
  <si>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</si>
  <si>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</si>
  <si>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</si>
  <si>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</si>
  <si>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</si>
  <si>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</si>
  <si>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</si>
  <si>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</si>
  <si>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</si>
  <si>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</si>
  <si>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</si>
  <si>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</si>
  <si>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</si>
  <si>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</si>
  <si>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</si>
  <si>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</si>
  <si>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</si>
  <si>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삼정그린코아포레스트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</si>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</sst>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74" activePane="bottomRight" state="frozen"/>
      <selection pane="topRight"/>
      <selection pane="bottomLeft"/>
      <selection pane="bottomRight" activeCell="L254" sqref="L25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328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308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210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160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115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110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293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153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468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888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692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532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670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669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761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403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398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388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382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378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378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377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375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354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340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319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307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277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255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326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250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228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223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180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178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167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420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285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285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236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87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81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63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62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62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98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61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61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60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60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59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58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47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45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45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45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41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41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41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41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39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39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39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39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39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39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39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38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38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35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35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35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33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34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34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34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34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34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34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34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34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567</v>
      </c>
      <c r="F181" s="23" t="s">
        <v>288</v>
      </c>
      <c r="G181" s="6" t="s">
        <v>296</v>
      </c>
      <c r="H181" s="25">
        <v>16818900</v>
      </c>
      <c r="I181" s="6">
        <f t="shared" ca="1" si="12"/>
        <v>33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33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33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33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33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32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32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32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32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32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32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31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31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31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31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31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27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27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27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27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27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27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27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27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27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27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27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27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27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26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26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26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26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26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26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26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25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25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25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25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25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25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25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25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25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25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25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24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24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24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21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21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20</v>
      </c>
      <c r="J257" s="13" t="str">
        <f t="shared" ca="1" si="21"/>
        <v>정상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21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21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21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21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21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21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21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20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20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20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20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20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20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20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20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18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19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19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19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19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19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19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19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19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19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18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18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18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18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18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18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18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18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18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18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18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18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17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17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17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17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17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14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14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10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10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10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10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10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10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10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10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10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10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10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10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10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10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10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10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10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10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7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7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7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7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7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7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7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7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7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7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7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7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7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7</v>
      </c>
      <c r="J350" s="13" t="str">
        <f t="shared" ref="J350:J39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7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7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7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10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7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12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7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10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10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10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12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11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7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12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12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6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568</v>
      </c>
      <c r="F369" s="6" t="s">
        <v>533</v>
      </c>
      <c r="G369" s="6" t="s">
        <v>534</v>
      </c>
      <c r="H369" s="4">
        <v>2040000</v>
      </c>
      <c r="I369" s="6">
        <f t="shared" ca="1" si="24"/>
        <v>6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544</v>
      </c>
      <c r="D370" s="10" t="s">
        <v>178</v>
      </c>
      <c r="E370" s="6" t="s">
        <v>521</v>
      </c>
      <c r="F370" s="6" t="s">
        <v>535</v>
      </c>
      <c r="G370" s="6" t="s">
        <v>545</v>
      </c>
      <c r="H370" s="4">
        <v>1019800</v>
      </c>
      <c r="I370" s="6">
        <f t="shared" ca="1" si="24"/>
        <v>5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544</v>
      </c>
      <c r="D371" s="10" t="s">
        <v>178</v>
      </c>
      <c r="E371" s="6" t="s">
        <v>126</v>
      </c>
      <c r="F371" s="6" t="s">
        <v>479</v>
      </c>
      <c r="G371" s="6" t="s">
        <v>545</v>
      </c>
      <c r="H371" s="4">
        <v>565000</v>
      </c>
      <c r="I371" s="6">
        <f t="shared" ca="1" si="24"/>
        <v>5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544</v>
      </c>
      <c r="D372" s="10" t="s">
        <v>178</v>
      </c>
      <c r="E372" s="6" t="s">
        <v>221</v>
      </c>
      <c r="F372" s="6" t="s">
        <v>216</v>
      </c>
      <c r="G372" s="6" t="s">
        <v>545</v>
      </c>
      <c r="H372" s="4">
        <v>102368000</v>
      </c>
      <c r="I372" s="6">
        <f t="shared" ca="1" si="24"/>
        <v>5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544</v>
      </c>
      <c r="D373" s="10" t="s">
        <v>178</v>
      </c>
      <c r="E373" s="6" t="s">
        <v>266</v>
      </c>
      <c r="F373" s="6" t="s">
        <v>536</v>
      </c>
      <c r="G373" s="6" t="s">
        <v>545</v>
      </c>
      <c r="H373" s="4">
        <v>11000000</v>
      </c>
      <c r="I373" s="6">
        <f t="shared" ca="1" si="24"/>
        <v>5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544</v>
      </c>
      <c r="D374" s="10" t="s">
        <v>178</v>
      </c>
      <c r="E374" s="6" t="s">
        <v>249</v>
      </c>
      <c r="F374" s="6" t="s">
        <v>536</v>
      </c>
      <c r="G374" s="6" t="s">
        <v>545</v>
      </c>
      <c r="H374" s="4">
        <v>22000000</v>
      </c>
      <c r="I374" s="6">
        <f t="shared" ca="1" si="24"/>
        <v>5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544</v>
      </c>
      <c r="D375" s="10" t="s">
        <v>178</v>
      </c>
      <c r="E375" s="6" t="s">
        <v>208</v>
      </c>
      <c r="F375" s="6" t="s">
        <v>537</v>
      </c>
      <c r="G375" s="6" t="s">
        <v>545</v>
      </c>
      <c r="H375" s="4">
        <v>22000000</v>
      </c>
      <c r="I375" s="6">
        <f t="shared" ca="1" si="24"/>
        <v>5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544</v>
      </c>
      <c r="D376" s="10" t="s">
        <v>178</v>
      </c>
      <c r="E376" s="6" t="s">
        <v>126</v>
      </c>
      <c r="F376" s="6" t="s">
        <v>425</v>
      </c>
      <c r="G376" s="6" t="s">
        <v>545</v>
      </c>
      <c r="H376" s="4">
        <v>3689400</v>
      </c>
      <c r="I376" s="6">
        <f t="shared" ca="1" si="24"/>
        <v>5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544</v>
      </c>
      <c r="D377" s="10" t="s">
        <v>178</v>
      </c>
      <c r="E377" s="6" t="s">
        <v>24</v>
      </c>
      <c r="F377" s="6" t="s">
        <v>107</v>
      </c>
      <c r="G377" s="6" t="s">
        <v>545</v>
      </c>
      <c r="H377" s="4">
        <v>416000</v>
      </c>
      <c r="I377" s="6">
        <f t="shared" ca="1" si="24"/>
        <v>5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544</v>
      </c>
      <c r="D378" s="10" t="s">
        <v>178</v>
      </c>
      <c r="E378" s="6" t="s">
        <v>24</v>
      </c>
      <c r="F378" s="6" t="s">
        <v>107</v>
      </c>
      <c r="G378" s="6" t="s">
        <v>545</v>
      </c>
      <c r="H378" s="4">
        <v>1754000</v>
      </c>
      <c r="I378" s="6">
        <f t="shared" ca="1" si="24"/>
        <v>5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544</v>
      </c>
      <c r="D379" s="10" t="s">
        <v>178</v>
      </c>
      <c r="E379" s="6" t="s">
        <v>542</v>
      </c>
      <c r="F379" s="6" t="s">
        <v>538</v>
      </c>
      <c r="G379" s="6" t="s">
        <v>545</v>
      </c>
      <c r="H379" s="4">
        <v>6917000</v>
      </c>
      <c r="I379" s="6">
        <f t="shared" ca="1" si="24"/>
        <v>5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544</v>
      </c>
      <c r="D380" s="10" t="s">
        <v>178</v>
      </c>
      <c r="E380" s="6" t="s">
        <v>543</v>
      </c>
      <c r="F380" s="6" t="s">
        <v>539</v>
      </c>
      <c r="G380" s="6" t="s">
        <v>545</v>
      </c>
      <c r="H380" s="4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544</v>
      </c>
      <c r="D381" s="10" t="s">
        <v>178</v>
      </c>
      <c r="E381" s="6" t="s">
        <v>126</v>
      </c>
      <c r="F381" s="6" t="s">
        <v>540</v>
      </c>
      <c r="G381" s="6" t="s">
        <v>545</v>
      </c>
      <c r="H381" s="4">
        <v>11211800</v>
      </c>
      <c r="I381" s="6">
        <f t="shared" ca="1" si="24"/>
        <v>5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544</v>
      </c>
      <c r="D382" s="10" t="s">
        <v>178</v>
      </c>
      <c r="E382" s="6" t="s">
        <v>507</v>
      </c>
      <c r="F382" s="6" t="s">
        <v>541</v>
      </c>
      <c r="G382" s="6" t="s">
        <v>545</v>
      </c>
      <c r="H382" s="4">
        <v>1295800</v>
      </c>
      <c r="I382" s="6">
        <f t="shared" ref="I382:I405" ca="1" si="27">IF(C382="","",IF(L382="",TODAY()-C382,L382-C382))</f>
        <v>5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544</v>
      </c>
      <c r="D383" s="10" t="s">
        <v>178</v>
      </c>
      <c r="E383" s="6" t="s">
        <v>126</v>
      </c>
      <c r="F383" s="6" t="s">
        <v>485</v>
      </c>
      <c r="G383" s="6" t="s">
        <v>545</v>
      </c>
      <c r="H383" s="4">
        <v>3180000</v>
      </c>
      <c r="I383" s="6">
        <f t="shared" ca="1" si="27"/>
        <v>5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546</v>
      </c>
      <c r="G384" s="6" t="s">
        <v>547</v>
      </c>
      <c r="H384" s="4">
        <v>20237900</v>
      </c>
      <c r="I384" s="6">
        <f t="shared" ca="1" si="27"/>
        <v>5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549</v>
      </c>
      <c r="F385" s="6" t="s">
        <v>548</v>
      </c>
      <c r="G385" s="6" t="s">
        <v>550</v>
      </c>
      <c r="H385" s="4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564</v>
      </c>
      <c r="D386" s="10" t="s">
        <v>178</v>
      </c>
      <c r="E386" s="6" t="s">
        <v>24</v>
      </c>
      <c r="F386" s="6" t="s">
        <v>551</v>
      </c>
      <c r="G386" s="6" t="s">
        <v>566</v>
      </c>
      <c r="H386" s="4">
        <v>4492000</v>
      </c>
      <c r="I386" s="6">
        <f t="shared" ca="1" si="27"/>
        <v>4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564</v>
      </c>
      <c r="D387" s="10" t="s">
        <v>178</v>
      </c>
      <c r="E387" s="6" t="s">
        <v>543</v>
      </c>
      <c r="F387" s="6" t="s">
        <v>552</v>
      </c>
      <c r="G387" s="6" t="s">
        <v>566</v>
      </c>
      <c r="H387" s="4">
        <v>31045500</v>
      </c>
      <c r="I387" s="6">
        <f t="shared" ca="1" si="27"/>
        <v>4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564</v>
      </c>
      <c r="D388" s="10" t="s">
        <v>178</v>
      </c>
      <c r="E388" s="6" t="s">
        <v>543</v>
      </c>
      <c r="F388" s="6" t="s">
        <v>553</v>
      </c>
      <c r="G388" s="6" t="s">
        <v>566</v>
      </c>
      <c r="H388" s="4">
        <v>574800</v>
      </c>
      <c r="I388" s="6">
        <f t="shared" ca="1" si="27"/>
        <v>4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564</v>
      </c>
      <c r="D389" s="10" t="s">
        <v>178</v>
      </c>
      <c r="E389" s="6" t="s">
        <v>128</v>
      </c>
      <c r="F389" s="6" t="s">
        <v>554</v>
      </c>
      <c r="G389" s="6" t="s">
        <v>566</v>
      </c>
      <c r="H389" s="4">
        <v>3687500</v>
      </c>
      <c r="I389" s="6">
        <f t="shared" ca="1" si="27"/>
        <v>4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564</v>
      </c>
      <c r="D390" s="10" t="s">
        <v>178</v>
      </c>
      <c r="E390" s="6" t="s">
        <v>208</v>
      </c>
      <c r="F390" s="6" t="s">
        <v>555</v>
      </c>
      <c r="G390" s="6" t="s">
        <v>566</v>
      </c>
      <c r="H390" s="4">
        <v>21780000</v>
      </c>
      <c r="I390" s="6">
        <f t="shared" ca="1" si="27"/>
        <v>4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564</v>
      </c>
      <c r="D391" s="10" t="s">
        <v>178</v>
      </c>
      <c r="E391" s="6" t="s">
        <v>562</v>
      </c>
      <c r="F391" s="6" t="s">
        <v>556</v>
      </c>
      <c r="G391" s="6" t="s">
        <v>566</v>
      </c>
      <c r="H391" s="4">
        <v>1630000</v>
      </c>
      <c r="I391" s="6">
        <f t="shared" ca="1" si="27"/>
        <v>4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564</v>
      </c>
      <c r="D392" s="10" t="s">
        <v>178</v>
      </c>
      <c r="E392" s="6" t="s">
        <v>395</v>
      </c>
      <c r="F392" s="6" t="s">
        <v>557</v>
      </c>
      <c r="G392" s="6" t="s">
        <v>566</v>
      </c>
      <c r="H392" s="4">
        <v>20219600</v>
      </c>
      <c r="I392" s="6">
        <f t="shared" ca="1" si="27"/>
        <v>4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126</v>
      </c>
      <c r="F393" s="6" t="s">
        <v>558</v>
      </c>
      <c r="G393" s="6" t="s">
        <v>566</v>
      </c>
      <c r="H393" s="4">
        <v>963200</v>
      </c>
      <c r="I393" s="6">
        <f t="shared" ca="1" si="27"/>
        <v>4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563</v>
      </c>
      <c r="F394" s="6" t="s">
        <v>559</v>
      </c>
      <c r="G394" s="6" t="s">
        <v>566</v>
      </c>
      <c r="H394" s="4">
        <v>1380000</v>
      </c>
      <c r="I394" s="6">
        <f t="shared" ca="1" si="27"/>
        <v>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565</v>
      </c>
      <c r="D395" s="10" t="s">
        <v>178</v>
      </c>
      <c r="E395" s="6" t="s">
        <v>62</v>
      </c>
      <c r="F395" s="6" t="s">
        <v>560</v>
      </c>
      <c r="G395" s="6" t="s">
        <v>566</v>
      </c>
      <c r="H395" s="4">
        <v>410000</v>
      </c>
      <c r="I395" s="6">
        <f t="shared" ca="1" si="27"/>
        <v>3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565</v>
      </c>
      <c r="D396" s="10" t="s">
        <v>178</v>
      </c>
      <c r="E396" s="6" t="s">
        <v>126</v>
      </c>
      <c r="F396" s="6" t="s">
        <v>485</v>
      </c>
      <c r="G396" s="6" t="s">
        <v>566</v>
      </c>
      <c r="H396" s="4">
        <v>464000</v>
      </c>
      <c r="I396" s="6">
        <f t="shared" ca="1" si="27"/>
        <v>3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565</v>
      </c>
      <c r="D397" s="10" t="s">
        <v>178</v>
      </c>
      <c r="E397" s="6" t="s">
        <v>207</v>
      </c>
      <c r="F397" s="6" t="s">
        <v>561</v>
      </c>
      <c r="G397" s="6" t="s">
        <v>566</v>
      </c>
      <c r="H397" s="4">
        <v>1261000</v>
      </c>
      <c r="I397" s="6">
        <f t="shared" ca="1" si="27"/>
        <v>3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ref="D398:D407" si="28">IF(G398="","",IF(OR(G398="선급금",G398="중도금",G398="잔금"),"A",IF(G398="자재","B",IF(G398="특허료","C",""))))</f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9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2026-04-13T00:02:19Z</dcterms:modified>
</cp:coreProperties>
</file>