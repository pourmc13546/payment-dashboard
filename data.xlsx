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data!$A$1:$S$403</definedName>
    <definedName name="_xlnm._FilterDatabase">data!$A$1:$S$403</definedName>
  </definedNames>
  <calcPr calcId="162913"/>
</workbook>
</file>

<file path=xl/calcChain.xml><?xml version="1.0" encoding="utf-8"?>
<calcChain xmlns="http://schemas.openxmlformats.org/spreadsheetml/2006/main">
  <c r="I423" i="1" l="1"/>
  <c r="J423" i="1" s="1"/>
  <c r="I424" i="1"/>
  <c r="J424" i="1" s="1"/>
  <c r="I425" i="1"/>
  <c r="J425" i="1" s="1"/>
  <c r="I426" i="1"/>
  <c r="J426" i="1" s="1"/>
  <c r="D418" i="1"/>
  <c r="D419" i="1"/>
  <c r="D420" i="1"/>
  <c r="D421" i="1"/>
  <c r="D422" i="1"/>
  <c r="D427" i="1"/>
  <c r="B423" i="1"/>
  <c r="B424" i="1"/>
  <c r="B425" i="1"/>
  <c r="B426" i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D403" i="1"/>
  <c r="I402" i="1" l="1"/>
  <c r="J402" i="1" s="1"/>
  <c r="B402" i="1"/>
  <c r="B401" i="1"/>
  <c r="B400" i="1"/>
  <c r="B399" i="1"/>
  <c r="D398" i="1"/>
  <c r="B397" i="1"/>
  <c r="B398" i="1"/>
  <c r="B385" i="1" l="1"/>
  <c r="B386" i="1"/>
  <c r="B387" i="1"/>
  <c r="B388" i="1"/>
  <c r="B389" i="1"/>
  <c r="B390" i="1"/>
  <c r="B391" i="1"/>
  <c r="B392" i="1"/>
  <c r="B393" i="1"/>
  <c r="B394" i="1"/>
  <c r="B395" i="1"/>
  <c r="B396" i="1"/>
  <c r="B384" i="1" l="1"/>
  <c r="B383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I401" i="1" l="1"/>
  <c r="J401" i="1" s="1"/>
  <c r="I400" i="1"/>
  <c r="J400" i="1" s="1"/>
  <c r="I399" i="1"/>
  <c r="J399" i="1" s="1"/>
  <c r="I398" i="1"/>
  <c r="J398" i="1" s="1"/>
  <c r="I397" i="1"/>
  <c r="J397" i="1" s="1"/>
  <c r="D397" i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<sst xmlns="http://schemas.openxmlformats.org/spreadsheetml/2006/main" count="2181" uniqueCount="604">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</sst>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7"/>
  <sheetViews>
    <sheetView tabSelected="1" zoomScaleNormal="100" workbookViewId="0">
      <pane xSplit="5" ySplit="1" topLeftCell="F409" activePane="bottomRight" state="frozen"/>
      <selection pane="topRight"/>
      <selection pane="bottomLeft"/>
      <selection pane="bottomRight" activeCell="F427" sqref="F427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329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309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211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161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116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111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294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154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469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889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693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533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671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670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762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404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399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389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383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379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379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378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376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355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341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320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308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278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256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327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251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229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224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181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179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168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421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286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286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237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88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64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63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99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62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62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61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61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60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59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48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46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46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46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42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42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42</v>
      </c>
      <c r="J135" s="13" t="str">
        <f t="shared" ca="1" si="13"/>
        <v>관리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42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40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40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40</v>
      </c>
      <c r="J145" s="13" t="str">
        <f t="shared" ca="1" si="13"/>
        <v>정상</v>
      </c>
      <c r="K145" s="11"/>
      <c r="L145" s="11"/>
      <c r="M145" s="10"/>
      <c r="N145" s="10" t="s">
        <v>33</v>
      </c>
      <c r="P145" s="6" t="s">
        <v>80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40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40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40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40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39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39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36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36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36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34</v>
      </c>
      <c r="J166" s="13" t="str">
        <f t="shared" ca="1" si="15"/>
        <v>관리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35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35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35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35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35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35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35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35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566</v>
      </c>
      <c r="F181" s="23" t="s">
        <v>288</v>
      </c>
      <c r="G181" s="6" t="s">
        <v>296</v>
      </c>
      <c r="H181" s="25">
        <v>16818900</v>
      </c>
      <c r="I181" s="6">
        <f t="shared" ca="1" si="12"/>
        <v>34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34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34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34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34</v>
      </c>
      <c r="J186" s="13" t="str">
        <f t="shared" ca="1" si="15"/>
        <v>정상</v>
      </c>
      <c r="K186" s="11"/>
      <c r="L186" s="11"/>
      <c r="M186" s="10"/>
      <c r="N186" s="10" t="s">
        <v>33</v>
      </c>
      <c r="P186" s="6" t="s">
        <v>80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33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33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33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33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33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33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32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32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32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32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32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28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28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28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28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28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28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28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28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28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28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28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28</v>
      </c>
      <c r="J215" s="13" t="str">
        <f t="shared" ca="1" si="17"/>
        <v>정상</v>
      </c>
      <c r="K215" s="11">
        <v>46172</v>
      </c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28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27</v>
      </c>
      <c r="J217" s="13" t="str">
        <f t="shared" ca="1" si="17"/>
        <v>관리</v>
      </c>
      <c r="K217" s="11">
        <v>46127</v>
      </c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27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>
        <v>46122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27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27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27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27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27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26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26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26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26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26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26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26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26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26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26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26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25</v>
      </c>
      <c r="J247" s="13" t="str">
        <f t="shared" ca="1" si="19"/>
        <v>관리</v>
      </c>
      <c r="K247" s="11">
        <v>46127</v>
      </c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>
        <v>46122</v>
      </c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25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25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>
        <v>46122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22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22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21</v>
      </c>
      <c r="J257" s="13" t="str">
        <f t="shared" ca="1" si="21"/>
        <v>관리</v>
      </c>
      <c r="K257" s="11">
        <v>46127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22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22</v>
      </c>
      <c r="J260" s="13" t="str">
        <f t="shared" ca="1" si="21"/>
        <v>정상</v>
      </c>
      <c r="K260" s="11"/>
      <c r="L260" s="11"/>
      <c r="M260" s="10"/>
      <c r="N260" s="10" t="s">
        <v>33</v>
      </c>
      <c r="P260" s="6" t="s">
        <v>80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22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22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>
        <v>46122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22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22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22</v>
      </c>
      <c r="J268" s="13" t="str">
        <f t="shared" ca="1" si="21"/>
        <v>정상</v>
      </c>
      <c r="K268" s="11">
        <v>46172</v>
      </c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21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21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21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21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21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21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21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21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19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20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20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20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20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20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20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20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20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20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19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19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19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19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19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19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19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19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19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19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19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19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19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18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18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18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18</v>
      </c>
      <c r="J307" s="13" t="str">
        <f t="shared" ca="1" si="23"/>
        <v>정상</v>
      </c>
      <c r="K307" s="11">
        <v>46172</v>
      </c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18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15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15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11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11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11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11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11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11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11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11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11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11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11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11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11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11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11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11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11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11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8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8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8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8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8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8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8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8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8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8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8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8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8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8</v>
      </c>
      <c r="J350" s="13" t="str">
        <f t="shared" ref="J350:J413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8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8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8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11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8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13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8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11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11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11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13</v>
      </c>
      <c r="J361" s="13" t="str">
        <f t="shared" ca="1" si="25"/>
        <v>정상</v>
      </c>
      <c r="K361" s="11">
        <v>46127</v>
      </c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12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8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13</v>
      </c>
      <c r="J365" s="13" t="str">
        <f t="shared" ca="1" si="25"/>
        <v>정상</v>
      </c>
      <c r="K365" s="11">
        <v>46127</v>
      </c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7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7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6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6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6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6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6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6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6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6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6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6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6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543</v>
      </c>
      <c r="D382" s="10" t="s">
        <v>178</v>
      </c>
      <c r="E382" s="6" t="s">
        <v>126</v>
      </c>
      <c r="F382" s="6" t="s">
        <v>485</v>
      </c>
      <c r="G382" s="6" t="s">
        <v>544</v>
      </c>
      <c r="H382" s="12">
        <v>3180000</v>
      </c>
      <c r="I382" s="6">
        <f t="shared" ref="I382:I426" ca="1" si="27">IF(C382="","",IF(L382="",TODAY()-C382,L382-C382))</f>
        <v>6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270</v>
      </c>
      <c r="F383" s="6" t="s">
        <v>545</v>
      </c>
      <c r="G383" s="6" t="s">
        <v>546</v>
      </c>
      <c r="H383" s="12">
        <v>20237900</v>
      </c>
      <c r="I383" s="6">
        <f t="shared" ca="1" si="27"/>
        <v>6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548</v>
      </c>
      <c r="F384" s="6" t="s">
        <v>547</v>
      </c>
      <c r="G384" s="6" t="s">
        <v>549</v>
      </c>
      <c r="H384" s="12">
        <v>6013200</v>
      </c>
      <c r="I384" s="6">
        <f t="shared" ca="1" si="27"/>
        <v>1</v>
      </c>
      <c r="J384" s="13" t="str">
        <f t="shared" ca="1" si="25"/>
        <v>정상</v>
      </c>
      <c r="K384" s="11"/>
      <c r="L384" s="11">
        <v>46121</v>
      </c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24</v>
      </c>
      <c r="F385" s="6" t="s">
        <v>550</v>
      </c>
      <c r="G385" s="6" t="s">
        <v>565</v>
      </c>
      <c r="H385" s="12">
        <v>4492000</v>
      </c>
      <c r="I385" s="6">
        <f t="shared" ca="1" si="27"/>
        <v>5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551</v>
      </c>
      <c r="G386" s="6" t="s">
        <v>565</v>
      </c>
      <c r="H386" s="12">
        <v>31045500</v>
      </c>
      <c r="I386" s="6">
        <f t="shared" ca="1" si="27"/>
        <v>5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542</v>
      </c>
      <c r="F387" s="6" t="s">
        <v>552</v>
      </c>
      <c r="G387" s="6" t="s">
        <v>565</v>
      </c>
      <c r="H387" s="12">
        <v>574800</v>
      </c>
      <c r="I387" s="6">
        <f t="shared" ca="1" si="27"/>
        <v>5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128</v>
      </c>
      <c r="F388" s="6" t="s">
        <v>553</v>
      </c>
      <c r="G388" s="6" t="s">
        <v>565</v>
      </c>
      <c r="H388" s="12">
        <v>3687500</v>
      </c>
      <c r="I388" s="6">
        <f t="shared" ca="1" si="27"/>
        <v>5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208</v>
      </c>
      <c r="F389" s="6" t="s">
        <v>554</v>
      </c>
      <c r="G389" s="6" t="s">
        <v>565</v>
      </c>
      <c r="H389" s="12">
        <v>21780000</v>
      </c>
      <c r="I389" s="6">
        <f t="shared" ca="1" si="27"/>
        <v>5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561</v>
      </c>
      <c r="F390" s="6" t="s">
        <v>555</v>
      </c>
      <c r="G390" s="6" t="s">
        <v>565</v>
      </c>
      <c r="H390" s="12">
        <v>1630000</v>
      </c>
      <c r="I390" s="6">
        <f t="shared" ca="1" si="27"/>
        <v>5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395</v>
      </c>
      <c r="F391" s="6" t="s">
        <v>556</v>
      </c>
      <c r="G391" s="6" t="s">
        <v>565</v>
      </c>
      <c r="H391" s="12">
        <v>20219600</v>
      </c>
      <c r="I391" s="6">
        <f t="shared" ca="1" si="27"/>
        <v>5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126</v>
      </c>
      <c r="F392" s="6" t="s">
        <v>557</v>
      </c>
      <c r="G392" s="6" t="s">
        <v>565</v>
      </c>
      <c r="H392" s="12">
        <v>963200</v>
      </c>
      <c r="I392" s="6">
        <f t="shared" ca="1" si="27"/>
        <v>5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563</v>
      </c>
      <c r="D393" s="10" t="s">
        <v>178</v>
      </c>
      <c r="E393" s="6" t="s">
        <v>562</v>
      </c>
      <c r="F393" s="6" t="s">
        <v>558</v>
      </c>
      <c r="G393" s="6" t="s">
        <v>565</v>
      </c>
      <c r="H393" s="12">
        <v>1380000</v>
      </c>
      <c r="I393" s="6">
        <f t="shared" ca="1" si="27"/>
        <v>5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62</v>
      </c>
      <c r="F394" s="6" t="s">
        <v>559</v>
      </c>
      <c r="G394" s="6" t="s">
        <v>565</v>
      </c>
      <c r="H394" s="12">
        <v>410000</v>
      </c>
      <c r="I394" s="6">
        <f t="shared" ca="1" si="27"/>
        <v>4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126</v>
      </c>
      <c r="F395" s="6" t="s">
        <v>485</v>
      </c>
      <c r="G395" s="6" t="s">
        <v>565</v>
      </c>
      <c r="H395" s="12">
        <v>464000</v>
      </c>
      <c r="I395" s="6">
        <f t="shared" ca="1" si="27"/>
        <v>4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">
        <v>178</v>
      </c>
      <c r="E396" s="6" t="s">
        <v>207</v>
      </c>
      <c r="F396" s="6" t="s">
        <v>560</v>
      </c>
      <c r="G396" s="6" t="s">
        <v>565</v>
      </c>
      <c r="H396" s="12">
        <v>1261000</v>
      </c>
      <c r="I396" s="6">
        <f t="shared" ca="1" si="27"/>
        <v>4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564</v>
      </c>
      <c r="D397" s="10" t="str">
        <f t="shared" ref="D397:D427" si="28">IF(G397="","",IF(OR(G397="선급금",G397="중도금",G397="잔금"),"A",IF(G397="자재","B",IF(G397="특허료","C",""))))</f>
        <v>B</v>
      </c>
      <c r="E397" s="6" t="s">
        <v>124</v>
      </c>
      <c r="F397" s="6" t="s">
        <v>568</v>
      </c>
      <c r="G397" s="6" t="s">
        <v>172</v>
      </c>
      <c r="H397" s="12">
        <v>866400</v>
      </c>
      <c r="I397" s="6">
        <f t="shared" ca="1" si="27"/>
        <v>0</v>
      </c>
      <c r="J397" s="13" t="str">
        <f t="shared" ca="1" si="25"/>
        <v>정상</v>
      </c>
      <c r="K397" s="11"/>
      <c r="L397" s="11">
        <v>46122</v>
      </c>
      <c r="M397" s="10"/>
      <c r="N397" s="10" t="s">
        <v>33</v>
      </c>
      <c r="Q397" s="11"/>
      <c r="R397" s="11"/>
      <c r="S397" s="10"/>
    </row>
    <row r="398" spans="2:19" s="18" customFormat="1" ht="13.5">
      <c r="B398" s="10">
        <f>IF(C398="","",COUNTA($C$2:C398))</f>
        <v>397</v>
      </c>
      <c r="C398" s="11" t="s">
        <v>564</v>
      </c>
      <c r="D398" s="10" t="str">
        <f t="shared" si="28"/>
        <v>B</v>
      </c>
      <c r="E398" s="18" t="s">
        <v>126</v>
      </c>
      <c r="F398" s="18" t="s">
        <v>569</v>
      </c>
      <c r="G398" s="6" t="s">
        <v>172</v>
      </c>
      <c r="H398" s="12">
        <v>-785400</v>
      </c>
      <c r="I398" s="18">
        <f t="shared" ca="1" si="27"/>
        <v>4</v>
      </c>
      <c r="J398" s="13" t="str">
        <f t="shared" ca="1" si="25"/>
        <v>정상</v>
      </c>
      <c r="K398" s="11"/>
      <c r="L398" s="11"/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 t="s">
        <v>564</v>
      </c>
      <c r="D399" s="10" t="s">
        <v>181</v>
      </c>
      <c r="E399" s="18" t="s">
        <v>421</v>
      </c>
      <c r="F399" s="18" t="s">
        <v>570</v>
      </c>
      <c r="G399" s="6" t="s">
        <v>571</v>
      </c>
      <c r="H399" s="12">
        <v>2421500</v>
      </c>
      <c r="I399" s="18">
        <f t="shared" ca="1" si="27"/>
        <v>4</v>
      </c>
      <c r="J399" s="13" t="str">
        <f t="shared" ca="1" si="25"/>
        <v>정상</v>
      </c>
      <c r="K399" s="11"/>
      <c r="L399" s="11"/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>
        <v>46122</v>
      </c>
      <c r="D400" s="42" t="s">
        <v>243</v>
      </c>
      <c r="E400" s="43" t="s">
        <v>573</v>
      </c>
      <c r="F400" s="43" t="s">
        <v>572</v>
      </c>
      <c r="G400" s="6" t="s">
        <v>230</v>
      </c>
      <c r="H400" s="12">
        <v>72676000</v>
      </c>
      <c r="I400" s="18">
        <f t="shared" ca="1" si="27"/>
        <v>4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126</v>
      </c>
      <c r="F401" s="18" t="s">
        <v>420</v>
      </c>
      <c r="G401" s="18" t="s">
        <v>574</v>
      </c>
      <c r="H401" s="12">
        <v>14760000</v>
      </c>
      <c r="I401" s="18">
        <f t="shared" ca="1" si="27"/>
        <v>4</v>
      </c>
      <c r="J401" s="13" t="str">
        <f t="shared" ca="1" si="25"/>
        <v>정상</v>
      </c>
      <c r="K401" s="44"/>
      <c r="L401" s="44"/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11">
        <v>46122</v>
      </c>
      <c r="D402" s="42" t="s">
        <v>243</v>
      </c>
      <c r="E402" s="18" t="s">
        <v>423</v>
      </c>
      <c r="F402" s="18" t="s">
        <v>575</v>
      </c>
      <c r="G402" s="18" t="s">
        <v>574</v>
      </c>
      <c r="H402" s="12">
        <v>2480000</v>
      </c>
      <c r="I402" s="18">
        <f t="shared" ca="1" si="27"/>
        <v>4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3.5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126</v>
      </c>
      <c r="F403" s="18" t="s">
        <v>479</v>
      </c>
      <c r="G403" s="6" t="s">
        <v>598</v>
      </c>
      <c r="H403" s="12">
        <v>52695000</v>
      </c>
      <c r="I403" s="18">
        <f t="shared" ca="1" si="27"/>
        <v>0</v>
      </c>
      <c r="J403" s="13" t="str">
        <f t="shared" ca="1" si="25"/>
        <v>정상</v>
      </c>
      <c r="K403" s="44"/>
      <c r="L403" s="44"/>
      <c r="M403" s="42"/>
      <c r="N403" s="10" t="s">
        <v>33</v>
      </c>
      <c r="Q403" s="11"/>
      <c r="R403" s="11"/>
    </row>
    <row r="404" spans="2:18" s="18" customFormat="1" ht="16.5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577</v>
      </c>
      <c r="F404" s="38" t="s">
        <v>588</v>
      </c>
      <c r="G404" s="6" t="s">
        <v>598</v>
      </c>
      <c r="H404" s="12">
        <v>1217300</v>
      </c>
      <c r="I404" s="18">
        <f t="shared" ca="1" si="27"/>
        <v>0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46"/>
      <c r="R404" s="46"/>
    </row>
    <row r="405" spans="2:18" s="18" customFormat="1" ht="16.5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375</v>
      </c>
      <c r="F405" s="18" t="s">
        <v>500</v>
      </c>
      <c r="G405" s="6" t="s">
        <v>598</v>
      </c>
      <c r="H405" s="12">
        <v>23634000</v>
      </c>
      <c r="I405" s="18">
        <f t="shared" ca="1" si="27"/>
        <v>0</v>
      </c>
      <c r="J405" s="13" t="str">
        <f t="shared" ca="1" si="25"/>
        <v>정상</v>
      </c>
      <c r="K405" s="44"/>
      <c r="L405" s="44"/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578</v>
      </c>
      <c r="F406" s="18" t="s">
        <v>589</v>
      </c>
      <c r="G406" s="6" t="s">
        <v>598</v>
      </c>
      <c r="H406" s="12">
        <v>7826000</v>
      </c>
      <c r="I406" s="18">
        <f t="shared" ca="1" si="27"/>
        <v>0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45" t="s">
        <v>586</v>
      </c>
      <c r="D407" s="42" t="str">
        <f t="shared" si="28"/>
        <v>B</v>
      </c>
      <c r="E407" s="18" t="s">
        <v>579</v>
      </c>
      <c r="F407" s="18" t="s">
        <v>590</v>
      </c>
      <c r="G407" s="6" t="s">
        <v>598</v>
      </c>
      <c r="H407" s="12">
        <v>13317700</v>
      </c>
      <c r="I407" s="18">
        <f t="shared" ca="1" si="27"/>
        <v>0</v>
      </c>
      <c r="J407" s="13" t="str">
        <f t="shared" ca="1" si="25"/>
        <v>정상</v>
      </c>
      <c r="K407" s="44"/>
      <c r="L407" s="44"/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45" t="s">
        <v>587</v>
      </c>
      <c r="D408" s="42" t="str">
        <f t="shared" si="28"/>
        <v>B</v>
      </c>
      <c r="E408" s="18" t="s">
        <v>249</v>
      </c>
      <c r="F408" s="18" t="s">
        <v>428</v>
      </c>
      <c r="G408" s="6" t="s">
        <v>598</v>
      </c>
      <c r="H408" s="12">
        <v>44522500</v>
      </c>
      <c r="I408" s="18">
        <f t="shared" ca="1" si="27"/>
        <v>1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580</v>
      </c>
      <c r="F409" s="18" t="s">
        <v>591</v>
      </c>
      <c r="G409" s="6" t="s">
        <v>598</v>
      </c>
      <c r="H409" s="12">
        <v>10572000</v>
      </c>
      <c r="I409" s="18">
        <f t="shared" ca="1" si="27"/>
        <v>1</v>
      </c>
      <c r="J409" s="13" t="str">
        <f t="shared" ca="1" si="25"/>
        <v>정상</v>
      </c>
      <c r="K409" s="44"/>
      <c r="L409" s="44"/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581</v>
      </c>
      <c r="F410" s="18" t="s">
        <v>211</v>
      </c>
      <c r="G410" s="6" t="s">
        <v>598</v>
      </c>
      <c r="H410" s="12">
        <v>280000</v>
      </c>
      <c r="I410" s="18">
        <f t="shared" ca="1" si="27"/>
        <v>0</v>
      </c>
      <c r="J410" s="13" t="str">
        <f t="shared" ca="1" si="25"/>
        <v>정상</v>
      </c>
      <c r="K410" s="44"/>
      <c r="L410" s="44">
        <v>46125</v>
      </c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395</v>
      </c>
      <c r="F411" s="18" t="s">
        <v>477</v>
      </c>
      <c r="G411" s="6" t="s">
        <v>598</v>
      </c>
      <c r="H411" s="12">
        <v>7665000</v>
      </c>
      <c r="I411" s="18">
        <f t="shared" ca="1" si="27"/>
        <v>1</v>
      </c>
      <c r="J411" s="13" t="str">
        <f t="shared" ca="1" si="25"/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582</v>
      </c>
      <c r="F412" s="18" t="s">
        <v>592</v>
      </c>
      <c r="G412" s="6" t="s">
        <v>598</v>
      </c>
      <c r="H412" s="12">
        <v>481100</v>
      </c>
      <c r="I412" s="18">
        <f t="shared" ca="1" si="27"/>
        <v>1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434</v>
      </c>
      <c r="F413" s="18" t="s">
        <v>432</v>
      </c>
      <c r="G413" s="6" t="s">
        <v>598</v>
      </c>
      <c r="H413" s="12">
        <v>3109500</v>
      </c>
      <c r="I413" s="18">
        <f t="shared" ca="1" si="27"/>
        <v>1</v>
      </c>
      <c r="J413" s="13" t="str">
        <f t="shared" ca="1" si="25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583</v>
      </c>
      <c r="F414" s="18" t="s">
        <v>588</v>
      </c>
      <c r="G414" s="6" t="s">
        <v>598</v>
      </c>
      <c r="H414" s="12">
        <v>399900</v>
      </c>
      <c r="I414" s="18">
        <f t="shared" ca="1" si="27"/>
        <v>1</v>
      </c>
      <c r="J414" s="13" t="str">
        <f t="shared" ref="J414:J426" ca="1" si="29">IF(I414="","",
 IF(G414="선급금",
   IF(I414&lt;=20,"정상",IF(I414&lt;=90,"관리","장기미수")),
 IF(G414="자재",
   IF(I414&lt;=40,"정상",IF(I414&lt;=90,"관리","장기미수")),
   IF(I414&lt;=30,"정상",IF(I414&lt;=90,"관리","장기미수"))
  )
 )
)</f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584</v>
      </c>
      <c r="F415" s="18" t="s">
        <v>593</v>
      </c>
      <c r="G415" s="6" t="s">
        <v>598</v>
      </c>
      <c r="H415" s="12">
        <v>4678300</v>
      </c>
      <c r="I415" s="18">
        <f t="shared" ca="1" si="27"/>
        <v>1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584</v>
      </c>
      <c r="F416" s="18" t="s">
        <v>594</v>
      </c>
      <c r="G416" s="6" t="s">
        <v>598</v>
      </c>
      <c r="H416" s="12">
        <v>941200</v>
      </c>
      <c r="I416" s="18">
        <f t="shared" ca="1" si="27"/>
        <v>1</v>
      </c>
      <c r="J416" s="13" t="str">
        <f t="shared" ca="1" si="29"/>
        <v>정상</v>
      </c>
      <c r="K416" s="44"/>
      <c r="L416" s="44"/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128</v>
      </c>
      <c r="F417" s="18" t="s">
        <v>129</v>
      </c>
      <c r="G417" s="6" t="s">
        <v>598</v>
      </c>
      <c r="H417" s="12">
        <v>1885800</v>
      </c>
      <c r="I417" s="18">
        <f t="shared" ca="1" si="27"/>
        <v>1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>IF(G418="","",IF(OR(G418="선급금",G418="중도금",G418="잔금"),"A",IF(G418="자재","B",IF(G418="특허료","C",""))))</f>
        <v>B</v>
      </c>
      <c r="E418" s="18" t="s">
        <v>39</v>
      </c>
      <c r="F418" s="18" t="s">
        <v>595</v>
      </c>
      <c r="G418" s="6" t="s">
        <v>598</v>
      </c>
      <c r="H418" s="12">
        <v>332400</v>
      </c>
      <c r="I418" s="18">
        <f t="shared" ca="1" si="27"/>
        <v>1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30" t="s">
        <v>587</v>
      </c>
      <c r="D419" s="42" t="str">
        <f t="shared" si="28"/>
        <v>B</v>
      </c>
      <c r="E419" s="18" t="s">
        <v>585</v>
      </c>
      <c r="F419" s="18" t="s">
        <v>596</v>
      </c>
      <c r="G419" s="6" t="s">
        <v>598</v>
      </c>
      <c r="H419" s="12">
        <v>1254000</v>
      </c>
      <c r="I419" s="18">
        <f t="shared" ca="1" si="27"/>
        <v>1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83</v>
      </c>
      <c r="F420" s="18" t="s">
        <v>493</v>
      </c>
      <c r="G420" s="6" t="s">
        <v>598</v>
      </c>
      <c r="H420" s="12">
        <v>7680000</v>
      </c>
      <c r="I420" s="18">
        <f t="shared" ca="1" si="27"/>
        <v>1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30" t="s">
        <v>587</v>
      </c>
      <c r="D421" s="42" t="str">
        <f t="shared" si="28"/>
        <v>B</v>
      </c>
      <c r="E421" s="18" t="s">
        <v>195</v>
      </c>
      <c r="F421" s="18" t="s">
        <v>597</v>
      </c>
      <c r="G421" s="6" t="s">
        <v>598</v>
      </c>
      <c r="H421" s="12">
        <v>720200</v>
      </c>
      <c r="I421" s="18">
        <f t="shared" ca="1" si="27"/>
        <v>1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30" t="s">
        <v>543</v>
      </c>
      <c r="D422" s="42" t="str">
        <f t="shared" si="28"/>
        <v>B</v>
      </c>
      <c r="E422" s="18" t="s">
        <v>126</v>
      </c>
      <c r="F422" s="18" t="s">
        <v>485</v>
      </c>
      <c r="G422" s="6" t="s">
        <v>598</v>
      </c>
      <c r="H422" s="12">
        <v>-3180000</v>
      </c>
      <c r="I422" s="18">
        <f t="shared" ca="1" si="27"/>
        <v>6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customHeight="1">
      <c r="B423" s="10">
        <f>IF(C423="","",COUNTA($C$2:C423))</f>
        <v>422</v>
      </c>
      <c r="C423" s="44">
        <v>46125</v>
      </c>
      <c r="D423" s="42" t="s">
        <v>178</v>
      </c>
      <c r="E423" s="18" t="s">
        <v>519</v>
      </c>
      <c r="F423" s="18" t="s">
        <v>272</v>
      </c>
      <c r="G423" s="18" t="s">
        <v>600</v>
      </c>
      <c r="H423" s="12">
        <v>59166000</v>
      </c>
      <c r="I423" s="18">
        <f t="shared" ca="1" si="27"/>
        <v>1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customHeight="1">
      <c r="B424" s="10">
        <f>IF(C424="","",COUNTA($C$2:C424))</f>
        <v>423</v>
      </c>
      <c r="C424" s="44">
        <v>46125</v>
      </c>
      <c r="D424" s="42" t="s">
        <v>178</v>
      </c>
      <c r="E424" s="18" t="s">
        <v>375</v>
      </c>
      <c r="F424" s="18" t="s">
        <v>372</v>
      </c>
      <c r="G424" s="18" t="s">
        <v>601</v>
      </c>
      <c r="H424" s="12">
        <v>12618800</v>
      </c>
      <c r="I424" s="18">
        <f t="shared" ca="1" si="27"/>
        <v>1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customHeight="1">
      <c r="B425" s="10">
        <f>IF(C425="","",COUNTA($C$2:C425))</f>
        <v>424</v>
      </c>
      <c r="C425" s="44">
        <v>46125</v>
      </c>
      <c r="D425" s="42" t="s">
        <v>178</v>
      </c>
      <c r="E425" s="18" t="s">
        <v>548</v>
      </c>
      <c r="F425" s="18" t="s">
        <v>547</v>
      </c>
      <c r="G425" s="18" t="s">
        <v>602</v>
      </c>
      <c r="H425" s="12">
        <v>12026400</v>
      </c>
      <c r="I425" s="18">
        <f t="shared" ca="1" si="27"/>
        <v>1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s="18" customFormat="1" ht="16.5" customHeight="1">
      <c r="B426" s="10">
        <f>IF(C426="","",COUNTA($C$2:C426))</f>
        <v>425</v>
      </c>
      <c r="C426" s="44">
        <v>46125</v>
      </c>
      <c r="D426" s="42" t="s">
        <v>178</v>
      </c>
      <c r="E426" s="18" t="s">
        <v>394</v>
      </c>
      <c r="F426" s="18" t="s">
        <v>599</v>
      </c>
      <c r="G426" s="18" t="s">
        <v>603</v>
      </c>
      <c r="H426" s="12">
        <v>5365000</v>
      </c>
      <c r="I426" s="18">
        <f t="shared" ca="1" si="27"/>
        <v>1</v>
      </c>
      <c r="J426" s="13" t="str">
        <f t="shared" ca="1" si="29"/>
        <v>정상</v>
      </c>
      <c r="K426" s="44"/>
      <c r="L426" s="44"/>
      <c r="M426" s="42"/>
      <c r="N426" s="10" t="s">
        <v>33</v>
      </c>
      <c r="Q426" s="46"/>
      <c r="R426" s="46"/>
    </row>
    <row r="427" spans="2:18" s="18" customFormat="1" ht="16.5" customHeight="1">
      <c r="B427" s="42"/>
      <c r="C427" s="46"/>
      <c r="D427" s="42" t="str">
        <f t="shared" si="28"/>
        <v/>
      </c>
      <c r="H427" s="12"/>
      <c r="K427" s="44"/>
      <c r="L427" s="44"/>
      <c r="M427" s="42"/>
      <c r="Q427" s="46"/>
      <c r="R427" s="46"/>
    </row>
  </sheetData>
  <autoFilter ref="A1:S403"/>
  <phoneticPr fontId="5" type="noConversion"/>
  <conditionalFormatting sqref="E3 F57:F60 E37">
    <cfRule type="expression" dxfId="91" priority="122">
      <formula>$J3="잔금"</formula>
    </cfRule>
  </conditionalFormatting>
  <conditionalFormatting sqref="E8">
    <cfRule type="expression" dxfId="90" priority="121">
      <formula>$J8="잔금"</formula>
    </cfRule>
  </conditionalFormatting>
  <conditionalFormatting sqref="E4">
    <cfRule type="expression" dxfId="89" priority="120">
      <formula>$J4="잔금"</formula>
    </cfRule>
  </conditionalFormatting>
  <conditionalFormatting sqref="E9">
    <cfRule type="expression" dxfId="88" priority="119">
      <formula>$J9="잔금"</formula>
    </cfRule>
  </conditionalFormatting>
  <conditionalFormatting sqref="E41">
    <cfRule type="expression" dxfId="87" priority="114">
      <formula>$J41="잔금"</formula>
    </cfRule>
  </conditionalFormatting>
  <conditionalFormatting sqref="E98:E99 E187:F193 H187:H193 F113 C187:C193 C422">
    <cfRule type="expression" dxfId="86" priority="104">
      <formula>$J98="잔금"</formula>
    </cfRule>
  </conditionalFormatting>
  <conditionalFormatting sqref="F98:F99">
    <cfRule type="expression" dxfId="85" priority="103">
      <formula>$J98="잔금"</formula>
    </cfRule>
  </conditionalFormatting>
  <conditionalFormatting sqref="F104:F105">
    <cfRule type="expression" dxfId="84" priority="101">
      <formula>$J104="잔금"</formula>
    </cfRule>
  </conditionalFormatting>
  <conditionalFormatting sqref="H104:H105">
    <cfRule type="expression" dxfId="83" priority="100">
      <formula>$J104="잔금"</formula>
    </cfRule>
  </conditionalFormatting>
  <conditionalFormatting sqref="E106:E108">
    <cfRule type="expression" dxfId="82" priority="99">
      <formula>$J106="잔금"</formula>
    </cfRule>
  </conditionalFormatting>
  <conditionalFormatting sqref="F106:F108">
    <cfRule type="expression" dxfId="81" priority="98">
      <formula>$J106="잔금"</formula>
    </cfRule>
  </conditionalFormatting>
  <conditionalFormatting sqref="H106:H108">
    <cfRule type="expression" dxfId="80" priority="97">
      <formula>$J106="잔금"</formula>
    </cfRule>
  </conditionalFormatting>
  <conditionalFormatting sqref="E110">
    <cfRule type="expression" dxfId="79" priority="96">
      <formula>$J110="잔금"</formula>
    </cfRule>
  </conditionalFormatting>
  <conditionalFormatting sqref="F110">
    <cfRule type="expression" dxfId="78" priority="95">
      <formula>$J110="잔금"</formula>
    </cfRule>
  </conditionalFormatting>
  <conditionalFormatting sqref="E111:E113">
    <cfRule type="expression" dxfId="77" priority="94">
      <formula>$J111="잔금"</formula>
    </cfRule>
  </conditionalFormatting>
  <conditionalFormatting sqref="F111">
    <cfRule type="expression" dxfId="76" priority="93">
      <formula>$J111="잔금"</formula>
    </cfRule>
  </conditionalFormatting>
  <conditionalFormatting sqref="F112">
    <cfRule type="expression" dxfId="75" priority="92">
      <formula>$J112="잔금"</formula>
    </cfRule>
  </conditionalFormatting>
  <conditionalFormatting sqref="H111:H113">
    <cfRule type="expression" dxfId="74" priority="91">
      <formula>$J111="잔금"</formula>
    </cfRule>
  </conditionalFormatting>
  <conditionalFormatting sqref="C111:C113">
    <cfRule type="expression" dxfId="73" priority="90">
      <formula>$J111="잔금"</formula>
    </cfRule>
  </conditionalFormatting>
  <conditionalFormatting sqref="E117">
    <cfRule type="expression" dxfId="72" priority="89">
      <formula>$J117="잔금"</formula>
    </cfRule>
  </conditionalFormatting>
  <conditionalFormatting sqref="F117">
    <cfRule type="expression" dxfId="71" priority="88">
      <formula>$J117="잔금"</formula>
    </cfRule>
  </conditionalFormatting>
  <conditionalFormatting sqref="F143:F150">
    <cfRule type="expression" dxfId="70" priority="87">
      <formula>$J143="잔금"</formula>
    </cfRule>
  </conditionalFormatting>
  <conditionalFormatting sqref="E143:E150">
    <cfRule type="expression" dxfId="69" priority="86">
      <formula>$J143="잔금"</formula>
    </cfRule>
  </conditionalFormatting>
  <conditionalFormatting sqref="H143:H150">
    <cfRule type="expression" dxfId="68" priority="85">
      <formula>$J143="잔금"</formula>
    </cfRule>
  </conditionalFormatting>
  <conditionalFormatting sqref="E152:E158">
    <cfRule type="expression" dxfId="67" priority="83">
      <formula>$J152="잔금"</formula>
    </cfRule>
  </conditionalFormatting>
  <conditionalFormatting sqref="F152:F158">
    <cfRule type="expression" dxfId="66" priority="82">
      <formula>$J152="잔금"</formula>
    </cfRule>
  </conditionalFormatting>
  <conditionalFormatting sqref="C152:C158">
    <cfRule type="expression" dxfId="65" priority="81">
      <formula>$J152="잔금"</formula>
    </cfRule>
  </conditionalFormatting>
  <conditionalFormatting sqref="H152:H158">
    <cfRule type="expression" dxfId="64" priority="80">
      <formula>$J152="잔금"</formula>
    </cfRule>
  </conditionalFormatting>
  <conditionalFormatting sqref="C159">
    <cfRule type="expression" dxfId="63" priority="79">
      <formula>$I159="잔금"</formula>
    </cfRule>
  </conditionalFormatting>
  <conditionalFormatting sqref="F160:F163">
    <cfRule type="expression" dxfId="62" priority="78">
      <formula>$J160="잔금"</formula>
    </cfRule>
  </conditionalFormatting>
  <conditionalFormatting sqref="E160:E163">
    <cfRule type="expression" dxfId="61" priority="77">
      <formula>$J160="잔금"</formula>
    </cfRule>
  </conditionalFormatting>
  <conditionalFormatting sqref="C160:C166">
    <cfRule type="expression" dxfId="60" priority="76">
      <formula>$J160="잔금"</formula>
    </cfRule>
  </conditionalFormatting>
  <conditionalFormatting sqref="H160:H163">
    <cfRule type="expression" dxfId="59" priority="75">
      <formula>$J160="잔금"</formula>
    </cfRule>
  </conditionalFormatting>
  <conditionalFormatting sqref="F167:F179">
    <cfRule type="expression" dxfId="58" priority="74">
      <formula>$J167="잔금"</formula>
    </cfRule>
  </conditionalFormatting>
  <conditionalFormatting sqref="F180:F186">
    <cfRule type="expression" dxfId="57" priority="73">
      <formula>$J180="잔금"</formula>
    </cfRule>
  </conditionalFormatting>
  <conditionalFormatting sqref="E167:E179">
    <cfRule type="expression" dxfId="56" priority="72">
      <formula>$J167="잔금"</formula>
    </cfRule>
  </conditionalFormatting>
  <conditionalFormatting sqref="E180:E186">
    <cfRule type="expression" dxfId="55" priority="71">
      <formula>$J180="잔금"</formula>
    </cfRule>
  </conditionalFormatting>
  <conditionalFormatting sqref="C180:C186">
    <cfRule type="expression" dxfId="54" priority="69">
      <formula>$J180="잔금"</formula>
    </cfRule>
  </conditionalFormatting>
  <conditionalFormatting sqref="H167:H179">
    <cfRule type="expression" dxfId="53" priority="68">
      <formula>$J167="잔금"</formula>
    </cfRule>
  </conditionalFormatting>
  <conditionalFormatting sqref="H180:H186">
    <cfRule type="expression" dxfId="52" priority="67">
      <formula>$J180="잔금"</formula>
    </cfRule>
  </conditionalFormatting>
  <conditionalFormatting sqref="F195:F201">
    <cfRule type="expression" dxfId="51" priority="62">
      <formula>$J195="잔금"</formula>
    </cfRule>
  </conditionalFormatting>
  <conditionalFormatting sqref="E195:E201">
    <cfRule type="expression" dxfId="50" priority="61">
      <formula>$J195="잔금"</formula>
    </cfRule>
  </conditionalFormatting>
  <conditionalFormatting sqref="C195:C202">
    <cfRule type="expression" dxfId="49" priority="60">
      <formula>$J195="잔금"</formula>
    </cfRule>
  </conditionalFormatting>
  <conditionalFormatting sqref="H195:H201">
    <cfRule type="expression" dxfId="48" priority="59">
      <formula>$J195="잔금"</formula>
    </cfRule>
  </conditionalFormatting>
  <conditionalFormatting sqref="C203:C216">
    <cfRule type="expression" dxfId="47" priority="58">
      <formula>$J203="잔금"</formula>
    </cfRule>
  </conditionalFormatting>
  <conditionalFormatting sqref="F203:F216">
    <cfRule type="expression" dxfId="46" priority="57">
      <formula>$J203="잔금"</formula>
    </cfRule>
  </conditionalFormatting>
  <conditionalFormatting sqref="H203:H216">
    <cfRule type="expression" dxfId="45" priority="56">
      <formula>$J203="잔금"</formula>
    </cfRule>
  </conditionalFormatting>
  <conditionalFormatting sqref="E203:E217">
    <cfRule type="expression" dxfId="44" priority="55">
      <formula>$J203="잔금"</formula>
    </cfRule>
  </conditionalFormatting>
  <conditionalFormatting sqref="C217">
    <cfRule type="expression" dxfId="43" priority="54">
      <formula>$I217="잔금"</formula>
    </cfRule>
  </conditionalFormatting>
  <conditionalFormatting sqref="H217">
    <cfRule type="expression" dxfId="42" priority="49">
      <formula>$I217="잔금"</formula>
    </cfRule>
  </conditionalFormatting>
  <conditionalFormatting sqref="C218">
    <cfRule type="expression" dxfId="41" priority="48">
      <formula>$I218="잔금"</formula>
    </cfRule>
  </conditionalFormatting>
  <conditionalFormatting sqref="C219">
    <cfRule type="expression" dxfId="40" priority="47">
      <formula>$I219="잔금"</formula>
    </cfRule>
  </conditionalFormatting>
  <conditionalFormatting sqref="C220">
    <cfRule type="expression" dxfId="39" priority="46">
      <formula>$I220="잔금"</formula>
    </cfRule>
  </conditionalFormatting>
  <conditionalFormatting sqref="F221:F230">
    <cfRule type="expression" dxfId="38" priority="45">
      <formula>$J221="잔금"</formula>
    </cfRule>
  </conditionalFormatting>
  <conditionalFormatting sqref="F231:F244">
    <cfRule type="expression" dxfId="37" priority="44">
      <formula>$J231="잔금"</formula>
    </cfRule>
  </conditionalFormatting>
  <conditionalFormatting sqref="E221:E230">
    <cfRule type="expression" dxfId="36" priority="43">
      <formula>$J221="잔금"</formula>
    </cfRule>
  </conditionalFormatting>
  <conditionalFormatting sqref="E231:E244">
    <cfRule type="expression" dxfId="35" priority="42">
      <formula>$J231="잔금"</formula>
    </cfRule>
  </conditionalFormatting>
  <conditionalFormatting sqref="H221:H230">
    <cfRule type="expression" dxfId="34" priority="41">
      <formula>$J221="잔금"</formula>
    </cfRule>
  </conditionalFormatting>
  <conditionalFormatting sqref="H231:H244">
    <cfRule type="expression" dxfId="33" priority="40">
      <formula>$J231="잔금"</formula>
    </cfRule>
  </conditionalFormatting>
  <conditionalFormatting sqref="C246">
    <cfRule type="expression" dxfId="32" priority="39">
      <formula>$I246="잔금"</formula>
    </cfRule>
  </conditionalFormatting>
  <conditionalFormatting sqref="C247">
    <cfRule type="expression" dxfId="31" priority="38">
      <formula>$I247="잔금"</formula>
    </cfRule>
  </conditionalFormatting>
  <conditionalFormatting sqref="C248">
    <cfRule type="expression" dxfId="30" priority="37">
      <formula>$I248="잔금"</formula>
    </cfRule>
  </conditionalFormatting>
  <conditionalFormatting sqref="F249:F253">
    <cfRule type="expression" dxfId="29" priority="36">
      <formula>$J249="잔금"</formula>
    </cfRule>
  </conditionalFormatting>
  <conditionalFormatting sqref="E249:E253">
    <cfRule type="expression" dxfId="28" priority="35">
      <formula>$J249="잔금"</formula>
    </cfRule>
  </conditionalFormatting>
  <conditionalFormatting sqref="C249:C253">
    <cfRule type="expression" dxfId="27" priority="34">
      <formula>$J249="잔금"</formula>
    </cfRule>
  </conditionalFormatting>
  <conditionalFormatting sqref="H249:H253">
    <cfRule type="expression" dxfId="26" priority="33">
      <formula>$J249="잔금"</formula>
    </cfRule>
  </conditionalFormatting>
  <conditionalFormatting sqref="C254:C257">
    <cfRule type="expression" dxfId="25" priority="32">
      <formula>$I254="잔금"</formula>
    </cfRule>
  </conditionalFormatting>
  <conditionalFormatting sqref="F258:F267">
    <cfRule type="expression" dxfId="24" priority="31">
      <formula>$J258="잔금"</formula>
    </cfRule>
  </conditionalFormatting>
  <conditionalFormatting sqref="F268:F276">
    <cfRule type="expression" dxfId="23" priority="30">
      <formula>$J268="잔금"</formula>
    </cfRule>
  </conditionalFormatting>
  <conditionalFormatting sqref="C115">
    <cfRule type="expression" dxfId="22" priority="24">
      <formula>$J115="잔금"</formula>
    </cfRule>
  </conditionalFormatting>
  <conditionalFormatting sqref="C114">
    <cfRule type="expression" dxfId="21" priority="25">
      <formula>$J114="잔금"</formula>
    </cfRule>
  </conditionalFormatting>
  <conditionalFormatting sqref="C167">
    <cfRule type="expression" dxfId="20" priority="23">
      <formula>$J167="잔금"</formula>
    </cfRule>
  </conditionalFormatting>
  <conditionalFormatting sqref="C168">
    <cfRule type="expression" dxfId="19" priority="22">
      <formula>$J168="잔금"</formula>
    </cfRule>
  </conditionalFormatting>
  <conditionalFormatting sqref="C169">
    <cfRule type="expression" dxfId="18" priority="21">
      <formula>$J169="잔금"</formula>
    </cfRule>
  </conditionalFormatting>
  <conditionalFormatting sqref="C170">
    <cfRule type="expression" dxfId="17" priority="20">
      <formula>$J170="잔금"</formula>
    </cfRule>
  </conditionalFormatting>
  <conditionalFormatting sqref="C171">
    <cfRule type="expression" dxfId="16" priority="19">
      <formula>$J171="잔금"</formula>
    </cfRule>
  </conditionalFormatting>
  <conditionalFormatting sqref="C172">
    <cfRule type="expression" dxfId="15" priority="18">
      <formula>$J172="잔금"</formula>
    </cfRule>
  </conditionalFormatting>
  <conditionalFormatting sqref="C173">
    <cfRule type="expression" dxfId="14" priority="17">
      <formula>$J173="잔금"</formula>
    </cfRule>
  </conditionalFormatting>
  <conditionalFormatting sqref="C174">
    <cfRule type="expression" dxfId="13" priority="16">
      <formula>$J174="잔금"</formula>
    </cfRule>
  </conditionalFormatting>
  <conditionalFormatting sqref="C175">
    <cfRule type="expression" dxfId="12" priority="14">
      <formula>$J175="잔금"</formula>
    </cfRule>
  </conditionalFormatting>
  <conditionalFormatting sqref="C176">
    <cfRule type="expression" dxfId="11" priority="13">
      <formula>$J176="잔금"</formula>
    </cfRule>
  </conditionalFormatting>
  <conditionalFormatting sqref="C177">
    <cfRule type="expression" dxfId="10" priority="12">
      <formula>$J177="잔금"</formula>
    </cfRule>
  </conditionalFormatting>
  <conditionalFormatting sqref="C178">
    <cfRule type="expression" dxfId="9" priority="11">
      <formula>$J178="잔금"</formula>
    </cfRule>
  </conditionalFormatting>
  <conditionalFormatting sqref="C179">
    <cfRule type="expression" dxfId="8" priority="10">
      <formula>$J179="잔금"</formula>
    </cfRule>
  </conditionalFormatting>
  <conditionalFormatting sqref="H309:H310">
    <cfRule type="expression" dxfId="7" priority="4">
      <formula>$J309="잔금"</formula>
    </cfRule>
  </conditionalFormatting>
  <conditionalFormatting sqref="F290:F303">
    <cfRule type="expression" dxfId="6" priority="9">
      <formula>$J290="잔금"</formula>
    </cfRule>
  </conditionalFormatting>
  <conditionalFormatting sqref="F304:F308">
    <cfRule type="expression" dxfId="5" priority="8">
      <formula>$J304="잔금"</formula>
    </cfRule>
  </conditionalFormatting>
  <conditionalFormatting sqref="F309:F310">
    <cfRule type="expression" dxfId="4" priority="7">
      <formula>$J309="잔금"</formula>
    </cfRule>
  </conditionalFormatting>
  <conditionalFormatting sqref="H290:H303">
    <cfRule type="expression" dxfId="3" priority="6">
      <formula>$J290="잔금"</formula>
    </cfRule>
  </conditionalFormatting>
  <conditionalFormatting sqref="H304:H308">
    <cfRule type="expression" dxfId="2" priority="5">
      <formula>$J304="잔금"</formula>
    </cfRule>
  </conditionalFormatting>
  <conditionalFormatting sqref="H312:H353">
    <cfRule type="expression" dxfId="1" priority="3">
      <formula>$J312="잔금"</formula>
    </cfRule>
  </conditionalFormatting>
  <conditionalFormatting sqref="C403:C421">
    <cfRule type="expression" dxfId="0" priority="2">
      <formula>$J403="잔금"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426">
      <formula1>"Y,N"</formula1>
    </dataValidation>
    <dataValidation type="list" allowBlank="1" sqref="D2:D42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2026-04-14T02:38:10Z</dcterms:modified>
</cp:coreProperties>
</file>