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data!$A$1:$S$581</definedName>
    <definedName name="_xlnm._FilterDatabase">data!$A$1:$S$402</definedName>
  </definedNames>
  <calcPr calcId="162913"/>
</workbook>
</file>

<file path=xl/calcChain.xml><?xml version="1.0" encoding="utf-8"?>
<calcChain xmlns="http://schemas.openxmlformats.org/spreadsheetml/2006/main">
  <c r="I575" i="1" l="1"/>
  <c r="J575" i="1" s="1"/>
  <c r="I576" i="1"/>
  <c r="J576" i="1" s="1"/>
  <c r="I577" i="1"/>
  <c r="J577" i="1" s="1"/>
  <c r="I578" i="1"/>
  <c r="J578" i="1" s="1"/>
  <c r="I579" i="1"/>
  <c r="J579" i="1" s="1"/>
  <c r="I580" i="1"/>
  <c r="J580" i="1" s="1"/>
  <c r="I581" i="1"/>
  <c r="J581" i="1" s="1"/>
  <c r="B575" i="1"/>
  <c r="B576" i="1"/>
  <c r="B577" i="1"/>
  <c r="B578" i="1"/>
  <c r="B579" i="1"/>
  <c r="B580" i="1"/>
  <c r="B581" i="1"/>
  <c r="B572" i="1"/>
  <c r="B573" i="1"/>
  <c r="B574" i="1"/>
  <c r="I572" i="1"/>
  <c r="J572" i="1" s="1"/>
  <c r="I573" i="1"/>
  <c r="J573" i="1" s="1"/>
  <c r="I574" i="1"/>
  <c r="J574" i="1" s="1"/>
  <c r="I570" i="1" l="1"/>
  <c r="J570" i="1" s="1"/>
  <c r="I571" i="1"/>
  <c r="J571" i="1" s="1"/>
  <c r="B569" i="1"/>
  <c r="B570" i="1"/>
  <c r="B571" i="1"/>
  <c r="I568" i="1" l="1"/>
  <c r="J568" i="1" s="1"/>
  <c r="I569" i="1"/>
  <c r="J569" i="1" s="1"/>
  <c r="B567" i="1"/>
  <c r="B568" i="1"/>
  <c r="I563" i="1"/>
  <c r="J563" i="1" s="1"/>
  <c r="I564" i="1"/>
  <c r="J564" i="1" s="1"/>
  <c r="I565" i="1"/>
  <c r="J565" i="1" s="1"/>
  <c r="I566" i="1"/>
  <c r="J566" i="1" s="1"/>
  <c r="I567" i="1"/>
  <c r="J567" i="1" s="1"/>
  <c r="B562" i="1"/>
  <c r="B563" i="1"/>
  <c r="B564" i="1"/>
  <c r="B565" i="1"/>
  <c r="B566" i="1"/>
  <c r="I558" i="1" l="1"/>
  <c r="J558" i="1" s="1"/>
  <c r="I559" i="1"/>
  <c r="J559" i="1" s="1"/>
  <c r="I560" i="1"/>
  <c r="J560" i="1" s="1"/>
  <c r="I561" i="1"/>
  <c r="J561" i="1" s="1"/>
  <c r="I562" i="1"/>
  <c r="J562" i="1" s="1"/>
  <c r="B558" i="1"/>
  <c r="B559" i="1"/>
  <c r="B560" i="1"/>
  <c r="B561" i="1"/>
  <c r="B557" i="1"/>
  <c r="I557" i="1"/>
  <c r="J557" i="1" s="1"/>
  <c r="I547" i="1"/>
  <c r="J547" i="1" s="1"/>
  <c r="I548" i="1"/>
  <c r="J548" i="1" s="1"/>
  <c r="I549" i="1"/>
  <c r="J549" i="1" s="1"/>
  <c r="I550" i="1"/>
  <c r="J550" i="1" s="1"/>
  <c r="I551" i="1"/>
  <c r="J551" i="1" s="1"/>
  <c r="I552" i="1"/>
  <c r="J552" i="1" s="1"/>
  <c r="I553" i="1"/>
  <c r="J553" i="1" s="1"/>
  <c r="I554" i="1"/>
  <c r="J554" i="1" s="1"/>
  <c r="I555" i="1"/>
  <c r="J555" i="1" s="1"/>
  <c r="I556" i="1"/>
  <c r="J556" i="1" s="1"/>
  <c r="B548" i="1"/>
  <c r="B549" i="1"/>
  <c r="B550" i="1"/>
  <c r="B551" i="1"/>
  <c r="B552" i="1"/>
  <c r="B553" i="1"/>
  <c r="B554" i="1"/>
  <c r="B555" i="1"/>
  <c r="B556" i="1"/>
  <c r="H17" i="1" l="1"/>
  <c r="I543" i="1" l="1"/>
  <c r="J543" i="1" s="1"/>
  <c r="I544" i="1"/>
  <c r="J544" i="1" s="1"/>
  <c r="I545" i="1"/>
  <c r="J545" i="1" s="1"/>
  <c r="I546" i="1"/>
  <c r="J546" i="1" s="1"/>
  <c r="B543" i="1"/>
  <c r="B544" i="1"/>
  <c r="B545" i="1"/>
  <c r="B546" i="1"/>
  <c r="B547" i="1"/>
  <c r="I535" i="1"/>
  <c r="J535" i="1" s="1"/>
  <c r="I536" i="1"/>
  <c r="J536" i="1" s="1"/>
  <c r="I537" i="1"/>
  <c r="J537" i="1" s="1"/>
  <c r="I538" i="1"/>
  <c r="J538" i="1" s="1"/>
  <c r="I539" i="1"/>
  <c r="J539" i="1" s="1"/>
  <c r="I540" i="1"/>
  <c r="J540" i="1" s="1"/>
  <c r="I541" i="1"/>
  <c r="J541" i="1" s="1"/>
  <c r="I542" i="1"/>
  <c r="J542" i="1" s="1"/>
  <c r="B535" i="1"/>
  <c r="B536" i="1"/>
  <c r="B537" i="1"/>
  <c r="B538" i="1"/>
  <c r="B539" i="1"/>
  <c r="B540" i="1"/>
  <c r="B541" i="1"/>
  <c r="B542" i="1"/>
  <c r="B525" i="1"/>
  <c r="I525" i="1"/>
  <c r="J525" i="1" s="1"/>
  <c r="B526" i="1"/>
  <c r="I526" i="1"/>
  <c r="J526" i="1" s="1"/>
  <c r="B527" i="1"/>
  <c r="I527" i="1"/>
  <c r="J527" i="1" s="1"/>
  <c r="B528" i="1"/>
  <c r="I528" i="1"/>
  <c r="J528" i="1" s="1"/>
  <c r="B529" i="1"/>
  <c r="I529" i="1"/>
  <c r="J529" i="1" s="1"/>
  <c r="B530" i="1"/>
  <c r="I530" i="1"/>
  <c r="J530" i="1" s="1"/>
  <c r="B531" i="1"/>
  <c r="I531" i="1"/>
  <c r="J531" i="1" s="1"/>
  <c r="B532" i="1"/>
  <c r="I532" i="1"/>
  <c r="J532" i="1" s="1"/>
  <c r="I533" i="1"/>
  <c r="J533" i="1" s="1"/>
  <c r="I534" i="1"/>
  <c r="J534" i="1" s="1"/>
  <c r="B533" i="1"/>
  <c r="B534" i="1"/>
  <c r="B515" i="1" l="1"/>
  <c r="B516" i="1"/>
  <c r="B517" i="1"/>
  <c r="B518" i="1"/>
  <c r="B519" i="1"/>
  <c r="B520" i="1"/>
  <c r="B521" i="1"/>
  <c r="B522" i="1"/>
  <c r="B523" i="1"/>
  <c r="B524" i="1"/>
  <c r="I515" i="1"/>
  <c r="J515" i="1" s="1"/>
  <c r="I516" i="1"/>
  <c r="J516" i="1" s="1"/>
  <c r="I517" i="1"/>
  <c r="J517" i="1" s="1"/>
  <c r="I518" i="1"/>
  <c r="J518" i="1" s="1"/>
  <c r="I519" i="1"/>
  <c r="J519" i="1" s="1"/>
  <c r="I520" i="1"/>
  <c r="J520" i="1" s="1"/>
  <c r="I521" i="1"/>
  <c r="J521" i="1" s="1"/>
  <c r="I522" i="1"/>
  <c r="J522" i="1" s="1"/>
  <c r="I523" i="1"/>
  <c r="J523" i="1" s="1"/>
  <c r="I524" i="1"/>
  <c r="J524" i="1" s="1"/>
  <c r="I513" i="1" l="1"/>
  <c r="J513" i="1" s="1"/>
  <c r="I514" i="1"/>
  <c r="J514" i="1" s="1"/>
  <c r="B513" i="1"/>
  <c r="B514" i="1"/>
  <c r="I512" i="1"/>
  <c r="J512" i="1" s="1"/>
  <c r="B512" i="1"/>
  <c r="I480" i="1"/>
  <c r="J480" i="1" s="1"/>
  <c r="I481" i="1"/>
  <c r="J481" i="1" s="1"/>
  <c r="I482" i="1"/>
  <c r="J482" i="1" s="1"/>
  <c r="I483" i="1"/>
  <c r="J483" i="1" s="1"/>
  <c r="I484" i="1"/>
  <c r="J484" i="1" s="1"/>
  <c r="I485" i="1"/>
  <c r="J485" i="1" s="1"/>
  <c r="I486" i="1"/>
  <c r="J486" i="1" s="1"/>
  <c r="I487" i="1"/>
  <c r="J487" i="1" s="1"/>
  <c r="I488" i="1"/>
  <c r="J488" i="1" s="1"/>
  <c r="I489" i="1"/>
  <c r="J489" i="1" s="1"/>
  <c r="I490" i="1"/>
  <c r="J490" i="1" s="1"/>
  <c r="I491" i="1"/>
  <c r="J491" i="1" s="1"/>
  <c r="I492" i="1"/>
  <c r="J492" i="1" s="1"/>
  <c r="I493" i="1"/>
  <c r="J493" i="1" s="1"/>
  <c r="I494" i="1"/>
  <c r="J494" i="1" s="1"/>
  <c r="I495" i="1"/>
  <c r="J495" i="1" s="1"/>
  <c r="I496" i="1"/>
  <c r="J496" i="1" s="1"/>
  <c r="I497" i="1"/>
  <c r="J497" i="1" s="1"/>
  <c r="I498" i="1"/>
  <c r="J498" i="1" s="1"/>
  <c r="I499" i="1"/>
  <c r="J499" i="1" s="1"/>
  <c r="I500" i="1"/>
  <c r="J500" i="1" s="1"/>
  <c r="I501" i="1"/>
  <c r="J501" i="1" s="1"/>
  <c r="I502" i="1"/>
  <c r="J502" i="1" s="1"/>
  <c r="I503" i="1"/>
  <c r="J503" i="1" s="1"/>
  <c r="I504" i="1"/>
  <c r="J504" i="1" s="1"/>
  <c r="I505" i="1"/>
  <c r="J505" i="1" s="1"/>
  <c r="I506" i="1"/>
  <c r="J506" i="1" s="1"/>
  <c r="I507" i="1"/>
  <c r="J507" i="1" s="1"/>
  <c r="I508" i="1"/>
  <c r="J508" i="1" s="1"/>
  <c r="I509" i="1"/>
  <c r="J509" i="1" s="1"/>
  <c r="I510" i="1"/>
  <c r="J510" i="1" s="1"/>
  <c r="I511" i="1"/>
  <c r="J511" i="1" s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I479" i="1" l="1"/>
  <c r="J479" i="1" s="1"/>
  <c r="B479" i="1"/>
  <c r="I473" i="1"/>
  <c r="J473" i="1" s="1"/>
  <c r="I474" i="1"/>
  <c r="J474" i="1" s="1"/>
  <c r="I475" i="1"/>
  <c r="J475" i="1" s="1"/>
  <c r="I476" i="1"/>
  <c r="J476" i="1" s="1"/>
  <c r="I477" i="1"/>
  <c r="J477" i="1" s="1"/>
  <c r="I478" i="1"/>
  <c r="J478" i="1" s="1"/>
  <c r="B473" i="1"/>
  <c r="B474" i="1"/>
  <c r="B475" i="1"/>
  <c r="B476" i="1"/>
  <c r="B477" i="1"/>
  <c r="B478" i="1"/>
  <c r="B337" i="1"/>
  <c r="I337" i="1"/>
  <c r="J337" i="1" s="1"/>
  <c r="I471" i="1" l="1"/>
  <c r="J471" i="1" s="1"/>
  <c r="I472" i="1"/>
  <c r="J472" i="1" s="1"/>
  <c r="B471" i="1"/>
  <c r="B472" i="1"/>
  <c r="I448" i="1"/>
  <c r="J448" i="1" s="1"/>
  <c r="I449" i="1"/>
  <c r="J449" i="1" s="1"/>
  <c r="I450" i="1"/>
  <c r="J450" i="1" s="1"/>
  <c r="I451" i="1"/>
  <c r="J451" i="1" s="1"/>
  <c r="I452" i="1"/>
  <c r="J452" i="1" s="1"/>
  <c r="I453" i="1"/>
  <c r="J453" i="1" s="1"/>
  <c r="I454" i="1"/>
  <c r="J454" i="1" s="1"/>
  <c r="I455" i="1"/>
  <c r="J455" i="1" s="1"/>
  <c r="I456" i="1"/>
  <c r="J456" i="1" s="1"/>
  <c r="I457" i="1"/>
  <c r="J457" i="1" s="1"/>
  <c r="I458" i="1"/>
  <c r="J458" i="1" s="1"/>
  <c r="I459" i="1"/>
  <c r="J459" i="1" s="1"/>
  <c r="I460" i="1"/>
  <c r="J460" i="1" s="1"/>
  <c r="I461" i="1"/>
  <c r="J461" i="1" s="1"/>
  <c r="I462" i="1"/>
  <c r="J462" i="1" s="1"/>
  <c r="I463" i="1"/>
  <c r="J463" i="1" s="1"/>
  <c r="I464" i="1"/>
  <c r="J464" i="1" s="1"/>
  <c r="I465" i="1"/>
  <c r="J465" i="1" s="1"/>
  <c r="I466" i="1"/>
  <c r="J466" i="1" s="1"/>
  <c r="I467" i="1"/>
  <c r="J467" i="1" s="1"/>
  <c r="I468" i="1"/>
  <c r="J468" i="1" s="1"/>
  <c r="I469" i="1"/>
  <c r="J469" i="1" s="1"/>
  <c r="I470" i="1"/>
  <c r="J470" i="1" s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I446" i="1" l="1"/>
  <c r="J446" i="1" s="1"/>
  <c r="I447" i="1"/>
  <c r="J447" i="1" s="1"/>
  <c r="B447" i="1"/>
  <c r="I434" i="1"/>
  <c r="J434" i="1" s="1"/>
  <c r="I435" i="1"/>
  <c r="J435" i="1" s="1"/>
  <c r="I436" i="1"/>
  <c r="J436" i="1" s="1"/>
  <c r="I437" i="1"/>
  <c r="J437" i="1" s="1"/>
  <c r="I438" i="1"/>
  <c r="J438" i="1" s="1"/>
  <c r="I439" i="1"/>
  <c r="J439" i="1" s="1"/>
  <c r="I440" i="1"/>
  <c r="J440" i="1" s="1"/>
  <c r="I441" i="1"/>
  <c r="J441" i="1" s="1"/>
  <c r="I442" i="1"/>
  <c r="J442" i="1" s="1"/>
  <c r="I443" i="1"/>
  <c r="J443" i="1" s="1"/>
  <c r="I444" i="1"/>
  <c r="J444" i="1" s="1"/>
  <c r="I445" i="1"/>
  <c r="J445" i="1" s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I311" i="1" l="1"/>
  <c r="J311" i="1" s="1"/>
  <c r="B311" i="1"/>
  <c r="I430" i="1" l="1"/>
  <c r="J430" i="1" s="1"/>
  <c r="I431" i="1"/>
  <c r="J431" i="1" s="1"/>
  <c r="I432" i="1"/>
  <c r="J432" i="1" s="1"/>
  <c r="I433" i="1"/>
  <c r="J433" i="1" s="1"/>
  <c r="B430" i="1"/>
  <c r="B431" i="1"/>
  <c r="B432" i="1"/>
  <c r="B433" i="1"/>
  <c r="B429" i="1"/>
  <c r="I423" i="1"/>
  <c r="J423" i="1" s="1"/>
  <c r="I424" i="1"/>
  <c r="J424" i="1" s="1"/>
  <c r="I425" i="1"/>
  <c r="J425" i="1" s="1"/>
  <c r="I426" i="1"/>
  <c r="J426" i="1" s="1"/>
  <c r="I427" i="1"/>
  <c r="J427" i="1" s="1"/>
  <c r="I428" i="1"/>
  <c r="J428" i="1" s="1"/>
  <c r="I429" i="1"/>
  <c r="J429" i="1" s="1"/>
  <c r="B423" i="1"/>
  <c r="B424" i="1"/>
  <c r="B425" i="1"/>
  <c r="B426" i="1"/>
  <c r="B427" i="1"/>
  <c r="B428" i="1"/>
  <c r="I419" i="1" l="1"/>
  <c r="J419" i="1" s="1"/>
  <c r="I420" i="1"/>
  <c r="J420" i="1" s="1"/>
  <c r="I421" i="1"/>
  <c r="J421" i="1" s="1"/>
  <c r="I422" i="1"/>
  <c r="J422" i="1" s="1"/>
  <c r="D415" i="1"/>
  <c r="D416" i="1"/>
  <c r="D417" i="1"/>
  <c r="D418" i="1"/>
  <c r="B419" i="1"/>
  <c r="B420" i="1"/>
  <c r="B421" i="1"/>
  <c r="B422" i="1"/>
  <c r="I402" i="1"/>
  <c r="J402" i="1" s="1"/>
  <c r="I403" i="1"/>
  <c r="J403" i="1" s="1"/>
  <c r="I404" i="1"/>
  <c r="J404" i="1" s="1"/>
  <c r="I405" i="1"/>
  <c r="J405" i="1" s="1"/>
  <c r="I406" i="1"/>
  <c r="J406" i="1" s="1"/>
  <c r="I407" i="1"/>
  <c r="J407" i="1" s="1"/>
  <c r="I408" i="1"/>
  <c r="J408" i="1" s="1"/>
  <c r="I409" i="1"/>
  <c r="J409" i="1" s="1"/>
  <c r="I410" i="1"/>
  <c r="J410" i="1" s="1"/>
  <c r="I411" i="1"/>
  <c r="J411" i="1" s="1"/>
  <c r="I412" i="1"/>
  <c r="J412" i="1" s="1"/>
  <c r="I413" i="1"/>
  <c r="J413" i="1" s="1"/>
  <c r="I414" i="1"/>
  <c r="J414" i="1" s="1"/>
  <c r="I415" i="1"/>
  <c r="J415" i="1" s="1"/>
  <c r="I416" i="1"/>
  <c r="J416" i="1" s="1"/>
  <c r="I417" i="1"/>
  <c r="J417" i="1" s="1"/>
  <c r="I418" i="1"/>
  <c r="J418" i="1" s="1"/>
  <c r="D403" i="1"/>
  <c r="D404" i="1"/>
  <c r="D405" i="1"/>
  <c r="D406" i="1"/>
  <c r="D407" i="1"/>
  <c r="D408" i="1"/>
  <c r="D409" i="1"/>
  <c r="D410" i="1"/>
  <c r="D411" i="1"/>
  <c r="D412" i="1"/>
  <c r="D413" i="1"/>
  <c r="D414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D402" i="1"/>
  <c r="I401" i="1" l="1"/>
  <c r="J401" i="1" s="1"/>
  <c r="B401" i="1"/>
  <c r="B400" i="1"/>
  <c r="B399" i="1"/>
  <c r="B398" i="1"/>
  <c r="D397" i="1"/>
  <c r="B396" i="1"/>
  <c r="B397" i="1"/>
  <c r="B384" i="1" l="1"/>
  <c r="B385" i="1"/>
  <c r="B386" i="1"/>
  <c r="B387" i="1"/>
  <c r="B388" i="1"/>
  <c r="B389" i="1"/>
  <c r="B390" i="1"/>
  <c r="B391" i="1"/>
  <c r="B392" i="1"/>
  <c r="B393" i="1"/>
  <c r="B394" i="1"/>
  <c r="B395" i="1"/>
  <c r="B383" i="1" l="1"/>
  <c r="B382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69" i="1" l="1"/>
  <c r="B368" i="1"/>
  <c r="B365" i="1" l="1"/>
  <c r="B366" i="1"/>
  <c r="B367" i="1"/>
  <c r="D364" i="1"/>
  <c r="D362" i="1"/>
  <c r="D363" i="1"/>
  <c r="B362" i="1"/>
  <c r="B363" i="1"/>
  <c r="B364" i="1"/>
  <c r="B361" i="1"/>
  <c r="D361" i="1"/>
  <c r="B359" i="1"/>
  <c r="B360" i="1"/>
  <c r="B358" i="1"/>
  <c r="B357" i="1"/>
  <c r="B356" i="1"/>
  <c r="B355" i="1"/>
  <c r="B354" i="1"/>
  <c r="B312" i="1" l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10" i="1" l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288" i="1" l="1"/>
  <c r="D100" i="1"/>
  <c r="B278" i="1" l="1"/>
  <c r="B279" i="1"/>
  <c r="B280" i="1"/>
  <c r="B281" i="1"/>
  <c r="B282" i="1"/>
  <c r="B283" i="1"/>
  <c r="B284" i="1"/>
  <c r="B285" i="1"/>
  <c r="B286" i="1"/>
  <c r="B287" i="1"/>
  <c r="B276" i="1"/>
  <c r="B277" i="1"/>
  <c r="I138" i="1" l="1"/>
  <c r="J138" i="1" s="1"/>
  <c r="I139" i="1"/>
  <c r="B138" i="1"/>
  <c r="D138" i="1"/>
  <c r="B257" i="1" l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55" i="1"/>
  <c r="B256" i="1"/>
  <c r="B253" i="1"/>
  <c r="B254" i="1"/>
  <c r="B248" i="1" l="1"/>
  <c r="B249" i="1"/>
  <c r="B250" i="1"/>
  <c r="B251" i="1"/>
  <c r="B252" i="1"/>
  <c r="B245" i="1"/>
  <c r="B246" i="1"/>
  <c r="B247" i="1"/>
  <c r="B220" i="1" l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16" i="1"/>
  <c r="B217" i="1"/>
  <c r="B218" i="1"/>
  <c r="B219" i="1"/>
  <c r="B211" i="1" l="1"/>
  <c r="B212" i="1"/>
  <c r="B213" i="1"/>
  <c r="B214" i="1"/>
  <c r="B215" i="1"/>
  <c r="D167" i="1" l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B49" i="1" l="1"/>
  <c r="D49" i="1"/>
  <c r="I49" i="1"/>
  <c r="J49" i="1" s="1"/>
  <c r="I94" i="1" l="1"/>
  <c r="I95" i="1"/>
  <c r="I400" i="1" l="1"/>
  <c r="J400" i="1" s="1"/>
  <c r="I399" i="1"/>
  <c r="J399" i="1" s="1"/>
  <c r="I398" i="1"/>
  <c r="J398" i="1" s="1"/>
  <c r="I397" i="1"/>
  <c r="J397" i="1" s="1"/>
  <c r="I396" i="1"/>
  <c r="J396" i="1" s="1"/>
  <c r="D396" i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D360" i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0" i="1"/>
  <c r="J310" i="1" s="1"/>
  <c r="I309" i="1"/>
  <c r="J309" i="1" s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D289" i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D255" i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D186" i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B167" i="1"/>
  <c r="I166" i="1"/>
  <c r="J166" i="1" s="1"/>
  <c r="D166" i="1"/>
  <c r="B166" i="1"/>
  <c r="I165" i="1"/>
  <c r="J165" i="1" s="1"/>
  <c r="B165" i="1"/>
  <c r="I164" i="1"/>
  <c r="J164" i="1" s="1"/>
  <c r="D164" i="1"/>
  <c r="B164" i="1"/>
  <c r="I163" i="1"/>
  <c r="J163" i="1" s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D158" i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D141" i="1"/>
  <c r="B141" i="1"/>
  <c r="I140" i="1"/>
  <c r="J140" i="1" s="1"/>
  <c r="D140" i="1"/>
  <c r="B140" i="1"/>
  <c r="J139" i="1"/>
  <c r="D139" i="1"/>
  <c r="B139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<sst xmlns="http://schemas.openxmlformats.org/spreadsheetml/2006/main" count="3100" uniqueCount="830">
  <si>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</si>
  <si>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</si>
  <si>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</si>
  <si>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</si>
  <si>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</si>
  <si>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</si>
  <si>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</si>
  <si>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</si>
  <si>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</si>
  <si>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</si>
  <si>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</si>
  <si>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</si>
  <si>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</si>
  <si>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</si>
  <si>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</si>
  <si>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</si>
  <si>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</si>
  <si>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</si>
  <si>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</si>
  <si>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</si>
  <si>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</si>
  <si>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</si>
  <si>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</si>
  <si>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</si>
  <si>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</si>
  <si>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</si>
  <si>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</si>
  <si>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</si>
  <si>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</si>
  <si>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</si>
  <si>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</si>
  <si>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</si>
  <si>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</si>
  <si>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</si>
  <si>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</si>
  <si>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</si>
  <si>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</si>
  <si>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</si>
  <si>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</si>
  <si>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</si>
  <si>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</si>
  <si>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</si>
  <si>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</si>
  <si>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</si>
  <si>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</si>
  <si>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</si>
  <si>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</si>
  <si>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</si>
  <si>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</si>
  <si>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</si>
  <si>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</si>
  <si>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</si>
  <si>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</si>
  <si>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</si>
  <si>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</si>
  <si>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</si>
  <si>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</si>
  <si>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</si>
  <si>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</si>
  <si>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</si>
  <si>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</si>
  <si>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</si>
  <si>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</si>
  <si>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</si>
  <si>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</si>
  <si>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</si>
  <si>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</si>
  <si>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</si>
  <si>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</si>
  <si>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</si>
  <si>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</si>
  <si>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</si>
  <si>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</si>
  <si>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</si>
  <si>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</si>
  <si>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</si>
  <si>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</si>
  <si>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</si>
  <si>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</si>
  <si>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</si>
  <si>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</si>
  <si>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</si>
  <si>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</si>
  <si>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</si>
  <si>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</si>
  <si>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</si>
  <si>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</si>
  <si>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</si>
  <si>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</si>
  <si>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</si>
  <si>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</si>
  <si>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</si>
  <si>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</si>
  <si>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</si>
  <si>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</si>
  <si>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</si>
  <si>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</si>
  <si>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</si>
  <si>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</si>
  <si>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</si>
  <si>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</si>
  <si>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</si>
  <si>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</si>
  <si>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</si>
  <si>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</si>
  <si>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</si>
  <si>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</si>
  <si>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</si>
  <si>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</si>
  <si>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</si>
  <si>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</si>
  <si>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</si>
  <si>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</si>
  <si>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</si>
  <si>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</si>
  <si>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</si>
  <si>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</si>
  <si>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</si>
  <si>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</si>
  <si>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</si>
  <si>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</si>
  <si>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</si>
  <si>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</si>
  <si>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</si>
  <si>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</si>
  <si>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</si>
  <si>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</si>
  <si>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</si>
  <si>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</si>
  <si>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</si>
  <si>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</si>
  <si>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</si>
  <si>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</si>
  <si>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</si>
  <si>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</si>
  <si>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</si>
  <si>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</si>
  <si>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</si>
  <si>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</si>
  <si>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</si>
  <si>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</si>
  <si>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</si>
  <si>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</si>
  <si>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</si>
  <si>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</si>
  <si>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</si>
  <si>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</si>
  <si>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</si>
  <si>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</si>
  <si>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</si>
  <si>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</si>
  <si>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</si>
  <si>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</si>
  <si>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</si>
  <si>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</si>
  <si>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</si>
  <si>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</si>
  <si>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</si>
  <si>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</si>
  <si>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</si>
  <si>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</si>
  <si>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</si>
  <si>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</si>
  <si>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</si>
  <si>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</si>
  <si>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</si>
  <si>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</si>
  <si>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</si>
  <si>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</si>
  <si>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</si>
  <si>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</si>
  <si>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</si>
  <si>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</si>
  <si>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</si>
  <si>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</si>
  <si>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</si>
  <si>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</si>
  <si>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</si>
  <si>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</si>
  <si>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</si>
  <si>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</si>
  <si>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</si>
  <si>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</si>
  <si>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</si>
  <si>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</si>
  <si>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</si>
  <si>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</si>
  <si>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</si>
  <si>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</si>
  <si>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</si>
  <si>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</si>
  <si>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</si>
  <si>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</si>
  <si>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</si>
  <si>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</si>
  <si>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</si>
  <si>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</si>
  <si>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</si>
  <si>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</si>
  <si>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</si>
  <si>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</si>
  <si>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</si>
  <si>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</si>
  <si>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</si>
  <si>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</si>
  <si>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</si>
  <si>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</si>
  <si>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</si>
  <si>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</si>
  <si>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</si>
  <si>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</si>
  <si>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</si>
  <si>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</si>
  <si>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</si>
  <si>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</si>
  <si>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</si>
  <si>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</si>
  <si>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</si>
  <si>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</si>
  <si>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</si>
  <si>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</si>
  <si>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</si>
  <si>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</si>
  <si>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</si>
  <si>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</si>
  <si>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</si>
  <si>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</si>
  <si>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</si>
  <si>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</si>
  <si>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</si>
  <si>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</si>
  <si>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</si>
  <si>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</si>
  <si>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</si>
  <si>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</si>
  <si>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</si>
  <si>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</si>
  <si>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</si>
  <si>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</si>
  <si>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</si>
  <si>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</si>
  <si>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</si>
  <si>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</si>
  <si>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</si>
  <si>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</si>
  <si>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</si>
  <si>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</si>
  <si>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</si>
  <si>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</si>
  <si>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</si>
  <si>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</si>
  <si>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</si>
  <si>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</si>
  <si>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</si>
  <si>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</si>
  <si>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</si>
  <si>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</si>
  <si>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</si>
  <si>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</si>
  <si>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</si>
  <si>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</si>
  <si>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</si>
  <si>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</si>
  <si>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</si>
  <si>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</si>
  <si>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</si>
  <si>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</si>
  <si>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</si>
  <si>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</si>
  <si>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</si>
  <si>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</si>
  <si>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</si>
  <si>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</si>
  <si>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</si>
  <si>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</si>
  <si>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</si>
  <si>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</si>
  <si>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</si>
  <si>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</si>
  <si>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</si>
  <si>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</si>
  <si>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</si>
  <si>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</si>
  <si>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</si>
  <si>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</si>
  <si>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</si>
  <si>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</si>
  <si>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</si>
  <si>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</si>
  <si>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</si>
  <si>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</si>
  <si>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</si>
  <si>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</si>
  <si>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</si>
  <si>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</si>
  <si>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</si>
  <si>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</si>
  <si>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</si>
  <si>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</si>
  <si>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</si>
  <si>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</si>
  <si>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</si>
  <si>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</si>
  <si>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</si>
  <si>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</si>
  <si>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</si>
  <si>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</si>
  <si>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</si>
  <si>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</si>
  <si>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</si>
  <si>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</si>
  <si>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</si>
  <si>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</si>
  <si>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</si>
  <si>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</si>
  <si>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</si>
  <si>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</si>
  <si>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</si>
  <si>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</si>
  <si>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</si>
  <si>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</si>
  <si>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</si>
  <si>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</si>
  <si>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</si>
  <si>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</si>
  <si>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</si>
  <si>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</si>
  <si>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</si>
  <si>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</si>
  <si>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</si>
  <si>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</si>
  <si>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</si>
  <si>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</si>
  <si>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</si>
  <si>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</si>
  <si>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</si>
  <si>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</si>
  <si>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</si>
  <si>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</si>
  <si>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</si>
  <si>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</si>
  <si>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</si>
  <si>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</si>
  <si>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</si>
  <si>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</si>
  <si>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</si>
  <si>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</si>
  <si>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</si>
  <si>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</si>
  <si>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</si>
  <si>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</si>
  <si>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</si>
  <si>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</si>
  <si>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</si>
  <si>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</si>
  <si>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</si>
  <si>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</si>
  <si>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</si>
  <si>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</si>
  <si>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</si>
  <si>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</si>
  <si>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</si>
  <si>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</si>
  <si>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</si>
  <si>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</si>
  <si>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</si>
  <si>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</si>
  <si>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</si>
  <si>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</si>
  <si>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</si>
  <si>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</si>
  <si>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</si>
  <si>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</si>
  <si>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</si>
  <si>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</si>
  <si>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</si>
  <si>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</si>
  <si>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</si>
  <si>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</si>
  <si>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</si>
  <si>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</si>
  <si>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</si>
  <si>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</si>
  <si>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</si>
  <si>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</si>
  <si>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</si>
  <si>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</si>
  <si>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</si>
  <si>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</si>
  <si>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</si>
  <si>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</si>
  <si>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</si>
  <si>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</si>
  <si>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</si>
  <si>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</si>
  <si>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</si>
  <si>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</si>
  <si>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</si>
  <si>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</si>
  <si>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</si>
  <si>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</si>
  <si>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</si>
  <si>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</si>
  <si>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</si>
  <si>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</si>
  <si>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</si>
  <si>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</si>
  <si>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</si>
  <si>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</si>
  <si>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</si>
  <si>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</si>
  <si>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</si>
  <si>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</si>
  <si>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</si>
  <si>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</si>
  <si>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</si>
  <si>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</si>
  <si>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</si>
  <si>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</si>
  <si>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</si>
  <si>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</si>
  <si>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</si>
  <si>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</si>
  <si>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</si>
  <si>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</si>
  <si>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</si>
  <si>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</si>
  <si>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</si>
  <si>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</si>
  <si>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</si>
  <si>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</si>
  <si>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</si>
  <si>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</si>
  <si>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</si>
  <si>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</si>
  <si>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</si>
  <si>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</si>
  <si>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</si>
  <si>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</si>
  <si>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</si>
  <si>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</si>
  <si>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</si>
  <si>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</si>
  <si>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</si>
  <si>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</si>
  <si>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</si>
  <si>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</si>
  <si>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</si>
  <si>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</si>
  <si>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</si>
  <si>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</si>
  <si>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</si>
  <si>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</si>
  <si>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</si>
  <si>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</si>
  <si>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</si>
  <si>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</si>
  <si>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</si>
  <si>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</si>
  <si>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</si>
  <si>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</si>
  <si>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</si>
  <si>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</si>
  <si>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</si>
  <si>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</si>
  <si>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</si>
  <si>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</si>
  <si>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</si>
  <si>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중도금</t>
    <phoneticPr fontId="5" type="noConversion"/>
  </si>
  <si>
    <t>㈜이음건설</t>
    <phoneticPr fontId="5" type="noConversion"/>
  </si>
  <si>
    <t>양산유탑유블레스</t>
    <phoneticPr fontId="5" type="noConversion"/>
  </si>
  <si>
    <t>인왕산아이파크</t>
  </si>
  <si>
    <t>의왕민들레베스파트</t>
  </si>
  <si>
    <t>래미안대치하이스턴</t>
  </si>
  <si>
    <t>경기테크노파크</t>
  </si>
  <si>
    <t>한가람아파트</t>
  </si>
  <si>
    <t>창원개인주택</t>
  </si>
  <si>
    <t>동부산아이존빌</t>
  </si>
  <si>
    <t>동탄더레이크팰리스</t>
  </si>
  <si>
    <t>동탄역시범리슈빌</t>
  </si>
  <si>
    <t>민락동진로비치</t>
  </si>
  <si>
    <t>소새울역청구</t>
  </si>
  <si>
    <t>당하태평샹베르</t>
  </si>
  <si>
    <t>힐스테이트광산</t>
  </si>
  <si>
    <t>하계극동건영벽산</t>
  </si>
  <si>
    <t>평택비전지웰푸르지오</t>
  </si>
  <si>
    <t>운양까치</t>
  </si>
  <si>
    <t>민락엘레트19단지</t>
  </si>
  <si>
    <t>백현마을경남아너스빌</t>
  </si>
  <si>
    <t>시흥3차벽산</t>
  </si>
  <si>
    <t>일광자이푸르지오1단지</t>
  </si>
  <si>
    <t>삼정그린코아</t>
  </si>
  <si>
    <t>성수동아그린</t>
  </si>
  <si>
    <t>태왕아너스오션</t>
  </si>
  <si>
    <t>문촌마을10단지</t>
  </si>
  <si>
    <t>남강휴번빌</t>
  </si>
  <si>
    <t>검단힐스테이트1차</t>
  </si>
  <si>
    <t>북한산더샵</t>
  </si>
  <si>
    <t>서면동일파크스위트3차</t>
  </si>
  <si>
    <t>윤창홈타운</t>
  </si>
  <si>
    <t>천안역우방아이유쉘</t>
  </si>
  <si>
    <t>강변들보람아파트</t>
  </si>
  <si>
    <t>리베라아이누리2차</t>
  </si>
  <si>
    <t>(주)유니드건설</t>
  </si>
  <si>
    <t>(주)주원디엔피</t>
  </si>
  <si>
    <t>(주)세원</t>
  </si>
  <si>
    <t>주식회사 유일건설</t>
  </si>
  <si>
    <t>(주)예운</t>
  </si>
  <si>
    <t>하린이앤씨 주식회사</t>
  </si>
  <si>
    <t>2026-04-02</t>
  </si>
  <si>
    <t>2026-04-03</t>
  </si>
  <si>
    <t>2026-04-06</t>
  </si>
  <si>
    <t>자재</t>
    <phoneticPr fontId="5" type="noConversion"/>
  </si>
  <si>
    <t>(주)에이치제이건설</t>
    <phoneticPr fontId="5" type="noConversion"/>
  </si>
  <si>
    <t>중도금</t>
    <phoneticPr fontId="5" type="noConversion"/>
  </si>
  <si>
    <t>동탄역시범한화꿈에그린프레스티지</t>
  </si>
  <si>
    <t>잔금</t>
    <phoneticPr fontId="5" type="noConversion"/>
  </si>
  <si>
    <t>잔금</t>
    <phoneticPr fontId="5" type="noConversion"/>
  </si>
  <si>
    <t>성균관대역서희스타힐스 1,2단지아파트</t>
  </si>
  <si>
    <t>이루미건설㈜</t>
  </si>
  <si>
    <t>중도금</t>
    <phoneticPr fontId="5" type="noConversion"/>
  </si>
  <si>
    <t>주식회사 수지씨앤에스</t>
  </si>
  <si>
    <t>금오주공그린빌4단지아파트</t>
  </si>
  <si>
    <t>선급금</t>
    <phoneticPr fontId="5" type="noConversion"/>
  </si>
  <si>
    <t>두정이편한세상3차아파트</t>
  </si>
  <si>
    <t>우미이노스빌아파트</t>
  </si>
  <si>
    <t>대지마을현대홈타운아파트</t>
  </si>
  <si>
    <t>초담건설㈜</t>
  </si>
  <si>
    <t>12/31 1천만원 입금/3/25 14,545,455만원입금</t>
    <phoneticPr fontId="5" type="noConversion"/>
  </si>
  <si>
    <t>3/31 18,181,818원 4/5 9,090,909원</t>
    <phoneticPr fontId="5" type="noConversion"/>
  </si>
  <si>
    <t>호연상사</t>
    <phoneticPr fontId="5" type="noConversion"/>
  </si>
  <si>
    <t>잔금</t>
    <phoneticPr fontId="5" type="noConversion"/>
  </si>
  <si>
    <t>잔금</t>
    <phoneticPr fontId="5" type="noConversion"/>
  </si>
  <si>
    <t>석수e편한세상아파트</t>
  </si>
  <si>
    <t>선급금</t>
    <phoneticPr fontId="5" type="noConversion"/>
  </si>
  <si>
    <t>이천수림1차</t>
  </si>
  <si>
    <t>헬리오시티</t>
  </si>
  <si>
    <t>천안시티자이</t>
  </si>
  <si>
    <t>대주피오레2차</t>
  </si>
  <si>
    <t>레이크팰리스</t>
  </si>
  <si>
    <t>산들마을2단지서광청구</t>
  </si>
  <si>
    <t>주식회사 탑이앤씨</t>
  </si>
  <si>
    <t>신양아이엔지건설(주)</t>
  </si>
  <si>
    <t>2026-04-08</t>
  </si>
  <si>
    <t>자재</t>
    <phoneticPr fontId="5" type="noConversion"/>
  </si>
  <si>
    <t>강서힐스테이트</t>
  </si>
  <si>
    <t>잔금</t>
    <phoneticPr fontId="5" type="noConversion"/>
  </si>
  <si>
    <t xml:space="preserve">신동아파밀리에아파트  </t>
  </si>
  <si>
    <t>(주)에스엠에이</t>
  </si>
  <si>
    <t>선급금</t>
    <phoneticPr fontId="5" type="noConversion"/>
  </si>
  <si>
    <t>태장주공1단지</t>
  </si>
  <si>
    <t>남악경남아너스빌</t>
  </si>
  <si>
    <t>개봉한마을</t>
  </si>
  <si>
    <t>흥한웰가아파트</t>
  </si>
  <si>
    <t>천안불당대동다숲</t>
  </si>
  <si>
    <t>인덕원동아에코빌</t>
  </si>
  <si>
    <t>숲속마을주공그린빌4단지</t>
  </si>
  <si>
    <t/>
  </si>
  <si>
    <t>일봉산해피트리</t>
  </si>
  <si>
    <t>매탄삼성3차</t>
  </si>
  <si>
    <t>율전서희스타힐스</t>
  </si>
  <si>
    <t>(주)지호건설</t>
  </si>
  <si>
    <t>(주)효성씨앤씨</t>
  </si>
  <si>
    <t>2026-04-09</t>
  </si>
  <si>
    <t>2026-04-10</t>
  </si>
  <si>
    <t>자재</t>
    <phoneticPr fontId="5" type="noConversion"/>
  </si>
  <si>
    <t>㈜청명이앤디</t>
    <phoneticPr fontId="5" type="noConversion"/>
  </si>
  <si>
    <t>(주)적산건설</t>
    <phoneticPr fontId="5" type="noConversion"/>
  </si>
  <si>
    <t>원스톱방문</t>
  </si>
  <si>
    <t>보령광명샤인빌</t>
  </si>
  <si>
    <t>금호두산아파트</t>
  </si>
  <si>
    <t>특허료</t>
    <phoneticPr fontId="5" type="noConversion"/>
  </si>
  <si>
    <t>성원아파트2단지</t>
  </si>
  <si>
    <t>주식회사 유광씨앤씨</t>
  </si>
  <si>
    <t>잔금</t>
    <phoneticPr fontId="5" type="noConversion"/>
  </si>
  <si>
    <t>용산데시앙포레아파트</t>
  </si>
  <si>
    <t>(주)국제특수건설</t>
    <phoneticPr fontId="5" type="noConversion"/>
  </si>
  <si>
    <t>(주)로운건설</t>
  </si>
  <si>
    <t>동현이앤씨(주)</t>
  </si>
  <si>
    <t>(주)현덕건설</t>
  </si>
  <si>
    <t>㈜경하이앤씨</t>
  </si>
  <si>
    <t>(주)은화</t>
  </si>
  <si>
    <t>첨단2차부영아파트 입주자 대표회의</t>
  </si>
  <si>
    <t>(주)아우리</t>
  </si>
  <si>
    <t>(주)우인건설</t>
  </si>
  <si>
    <t>호연상사</t>
  </si>
  <si>
    <t>2026-04-14</t>
  </si>
  <si>
    <t>2026-04-13</t>
  </si>
  <si>
    <t>사무실</t>
  </si>
  <si>
    <t>서정마을금호타운</t>
  </si>
  <si>
    <t>무주상록아파트</t>
  </si>
  <si>
    <t>호반베르디움더퍼스트</t>
  </si>
  <si>
    <t>관리사무소</t>
  </si>
  <si>
    <t>탄방동산호한양아파트</t>
  </si>
  <si>
    <t>강변들금성백조</t>
  </si>
  <si>
    <t>송화우미이노스빌</t>
  </si>
  <si>
    <t>힐스테이트광교</t>
  </si>
  <si>
    <t>위브더스테이트</t>
  </si>
  <si>
    <t>자재</t>
    <phoneticPr fontId="5" type="noConversion"/>
  </si>
  <si>
    <t>대창센시티아파트</t>
  </si>
  <si>
    <t>중도금2차</t>
    <phoneticPr fontId="5" type="noConversion"/>
  </si>
  <si>
    <t>잔금</t>
    <phoneticPr fontId="5" type="noConversion"/>
  </si>
  <si>
    <t>중도금</t>
    <phoneticPr fontId="5" type="noConversion"/>
  </si>
  <si>
    <t>선급금</t>
    <phoneticPr fontId="5" type="noConversion"/>
  </si>
  <si>
    <t>한우리아파트</t>
  </si>
  <si>
    <t>병점한신아파트</t>
  </si>
  <si>
    <t>(주)청익</t>
  </si>
  <si>
    <t>자재</t>
    <phoneticPr fontId="5" type="noConversion"/>
  </si>
  <si>
    <t>면목풍림아파트</t>
    <phoneticPr fontId="5" type="noConversion"/>
  </si>
  <si>
    <t>㈜지건씨앤씨</t>
    <phoneticPr fontId="5" type="noConversion"/>
  </si>
  <si>
    <t>특허료</t>
    <phoneticPr fontId="5" type="noConversion"/>
  </si>
  <si>
    <t>잔금</t>
    <phoneticPr fontId="5" type="noConversion"/>
  </si>
  <si>
    <t>중도금</t>
    <phoneticPr fontId="5" type="noConversion"/>
  </si>
  <si>
    <t>중도금</t>
    <phoneticPr fontId="5" type="noConversion"/>
  </si>
  <si>
    <t>자양10차현대홈타운</t>
    <phoneticPr fontId="5" type="noConversion"/>
  </si>
  <si>
    <t>산격대우아파트</t>
    <phoneticPr fontId="5" type="noConversion"/>
  </si>
  <si>
    <t>정릉중앙하이츠빌2단지아파트</t>
    <phoneticPr fontId="5" type="noConversion"/>
  </si>
  <si>
    <t>석수e편한세상아파트</t>
    <phoneticPr fontId="5" type="noConversion"/>
  </si>
  <si>
    <t>여름건설(주)</t>
    <phoneticPr fontId="5" type="noConversion"/>
  </si>
  <si>
    <t>㈜일성기업</t>
    <phoneticPr fontId="5" type="noConversion"/>
  </si>
  <si>
    <t>여름건설(주)</t>
    <phoneticPr fontId="5" type="noConversion"/>
  </si>
  <si>
    <t>㈜적산건설</t>
    <phoneticPr fontId="5" type="noConversion"/>
  </si>
  <si>
    <t>암사동한솔아파트</t>
    <phoneticPr fontId="5" type="noConversion"/>
  </si>
  <si>
    <t>중도금</t>
    <phoneticPr fontId="5" type="noConversion"/>
  </si>
  <si>
    <t>㈜적산건설</t>
    <phoneticPr fontId="5" type="noConversion"/>
  </si>
  <si>
    <t>경동택배대전중구오류183</t>
  </si>
  <si>
    <t>힐스테이트광교</t>
    <phoneticPr fontId="12" type="noConversion"/>
  </si>
  <si>
    <t>옥길센트리뷰</t>
    <phoneticPr fontId="12" type="noConversion"/>
  </si>
  <si>
    <t>연향금호타운</t>
    <phoneticPr fontId="12" type="noConversion"/>
  </si>
  <si>
    <t>천안불당대동다숲</t>
    <phoneticPr fontId="12" type="noConversion"/>
  </si>
  <si>
    <t>부천소사엠제이펠리스</t>
    <phoneticPr fontId="12" type="noConversion"/>
  </si>
  <si>
    <t>성호2차샤인힐즈</t>
    <phoneticPr fontId="12" type="noConversion"/>
  </si>
  <si>
    <t>하계극동건영벽산</t>
    <phoneticPr fontId="12" type="noConversion"/>
  </si>
  <si>
    <t>하남성원상떼빌</t>
    <phoneticPr fontId="12" type="noConversion"/>
  </si>
  <si>
    <t>성수동아그린</t>
    <phoneticPr fontId="12" type="noConversion"/>
  </si>
  <si>
    <t>태장주공2단지</t>
    <phoneticPr fontId="12" type="noConversion"/>
  </si>
  <si>
    <t>(주)에이원건설</t>
  </si>
  <si>
    <t>와이티파트너스(주)</t>
  </si>
  <si>
    <t>B</t>
    <phoneticPr fontId="5" type="noConversion"/>
  </si>
  <si>
    <t>2026-04-15</t>
  </si>
  <si>
    <t>2026-04-16</t>
  </si>
  <si>
    <t>자재</t>
    <phoneticPr fontId="5" type="noConversion"/>
  </si>
  <si>
    <t>2026-04-17</t>
  </si>
  <si>
    <t>A</t>
    <phoneticPr fontId="5" type="noConversion"/>
  </si>
  <si>
    <t>호수마을풍림아파트</t>
  </si>
  <si>
    <t>중도금</t>
    <phoneticPr fontId="5" type="noConversion"/>
  </si>
  <si>
    <t>코오롱아파트</t>
    <phoneticPr fontId="5" type="noConversion"/>
  </si>
  <si>
    <t>㈜동현이앤씨</t>
    <phoneticPr fontId="5" type="noConversion"/>
  </si>
  <si>
    <t>신대방신동아아파트</t>
  </si>
  <si>
    <t>운남우방아이유쉘</t>
  </si>
  <si>
    <t>소사엠제이펠리스</t>
  </si>
  <si>
    <t>흥한웰가아파트 추가</t>
  </si>
  <si>
    <t>도경오벨리스아파트</t>
  </si>
  <si>
    <t>죽림푸르지오3차</t>
  </si>
  <si>
    <t>석수두산위브아파트</t>
  </si>
  <si>
    <t>원일가대라곡아파트</t>
  </si>
  <si>
    <t>군문주공2단지</t>
  </si>
  <si>
    <t>주안역신일해피트리</t>
  </si>
  <si>
    <t>무주상록아파트 추가</t>
  </si>
  <si>
    <t>덕이동문굿모닝힐3차</t>
  </si>
  <si>
    <t>부천원미풍림아파트</t>
  </si>
  <si>
    <t>성진산업</t>
  </si>
  <si>
    <t>(주)세영건설</t>
  </si>
  <si>
    <t>2026-04-20</t>
  </si>
  <si>
    <t>2026-04-21</t>
  </si>
  <si>
    <t>자재</t>
    <phoneticPr fontId="5" type="noConversion"/>
  </si>
  <si>
    <t>크로바아파트</t>
    <phoneticPr fontId="5" type="noConversion"/>
  </si>
  <si>
    <t>잔금</t>
    <phoneticPr fontId="5" type="noConversion"/>
  </si>
  <si>
    <t>주식회사 위즈페인팅</t>
    <phoneticPr fontId="5" type="noConversion"/>
  </si>
  <si>
    <t>A</t>
    <phoneticPr fontId="5" type="noConversion"/>
  </si>
  <si>
    <t>금오주공그린빌4단지아파트</t>
    <phoneticPr fontId="5" type="noConversion"/>
  </si>
  <si>
    <t>삼정ING건설</t>
    <phoneticPr fontId="5" type="noConversion"/>
  </si>
  <si>
    <t>중도금</t>
    <phoneticPr fontId="5" type="noConversion"/>
  </si>
  <si>
    <t>정진코킹</t>
  </si>
  <si>
    <t>대현테크노월드주상복합</t>
  </si>
  <si>
    <t>경동 대전중구오류183 추가</t>
  </si>
  <si>
    <t>경동택배 대전중구오류183</t>
  </si>
  <si>
    <t>인창1차동문굿모닝힐</t>
  </si>
  <si>
    <t>자재</t>
    <phoneticPr fontId="5" type="noConversion"/>
  </si>
  <si>
    <t>B</t>
    <phoneticPr fontId="5" type="noConversion"/>
  </si>
  <si>
    <t>해운대 센텀트루엘아파트(주차장)</t>
  </si>
  <si>
    <t>㈜대한진단건설</t>
  </si>
  <si>
    <t>기술자문료</t>
    <phoneticPr fontId="5" type="noConversion"/>
  </si>
  <si>
    <t>기술자문료</t>
    <phoneticPr fontId="5" type="noConversion"/>
  </si>
  <si>
    <t>계룡삼환아파트</t>
    <phoneticPr fontId="5" type="noConversion"/>
  </si>
  <si>
    <t>대왕중학교</t>
  </si>
  <si>
    <t>봉천동건영6차</t>
  </si>
  <si>
    <t>권선삼성래미안</t>
  </si>
  <si>
    <t>계룡삼환아파트</t>
  </si>
  <si>
    <t>검단힐스테이트2차</t>
  </si>
  <si>
    <t>태왕아너스오션</t>
    <phoneticPr fontId="12" type="noConversion"/>
  </si>
  <si>
    <t>사곡영진자이온2단지</t>
    <phoneticPr fontId="12" type="noConversion"/>
  </si>
  <si>
    <t>삼익세라믹1.2차</t>
    <phoneticPr fontId="12" type="noConversion"/>
  </si>
  <si>
    <t>고덕현대</t>
    <phoneticPr fontId="12" type="noConversion"/>
  </si>
  <si>
    <t>동탄더레이크팰리스</t>
    <phoneticPr fontId="12" type="noConversion"/>
  </si>
  <si>
    <t>대림3동현대</t>
    <phoneticPr fontId="12" type="noConversion"/>
  </si>
  <si>
    <t>송도베르디움더퍼스트</t>
  </si>
  <si>
    <t>사무실 택배</t>
  </si>
  <si>
    <t>금촌동문아파트</t>
  </si>
  <si>
    <t>목동세종그랑시아</t>
  </si>
  <si>
    <t>상무버들마을2단지</t>
  </si>
  <si>
    <t>안성베르빌</t>
  </si>
  <si>
    <t>대천홍화아파트</t>
  </si>
  <si>
    <t>대전창고</t>
    <phoneticPr fontId="12" type="noConversion"/>
  </si>
  <si>
    <t>주식회사 주태건설</t>
  </si>
  <si>
    <t>알파플러스</t>
  </si>
  <si>
    <t>(주)케이탑건설</t>
  </si>
  <si>
    <t>(주)무한하우징</t>
  </si>
  <si>
    <t>2026-04-22</t>
  </si>
  <si>
    <t>2026-04-23</t>
  </si>
  <si>
    <t>자재</t>
    <phoneticPr fontId="5" type="noConversion"/>
  </si>
  <si>
    <t>B</t>
    <phoneticPr fontId="5" type="noConversion"/>
  </si>
  <si>
    <t>대림3동현대</t>
    <phoneticPr fontId="5" type="noConversion"/>
  </si>
  <si>
    <t>㈜무한하우징</t>
    <phoneticPr fontId="5" type="noConversion"/>
  </si>
  <si>
    <t>C</t>
    <phoneticPr fontId="5" type="noConversion"/>
  </si>
  <si>
    <t>특허료</t>
    <phoneticPr fontId="5" type="noConversion"/>
  </si>
  <si>
    <t>A</t>
    <phoneticPr fontId="5" type="noConversion"/>
  </si>
  <si>
    <t>중도금</t>
    <phoneticPr fontId="5" type="noConversion"/>
  </si>
  <si>
    <t>선급금</t>
    <phoneticPr fontId="5" type="noConversion"/>
  </si>
  <si>
    <t>㈜적산건설</t>
    <phoneticPr fontId="5" type="noConversion"/>
  </si>
  <si>
    <t>㈜에이치제이건설</t>
    <phoneticPr fontId="5" type="noConversion"/>
  </si>
  <si>
    <t>대창센시티아파트</t>
    <phoneticPr fontId="5" type="noConversion"/>
  </si>
  <si>
    <t>영승한마음타운아파트</t>
    <phoneticPr fontId="5" type="noConversion"/>
  </si>
  <si>
    <t>㈜청명이앤디</t>
    <phoneticPr fontId="5" type="noConversion"/>
  </si>
  <si>
    <t>(주)대륜씨엔씨</t>
  </si>
  <si>
    <t>재현방수,페인트</t>
  </si>
  <si>
    <t>(주)라인탑케이에스</t>
  </si>
  <si>
    <t>2026-04-24</t>
  </si>
  <si>
    <t>2026-04-27</t>
  </si>
  <si>
    <t>골드클래스시그니처</t>
  </si>
  <si>
    <t>무등산광신프로그래스</t>
  </si>
  <si>
    <t>잠원동롯데캐슬갤럭시1차</t>
  </si>
  <si>
    <t>경동택배제주화북일4701</t>
  </si>
  <si>
    <t>신월금용아파트</t>
  </si>
  <si>
    <t>천안프라지움6차</t>
  </si>
  <si>
    <t>민락진로비치</t>
  </si>
  <si>
    <t>하남은행아파트</t>
  </si>
  <si>
    <t>자재</t>
    <phoneticPr fontId="5" type="noConversion"/>
  </si>
  <si>
    <t>B</t>
    <phoneticPr fontId="5" type="noConversion"/>
  </si>
  <si>
    <t>2026-04-28</t>
  </si>
  <si>
    <t>(주)일진건설</t>
  </si>
  <si>
    <t>내서숲속마을주공그린빌4단지</t>
    <phoneticPr fontId="12" type="noConversion"/>
  </si>
  <si>
    <t>송정풍산아파트</t>
    <phoneticPr fontId="12" type="noConversion"/>
  </si>
  <si>
    <t>사무실 택배</t>
    <phoneticPr fontId="12" type="noConversion"/>
  </si>
  <si>
    <t>선진정공 당진공장</t>
    <phoneticPr fontId="12" type="noConversion"/>
  </si>
  <si>
    <t>신월금호타운</t>
    <phoneticPr fontId="12" type="noConversion"/>
  </si>
  <si>
    <t>여주현대하리</t>
    <phoneticPr fontId="12" type="noConversion"/>
  </si>
  <si>
    <t>김호호반베르디움더퍼스트</t>
  </si>
  <si>
    <t>동탄역시범리슈빌</t>
    <phoneticPr fontId="12" type="noConversion"/>
  </si>
  <si>
    <t>주안역신일해피트리</t>
    <phoneticPr fontId="12" type="noConversion"/>
  </si>
  <si>
    <t>하남은행아파트</t>
    <phoneticPr fontId="12" type="noConversion"/>
  </si>
  <si>
    <t>대전한우리아파트</t>
    <phoneticPr fontId="12" type="noConversion"/>
  </si>
  <si>
    <t>삼정그린코아포레스트2단지</t>
    <phoneticPr fontId="12" type="noConversion"/>
  </si>
  <si>
    <t>칠곡효성해링턴3단지</t>
    <phoneticPr fontId="12" type="noConversion"/>
  </si>
  <si>
    <t>건진개발㈜</t>
    <phoneticPr fontId="5" type="noConversion"/>
  </si>
  <si>
    <t>덕천동롯데</t>
    <phoneticPr fontId="5" type="noConversion"/>
  </si>
  <si>
    <t>중도금</t>
    <phoneticPr fontId="5" type="noConversion"/>
  </si>
  <si>
    <t>A</t>
    <phoneticPr fontId="5" type="noConversion"/>
  </si>
  <si>
    <t>초담건설㈜</t>
    <phoneticPr fontId="5" type="noConversion"/>
  </si>
  <si>
    <t>대지마을현대홈타운아파트</t>
    <phoneticPr fontId="5" type="noConversion"/>
  </si>
  <si>
    <t>중도금</t>
    <phoneticPr fontId="5" type="noConversion"/>
  </si>
  <si>
    <t>㈜적산건설</t>
    <phoneticPr fontId="5" type="noConversion"/>
  </si>
  <si>
    <t>석수e편한세상아파트</t>
    <phoneticPr fontId="5" type="noConversion"/>
  </si>
  <si>
    <t>대창센시티아파트</t>
    <phoneticPr fontId="5" type="noConversion"/>
  </si>
  <si>
    <t>잔금</t>
    <phoneticPr fontId="5" type="noConversion"/>
  </si>
  <si>
    <t>2026-04-29</t>
  </si>
  <si>
    <t>2026-04-30</t>
  </si>
  <si>
    <t>B</t>
    <phoneticPr fontId="5" type="noConversion"/>
  </si>
  <si>
    <t>태왕아너스오션</t>
    <phoneticPr fontId="12" type="noConversion"/>
  </si>
  <si>
    <t>봉선지웰아파트</t>
    <phoneticPr fontId="12" type="noConversion"/>
  </si>
  <si>
    <t>삼호진덕아파트</t>
    <phoneticPr fontId="12" type="noConversion"/>
  </si>
  <si>
    <t>사무실</t>
    <phoneticPr fontId="12" type="noConversion"/>
  </si>
  <si>
    <t>금촌동문아파트</t>
    <phoneticPr fontId="12" type="noConversion"/>
  </si>
  <si>
    <t>원일가대라곡</t>
    <phoneticPr fontId="12" type="noConversion"/>
  </si>
  <si>
    <t>목동세종그랑시아</t>
    <phoneticPr fontId="12" type="noConversion"/>
  </si>
  <si>
    <t>내서숲속마을주공그린빌4단지</t>
    <phoneticPr fontId="12" type="noConversion"/>
  </si>
  <si>
    <t>삼정그린코아포레스트2단지</t>
    <phoneticPr fontId="12" type="noConversion"/>
  </si>
  <si>
    <t>석수두산위브</t>
    <phoneticPr fontId="12" type="noConversion"/>
  </si>
  <si>
    <t>자재</t>
    <phoneticPr fontId="5" type="noConversion"/>
  </si>
  <si>
    <t>C</t>
    <phoneticPr fontId="5" type="noConversion"/>
  </si>
  <si>
    <t>천강건설㈜</t>
    <phoneticPr fontId="12" type="noConversion"/>
  </si>
  <si>
    <t>학마을서원아파트</t>
  </si>
  <si>
    <t>특허료</t>
    <phoneticPr fontId="5" type="noConversion"/>
  </si>
  <si>
    <t>A</t>
    <phoneticPr fontId="5" type="noConversion"/>
  </si>
  <si>
    <t>㈜기림이앤씨</t>
    <phoneticPr fontId="5" type="noConversion"/>
  </si>
  <si>
    <t>㈜에스엠에이</t>
    <phoneticPr fontId="5" type="noConversion"/>
  </si>
  <si>
    <t>㈜석민이앤씨</t>
    <phoneticPr fontId="5" type="noConversion"/>
  </si>
  <si>
    <t>두정이편한세상3차아파트</t>
    <phoneticPr fontId="5" type="noConversion"/>
  </si>
  <si>
    <t xml:space="preserve">신동아파밀리에아파트  </t>
    <phoneticPr fontId="5" type="noConversion"/>
  </si>
  <si>
    <t>이천신둔코아루아파트</t>
    <phoneticPr fontId="5" type="noConversion"/>
  </si>
  <si>
    <t>잔금</t>
    <phoneticPr fontId="5" type="noConversion"/>
  </si>
  <si>
    <t>중도금</t>
    <phoneticPr fontId="5" type="noConversion"/>
  </si>
  <si>
    <t>잔금</t>
    <phoneticPr fontId="5" type="noConversion"/>
  </si>
  <si>
    <t>선급금</t>
    <phoneticPr fontId="5" type="noConversion"/>
  </si>
  <si>
    <t>(주)이음건설</t>
    <phoneticPr fontId="12" type="noConversion"/>
  </si>
  <si>
    <t>당하동태평아파트</t>
    <phoneticPr fontId="12" type="noConversion"/>
  </si>
  <si>
    <t>사무실</t>
    <phoneticPr fontId="12" type="noConversion"/>
  </si>
  <si>
    <t>경동택배 무안청계882</t>
    <phoneticPr fontId="12" type="noConversion"/>
  </si>
  <si>
    <t>가람마을10단지</t>
    <phoneticPr fontId="12" type="noConversion"/>
  </si>
  <si>
    <t>자재</t>
    <phoneticPr fontId="5" type="noConversion"/>
  </si>
  <si>
    <t>㈜우인건설</t>
    <phoneticPr fontId="5" type="noConversion"/>
  </si>
  <si>
    <t>사무실</t>
    <phoneticPr fontId="5" type="noConversion"/>
  </si>
  <si>
    <t>B</t>
    <phoneticPr fontId="5" type="noConversion"/>
  </si>
  <si>
    <t>2026-05-04</t>
  </si>
  <si>
    <t>신일종합상사</t>
  </si>
  <si>
    <t>동촌연구소</t>
    <phoneticPr fontId="12" type="noConversion"/>
  </si>
  <si>
    <t>헬리오시티</t>
    <phoneticPr fontId="12" type="noConversion"/>
  </si>
  <si>
    <t>해가든더클래식아파트</t>
    <phoneticPr fontId="5" type="noConversion"/>
  </si>
  <si>
    <t>구로두산위브아파트</t>
    <phoneticPr fontId="5" type="noConversion"/>
  </si>
  <si>
    <t>오산대역 엘크루 아파트</t>
    <phoneticPr fontId="5" type="noConversion"/>
  </si>
  <si>
    <t>A</t>
    <phoneticPr fontId="5" type="noConversion"/>
  </si>
  <si>
    <t>여름건설(주)</t>
    <phoneticPr fontId="5" type="noConversion"/>
  </si>
  <si>
    <t>㈜방수존건설</t>
    <phoneticPr fontId="5" type="noConversion"/>
  </si>
  <si>
    <t>㈜이음건설</t>
    <phoneticPr fontId="5" type="noConversion"/>
  </si>
  <si>
    <t>선급금</t>
    <phoneticPr fontId="5" type="noConversion"/>
  </si>
  <si>
    <t>선급금</t>
    <phoneticPr fontId="5" type="noConversion"/>
  </si>
  <si>
    <t>선급금</t>
    <phoneticPr fontId="5" type="noConversion"/>
  </si>
  <si>
    <t>내서숲속마을주공그린빌4단지</t>
    <phoneticPr fontId="12" type="noConversion"/>
  </si>
  <si>
    <t>삼정그린코아포레스트2단지</t>
    <phoneticPr fontId="12" type="noConversion"/>
  </si>
  <si>
    <t>석수두산위브</t>
    <phoneticPr fontId="12" type="noConversion"/>
  </si>
  <si>
    <t>자재</t>
    <phoneticPr fontId="5" type="noConversion"/>
  </si>
  <si>
    <t>B</t>
    <phoneticPr fontId="5" type="noConversion"/>
  </si>
  <si>
    <t>디오공법(주)</t>
  </si>
  <si>
    <t>초담건설(주)</t>
  </si>
  <si>
    <t>동탄역시범리슈빌</t>
    <phoneticPr fontId="12" type="noConversion"/>
  </si>
  <si>
    <t>여주현대하리</t>
    <phoneticPr fontId="12" type="noConversion"/>
  </si>
  <si>
    <t>대지마을현대홈타운3차</t>
    <phoneticPr fontId="12" type="noConversion"/>
  </si>
  <si>
    <t>연향금호타운</t>
    <phoneticPr fontId="12" type="noConversion"/>
  </si>
  <si>
    <t>창원트리비앙</t>
    <phoneticPr fontId="12" type="noConversion"/>
  </si>
  <si>
    <t>신월금용아파트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</si>
</sst>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6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5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4" fontId="3" fillId="0" borderId="0" xfId="0" applyNumberFormat="1" applyFont="1" applyAlignment="1">
      <alignment horizontal="center"/>
    </xf>
    <xf numFmtId="178" fontId="7" fillId="0" borderId="1" xfId="0" applyNumberFormat="1" applyFont="1" applyBorder="1" applyAlignment="1">
      <alignment horizontal="center" vertical="center"/>
    </xf>
    <xf numFmtId="14" fontId="3" fillId="0" borderId="0" xfId="0" applyNumberFormat="1" applyFont="1"/>
    <xf numFmtId="0" fontId="3" fillId="0" borderId="0" xfId="0" applyFont="1" applyFill="1" applyBorder="1"/>
    <xf numFmtId="0" fontId="7" fillId="2" borderId="5" xfId="0" applyFont="1" applyFill="1" applyBorder="1" applyAlignment="1">
      <alignment vertical="center"/>
    </xf>
    <xf numFmtId="41" fontId="3" fillId="0" borderId="0" xfId="0" applyNumberFormat="1" applyFont="1" applyAlignment="1">
      <alignment horizontal="center" vertical="center"/>
    </xf>
    <xf numFmtId="0" fontId="7" fillId="2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/>
    </xf>
    <xf numFmtId="41" fontId="7" fillId="2" borderId="1" xfId="17" applyFont="1" applyFill="1" applyBorder="1">
      <alignment vertical="center"/>
    </xf>
    <xf numFmtId="178" fontId="7" fillId="2" borderId="4" xfId="0" applyNumberFormat="1" applyFont="1" applyFill="1" applyBorder="1" applyAlignment="1">
      <alignment horizontal="center" vertical="center"/>
    </xf>
    <xf numFmtId="0" fontId="7" fillId="0" borderId="3" xfId="0" applyFont="1" applyBorder="1" applyAlignment="1">
      <alignment vertical="center"/>
    </xf>
    <xf numFmtId="0" fontId="14" fillId="0" borderId="3" xfId="0" applyFont="1" applyBorder="1" applyAlignment="1">
      <alignment vertical="center"/>
    </xf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152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81"/>
  <sheetViews>
    <sheetView tabSelected="1" zoomScaleNormal="100" workbookViewId="0">
      <pane xSplit="5" ySplit="1" topLeftCell="F434" activePane="bottomRight" state="frozen"/>
      <selection pane="topRight"/>
      <selection pane="bottomLeft"/>
      <selection pane="bottomRight" activeCell="K446" sqref="K446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1" width="12" style="5" customWidth="1"/>
    <col min="12" max="12" width="12" style="44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0.71111111111111114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132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351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151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151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175</v>
      </c>
      <c r="J4" s="13" t="str">
        <f t="shared" ca="1" si="2"/>
        <v>장기미수</v>
      </c>
      <c r="K4" s="11">
        <v>46111</v>
      </c>
      <c r="L4" s="11">
        <v>46142</v>
      </c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331</v>
      </c>
      <c r="J6" s="13" t="str">
        <f t="shared" ca="1" si="2"/>
        <v>장기미수</v>
      </c>
      <c r="K6" s="11">
        <v>46203</v>
      </c>
      <c r="L6" s="11"/>
      <c r="M6" s="10" t="s">
        <v>151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233</v>
      </c>
      <c r="J7" s="13" t="str">
        <f t="shared" ca="1" si="2"/>
        <v>장기미수</v>
      </c>
      <c r="K7" s="11"/>
      <c r="L7" s="11"/>
      <c r="M7" s="10" t="s">
        <v>151</v>
      </c>
      <c r="N7" s="10" t="s">
        <v>20</v>
      </c>
      <c r="O7" s="6" t="s">
        <v>49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176</v>
      </c>
      <c r="J8" s="13" t="str">
        <f t="shared" ca="1" si="2"/>
        <v>장기미수</v>
      </c>
      <c r="K8" s="11">
        <v>46111</v>
      </c>
      <c r="L8" s="11">
        <v>46141</v>
      </c>
      <c r="M8" s="10" t="s">
        <v>151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138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133</v>
      </c>
      <c r="J10" s="13" t="str">
        <f t="shared" ca="1" si="2"/>
        <v>장기미수</v>
      </c>
      <c r="K10" s="11"/>
      <c r="L10" s="11"/>
      <c r="M10" s="10" t="s">
        <v>151</v>
      </c>
      <c r="N10" s="10" t="s">
        <v>20</v>
      </c>
      <c r="O10" s="6" t="s">
        <v>49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162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316</v>
      </c>
      <c r="J13" s="13" t="str">
        <f t="shared" ca="1" si="2"/>
        <v>장기미수</v>
      </c>
      <c r="K13" s="11">
        <v>46203</v>
      </c>
      <c r="L13" s="11"/>
      <c r="M13" s="10" t="s">
        <v>151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176</v>
      </c>
      <c r="J14" s="13" t="str">
        <f t="shared" ca="1" si="2"/>
        <v>장기미수</v>
      </c>
      <c r="K14" s="11"/>
      <c r="L14" s="11"/>
      <c r="M14" s="10" t="s">
        <v>151</v>
      </c>
      <c r="N14" s="10" t="s">
        <v>20</v>
      </c>
      <c r="O14" s="6" t="s">
        <v>49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4546286</v>
      </c>
      <c r="I15" s="12">
        <f t="shared" ca="1" si="1"/>
        <v>491</v>
      </c>
      <c r="J15" s="13" t="str">
        <f t="shared" ca="1" si="2"/>
        <v>장기미수</v>
      </c>
      <c r="K15" s="11"/>
      <c r="L15" s="11"/>
      <c r="M15" s="10" t="s">
        <v>151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911</v>
      </c>
      <c r="J16" s="13" t="str">
        <f t="shared" ca="1" si="2"/>
        <v>장기미수</v>
      </c>
      <c r="K16" s="11"/>
      <c r="L16" s="11"/>
      <c r="M16" s="10" t="s">
        <v>151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f>48041200-15423595-28457807</f>
        <v>4159798</v>
      </c>
      <c r="I17" s="12">
        <f t="shared" ca="1" si="1"/>
        <v>715</v>
      </c>
      <c r="J17" s="13" t="str">
        <f t="shared" ca="1" si="2"/>
        <v>장기미수</v>
      </c>
      <c r="K17" s="11"/>
      <c r="L17" s="11"/>
      <c r="M17" s="10" t="s">
        <v>151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555</v>
      </c>
      <c r="J18" s="13" t="str">
        <f t="shared" ca="1" si="2"/>
        <v>장기미수</v>
      </c>
      <c r="K18" s="11"/>
      <c r="L18" s="11"/>
      <c r="M18" s="10" t="s">
        <v>151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693</v>
      </c>
      <c r="J19" s="13" t="str">
        <f t="shared" ca="1" si="2"/>
        <v>장기미수</v>
      </c>
      <c r="K19" s="11"/>
      <c r="L19" s="11"/>
      <c r="M19" s="10" t="s">
        <v>151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692</v>
      </c>
      <c r="J20" s="13" t="str">
        <f t="shared" ca="1" si="2"/>
        <v>장기미수</v>
      </c>
      <c r="K20" s="11"/>
      <c r="L20" s="11"/>
      <c r="M20" s="10" t="s">
        <v>151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784</v>
      </c>
      <c r="J21" s="13" t="str">
        <f t="shared" ca="1" si="2"/>
        <v>장기미수</v>
      </c>
      <c r="K21" s="11"/>
      <c r="L21" s="11"/>
      <c r="M21" s="10" t="s">
        <v>151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426</v>
      </c>
      <c r="J22" s="13" t="str">
        <f t="shared" ca="1" si="2"/>
        <v>장기미수</v>
      </c>
      <c r="K22" s="11"/>
      <c r="L22" s="11"/>
      <c r="M22" s="10" t="s">
        <v>151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421</v>
      </c>
      <c r="J23" s="13" t="str">
        <f t="shared" ca="1" si="2"/>
        <v>장기미수</v>
      </c>
      <c r="K23" s="11"/>
      <c r="L23" s="11"/>
      <c r="M23" s="10" t="s">
        <v>151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411</v>
      </c>
      <c r="J24" s="13" t="str">
        <f t="shared" ca="1" si="2"/>
        <v>장기미수</v>
      </c>
      <c r="K24" s="11"/>
      <c r="L24" s="11"/>
      <c r="M24" s="10" t="s">
        <v>151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405</v>
      </c>
      <c r="J25" s="13" t="str">
        <f t="shared" ca="1" si="2"/>
        <v>장기미수</v>
      </c>
      <c r="K25" s="11"/>
      <c r="L25" s="11"/>
      <c r="M25" s="10" t="s">
        <v>151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401</v>
      </c>
      <c r="J26" s="13" t="str">
        <f t="shared" ca="1" si="2"/>
        <v>장기미수</v>
      </c>
      <c r="K26" s="11"/>
      <c r="L26" s="11"/>
      <c r="M26" s="10" t="s">
        <v>151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401</v>
      </c>
      <c r="J27" s="13" t="str">
        <f t="shared" ca="1" si="2"/>
        <v>장기미수</v>
      </c>
      <c r="K27" s="11"/>
      <c r="L27" s="11"/>
      <c r="M27" s="10" t="s">
        <v>151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400</v>
      </c>
      <c r="J28" s="13" t="str">
        <f t="shared" ca="1" si="2"/>
        <v>장기미수</v>
      </c>
      <c r="K28" s="11"/>
      <c r="L28" s="11"/>
      <c r="M28" s="10" t="s">
        <v>151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398</v>
      </c>
      <c r="J29" s="13" t="str">
        <f t="shared" ca="1" si="2"/>
        <v>장기미수</v>
      </c>
      <c r="K29" s="11"/>
      <c r="L29" s="11"/>
      <c r="M29" s="10" t="s">
        <v>151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377</v>
      </c>
      <c r="J30" s="13" t="str">
        <f t="shared" ca="1" si="2"/>
        <v>장기미수</v>
      </c>
      <c r="K30" s="11"/>
      <c r="L30" s="11"/>
      <c r="M30" s="10" t="s">
        <v>151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363</v>
      </c>
      <c r="J31" s="13" t="str">
        <f t="shared" ca="1" si="2"/>
        <v>장기미수</v>
      </c>
      <c r="K31" s="11"/>
      <c r="L31" s="11"/>
      <c r="M31" s="10" t="s">
        <v>151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342</v>
      </c>
      <c r="J32" s="13" t="str">
        <f t="shared" ca="1" si="2"/>
        <v>장기미수</v>
      </c>
      <c r="K32" s="11"/>
      <c r="L32" s="11"/>
      <c r="M32" s="10" t="s">
        <v>151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330</v>
      </c>
      <c r="J33" s="13" t="str">
        <f t="shared" ca="1" si="2"/>
        <v>장기미수</v>
      </c>
      <c r="K33" s="11"/>
      <c r="L33" s="11"/>
      <c r="M33" s="10" t="s">
        <v>151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300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151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278</v>
      </c>
      <c r="J35" s="13" t="str">
        <f t="shared" ca="1" si="4"/>
        <v>장기미수</v>
      </c>
      <c r="K35" s="11"/>
      <c r="L35" s="11"/>
      <c r="M35" s="10" t="s">
        <v>151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349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273</v>
      </c>
      <c r="J37" s="13" t="str">
        <f t="shared" ca="1" si="4"/>
        <v>장기미수</v>
      </c>
      <c r="K37" s="11">
        <v>46112</v>
      </c>
      <c r="L37" s="11"/>
      <c r="M37" s="10" t="s">
        <v>151</v>
      </c>
      <c r="N37" s="10" t="s">
        <v>20</v>
      </c>
      <c r="O37" s="6" t="s">
        <v>152</v>
      </c>
      <c r="P37" s="6" t="s">
        <v>154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17970118</v>
      </c>
      <c r="I38" s="12">
        <f t="shared" ca="1" si="3"/>
        <v>251</v>
      </c>
      <c r="J38" s="13" t="str">
        <f t="shared" ca="1" si="4"/>
        <v>장기미수</v>
      </c>
      <c r="K38" s="11">
        <v>46081</v>
      </c>
      <c r="L38" s="11"/>
      <c r="M38" s="10" t="s">
        <v>151</v>
      </c>
      <c r="N38" s="10" t="s">
        <v>20</v>
      </c>
      <c r="O38" s="6" t="s">
        <v>68</v>
      </c>
      <c r="P38" s="6" t="s">
        <v>528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246</v>
      </c>
      <c r="J39" s="13" t="str">
        <f t="shared" ca="1" si="4"/>
        <v>장기미수</v>
      </c>
      <c r="K39" s="11">
        <v>46081</v>
      </c>
      <c r="L39" s="11"/>
      <c r="M39" s="10" t="s">
        <v>151</v>
      </c>
      <c r="N39" s="10" t="s">
        <v>20</v>
      </c>
      <c r="O39" s="6" t="s">
        <v>68</v>
      </c>
      <c r="P39" s="6" t="s">
        <v>529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203</v>
      </c>
      <c r="J41" s="13" t="str">
        <f t="shared" ca="1" si="4"/>
        <v>장기미수</v>
      </c>
      <c r="K41" s="11">
        <v>46112</v>
      </c>
      <c r="L41" s="11"/>
      <c r="M41" s="10" t="s">
        <v>151</v>
      </c>
      <c r="N41" s="10" t="s">
        <v>20</v>
      </c>
      <c r="O41" s="6" t="s">
        <v>152</v>
      </c>
      <c r="P41" s="6" t="s">
        <v>155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201</v>
      </c>
      <c r="J42" s="13" t="str">
        <f t="shared" ca="1" si="4"/>
        <v>장기미수</v>
      </c>
      <c r="K42" s="11">
        <v>46081</v>
      </c>
      <c r="L42" s="11"/>
      <c r="M42" s="10" t="s">
        <v>151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190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257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257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190</v>
      </c>
      <c r="F49" s="6" t="s">
        <v>191</v>
      </c>
      <c r="G49" s="6" t="s">
        <v>192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193</v>
      </c>
      <c r="P49" s="6" t="s">
        <v>256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161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160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160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158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152</v>
      </c>
      <c r="P54" s="6" t="s">
        <v>153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159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443</v>
      </c>
      <c r="J57" s="13" t="str">
        <f t="shared" ca="1" si="4"/>
        <v>장기미수</v>
      </c>
      <c r="K57" s="11"/>
      <c r="L57" s="11"/>
      <c r="M57" s="10" t="s">
        <v>151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308</v>
      </c>
      <c r="J58" s="13" t="str">
        <f t="shared" ca="1" si="4"/>
        <v>장기미수</v>
      </c>
      <c r="K58" s="11"/>
      <c r="L58" s="11"/>
      <c r="M58" s="10" t="s">
        <v>151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308</v>
      </c>
      <c r="J59" s="13" t="str">
        <f t="shared" ca="1" si="4"/>
        <v>장기미수</v>
      </c>
      <c r="K59" s="11"/>
      <c r="L59" s="11"/>
      <c r="M59" s="10" t="s">
        <v>151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259</v>
      </c>
      <c r="J60" s="13" t="str">
        <f t="shared" ca="1" si="4"/>
        <v>장기미수</v>
      </c>
      <c r="K60" s="11"/>
      <c r="L60" s="11"/>
      <c r="M60" s="10" t="s">
        <v>151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258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258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109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>
        <v>46118</v>
      </c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85</v>
      </c>
      <c r="J67" s="13" t="str">
        <f t="shared" ca="1" si="7"/>
        <v>관리</v>
      </c>
      <c r="K67" s="11">
        <v>46112</v>
      </c>
      <c r="L67" s="11">
        <v>46112</v>
      </c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46030</v>
      </c>
      <c r="D70" s="10" t="str">
        <f t="shared" si="8"/>
        <v/>
      </c>
      <c r="E70" s="6" t="s">
        <v>103</v>
      </c>
      <c r="F70" s="6" t="s">
        <v>104</v>
      </c>
      <c r="G70" s="6" t="s">
        <v>436</v>
      </c>
      <c r="H70" s="4">
        <v>7500000</v>
      </c>
      <c r="I70" s="6">
        <f t="shared" ca="1" si="6"/>
        <v>43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152</v>
      </c>
      <c r="P72" s="6" t="s">
        <v>154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470</v>
      </c>
      <c r="G73" s="6" t="s">
        <v>48</v>
      </c>
      <c r="H73" s="4">
        <v>1100000</v>
      </c>
      <c r="I73" s="6">
        <f t="shared" ca="1" si="6"/>
        <v>85</v>
      </c>
      <c r="J73" s="13" t="str">
        <f t="shared" ca="1" si="7"/>
        <v>관리</v>
      </c>
      <c r="K73" s="11">
        <v>46112</v>
      </c>
      <c r="L73" s="11">
        <v>46112</v>
      </c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152</v>
      </c>
      <c r="P74" s="6" t="s">
        <v>153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108</v>
      </c>
      <c r="F75" s="6" t="s">
        <v>109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110</v>
      </c>
      <c r="F76" s="6" t="s">
        <v>111</v>
      </c>
      <c r="G76" s="6" t="s">
        <v>48</v>
      </c>
      <c r="H76" s="4">
        <v>528000</v>
      </c>
      <c r="I76" s="6">
        <f t="shared" ca="1" si="6"/>
        <v>92</v>
      </c>
      <c r="J76" s="13" t="str">
        <f t="shared" ca="1" si="7"/>
        <v>장기미수</v>
      </c>
      <c r="K76" s="11"/>
      <c r="L76" s="11">
        <v>46122</v>
      </c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39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114</v>
      </c>
      <c r="J77" s="13" t="str">
        <f t="shared" ca="1" si="7"/>
        <v>장기미수</v>
      </c>
      <c r="K77" s="11"/>
      <c r="L77" s="11"/>
      <c r="M77" s="10"/>
      <c r="N77" s="10" t="s">
        <v>20</v>
      </c>
      <c r="O77" s="6" t="s">
        <v>152</v>
      </c>
      <c r="P77" s="6" t="s">
        <v>153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152</v>
      </c>
      <c r="P78" s="6" t="s">
        <v>153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112</v>
      </c>
      <c r="F79" s="6" t="s">
        <v>113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114</v>
      </c>
      <c r="F80" s="6" t="s">
        <v>115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576</v>
      </c>
      <c r="F81" s="6" t="s">
        <v>117</v>
      </c>
      <c r="G81" s="6" t="s">
        <v>48</v>
      </c>
      <c r="H81" s="4">
        <v>280000</v>
      </c>
      <c r="I81" s="6">
        <f t="shared" ca="1" si="6"/>
        <v>98</v>
      </c>
      <c r="J81" s="13" t="str">
        <f t="shared" ca="1" si="7"/>
        <v>장기미수</v>
      </c>
      <c r="K81" s="11"/>
      <c r="L81" s="11">
        <v>46136</v>
      </c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118</v>
      </c>
      <c r="F82" s="6" t="s">
        <v>119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70</v>
      </c>
      <c r="J83" s="13" t="str">
        <f t="shared" ca="1" si="7"/>
        <v>관리</v>
      </c>
      <c r="K83" s="11"/>
      <c r="L83" s="11">
        <v>46112</v>
      </c>
      <c r="M83" s="10"/>
      <c r="N83" s="10" t="s">
        <v>20</v>
      </c>
      <c r="O83" s="6" t="s">
        <v>58</v>
      </c>
      <c r="P83" s="6" t="s">
        <v>153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153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68</v>
      </c>
      <c r="J85" s="13" t="str">
        <f t="shared" ca="1" si="7"/>
        <v>관리</v>
      </c>
      <c r="K85" s="11"/>
      <c r="L85" s="11">
        <v>46112</v>
      </c>
      <c r="M85" s="10"/>
      <c r="N85" s="10" t="s">
        <v>20</v>
      </c>
      <c r="O85" s="6" t="s">
        <v>58</v>
      </c>
      <c r="P85" s="6" t="s">
        <v>153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120</v>
      </c>
      <c r="F86" s="6" t="s">
        <v>121</v>
      </c>
      <c r="G86" s="6" t="s">
        <v>48</v>
      </c>
      <c r="H86" s="4">
        <v>321000</v>
      </c>
      <c r="I86" s="6">
        <f t="shared" ca="1" si="6"/>
        <v>4</v>
      </c>
      <c r="J86" s="13" t="str">
        <f t="shared" ca="1" si="7"/>
        <v>정상</v>
      </c>
      <c r="K86" s="11"/>
      <c r="L86" s="11">
        <v>46048</v>
      </c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64</v>
      </c>
      <c r="J87" s="13" t="str">
        <f t="shared" ca="1" si="7"/>
        <v>관리</v>
      </c>
      <c r="K87" s="11"/>
      <c r="L87" s="11">
        <v>46112</v>
      </c>
      <c r="M87" s="10"/>
      <c r="N87" s="10" t="s">
        <v>20</v>
      </c>
      <c r="O87" s="6" t="s">
        <v>58</v>
      </c>
      <c r="P87" s="6" t="s">
        <v>153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122</v>
      </c>
      <c r="F88" s="6" t="s">
        <v>123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61</v>
      </c>
      <c r="J89" s="13" t="str">
        <f t="shared" ca="1" si="7"/>
        <v>관리</v>
      </c>
      <c r="K89" s="11"/>
      <c r="L89" s="11">
        <v>46112</v>
      </c>
      <c r="M89" s="10"/>
      <c r="N89" s="10" t="s">
        <v>20</v>
      </c>
      <c r="O89" s="6" t="s">
        <v>58</v>
      </c>
      <c r="P89" s="6" t="s">
        <v>153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61</v>
      </c>
      <c r="J90" s="13" t="str">
        <f t="shared" ca="1" si="7"/>
        <v>관리</v>
      </c>
      <c r="K90" s="11"/>
      <c r="L90" s="11">
        <v>46112</v>
      </c>
      <c r="M90" s="10"/>
      <c r="N90" s="10" t="s">
        <v>20</v>
      </c>
      <c r="O90" s="6" t="s">
        <v>58</v>
      </c>
      <c r="P90" s="6" t="s">
        <v>153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124</v>
      </c>
      <c r="F91" s="6" t="s">
        <v>125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126</v>
      </c>
      <c r="F92" s="6" t="s">
        <v>127</v>
      </c>
      <c r="G92" s="6" t="s">
        <v>48</v>
      </c>
      <c r="H92" s="4">
        <v>219000</v>
      </c>
      <c r="I92" s="6">
        <f t="shared" ca="1" si="6"/>
        <v>57</v>
      </c>
      <c r="J92" s="13" t="str">
        <f t="shared" ca="1" si="7"/>
        <v>관리</v>
      </c>
      <c r="K92" s="11"/>
      <c r="L92" s="11">
        <v>46112</v>
      </c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128</v>
      </c>
      <c r="F93" s="6" t="s">
        <v>129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134</v>
      </c>
      <c r="F94" s="6" t="s">
        <v>135</v>
      </c>
      <c r="G94" s="6" t="s">
        <v>138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136</v>
      </c>
      <c r="F95" s="6" t="s">
        <v>137</v>
      </c>
      <c r="G95" s="6" t="s">
        <v>138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108</v>
      </c>
      <c r="F96" s="6" t="s">
        <v>156</v>
      </c>
      <c r="G96" s="6" t="s">
        <v>48</v>
      </c>
      <c r="H96" s="4">
        <v>2627900</v>
      </c>
      <c r="I96" s="6">
        <f t="shared" ca="1" si="6"/>
        <v>80</v>
      </c>
      <c r="J96" s="13" t="str">
        <f t="shared" ca="1" si="7"/>
        <v>관리</v>
      </c>
      <c r="K96" s="11">
        <v>46142</v>
      </c>
      <c r="L96" s="11">
        <v>46142</v>
      </c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112</v>
      </c>
      <c r="F97" s="6" t="s">
        <v>157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108</v>
      </c>
      <c r="F98" s="23" t="s">
        <v>109</v>
      </c>
      <c r="G98" s="6" t="s">
        <v>48</v>
      </c>
      <c r="H98" s="4">
        <v>216000</v>
      </c>
      <c r="I98" s="6">
        <f t="shared" ref="I98:I125" ca="1" si="10">IF(C98="","",IF(L98="",TODAY()-C98,L98-C98))</f>
        <v>79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>
        <v>46142</v>
      </c>
      <c r="L98" s="11">
        <v>46142</v>
      </c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163</v>
      </c>
      <c r="F99" s="23" t="s">
        <v>164</v>
      </c>
      <c r="G99" s="6" t="s">
        <v>48</v>
      </c>
      <c r="H99" s="4">
        <v>154300</v>
      </c>
      <c r="I99" s="6">
        <f t="shared" ca="1" si="10"/>
        <v>2</v>
      </c>
      <c r="J99" s="13" t="str">
        <f t="shared" ca="1" si="11"/>
        <v>정상</v>
      </c>
      <c r="K99" s="11"/>
      <c r="L99" s="11">
        <v>46065</v>
      </c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165</v>
      </c>
      <c r="G100" s="6" t="s">
        <v>682</v>
      </c>
      <c r="H100" s="4">
        <v>16130000</v>
      </c>
      <c r="I100" s="6">
        <f t="shared" ca="1" si="10"/>
        <v>115</v>
      </c>
      <c r="J100" s="13" t="str">
        <f t="shared" ca="1" si="11"/>
        <v>장기미수</v>
      </c>
      <c r="K100" s="11"/>
      <c r="L100" s="11">
        <v>46142</v>
      </c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168</v>
      </c>
      <c r="E101" s="24" t="s">
        <v>166</v>
      </c>
      <c r="F101" s="24" t="s">
        <v>167</v>
      </c>
      <c r="G101" s="6" t="s">
        <v>169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170</v>
      </c>
      <c r="F102" s="6" t="s">
        <v>171</v>
      </c>
      <c r="G102" s="6" t="s">
        <v>172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173</v>
      </c>
      <c r="F103" s="6" t="s">
        <v>174</v>
      </c>
      <c r="G103" s="6" t="s">
        <v>175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108</v>
      </c>
      <c r="F104" s="23" t="s">
        <v>156</v>
      </c>
      <c r="G104" s="6" t="s">
        <v>177</v>
      </c>
      <c r="H104" s="25">
        <v>1138000</v>
      </c>
      <c r="I104" s="6">
        <f t="shared" ca="1" si="10"/>
        <v>78</v>
      </c>
      <c r="J104" s="13" t="str">
        <f t="shared" ca="1" si="11"/>
        <v>관리</v>
      </c>
      <c r="K104" s="11">
        <v>46142</v>
      </c>
      <c r="L104" s="11">
        <v>46142</v>
      </c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108</v>
      </c>
      <c r="F105" s="23" t="s">
        <v>176</v>
      </c>
      <c r="G105" s="6" t="s">
        <v>177</v>
      </c>
      <c r="H105" s="25">
        <v>11632500</v>
      </c>
      <c r="I105" s="6">
        <f t="shared" ca="1" si="10"/>
        <v>78</v>
      </c>
      <c r="J105" s="13" t="str">
        <f t="shared" ca="1" si="11"/>
        <v>관리</v>
      </c>
      <c r="K105" s="11">
        <v>46142</v>
      </c>
      <c r="L105" s="11">
        <v>46142</v>
      </c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178</v>
      </c>
      <c r="E106" s="23" t="s">
        <v>24</v>
      </c>
      <c r="F106" s="23" t="s">
        <v>107</v>
      </c>
      <c r="G106" s="6" t="s">
        <v>177</v>
      </c>
      <c r="H106" s="25">
        <v>7390000</v>
      </c>
      <c r="I106" s="6">
        <f t="shared" ca="1" si="10"/>
        <v>83</v>
      </c>
      <c r="J106" s="13" t="str">
        <f t="shared" ca="1" si="11"/>
        <v>관리</v>
      </c>
      <c r="K106" s="11"/>
      <c r="L106" s="11"/>
      <c r="M106" s="10"/>
      <c r="N106" s="10" t="s">
        <v>20</v>
      </c>
      <c r="O106" s="6" t="s">
        <v>58</v>
      </c>
      <c r="P106" s="6" t="s">
        <v>153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178</v>
      </c>
      <c r="E107" s="23" t="s">
        <v>179</v>
      </c>
      <c r="F107" s="23" t="s">
        <v>180</v>
      </c>
      <c r="G107" s="6" t="s">
        <v>177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178</v>
      </c>
      <c r="E108" s="23" t="s">
        <v>108</v>
      </c>
      <c r="F108" s="23" t="s">
        <v>156</v>
      </c>
      <c r="G108" s="6" t="s">
        <v>177</v>
      </c>
      <c r="H108" s="25">
        <v>1997773</v>
      </c>
      <c r="I108" s="6">
        <f t="shared" ca="1" si="10"/>
        <v>77</v>
      </c>
      <c r="J108" s="13" t="str">
        <f t="shared" ca="1" si="11"/>
        <v>관리</v>
      </c>
      <c r="K108" s="11">
        <v>46142</v>
      </c>
      <c r="L108" s="11">
        <v>46142</v>
      </c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181</v>
      </c>
      <c r="E109" s="27" t="s">
        <v>183</v>
      </c>
      <c r="F109" s="26" t="s">
        <v>182</v>
      </c>
      <c r="G109" s="6" t="s">
        <v>436</v>
      </c>
      <c r="H109" s="28">
        <v>11000000</v>
      </c>
      <c r="I109" s="6">
        <f t="shared" ca="1" si="10"/>
        <v>82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178</v>
      </c>
      <c r="E110" s="23" t="s">
        <v>24</v>
      </c>
      <c r="F110" s="23" t="s">
        <v>107</v>
      </c>
      <c r="G110" s="6" t="s">
        <v>184</v>
      </c>
      <c r="H110" s="29">
        <v>35304000</v>
      </c>
      <c r="I110" s="6">
        <f t="shared" ca="1" si="10"/>
        <v>81</v>
      </c>
      <c r="J110" s="13" t="str">
        <f t="shared" ca="1" si="11"/>
        <v>관리</v>
      </c>
      <c r="K110" s="11"/>
      <c r="L110" s="11"/>
      <c r="M110" s="10"/>
      <c r="N110" s="10" t="s">
        <v>20</v>
      </c>
      <c r="O110" s="6" t="s">
        <v>58</v>
      </c>
      <c r="P110" s="6" t="s">
        <v>153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185</v>
      </c>
      <c r="F111" s="23" t="s">
        <v>187</v>
      </c>
      <c r="G111" s="6" t="s">
        <v>172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188</v>
      </c>
      <c r="G112" s="6" t="s">
        <v>172</v>
      </c>
      <c r="H112" s="25">
        <v>39250000</v>
      </c>
      <c r="I112" s="6">
        <f t="shared" ca="1" si="10"/>
        <v>39</v>
      </c>
      <c r="J112" s="13" t="str">
        <f t="shared" ca="1" si="11"/>
        <v>정상</v>
      </c>
      <c r="K112" s="11"/>
      <c r="L112" s="11">
        <v>46112</v>
      </c>
      <c r="M112" s="10"/>
      <c r="N112" s="10" t="s">
        <v>20</v>
      </c>
      <c r="O112" s="6" t="s">
        <v>58</v>
      </c>
      <c r="P112" s="6" t="s">
        <v>153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186</v>
      </c>
      <c r="F113" s="23" t="s">
        <v>189</v>
      </c>
      <c r="G113" s="6" t="s">
        <v>172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172</v>
      </c>
      <c r="H114" s="29">
        <v>11500000</v>
      </c>
      <c r="I114" s="6">
        <f t="shared" ca="1" si="10"/>
        <v>36</v>
      </c>
      <c r="J114" s="13" t="str">
        <f t="shared" ca="1" si="11"/>
        <v>정상</v>
      </c>
      <c r="K114" s="11"/>
      <c r="L114" s="11">
        <v>46112</v>
      </c>
      <c r="M114" s="10"/>
      <c r="N114" s="10" t="s">
        <v>20</v>
      </c>
      <c r="O114" s="6" t="s">
        <v>58</v>
      </c>
      <c r="P114" s="6" t="s">
        <v>153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172</v>
      </c>
      <c r="H115" s="29">
        <v>3438000</v>
      </c>
      <c r="I115" s="6">
        <f t="shared" ca="1" si="10"/>
        <v>36</v>
      </c>
      <c r="J115" s="13" t="str">
        <f t="shared" ca="1" si="11"/>
        <v>정상</v>
      </c>
      <c r="K115" s="11"/>
      <c r="L115" s="11">
        <v>46112</v>
      </c>
      <c r="M115" s="10"/>
      <c r="N115" s="10" t="s">
        <v>20</v>
      </c>
      <c r="O115" s="6" t="s">
        <v>58</v>
      </c>
      <c r="P115" s="6" t="s">
        <v>153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163</v>
      </c>
      <c r="F116" s="32" t="s">
        <v>164</v>
      </c>
      <c r="G116" s="6" t="s">
        <v>172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194</v>
      </c>
      <c r="G117" s="6" t="s">
        <v>172</v>
      </c>
      <c r="H117" s="4">
        <v>106200</v>
      </c>
      <c r="I117" s="6">
        <f t="shared" ca="1" si="10"/>
        <v>35</v>
      </c>
      <c r="J117" s="13" t="str">
        <f t="shared" ca="1" si="11"/>
        <v>정상</v>
      </c>
      <c r="K117" s="11"/>
      <c r="L117" s="11">
        <v>46112</v>
      </c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195</v>
      </c>
      <c r="F118" s="32" t="s">
        <v>196</v>
      </c>
      <c r="G118" s="6" t="s">
        <v>172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172</v>
      </c>
      <c r="H119" s="29">
        <v>4787500</v>
      </c>
      <c r="I119" s="6">
        <f t="shared" ca="1" si="10"/>
        <v>70</v>
      </c>
      <c r="J119" s="13" t="str">
        <f t="shared" ca="1" si="11"/>
        <v>관리</v>
      </c>
      <c r="K119" s="11">
        <v>46112</v>
      </c>
      <c r="L119" s="11"/>
      <c r="M119" s="10"/>
      <c r="N119" s="10" t="s">
        <v>197</v>
      </c>
      <c r="O119" s="6" t="s">
        <v>58</v>
      </c>
      <c r="P119" s="6" t="s">
        <v>153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199</v>
      </c>
      <c r="F120" s="32" t="s">
        <v>198</v>
      </c>
      <c r="G120" s="6" t="s">
        <v>172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206</v>
      </c>
      <c r="F121" s="32" t="s">
        <v>200</v>
      </c>
      <c r="G121" s="6" t="s">
        <v>172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136</v>
      </c>
      <c r="F122" s="32" t="s">
        <v>201</v>
      </c>
      <c r="G122" s="6" t="s">
        <v>172</v>
      </c>
      <c r="H122" s="29">
        <v>893000</v>
      </c>
      <c r="I122" s="6">
        <f t="shared" ca="1" si="10"/>
        <v>62</v>
      </c>
      <c r="J122" s="13" t="str">
        <f t="shared" ca="1" si="11"/>
        <v>관리</v>
      </c>
      <c r="K122" s="11"/>
      <c r="L122" s="11">
        <v>46142</v>
      </c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207</v>
      </c>
      <c r="F123" s="32" t="s">
        <v>202</v>
      </c>
      <c r="G123" s="6" t="s">
        <v>172</v>
      </c>
      <c r="H123" s="29">
        <v>4490000</v>
      </c>
      <c r="I123" s="6">
        <f t="shared" ca="1" si="10"/>
        <v>62</v>
      </c>
      <c r="J123" s="13" t="str">
        <f t="shared" ca="1" si="11"/>
        <v>관리</v>
      </c>
      <c r="K123" s="11">
        <v>46142</v>
      </c>
      <c r="L123" s="11">
        <v>46142</v>
      </c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208</v>
      </c>
      <c r="F124" s="32" t="s">
        <v>203</v>
      </c>
      <c r="G124" s="6" t="s">
        <v>172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116</v>
      </c>
      <c r="F125" s="32" t="s">
        <v>204</v>
      </c>
      <c r="G125" s="6" t="s">
        <v>172</v>
      </c>
      <c r="H125" s="29">
        <v>521000</v>
      </c>
      <c r="I125" s="6">
        <f t="shared" ca="1" si="10"/>
        <v>56</v>
      </c>
      <c r="J125" s="13" t="str">
        <f t="shared" ca="1" si="11"/>
        <v>관리</v>
      </c>
      <c r="K125" s="11"/>
      <c r="L125" s="11">
        <v>46136</v>
      </c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33">
        <v>46080</v>
      </c>
      <c r="D126" s="10" t="s">
        <v>243</v>
      </c>
      <c r="E126" s="32" t="s">
        <v>241</v>
      </c>
      <c r="F126" s="32" t="s">
        <v>242</v>
      </c>
      <c r="G126" s="6" t="s">
        <v>244</v>
      </c>
      <c r="H126" s="29">
        <v>9036000</v>
      </c>
      <c r="J126" s="13" t="s">
        <v>245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209</v>
      </c>
      <c r="F127" s="32" t="s">
        <v>205</v>
      </c>
      <c r="G127" s="6" t="s">
        <v>172</v>
      </c>
      <c r="H127" s="29">
        <v>6520600</v>
      </c>
      <c r="I127" s="6">
        <f t="shared" ref="I127:I189" ca="1" si="12">IF(C127="","",IF(L127="",TODAY()-C127,L127-C127))</f>
        <v>32</v>
      </c>
      <c r="J127" s="13" t="str">
        <f t="shared" ref="J127:J157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>
        <v>46112</v>
      </c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218</v>
      </c>
      <c r="F128" s="32" t="s">
        <v>210</v>
      </c>
      <c r="G128" s="6" t="s">
        <v>172</v>
      </c>
      <c r="H128" s="29">
        <v>2330000</v>
      </c>
      <c r="I128" s="6">
        <f t="shared" ca="1" si="12"/>
        <v>64</v>
      </c>
      <c r="J128" s="13" t="str">
        <f t="shared" ca="1" si="13"/>
        <v>관리</v>
      </c>
      <c r="K128" s="11">
        <v>46157</v>
      </c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179</v>
      </c>
      <c r="F129" s="32" t="s">
        <v>211</v>
      </c>
      <c r="G129" s="6" t="s">
        <v>172</v>
      </c>
      <c r="H129" s="29">
        <v>52200</v>
      </c>
      <c r="I129" s="6">
        <f t="shared" ca="1" si="12"/>
        <v>38</v>
      </c>
      <c r="J129" s="13" t="str">
        <f t="shared" ca="1" si="13"/>
        <v>정상</v>
      </c>
      <c r="K129" s="11"/>
      <c r="L129" s="11">
        <v>46122</v>
      </c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218</v>
      </c>
      <c r="F130" s="32" t="s">
        <v>212</v>
      </c>
      <c r="G130" s="6" t="s">
        <v>172</v>
      </c>
      <c r="H130" s="29">
        <v>7624000</v>
      </c>
      <c r="I130" s="6">
        <f t="shared" ca="1" si="12"/>
        <v>64</v>
      </c>
      <c r="J130" s="13" t="str">
        <f t="shared" ca="1" si="13"/>
        <v>관리</v>
      </c>
      <c r="K130" s="11">
        <v>46157</v>
      </c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219</v>
      </c>
      <c r="F131" s="32" t="s">
        <v>213</v>
      </c>
      <c r="G131" s="6" t="s">
        <v>172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195</v>
      </c>
      <c r="F132" s="32" t="s">
        <v>214</v>
      </c>
      <c r="G132" s="6" t="s">
        <v>172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220</v>
      </c>
      <c r="F133" s="32" t="s">
        <v>215</v>
      </c>
      <c r="G133" s="6" t="s">
        <v>172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221</v>
      </c>
      <c r="F134" s="32" t="s">
        <v>216</v>
      </c>
      <c r="G134" s="6" t="s">
        <v>172</v>
      </c>
      <c r="H134" s="29">
        <v>72937600</v>
      </c>
      <c r="I134" s="6">
        <f t="shared" ca="1" si="12"/>
        <v>28</v>
      </c>
      <c r="J134" s="13" t="str">
        <f t="shared" ca="1" si="13"/>
        <v>정상</v>
      </c>
      <c r="K134" s="11"/>
      <c r="L134" s="11">
        <v>46112</v>
      </c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222</v>
      </c>
      <c r="F135" s="32" t="s">
        <v>217</v>
      </c>
      <c r="G135" s="6" t="s">
        <v>172</v>
      </c>
      <c r="H135" s="29">
        <v>5427900</v>
      </c>
      <c r="I135" s="6">
        <f t="shared" ca="1" si="12"/>
        <v>-4</v>
      </c>
      <c r="J135" s="13" t="str">
        <f t="shared" ca="1" si="13"/>
        <v>정상</v>
      </c>
      <c r="K135" s="11"/>
      <c r="L135" s="11">
        <v>46080</v>
      </c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35">
        <v>46085</v>
      </c>
      <c r="D136" s="10" t="str">
        <f t="shared" si="9"/>
        <v>A</v>
      </c>
      <c r="E136" s="34" t="s">
        <v>223</v>
      </c>
      <c r="F136" s="34" t="s">
        <v>224</v>
      </c>
      <c r="G136" s="6" t="s">
        <v>227</v>
      </c>
      <c r="H136" s="4">
        <v>12360000</v>
      </c>
      <c r="I136" s="6">
        <f t="shared" ca="1" si="12"/>
        <v>1</v>
      </c>
      <c r="J136" s="13" t="str">
        <f t="shared" ca="1" si="13"/>
        <v>정상</v>
      </c>
      <c r="K136" s="11"/>
      <c r="L136" s="11">
        <v>46086</v>
      </c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228</v>
      </c>
      <c r="F137" s="34" t="s">
        <v>225</v>
      </c>
      <c r="G137" s="6" t="s">
        <v>227</v>
      </c>
      <c r="H137" s="36">
        <v>11171400</v>
      </c>
      <c r="I137" s="6">
        <f t="shared" ca="1" si="12"/>
        <v>13</v>
      </c>
      <c r="J137" s="13" t="str">
        <f t="shared" ca="1" si="13"/>
        <v>정상</v>
      </c>
      <c r="K137" s="11"/>
      <c r="L137" s="11">
        <v>46098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418</v>
      </c>
      <c r="F138" s="38" t="s">
        <v>417</v>
      </c>
      <c r="G138" s="6" t="s">
        <v>419</v>
      </c>
      <c r="H138" s="36">
        <v>11115400</v>
      </c>
      <c r="I138" s="6">
        <f t="shared" ca="1" si="12"/>
        <v>33</v>
      </c>
      <c r="J138" s="13" t="str">
        <f t="shared" ca="1" si="13"/>
        <v>관리</v>
      </c>
      <c r="K138" s="11"/>
      <c r="L138" s="11">
        <v>46118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229</v>
      </c>
      <c r="F139" s="6" t="s">
        <v>231</v>
      </c>
      <c r="G139" s="6" t="s">
        <v>227</v>
      </c>
      <c r="H139" s="36">
        <v>9772000</v>
      </c>
      <c r="I139" s="6">
        <f t="shared" ca="1" si="12"/>
        <v>0</v>
      </c>
      <c r="J139" s="13" t="str">
        <f t="shared" ca="1" si="13"/>
        <v>정상</v>
      </c>
      <c r="K139" s="11"/>
      <c r="L139" s="11">
        <v>46085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35">
        <v>46086</v>
      </c>
      <c r="D140" s="10" t="str">
        <f t="shared" ref="D140:D202" si="14">IF(G140="","",IF(OR(G140="선급금",G140="중도금",G140="잔금"),"A",IF(G140="자재","B",IF(G140="특허료","C",""))))</f>
        <v>A</v>
      </c>
      <c r="E140" s="34" t="s">
        <v>229</v>
      </c>
      <c r="F140" s="34" t="s">
        <v>226</v>
      </c>
      <c r="G140" s="6" t="s">
        <v>230</v>
      </c>
      <c r="H140" s="36">
        <v>19544000</v>
      </c>
      <c r="I140" s="6">
        <f t="shared" ca="1" si="12"/>
        <v>4</v>
      </c>
      <c r="J140" s="13" t="str">
        <f t="shared" ca="1" si="13"/>
        <v>정상</v>
      </c>
      <c r="K140" s="11"/>
      <c r="L140" s="11">
        <v>46090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35">
        <v>46086</v>
      </c>
      <c r="D141" s="10" t="str">
        <f t="shared" si="14"/>
        <v>A</v>
      </c>
      <c r="E141" s="6" t="s">
        <v>234</v>
      </c>
      <c r="F141" s="6" t="s">
        <v>232</v>
      </c>
      <c r="G141" s="6" t="s">
        <v>233</v>
      </c>
      <c r="H141" s="37">
        <v>30186600</v>
      </c>
      <c r="I141" s="6">
        <f t="shared" ca="1" si="12"/>
        <v>36</v>
      </c>
      <c r="J141" s="13" t="str">
        <f t="shared" ca="1" si="13"/>
        <v>관리</v>
      </c>
      <c r="K141" s="11"/>
      <c r="L141" s="11">
        <v>46122</v>
      </c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35">
        <v>46086</v>
      </c>
      <c r="D142" s="10" t="s">
        <v>239</v>
      </c>
      <c r="E142" s="23" t="s">
        <v>195</v>
      </c>
      <c r="F142" s="23" t="s">
        <v>196</v>
      </c>
      <c r="G142" s="6" t="s">
        <v>240</v>
      </c>
      <c r="H142" s="25">
        <v>5775000</v>
      </c>
      <c r="I142" s="6">
        <f t="shared" ca="1" si="12"/>
        <v>40</v>
      </c>
      <c r="J142" s="13" t="str">
        <f t="shared" ca="1" si="13"/>
        <v>정상</v>
      </c>
      <c r="K142" s="11"/>
      <c r="L142" s="11">
        <v>46126</v>
      </c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35">
        <v>46086</v>
      </c>
      <c r="D143" s="10" t="s">
        <v>239</v>
      </c>
      <c r="E143" s="23" t="s">
        <v>207</v>
      </c>
      <c r="F143" s="23" t="s">
        <v>202</v>
      </c>
      <c r="G143" s="6" t="s">
        <v>240</v>
      </c>
      <c r="H143" s="25">
        <v>2260000</v>
      </c>
      <c r="I143" s="6">
        <f t="shared" ca="1" si="12"/>
        <v>56</v>
      </c>
      <c r="J143" s="13" t="str">
        <f t="shared" ca="1" si="13"/>
        <v>관리</v>
      </c>
      <c r="K143" s="11">
        <v>46142</v>
      </c>
      <c r="L143" s="11">
        <v>46142</v>
      </c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35">
        <v>46086</v>
      </c>
      <c r="D144" s="10" t="s">
        <v>239</v>
      </c>
      <c r="E144" s="23" t="s">
        <v>26</v>
      </c>
      <c r="F144" s="23" t="s">
        <v>248</v>
      </c>
      <c r="G144" s="6" t="s">
        <v>240</v>
      </c>
      <c r="H144" s="25">
        <v>237000</v>
      </c>
      <c r="I144" s="6">
        <f t="shared" ca="1" si="12"/>
        <v>62</v>
      </c>
      <c r="J144" s="13" t="str">
        <f t="shared" ca="1" si="13"/>
        <v>관리</v>
      </c>
      <c r="K144" s="11"/>
      <c r="L144" s="11"/>
      <c r="M144" s="10"/>
      <c r="N144" s="10" t="s">
        <v>33</v>
      </c>
      <c r="P144" s="6" t="s">
        <v>80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35">
        <v>46086</v>
      </c>
      <c r="D145" s="10" t="s">
        <v>239</v>
      </c>
      <c r="E145" s="23" t="s">
        <v>238</v>
      </c>
      <c r="F145" s="23" t="s">
        <v>235</v>
      </c>
      <c r="G145" s="6" t="s">
        <v>240</v>
      </c>
      <c r="H145" s="25">
        <v>167500</v>
      </c>
      <c r="I145" s="6">
        <f t="shared" ca="1" si="12"/>
        <v>26</v>
      </c>
      <c r="J145" s="13" t="str">
        <f t="shared" ca="1" si="13"/>
        <v>정상</v>
      </c>
      <c r="K145" s="11"/>
      <c r="L145" s="11">
        <v>46112</v>
      </c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35">
        <v>46086</v>
      </c>
      <c r="D146" s="10" t="s">
        <v>239</v>
      </c>
      <c r="E146" s="23" t="s">
        <v>126</v>
      </c>
      <c r="F146" s="23" t="s">
        <v>236</v>
      </c>
      <c r="G146" s="6" t="s">
        <v>240</v>
      </c>
      <c r="H146" s="25">
        <v>3179600</v>
      </c>
      <c r="I146" s="6">
        <f t="shared" ca="1" si="12"/>
        <v>55</v>
      </c>
      <c r="J146" s="13" t="str">
        <f t="shared" ca="1" si="13"/>
        <v>관리</v>
      </c>
      <c r="K146" s="11"/>
      <c r="L146" s="11">
        <v>46141</v>
      </c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35">
        <v>46086</v>
      </c>
      <c r="D147" s="10" t="s">
        <v>239</v>
      </c>
      <c r="E147" s="23" t="s">
        <v>218</v>
      </c>
      <c r="F147" s="23" t="s">
        <v>210</v>
      </c>
      <c r="G147" s="6" t="s">
        <v>240</v>
      </c>
      <c r="H147" s="25">
        <v>5500000</v>
      </c>
      <c r="I147" s="6">
        <f t="shared" ca="1" si="12"/>
        <v>62</v>
      </c>
      <c r="J147" s="13" t="str">
        <f t="shared" ca="1" si="13"/>
        <v>관리</v>
      </c>
      <c r="K147" s="11">
        <v>46157</v>
      </c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35">
        <v>46086</v>
      </c>
      <c r="D148" s="10" t="s">
        <v>239</v>
      </c>
      <c r="E148" s="23" t="s">
        <v>218</v>
      </c>
      <c r="F148" s="23" t="s">
        <v>210</v>
      </c>
      <c r="G148" s="6" t="s">
        <v>240</v>
      </c>
      <c r="H148" s="25">
        <v>1801000</v>
      </c>
      <c r="I148" s="6">
        <f t="shared" ca="1" si="12"/>
        <v>62</v>
      </c>
      <c r="J148" s="13" t="str">
        <f t="shared" ca="1" si="13"/>
        <v>관리</v>
      </c>
      <c r="K148" s="11">
        <v>46157</v>
      </c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35">
        <v>46086</v>
      </c>
      <c r="D149" s="10" t="s">
        <v>239</v>
      </c>
      <c r="E149" s="23" t="s">
        <v>218</v>
      </c>
      <c r="F149" s="23" t="s">
        <v>237</v>
      </c>
      <c r="G149" s="6" t="s">
        <v>240</v>
      </c>
      <c r="H149" s="25">
        <v>6400500</v>
      </c>
      <c r="I149" s="6">
        <f t="shared" ca="1" si="12"/>
        <v>62</v>
      </c>
      <c r="J149" s="13" t="str">
        <f t="shared" ca="1" si="13"/>
        <v>관리</v>
      </c>
      <c r="K149" s="11">
        <v>46157</v>
      </c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35">
        <v>46087</v>
      </c>
      <c r="D150" s="10" t="s">
        <v>243</v>
      </c>
      <c r="E150" s="6" t="s">
        <v>247</v>
      </c>
      <c r="F150" s="6" t="s">
        <v>246</v>
      </c>
      <c r="G150" s="6" t="s">
        <v>227</v>
      </c>
      <c r="H150" s="4">
        <v>5358400</v>
      </c>
      <c r="I150" s="6">
        <f t="shared" ca="1" si="12"/>
        <v>26</v>
      </c>
      <c r="J150" s="13" t="str">
        <f t="shared" ca="1" si="13"/>
        <v>관리</v>
      </c>
      <c r="K150" s="11"/>
      <c r="L150" s="11">
        <v>46113</v>
      </c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0">
        <v>46087</v>
      </c>
      <c r="D151" s="10" t="s">
        <v>178</v>
      </c>
      <c r="E151" s="23" t="s">
        <v>124</v>
      </c>
      <c r="F151" s="23" t="s">
        <v>250</v>
      </c>
      <c r="G151" s="6" t="s">
        <v>255</v>
      </c>
      <c r="H151" s="25">
        <v>753000</v>
      </c>
      <c r="I151" s="6">
        <f t="shared" ca="1" si="12"/>
        <v>0</v>
      </c>
      <c r="J151" s="13" t="str">
        <f t="shared" ca="1" si="13"/>
        <v>정상</v>
      </c>
      <c r="K151" s="11"/>
      <c r="L151" s="11">
        <v>46087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0">
        <v>46087</v>
      </c>
      <c r="D152" s="10" t="s">
        <v>178</v>
      </c>
      <c r="E152" s="23" t="s">
        <v>195</v>
      </c>
      <c r="F152" s="23" t="s">
        <v>251</v>
      </c>
      <c r="G152" s="6" t="s">
        <v>255</v>
      </c>
      <c r="H152" s="25">
        <v>3230000</v>
      </c>
      <c r="I152" s="6">
        <f t="shared" ca="1" si="12"/>
        <v>39</v>
      </c>
      <c r="J152" s="13" t="str">
        <f t="shared" ca="1" si="13"/>
        <v>정상</v>
      </c>
      <c r="K152" s="11"/>
      <c r="L152" s="11">
        <v>46126</v>
      </c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0">
        <v>46087</v>
      </c>
      <c r="D153" s="10" t="s">
        <v>178</v>
      </c>
      <c r="E153" s="23" t="s">
        <v>128</v>
      </c>
      <c r="F153" s="23" t="s">
        <v>252</v>
      </c>
      <c r="G153" s="6" t="s">
        <v>255</v>
      </c>
      <c r="H153" s="25">
        <v>5030650</v>
      </c>
      <c r="I153" s="6">
        <f t="shared" ca="1" si="12"/>
        <v>0</v>
      </c>
      <c r="J153" s="13" t="str">
        <f t="shared" ca="1" si="13"/>
        <v>정상</v>
      </c>
      <c r="K153" s="11"/>
      <c r="L153" s="11">
        <v>46087</v>
      </c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0">
        <v>46087</v>
      </c>
      <c r="D154" s="10" t="s">
        <v>178</v>
      </c>
      <c r="E154" s="23" t="s">
        <v>249</v>
      </c>
      <c r="F154" s="23" t="s">
        <v>253</v>
      </c>
      <c r="G154" s="6" t="s">
        <v>255</v>
      </c>
      <c r="H154" s="25">
        <v>9140500</v>
      </c>
      <c r="I154" s="6">
        <f t="shared" ca="1" si="12"/>
        <v>10</v>
      </c>
      <c r="J154" s="13" t="str">
        <f t="shared" ca="1" si="13"/>
        <v>정상</v>
      </c>
      <c r="K154" s="11"/>
      <c r="L154" s="11">
        <v>46097</v>
      </c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0">
        <v>46087</v>
      </c>
      <c r="D155" s="10" t="s">
        <v>178</v>
      </c>
      <c r="E155" s="23" t="s">
        <v>219</v>
      </c>
      <c r="F155" s="23" t="s">
        <v>213</v>
      </c>
      <c r="G155" s="6" t="s">
        <v>255</v>
      </c>
      <c r="H155" s="25">
        <v>16695000</v>
      </c>
      <c r="I155" s="6">
        <f t="shared" ca="1" si="12"/>
        <v>25</v>
      </c>
      <c r="J155" s="13" t="str">
        <f t="shared" ca="1" si="13"/>
        <v>정상</v>
      </c>
      <c r="K155" s="11"/>
      <c r="L155" s="11">
        <v>46112</v>
      </c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0">
        <v>46087</v>
      </c>
      <c r="D156" s="10" t="s">
        <v>178</v>
      </c>
      <c r="E156" s="23" t="s">
        <v>219</v>
      </c>
      <c r="F156" s="23" t="s">
        <v>213</v>
      </c>
      <c r="G156" s="6" t="s">
        <v>255</v>
      </c>
      <c r="H156" s="25">
        <v>1870000</v>
      </c>
      <c r="I156" s="6">
        <f t="shared" ca="1" si="12"/>
        <v>25</v>
      </c>
      <c r="J156" s="13" t="str">
        <f t="shared" ca="1" si="13"/>
        <v>정상</v>
      </c>
      <c r="K156" s="11"/>
      <c r="L156" s="11">
        <v>46112</v>
      </c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0">
        <v>46087</v>
      </c>
      <c r="D157" s="10" t="s">
        <v>178</v>
      </c>
      <c r="E157" s="23" t="s">
        <v>81</v>
      </c>
      <c r="F157" s="23" t="s">
        <v>254</v>
      </c>
      <c r="G157" s="6" t="s">
        <v>255</v>
      </c>
      <c r="H157" s="25">
        <v>12478000</v>
      </c>
      <c r="I157" s="6">
        <f t="shared" ca="1" si="12"/>
        <v>61</v>
      </c>
      <c r="J157" s="13" t="str">
        <f t="shared" ca="1" si="13"/>
        <v>관리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39">
        <v>46090</v>
      </c>
      <c r="D158" s="10" t="str">
        <f t="shared" si="14"/>
        <v>A</v>
      </c>
      <c r="E158" s="6" t="s">
        <v>260</v>
      </c>
      <c r="F158" s="6" t="s">
        <v>259</v>
      </c>
      <c r="G158" s="6" t="s">
        <v>261</v>
      </c>
      <c r="H158" s="4">
        <v>29070400</v>
      </c>
      <c r="I158" s="6">
        <f t="shared" ca="1" si="12"/>
        <v>4</v>
      </c>
      <c r="J158" s="13" t="str">
        <f t="shared" ref="J158:J189" ca="1" si="15">IF(I158="","",
 IF(G158="선급금",
   IF(I158&lt;=20,"정상",IF(I158&lt;=90,"관리","장기미수")),
 IF(G158="자재",
   IF(I158&lt;=40,"정상",IF(I158&lt;=90,"관리","장기미수")),
   IF(I158&lt;=30,"정상",IF(I158&lt;=90,"관리","장기미수"))
  )
 )
)</f>
        <v>정상</v>
      </c>
      <c r="K158" s="11"/>
      <c r="L158" s="11">
        <v>46094</v>
      </c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0">
        <v>46090</v>
      </c>
      <c r="D159" s="10" t="str">
        <f t="shared" si="14"/>
        <v>B</v>
      </c>
      <c r="E159" s="23" t="s">
        <v>199</v>
      </c>
      <c r="F159" s="23" t="s">
        <v>262</v>
      </c>
      <c r="G159" s="6" t="s">
        <v>268</v>
      </c>
      <c r="H159" s="25">
        <v>3390000</v>
      </c>
      <c r="I159" s="6">
        <f t="shared" ca="1" si="12"/>
        <v>58</v>
      </c>
      <c r="J159" s="13" t="str">
        <f t="shared" ca="1" si="15"/>
        <v>관리</v>
      </c>
      <c r="K159" s="11"/>
      <c r="L159" s="11"/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266</v>
      </c>
      <c r="F160" s="23" t="s">
        <v>263</v>
      </c>
      <c r="G160" s="6" t="s">
        <v>268</v>
      </c>
      <c r="H160" s="25">
        <v>9140500</v>
      </c>
      <c r="I160" s="6">
        <f t="shared" ca="1" si="12"/>
        <v>44</v>
      </c>
      <c r="J160" s="13" t="str">
        <f t="shared" ca="1" si="15"/>
        <v>관리</v>
      </c>
      <c r="K160" s="11"/>
      <c r="L160" s="11">
        <v>46134</v>
      </c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207</v>
      </c>
      <c r="F161" s="23" t="s">
        <v>264</v>
      </c>
      <c r="G161" s="6" t="s">
        <v>268</v>
      </c>
      <c r="H161" s="25">
        <v>4719500</v>
      </c>
      <c r="I161" s="6">
        <f t="shared" ca="1" si="12"/>
        <v>52</v>
      </c>
      <c r="J161" s="13" t="str">
        <f t="shared" ca="1" si="15"/>
        <v>관리</v>
      </c>
      <c r="K161" s="11">
        <v>46142</v>
      </c>
      <c r="L161" s="11">
        <v>46142</v>
      </c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267</v>
      </c>
      <c r="F162" s="23" t="s">
        <v>265</v>
      </c>
      <c r="G162" s="6" t="s">
        <v>268</v>
      </c>
      <c r="H162" s="25">
        <v>38534600</v>
      </c>
      <c r="I162" s="6">
        <f t="shared" ca="1" si="12"/>
        <v>1</v>
      </c>
      <c r="J162" s="13" t="str">
        <f t="shared" ca="1" si="15"/>
        <v>정상</v>
      </c>
      <c r="K162" s="11"/>
      <c r="L162" s="11">
        <v>46091</v>
      </c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0">
        <v>46091</v>
      </c>
      <c r="D163" s="10" t="s">
        <v>243</v>
      </c>
      <c r="E163" s="6" t="s">
        <v>270</v>
      </c>
      <c r="F163" s="6" t="s">
        <v>269</v>
      </c>
      <c r="G163" s="6" t="s">
        <v>271</v>
      </c>
      <c r="H163" s="4">
        <v>13694000</v>
      </c>
      <c r="I163" s="6">
        <f t="shared" ca="1" si="12"/>
        <v>3</v>
      </c>
      <c r="J163" s="13" t="str">
        <f t="shared" ca="1" si="15"/>
        <v>정상</v>
      </c>
      <c r="K163" s="11"/>
      <c r="L163" s="11">
        <v>46094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0">
        <v>46091</v>
      </c>
      <c r="D164" s="10" t="str">
        <f t="shared" si="14"/>
        <v>A</v>
      </c>
      <c r="E164" s="6" t="s">
        <v>273</v>
      </c>
      <c r="F164" s="6" t="s">
        <v>272</v>
      </c>
      <c r="G164" s="6" t="s">
        <v>274</v>
      </c>
      <c r="H164" s="4">
        <v>59166000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0">
        <v>46092</v>
      </c>
      <c r="D165" s="10" t="s">
        <v>181</v>
      </c>
      <c r="E165" s="6" t="s">
        <v>276</v>
      </c>
      <c r="F165" s="6" t="s">
        <v>275</v>
      </c>
      <c r="G165" s="6" t="s">
        <v>169</v>
      </c>
      <c r="H165" s="4">
        <v>4500000</v>
      </c>
      <c r="I165" s="6">
        <f t="shared" ca="1" si="12"/>
        <v>35</v>
      </c>
      <c r="J165" s="13" t="str">
        <f t="shared" ca="1" si="15"/>
        <v>관리</v>
      </c>
      <c r="K165" s="11"/>
      <c r="L165" s="11">
        <v>46127</v>
      </c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0">
        <v>46091</v>
      </c>
      <c r="D166" s="10" t="str">
        <f t="shared" si="14"/>
        <v>B</v>
      </c>
      <c r="E166" s="23" t="s">
        <v>218</v>
      </c>
      <c r="F166" s="23" t="s">
        <v>277</v>
      </c>
      <c r="G166" s="6" t="s">
        <v>296</v>
      </c>
      <c r="H166" s="25">
        <v>8400000</v>
      </c>
      <c r="I166" s="6">
        <f t="shared" ca="1" si="12"/>
        <v>57</v>
      </c>
      <c r="J166" s="13" t="str">
        <f t="shared" ca="1" si="15"/>
        <v>관리</v>
      </c>
      <c r="K166" s="11">
        <v>46157</v>
      </c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24</v>
      </c>
      <c r="F167" s="23" t="s">
        <v>188</v>
      </c>
      <c r="G167" s="6" t="s">
        <v>296</v>
      </c>
      <c r="H167" s="25">
        <v>46282000</v>
      </c>
      <c r="I167" s="6">
        <f t="shared" ca="1" si="12"/>
        <v>57</v>
      </c>
      <c r="J167" s="13" t="str">
        <f t="shared" ca="1" si="15"/>
        <v>관리</v>
      </c>
      <c r="K167" s="11"/>
      <c r="L167" s="11"/>
      <c r="M167" s="10"/>
      <c r="N167" s="10" t="s">
        <v>20</v>
      </c>
      <c r="O167" s="6" t="s">
        <v>58</v>
      </c>
      <c r="P167" s="6" t="s">
        <v>153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56</v>
      </c>
      <c r="F168" s="23" t="s">
        <v>278</v>
      </c>
      <c r="G168" s="6" t="s">
        <v>296</v>
      </c>
      <c r="H168" s="25">
        <v>1832500</v>
      </c>
      <c r="I168" s="6">
        <f t="shared" ca="1" si="12"/>
        <v>0</v>
      </c>
      <c r="J168" s="13" t="str">
        <f t="shared" ca="1" si="15"/>
        <v>정상</v>
      </c>
      <c r="K168" s="11"/>
      <c r="L168" s="11">
        <v>46091</v>
      </c>
      <c r="M168" s="10"/>
      <c r="N168" s="10" t="s">
        <v>33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120</v>
      </c>
      <c r="F169" s="23" t="s">
        <v>279</v>
      </c>
      <c r="G169" s="6" t="s">
        <v>296</v>
      </c>
      <c r="H169" s="25">
        <v>222000</v>
      </c>
      <c r="I169" s="6">
        <f t="shared" ca="1" si="12"/>
        <v>3</v>
      </c>
      <c r="J169" s="13" t="str">
        <f t="shared" ca="1" si="15"/>
        <v>정상</v>
      </c>
      <c r="K169" s="11"/>
      <c r="L169" s="11">
        <v>46094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266</v>
      </c>
      <c r="F170" s="23" t="s">
        <v>280</v>
      </c>
      <c r="G170" s="6" t="s">
        <v>296</v>
      </c>
      <c r="H170" s="25">
        <v>14080000</v>
      </c>
      <c r="I170" s="6">
        <f t="shared" ca="1" si="12"/>
        <v>37</v>
      </c>
      <c r="J170" s="13" t="str">
        <f t="shared" ca="1" si="15"/>
        <v>정상</v>
      </c>
      <c r="K170" s="11"/>
      <c r="L170" s="11">
        <v>46128</v>
      </c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249</v>
      </c>
      <c r="F171" s="23" t="s">
        <v>280</v>
      </c>
      <c r="G171" s="6" t="s">
        <v>296</v>
      </c>
      <c r="H171" s="25">
        <v>14080000</v>
      </c>
      <c r="I171" s="6">
        <f t="shared" ca="1" si="12"/>
        <v>6</v>
      </c>
      <c r="J171" s="13" t="str">
        <f t="shared" ca="1" si="15"/>
        <v>정상</v>
      </c>
      <c r="K171" s="11"/>
      <c r="L171" s="11">
        <v>46097</v>
      </c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222</v>
      </c>
      <c r="F172" s="23" t="s">
        <v>281</v>
      </c>
      <c r="G172" s="6" t="s">
        <v>296</v>
      </c>
      <c r="H172" s="25">
        <v>1186600</v>
      </c>
      <c r="I172" s="6">
        <f t="shared" ca="1" si="12"/>
        <v>57</v>
      </c>
      <c r="J172" s="13" t="str">
        <f t="shared" ca="1" si="15"/>
        <v>관리</v>
      </c>
      <c r="K172" s="11"/>
      <c r="L172" s="11"/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62</v>
      </c>
      <c r="F173" s="23" t="s">
        <v>282</v>
      </c>
      <c r="G173" s="6" t="s">
        <v>296</v>
      </c>
      <c r="H173" s="25">
        <v>270000</v>
      </c>
      <c r="I173" s="6">
        <f t="shared" ca="1" si="12"/>
        <v>45</v>
      </c>
      <c r="J173" s="13" t="str">
        <f t="shared" ca="1" si="15"/>
        <v>관리</v>
      </c>
      <c r="K173" s="11"/>
      <c r="L173" s="11">
        <v>46136</v>
      </c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24</v>
      </c>
      <c r="F174" s="23" t="s">
        <v>283</v>
      </c>
      <c r="G174" s="6" t="s">
        <v>296</v>
      </c>
      <c r="H174" s="25">
        <v>5912000</v>
      </c>
      <c r="I174" s="6">
        <f t="shared" ca="1" si="12"/>
        <v>57</v>
      </c>
      <c r="J174" s="13" t="str">
        <f t="shared" ca="1" si="15"/>
        <v>관리</v>
      </c>
      <c r="K174" s="11"/>
      <c r="L174" s="11"/>
      <c r="M174" s="10"/>
      <c r="N174" s="10" t="s">
        <v>20</v>
      </c>
      <c r="O174" s="6" t="s">
        <v>58</v>
      </c>
      <c r="P174" s="6" t="s">
        <v>153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188</v>
      </c>
      <c r="G175" s="6" t="s">
        <v>296</v>
      </c>
      <c r="H175" s="25">
        <v>4992000</v>
      </c>
      <c r="I175" s="6">
        <f t="shared" ca="1" si="12"/>
        <v>57</v>
      </c>
      <c r="J175" s="13" t="str">
        <f t="shared" ca="1" si="15"/>
        <v>관리</v>
      </c>
      <c r="K175" s="11"/>
      <c r="L175" s="11"/>
      <c r="M175" s="10"/>
      <c r="N175" s="10" t="s">
        <v>20</v>
      </c>
      <c r="O175" s="6" t="s">
        <v>58</v>
      </c>
      <c r="P175" s="6" t="s">
        <v>153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128</v>
      </c>
      <c r="F176" s="23" t="s">
        <v>284</v>
      </c>
      <c r="G176" s="6" t="s">
        <v>296</v>
      </c>
      <c r="H176" s="25">
        <v>950350</v>
      </c>
      <c r="I176" s="6">
        <f t="shared" ca="1" si="12"/>
        <v>0</v>
      </c>
      <c r="J176" s="13" t="str">
        <f t="shared" ca="1" si="15"/>
        <v>정상</v>
      </c>
      <c r="K176" s="11"/>
      <c r="L176" s="11">
        <v>46091</v>
      </c>
      <c r="M176" s="10"/>
      <c r="N176" s="10" t="s">
        <v>33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207</v>
      </c>
      <c r="F177" s="23" t="s">
        <v>285</v>
      </c>
      <c r="G177" s="6" t="s">
        <v>296</v>
      </c>
      <c r="H177" s="25">
        <v>770400</v>
      </c>
      <c r="I177" s="6">
        <f t="shared" ca="1" si="12"/>
        <v>51</v>
      </c>
      <c r="J177" s="13" t="str">
        <f t="shared" ca="1" si="15"/>
        <v>관리</v>
      </c>
      <c r="K177" s="11">
        <v>46142</v>
      </c>
      <c r="L177" s="11">
        <v>46142</v>
      </c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293</v>
      </c>
      <c r="F178" s="23" t="s">
        <v>286</v>
      </c>
      <c r="G178" s="6" t="s">
        <v>296</v>
      </c>
      <c r="H178" s="25">
        <v>473600</v>
      </c>
      <c r="I178" s="6">
        <f t="shared" ca="1" si="12"/>
        <v>0</v>
      </c>
      <c r="J178" s="13" t="str">
        <f t="shared" ca="1" si="15"/>
        <v>정상</v>
      </c>
      <c r="K178" s="11"/>
      <c r="L178" s="11">
        <v>46091</v>
      </c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0">
        <v>46092</v>
      </c>
      <c r="D179" s="10" t="str">
        <f t="shared" si="14"/>
        <v>B</v>
      </c>
      <c r="E179" s="23" t="s">
        <v>294</v>
      </c>
      <c r="F179" s="23" t="s">
        <v>287</v>
      </c>
      <c r="G179" s="6" t="s">
        <v>296</v>
      </c>
      <c r="H179" s="25">
        <v>121500</v>
      </c>
      <c r="I179" s="6">
        <f t="shared" ca="1" si="12"/>
        <v>9</v>
      </c>
      <c r="J179" s="13" t="str">
        <f t="shared" ca="1" si="15"/>
        <v>정상</v>
      </c>
      <c r="K179" s="11"/>
      <c r="L179" s="11">
        <v>46101</v>
      </c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566</v>
      </c>
      <c r="F180" s="23" t="s">
        <v>288</v>
      </c>
      <c r="G180" s="6" t="s">
        <v>296</v>
      </c>
      <c r="H180" s="25">
        <v>16818900</v>
      </c>
      <c r="I180" s="6">
        <f t="shared" ca="1" si="12"/>
        <v>56</v>
      </c>
      <c r="J180" s="13" t="str">
        <f t="shared" ca="1" si="15"/>
        <v>관리</v>
      </c>
      <c r="K180" s="11"/>
      <c r="L180" s="11"/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17</v>
      </c>
      <c r="F181" s="23" t="s">
        <v>289</v>
      </c>
      <c r="G181" s="6" t="s">
        <v>296</v>
      </c>
      <c r="H181" s="25">
        <v>294800</v>
      </c>
      <c r="I181" s="6">
        <f t="shared" ca="1" si="12"/>
        <v>9</v>
      </c>
      <c r="J181" s="13" t="str">
        <f t="shared" ca="1" si="15"/>
        <v>정상</v>
      </c>
      <c r="K181" s="11"/>
      <c r="L181" s="11">
        <v>46101</v>
      </c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116</v>
      </c>
      <c r="F182" s="23" t="s">
        <v>290</v>
      </c>
      <c r="G182" s="6" t="s">
        <v>296</v>
      </c>
      <c r="H182" s="25">
        <v>321000</v>
      </c>
      <c r="I182" s="6">
        <f t="shared" ca="1" si="12"/>
        <v>44</v>
      </c>
      <c r="J182" s="13" t="str">
        <f t="shared" ca="1" si="15"/>
        <v>관리</v>
      </c>
      <c r="K182" s="11"/>
      <c r="L182" s="11">
        <v>46136</v>
      </c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295</v>
      </c>
      <c r="F183" s="23" t="s">
        <v>291</v>
      </c>
      <c r="G183" s="6" t="s">
        <v>296</v>
      </c>
      <c r="H183" s="25">
        <v>1275400</v>
      </c>
      <c r="I183" s="6">
        <f t="shared" ca="1" si="12"/>
        <v>56</v>
      </c>
      <c r="J183" s="13" t="str">
        <f t="shared" ca="1" si="15"/>
        <v>관리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24</v>
      </c>
      <c r="F184" s="23" t="s">
        <v>188</v>
      </c>
      <c r="G184" s="6" t="s">
        <v>296</v>
      </c>
      <c r="H184" s="25">
        <v>11000000</v>
      </c>
      <c r="I184" s="6">
        <f t="shared" ca="1" si="12"/>
        <v>56</v>
      </c>
      <c r="J184" s="13" t="str">
        <f t="shared" ca="1" si="15"/>
        <v>관리</v>
      </c>
      <c r="K184" s="11"/>
      <c r="L184" s="11"/>
      <c r="M184" s="10"/>
      <c r="N184" s="10" t="s">
        <v>20</v>
      </c>
      <c r="O184" s="6" t="s">
        <v>58</v>
      </c>
      <c r="P184" s="6" t="s">
        <v>153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26</v>
      </c>
      <c r="F185" s="23" t="s">
        <v>292</v>
      </c>
      <c r="G185" s="6" t="s">
        <v>296</v>
      </c>
      <c r="H185" s="25">
        <v>5475500</v>
      </c>
      <c r="I185" s="6">
        <f t="shared" ca="1" si="12"/>
        <v>56</v>
      </c>
      <c r="J185" s="13" t="str">
        <f t="shared" ca="1" si="15"/>
        <v>관리</v>
      </c>
      <c r="K185" s="11"/>
      <c r="L185" s="11"/>
      <c r="M185" s="10"/>
      <c r="N185" s="10" t="s">
        <v>33</v>
      </c>
      <c r="P185" s="6" t="s">
        <v>80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0">
        <v>46093</v>
      </c>
      <c r="D186" s="10" t="str">
        <f t="shared" si="14"/>
        <v>B</v>
      </c>
      <c r="E186" s="23" t="s">
        <v>293</v>
      </c>
      <c r="F186" s="23" t="s">
        <v>297</v>
      </c>
      <c r="G186" s="6" t="s">
        <v>304</v>
      </c>
      <c r="H186" s="25">
        <v>312000</v>
      </c>
      <c r="I186" s="6">
        <f t="shared" ca="1" si="12"/>
        <v>0</v>
      </c>
      <c r="J186" s="13" t="str">
        <f t="shared" ca="1" si="15"/>
        <v>정상</v>
      </c>
      <c r="K186" s="11"/>
      <c r="L186" s="11">
        <v>46093</v>
      </c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30</v>
      </c>
      <c r="F187" s="23" t="s">
        <v>298</v>
      </c>
      <c r="G187" s="6" t="s">
        <v>304</v>
      </c>
      <c r="H187" s="25">
        <v>1000500</v>
      </c>
      <c r="I187" s="6">
        <f t="shared" ca="1" si="12"/>
        <v>49</v>
      </c>
      <c r="J187" s="13" t="str">
        <f t="shared" ca="1" si="15"/>
        <v>관리</v>
      </c>
      <c r="K187" s="11"/>
      <c r="L187" s="11">
        <v>46142</v>
      </c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195</v>
      </c>
      <c r="F188" s="23" t="s">
        <v>302</v>
      </c>
      <c r="G188" s="6" t="s">
        <v>304</v>
      </c>
      <c r="H188" s="25">
        <v>5775000</v>
      </c>
      <c r="I188" s="6">
        <f t="shared" ca="1" si="12"/>
        <v>33</v>
      </c>
      <c r="J188" s="13" t="str">
        <f t="shared" ca="1" si="15"/>
        <v>정상</v>
      </c>
      <c r="K188" s="11"/>
      <c r="L188" s="11">
        <v>46126</v>
      </c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199</v>
      </c>
      <c r="F189" s="23" t="s">
        <v>299</v>
      </c>
      <c r="G189" s="6" t="s">
        <v>304</v>
      </c>
      <c r="H189" s="25">
        <v>1190000</v>
      </c>
      <c r="I189" s="6">
        <f t="shared" ca="1" si="12"/>
        <v>55</v>
      </c>
      <c r="J189" s="13" t="str">
        <f t="shared" ca="1" si="15"/>
        <v>관리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100</v>
      </c>
      <c r="F190" s="23" t="s">
        <v>303</v>
      </c>
      <c r="G190" s="6" t="s">
        <v>304</v>
      </c>
      <c r="H190" s="25">
        <v>11147800</v>
      </c>
      <c r="I190" s="6">
        <f t="shared" ref="I190:I253" ca="1" si="16">IF(C190="","",IF(L190="",TODAY()-C190,L190-C190))</f>
        <v>55</v>
      </c>
      <c r="J190" s="13" t="str">
        <f t="shared" ref="J190:J221" ca="1" si="17">IF(I190="","",
 IF(G190="선급금",
   IF(I190&lt;=20,"정상",IF(I190&lt;=90,"관리","장기미수")),
 IF(G190="자재",
   IF(I190&lt;=40,"정상",IF(I190&lt;=90,"관리","장기미수")),
   IF(I190&lt;=30,"정상",IF(I190&lt;=90,"관리","장기미수"))
  )
 )
)</f>
        <v>관리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218</v>
      </c>
      <c r="F191" s="23" t="s">
        <v>300</v>
      </c>
      <c r="G191" s="6" t="s">
        <v>304</v>
      </c>
      <c r="H191" s="25">
        <v>2613000</v>
      </c>
      <c r="I191" s="6">
        <f t="shared" ca="1" si="16"/>
        <v>55</v>
      </c>
      <c r="J191" s="13" t="str">
        <f t="shared" ca="1" si="17"/>
        <v>관리</v>
      </c>
      <c r="K191" s="11">
        <v>46157</v>
      </c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110</v>
      </c>
      <c r="F192" s="23" t="s">
        <v>301</v>
      </c>
      <c r="G192" s="6" t="s">
        <v>304</v>
      </c>
      <c r="H192" s="25">
        <v>7339000</v>
      </c>
      <c r="I192" s="6">
        <f t="shared" ca="1" si="16"/>
        <v>55</v>
      </c>
      <c r="J192" s="13" t="str">
        <f t="shared" ca="1" si="17"/>
        <v>관리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11">
        <v>46094</v>
      </c>
      <c r="D193" s="10" t="str">
        <f t="shared" si="14"/>
        <v>C</v>
      </c>
      <c r="E193" s="6" t="s">
        <v>305</v>
      </c>
      <c r="F193" s="6" t="s">
        <v>306</v>
      </c>
      <c r="G193" s="6" t="s">
        <v>307</v>
      </c>
      <c r="H193" s="4">
        <v>1291250</v>
      </c>
      <c r="I193" s="6">
        <f t="shared" ca="1" si="16"/>
        <v>18</v>
      </c>
      <c r="J193" s="13" t="str">
        <f t="shared" ca="1" si="17"/>
        <v>정상</v>
      </c>
      <c r="K193" s="11"/>
      <c r="L193" s="11">
        <v>46112</v>
      </c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30">
        <v>46094</v>
      </c>
      <c r="D194" s="10" t="str">
        <f t="shared" si="14"/>
        <v>B</v>
      </c>
      <c r="E194" s="23" t="s">
        <v>315</v>
      </c>
      <c r="F194" s="23" t="s">
        <v>308</v>
      </c>
      <c r="G194" s="6" t="s">
        <v>317</v>
      </c>
      <c r="H194" s="25">
        <v>500500</v>
      </c>
      <c r="I194" s="6">
        <f t="shared" ca="1" si="16"/>
        <v>54</v>
      </c>
      <c r="J194" s="13" t="str">
        <f t="shared" ca="1" si="17"/>
        <v>관리</v>
      </c>
      <c r="K194" s="11"/>
      <c r="L194" s="11"/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24</v>
      </c>
      <c r="F195" s="23" t="s">
        <v>309</v>
      </c>
      <c r="G195" s="6" t="s">
        <v>317</v>
      </c>
      <c r="H195" s="25">
        <v>3448000</v>
      </c>
      <c r="I195" s="6">
        <f t="shared" ca="1" si="16"/>
        <v>54</v>
      </c>
      <c r="J195" s="13" t="str">
        <f t="shared" ca="1" si="17"/>
        <v>관리</v>
      </c>
      <c r="K195" s="11"/>
      <c r="L195" s="11"/>
      <c r="M195" s="10"/>
      <c r="N195" s="10" t="s">
        <v>20</v>
      </c>
      <c r="O195" s="6" t="s">
        <v>58</v>
      </c>
      <c r="P195" s="6" t="s">
        <v>153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310</v>
      </c>
      <c r="G196" s="6" t="s">
        <v>317</v>
      </c>
      <c r="H196" s="25">
        <v>28750000</v>
      </c>
      <c r="I196" s="6">
        <f t="shared" ca="1" si="16"/>
        <v>54</v>
      </c>
      <c r="J196" s="13" t="str">
        <f t="shared" ca="1" si="17"/>
        <v>관리</v>
      </c>
      <c r="K196" s="11"/>
      <c r="L196" s="11"/>
      <c r="M196" s="10"/>
      <c r="N196" s="10" t="s">
        <v>20</v>
      </c>
      <c r="O196" s="6" t="s">
        <v>58</v>
      </c>
      <c r="P196" s="6" t="s">
        <v>153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220</v>
      </c>
      <c r="F197" s="23" t="s">
        <v>311</v>
      </c>
      <c r="G197" s="6" t="s">
        <v>317</v>
      </c>
      <c r="H197" s="25">
        <v>3430000</v>
      </c>
      <c r="I197" s="6">
        <f t="shared" ca="1" si="16"/>
        <v>3</v>
      </c>
      <c r="J197" s="13" t="str">
        <f t="shared" ca="1" si="17"/>
        <v>정상</v>
      </c>
      <c r="K197" s="11"/>
      <c r="L197" s="11">
        <v>46097</v>
      </c>
      <c r="M197" s="10"/>
      <c r="N197" s="10" t="s">
        <v>33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218</v>
      </c>
      <c r="F198" s="23" t="s">
        <v>312</v>
      </c>
      <c r="G198" s="6" t="s">
        <v>317</v>
      </c>
      <c r="H198" s="25">
        <v>14700000</v>
      </c>
      <c r="I198" s="6">
        <f t="shared" ca="1" si="16"/>
        <v>54</v>
      </c>
      <c r="J198" s="13" t="str">
        <f t="shared" ca="1" si="17"/>
        <v>관리</v>
      </c>
      <c r="K198" s="11">
        <v>46157</v>
      </c>
      <c r="L198" s="11"/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316</v>
      </c>
      <c r="F199" s="23" t="s">
        <v>313</v>
      </c>
      <c r="G199" s="6" t="s">
        <v>317</v>
      </c>
      <c r="H199" s="25">
        <v>780000</v>
      </c>
      <c r="I199" s="6">
        <f t="shared" ca="1" si="16"/>
        <v>54</v>
      </c>
      <c r="J199" s="13" t="str">
        <f t="shared" ca="1" si="17"/>
        <v>관리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39</v>
      </c>
      <c r="F200" s="23" t="s">
        <v>314</v>
      </c>
      <c r="G200" s="6" t="s">
        <v>317</v>
      </c>
      <c r="H200" s="25">
        <v>220100</v>
      </c>
      <c r="I200" s="6">
        <f t="shared" ca="1" si="16"/>
        <v>18</v>
      </c>
      <c r="J200" s="13" t="str">
        <f t="shared" ca="1" si="17"/>
        <v>정상</v>
      </c>
      <c r="K200" s="11"/>
      <c r="L200" s="11">
        <v>46112</v>
      </c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0">
        <v>46097</v>
      </c>
      <c r="D201" s="10" t="str">
        <f t="shared" si="14"/>
        <v>A</v>
      </c>
      <c r="E201" s="6" t="s">
        <v>318</v>
      </c>
      <c r="F201" s="6" t="s">
        <v>319</v>
      </c>
      <c r="G201" s="6" t="s">
        <v>320</v>
      </c>
      <c r="H201" s="4">
        <v>22342800</v>
      </c>
      <c r="I201" s="6">
        <f t="shared" ca="1" si="16"/>
        <v>21</v>
      </c>
      <c r="J201" s="13" t="str">
        <f t="shared" ca="1" si="17"/>
        <v>정상</v>
      </c>
      <c r="K201" s="11"/>
      <c r="L201" s="11">
        <v>46118</v>
      </c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0">
        <v>46098</v>
      </c>
      <c r="D202" s="10" t="str">
        <f t="shared" si="14"/>
        <v>B</v>
      </c>
      <c r="E202" s="23" t="s">
        <v>126</v>
      </c>
      <c r="F202" s="23" t="s">
        <v>321</v>
      </c>
      <c r="G202" s="6" t="s">
        <v>334</v>
      </c>
      <c r="H202" s="25">
        <v>19467400</v>
      </c>
      <c r="I202" s="6">
        <f t="shared" ca="1" si="16"/>
        <v>43</v>
      </c>
      <c r="J202" s="13" t="str">
        <f t="shared" ca="1" si="17"/>
        <v>관리</v>
      </c>
      <c r="K202" s="11"/>
      <c r="L202" s="11">
        <v>46141</v>
      </c>
      <c r="M202" s="10"/>
      <c r="N202" s="10" t="s">
        <v>33</v>
      </c>
      <c r="Q202" s="11"/>
      <c r="R202" s="11"/>
      <c r="S202" s="10"/>
    </row>
    <row r="203" spans="2:19" s="6" customFormat="1" ht="16.5" customHeight="1">
      <c r="B203" s="10">
        <f>IF(C203="","",COUNTA($C$2:C203))</f>
        <v>202</v>
      </c>
      <c r="C203" s="30">
        <v>46098</v>
      </c>
      <c r="D203" s="10" t="str">
        <f t="shared" ref="D203:D266" si="18">IF(G203="","",IF(OR(G203="선급금",G203="중도금",G203="잔금"),"A",IF(G203="자재","B",IF(G203="특허료","C",""))))</f>
        <v>B</v>
      </c>
      <c r="E203" s="23" t="s">
        <v>126</v>
      </c>
      <c r="F203" s="23" t="s">
        <v>321</v>
      </c>
      <c r="G203" s="6" t="s">
        <v>334</v>
      </c>
      <c r="H203" s="25">
        <v>4765000</v>
      </c>
      <c r="I203" s="6">
        <f t="shared" ca="1" si="16"/>
        <v>43</v>
      </c>
      <c r="J203" s="13" t="str">
        <f t="shared" ca="1" si="17"/>
        <v>관리</v>
      </c>
      <c r="K203" s="11"/>
      <c r="L203" s="11">
        <v>46141</v>
      </c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0">
        <v>46098</v>
      </c>
      <c r="D204" s="10" t="str">
        <f t="shared" si="18"/>
        <v>B</v>
      </c>
      <c r="E204" s="23" t="s">
        <v>222</v>
      </c>
      <c r="F204" s="23" t="s">
        <v>322</v>
      </c>
      <c r="G204" s="6" t="s">
        <v>334</v>
      </c>
      <c r="H204" s="25">
        <v>954500</v>
      </c>
      <c r="I204" s="6">
        <f t="shared" ca="1" si="16"/>
        <v>50</v>
      </c>
      <c r="J204" s="13" t="str">
        <f t="shared" ca="1" si="17"/>
        <v>관리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100</v>
      </c>
      <c r="F205" s="23" t="s">
        <v>323</v>
      </c>
      <c r="G205" s="6" t="s">
        <v>334</v>
      </c>
      <c r="H205" s="25">
        <v>9631000</v>
      </c>
      <c r="I205" s="6">
        <f t="shared" ca="1" si="16"/>
        <v>50</v>
      </c>
      <c r="J205" s="13" t="str">
        <f t="shared" ca="1" si="17"/>
        <v>관리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30</v>
      </c>
      <c r="F206" s="23" t="s">
        <v>324</v>
      </c>
      <c r="G206" s="6" t="s">
        <v>334</v>
      </c>
      <c r="H206" s="25">
        <v>1745000</v>
      </c>
      <c r="I206" s="6">
        <f t="shared" ca="1" si="16"/>
        <v>44</v>
      </c>
      <c r="J206" s="13" t="str">
        <f t="shared" ca="1" si="17"/>
        <v>관리</v>
      </c>
      <c r="K206" s="11"/>
      <c r="L206" s="11">
        <v>46142</v>
      </c>
      <c r="M206" s="10"/>
      <c r="N206" s="10" t="s">
        <v>33</v>
      </c>
      <c r="Q206" s="11"/>
      <c r="R206" s="11"/>
      <c r="S206" s="10"/>
    </row>
    <row r="207" spans="2:19" s="6" customFormat="1" ht="16.5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126</v>
      </c>
      <c r="F207" s="23" t="s">
        <v>325</v>
      </c>
      <c r="G207" s="6" t="s">
        <v>334</v>
      </c>
      <c r="H207" s="25">
        <v>493400</v>
      </c>
      <c r="I207" s="6">
        <f t="shared" ca="1" si="16"/>
        <v>43</v>
      </c>
      <c r="J207" s="13" t="str">
        <f t="shared" ca="1" si="17"/>
        <v>관리</v>
      </c>
      <c r="K207" s="11"/>
      <c r="L207" s="11">
        <v>46141</v>
      </c>
      <c r="M207" s="10"/>
      <c r="N207" s="10" t="s">
        <v>33</v>
      </c>
      <c r="Q207" s="11"/>
      <c r="R207" s="11"/>
      <c r="S207" s="10"/>
    </row>
    <row r="208" spans="2:19" s="6" customFormat="1" ht="16.5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126</v>
      </c>
      <c r="F208" s="23" t="s">
        <v>326</v>
      </c>
      <c r="G208" s="6" t="s">
        <v>334</v>
      </c>
      <c r="H208" s="25">
        <v>3568200</v>
      </c>
      <c r="I208" s="6">
        <f t="shared" ca="1" si="16"/>
        <v>43</v>
      </c>
      <c r="J208" s="13" t="str">
        <f t="shared" ca="1" si="17"/>
        <v>관리</v>
      </c>
      <c r="K208" s="11"/>
      <c r="L208" s="11">
        <v>46141</v>
      </c>
      <c r="M208" s="10"/>
      <c r="N208" s="10" t="s">
        <v>33</v>
      </c>
      <c r="Q208" s="11"/>
      <c r="R208" s="11"/>
      <c r="S208" s="10"/>
    </row>
    <row r="209" spans="2:19" s="6" customFormat="1" ht="16.5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126</v>
      </c>
      <c r="F209" s="23" t="s">
        <v>326</v>
      </c>
      <c r="G209" s="6" t="s">
        <v>334</v>
      </c>
      <c r="H209" s="25">
        <v>4110300</v>
      </c>
      <c r="I209" s="6">
        <f t="shared" ca="1" si="16"/>
        <v>43</v>
      </c>
      <c r="J209" s="13" t="str">
        <f t="shared" ca="1" si="17"/>
        <v>관리</v>
      </c>
      <c r="K209" s="11"/>
      <c r="L209" s="11">
        <v>46141</v>
      </c>
      <c r="M209" s="10"/>
      <c r="N209" s="10" t="s">
        <v>33</v>
      </c>
      <c r="Q209" s="11"/>
      <c r="R209" s="11"/>
      <c r="S209" s="10"/>
    </row>
    <row r="210" spans="2:19" s="6" customFormat="1" ht="16.5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163</v>
      </c>
      <c r="F210" s="23" t="s">
        <v>327</v>
      </c>
      <c r="G210" s="6" t="s">
        <v>334</v>
      </c>
      <c r="H210" s="25">
        <v>1318600</v>
      </c>
      <c r="I210" s="6">
        <f t="shared" ca="1" si="16"/>
        <v>7</v>
      </c>
      <c r="J210" s="13" t="str">
        <f t="shared" ca="1" si="17"/>
        <v>정상</v>
      </c>
      <c r="K210" s="11"/>
      <c r="L210" s="11">
        <v>46105</v>
      </c>
      <c r="M210" s="10"/>
      <c r="N210" s="10" t="s">
        <v>33</v>
      </c>
      <c r="Q210" s="11"/>
      <c r="R210" s="11"/>
      <c r="S210" s="10"/>
    </row>
    <row r="211" spans="2:19" s="6" customFormat="1" ht="16.5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333</v>
      </c>
      <c r="F211" s="23" t="s">
        <v>328</v>
      </c>
      <c r="G211" s="6" t="s">
        <v>334</v>
      </c>
      <c r="H211" s="25">
        <v>3541500</v>
      </c>
      <c r="I211" s="6">
        <f t="shared" ca="1" si="16"/>
        <v>28</v>
      </c>
      <c r="J211" s="13" t="str">
        <f t="shared" ca="1" si="17"/>
        <v>정상</v>
      </c>
      <c r="K211" s="11"/>
      <c r="L211" s="11">
        <v>46126</v>
      </c>
      <c r="M211" s="10"/>
      <c r="N211" s="10" t="s">
        <v>33</v>
      </c>
      <c r="Q211" s="11"/>
      <c r="R211" s="11"/>
      <c r="S211" s="10"/>
    </row>
    <row r="212" spans="2:19" s="6" customFormat="1" ht="16.5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207</v>
      </c>
      <c r="F212" s="23" t="s">
        <v>329</v>
      </c>
      <c r="G212" s="6" t="s">
        <v>334</v>
      </c>
      <c r="H212" s="25">
        <v>3512300</v>
      </c>
      <c r="I212" s="6">
        <f t="shared" ca="1" si="16"/>
        <v>44</v>
      </c>
      <c r="J212" s="13" t="str">
        <f t="shared" ca="1" si="17"/>
        <v>관리</v>
      </c>
      <c r="K212" s="11">
        <v>46142</v>
      </c>
      <c r="L212" s="11">
        <v>46142</v>
      </c>
      <c r="M212" s="10"/>
      <c r="N212" s="10" t="s">
        <v>33</v>
      </c>
      <c r="Q212" s="11"/>
      <c r="R212" s="11"/>
      <c r="S212" s="10"/>
    </row>
    <row r="213" spans="2:19" s="6" customFormat="1" ht="16.5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249</v>
      </c>
      <c r="F213" s="23" t="s">
        <v>330</v>
      </c>
      <c r="G213" s="6" t="s">
        <v>334</v>
      </c>
      <c r="H213" s="25">
        <v>11000000</v>
      </c>
      <c r="I213" s="6">
        <f t="shared" ca="1" si="16"/>
        <v>44</v>
      </c>
      <c r="J213" s="13" t="str">
        <f t="shared" ca="1" si="17"/>
        <v>관리</v>
      </c>
      <c r="K213" s="11">
        <v>46142</v>
      </c>
      <c r="L213" s="11">
        <v>46142</v>
      </c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108</v>
      </c>
      <c r="F214" s="23" t="s">
        <v>331</v>
      </c>
      <c r="G214" s="6" t="s">
        <v>334</v>
      </c>
      <c r="H214" s="25">
        <v>21000000</v>
      </c>
      <c r="I214" s="6">
        <f t="shared" ca="1" si="16"/>
        <v>50</v>
      </c>
      <c r="J214" s="13" t="str">
        <f t="shared" ca="1" si="17"/>
        <v>관리</v>
      </c>
      <c r="K214" s="11">
        <v>46172</v>
      </c>
      <c r="L214" s="11"/>
      <c r="M214" s="10"/>
      <c r="N214" s="10" t="s">
        <v>33</v>
      </c>
      <c r="Q214" s="11"/>
      <c r="R214" s="11"/>
      <c r="S214" s="10"/>
    </row>
    <row r="215" spans="2:19" s="6" customFormat="1" ht="16.5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116</v>
      </c>
      <c r="F215" s="23" t="s">
        <v>332</v>
      </c>
      <c r="G215" s="6" t="s">
        <v>334</v>
      </c>
      <c r="H215" s="25">
        <v>806000</v>
      </c>
      <c r="I215" s="6">
        <f t="shared" ca="1" si="16"/>
        <v>38</v>
      </c>
      <c r="J215" s="13" t="str">
        <f t="shared" ca="1" si="17"/>
        <v>정상</v>
      </c>
      <c r="K215" s="11"/>
      <c r="L215" s="11">
        <v>46136</v>
      </c>
      <c r="M215" s="10"/>
      <c r="N215" s="10" t="s">
        <v>33</v>
      </c>
      <c r="Q215" s="11"/>
      <c r="R215" s="11"/>
      <c r="S215" s="10"/>
    </row>
    <row r="216" spans="2:19" s="6" customFormat="1" ht="16.5" customHeight="1">
      <c r="B216" s="10">
        <f>IF(C216="","",COUNTA($C$2:C216))</f>
        <v>215</v>
      </c>
      <c r="C216" s="39">
        <v>46099</v>
      </c>
      <c r="D216" s="10" t="str">
        <f t="shared" si="18"/>
        <v>A</v>
      </c>
      <c r="E216" s="23" t="s">
        <v>336</v>
      </c>
      <c r="F216" s="41" t="s">
        <v>335</v>
      </c>
      <c r="G216" s="6" t="s">
        <v>337</v>
      </c>
      <c r="H216" s="40">
        <v>4354200</v>
      </c>
      <c r="I216" s="6">
        <f t="shared" ca="1" si="16"/>
        <v>28</v>
      </c>
      <c r="J216" s="13" t="str">
        <f t="shared" ca="1" si="17"/>
        <v>관리</v>
      </c>
      <c r="K216" s="11">
        <v>46127</v>
      </c>
      <c r="L216" s="11">
        <v>46127</v>
      </c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6" t="s">
        <v>116</v>
      </c>
      <c r="F217" s="6" t="s">
        <v>338</v>
      </c>
      <c r="G217" s="6" t="s">
        <v>337</v>
      </c>
      <c r="H217" s="4">
        <v>28530900</v>
      </c>
      <c r="I217" s="6">
        <f t="shared" ca="1" si="16"/>
        <v>16</v>
      </c>
      <c r="J217" s="13" t="str">
        <f t="shared" ca="1" si="17"/>
        <v>정상</v>
      </c>
      <c r="K217" s="11"/>
      <c r="L217" s="11">
        <v>46115</v>
      </c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341</v>
      </c>
      <c r="F218" s="6" t="s">
        <v>339</v>
      </c>
      <c r="G218" s="6" t="s">
        <v>337</v>
      </c>
      <c r="H218" s="4">
        <v>26089600</v>
      </c>
      <c r="I218" s="6">
        <f t="shared" ca="1" si="16"/>
        <v>0</v>
      </c>
      <c r="J218" s="13" t="str">
        <f t="shared" ca="1" si="17"/>
        <v>정상</v>
      </c>
      <c r="K218" s="11"/>
      <c r="L218" s="11">
        <v>46099</v>
      </c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342</v>
      </c>
      <c r="F219" s="6" t="s">
        <v>340</v>
      </c>
      <c r="G219" s="6" t="s">
        <v>337</v>
      </c>
      <c r="H219" s="4">
        <v>27749100</v>
      </c>
      <c r="I219" s="6">
        <f t="shared" ca="1" si="16"/>
        <v>16</v>
      </c>
      <c r="J219" s="13" t="str">
        <f t="shared" ca="1" si="17"/>
        <v>정상</v>
      </c>
      <c r="K219" s="11"/>
      <c r="L219" s="11">
        <v>46115</v>
      </c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11">
        <v>46099</v>
      </c>
      <c r="D220" s="10" t="str">
        <f t="shared" si="18"/>
        <v>B</v>
      </c>
      <c r="E220" s="23" t="s">
        <v>56</v>
      </c>
      <c r="F220" s="23" t="s">
        <v>343</v>
      </c>
      <c r="G220" s="6" t="s">
        <v>368</v>
      </c>
      <c r="H220" s="25">
        <v>1842500</v>
      </c>
      <c r="I220" s="6">
        <f t="shared" ca="1" si="16"/>
        <v>1</v>
      </c>
      <c r="J220" s="13" t="str">
        <f t="shared" ca="1" si="17"/>
        <v>정상</v>
      </c>
      <c r="K220" s="11"/>
      <c r="L220" s="11">
        <v>46100</v>
      </c>
      <c r="M220" s="10"/>
      <c r="N220" s="10" t="s">
        <v>33</v>
      </c>
      <c r="Q220" s="11"/>
      <c r="R220" s="11"/>
      <c r="S220" s="10"/>
    </row>
    <row r="221" spans="2:19" s="6" customFormat="1" ht="16.5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126</v>
      </c>
      <c r="F221" s="23" t="s">
        <v>344</v>
      </c>
      <c r="G221" s="6" t="s">
        <v>368</v>
      </c>
      <c r="H221" s="25">
        <v>6583500</v>
      </c>
      <c r="I221" s="6">
        <f t="shared" ca="1" si="16"/>
        <v>42</v>
      </c>
      <c r="J221" s="13" t="str">
        <f t="shared" ca="1" si="17"/>
        <v>관리</v>
      </c>
      <c r="K221" s="11"/>
      <c r="L221" s="11">
        <v>46141</v>
      </c>
      <c r="M221" s="10"/>
      <c r="N221" s="10" t="s">
        <v>33</v>
      </c>
      <c r="Q221" s="11"/>
      <c r="R221" s="11"/>
      <c r="S221" s="10"/>
    </row>
    <row r="222" spans="2:19" s="6" customFormat="1" ht="16.5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69</v>
      </c>
      <c r="F222" s="23" t="s">
        <v>345</v>
      </c>
      <c r="G222" s="6" t="s">
        <v>368</v>
      </c>
      <c r="H222" s="25">
        <v>2038700</v>
      </c>
      <c r="I222" s="6">
        <f t="shared" ca="1" si="16"/>
        <v>19</v>
      </c>
      <c r="J222" s="13" t="str">
        <f t="shared" ref="J222:J253" ca="1" si="19">IF(I222="","",
 IF(G222="선급금",
   IF(I222&lt;=20,"정상",IF(I222&lt;=90,"관리","장기미수")),
 IF(G222="자재",
   IF(I222&lt;=40,"정상",IF(I222&lt;=90,"관리","장기미수")),
   IF(I222&lt;=30,"정상",IF(I222&lt;=90,"관리","장기미수"))
  )
 )
)</f>
        <v>정상</v>
      </c>
      <c r="K222" s="11"/>
      <c r="L222" s="11">
        <v>46118</v>
      </c>
      <c r="M222" s="10"/>
      <c r="N222" s="10" t="s">
        <v>33</v>
      </c>
      <c r="Q222" s="11"/>
      <c r="R222" s="11"/>
      <c r="S222" s="10"/>
    </row>
    <row r="223" spans="2:19" s="6" customFormat="1" ht="16.5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122</v>
      </c>
      <c r="F223" s="23" t="s">
        <v>346</v>
      </c>
      <c r="G223" s="6" t="s">
        <v>368</v>
      </c>
      <c r="H223" s="25">
        <v>4750000</v>
      </c>
      <c r="I223" s="6">
        <f t="shared" ca="1" si="16"/>
        <v>23</v>
      </c>
      <c r="J223" s="13" t="str">
        <f t="shared" ca="1" si="19"/>
        <v>정상</v>
      </c>
      <c r="K223" s="11"/>
      <c r="L223" s="11">
        <v>46122</v>
      </c>
      <c r="M223" s="10"/>
      <c r="N223" s="10" t="s">
        <v>33</v>
      </c>
      <c r="Q223" s="11"/>
      <c r="R223" s="11"/>
      <c r="S223" s="10"/>
    </row>
    <row r="224" spans="2:19" s="6" customFormat="1" ht="16.5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126</v>
      </c>
      <c r="F224" s="23" t="s">
        <v>347</v>
      </c>
      <c r="G224" s="6" t="s">
        <v>368</v>
      </c>
      <c r="H224" s="25">
        <v>3572000</v>
      </c>
      <c r="I224" s="6">
        <f t="shared" ca="1" si="16"/>
        <v>42</v>
      </c>
      <c r="J224" s="13" t="str">
        <f t="shared" ca="1" si="19"/>
        <v>관리</v>
      </c>
      <c r="K224" s="11"/>
      <c r="L224" s="11">
        <v>46141</v>
      </c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24</v>
      </c>
      <c r="F225" s="23" t="s">
        <v>348</v>
      </c>
      <c r="G225" s="6" t="s">
        <v>368</v>
      </c>
      <c r="H225" s="25">
        <v>435000</v>
      </c>
      <c r="I225" s="6">
        <f t="shared" ca="1" si="16"/>
        <v>49</v>
      </c>
      <c r="J225" s="13" t="str">
        <f t="shared" ca="1" si="19"/>
        <v>관리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365</v>
      </c>
      <c r="F226" s="23" t="s">
        <v>349</v>
      </c>
      <c r="G226" s="6" t="s">
        <v>368</v>
      </c>
      <c r="H226" s="25">
        <v>637000</v>
      </c>
      <c r="I226" s="6">
        <f t="shared" ca="1" si="16"/>
        <v>49</v>
      </c>
      <c r="J226" s="13" t="str">
        <f t="shared" ca="1" si="19"/>
        <v>관리</v>
      </c>
      <c r="K226" s="11"/>
      <c r="L226" s="11"/>
      <c r="M226" s="10"/>
      <c r="N226" s="10" t="s">
        <v>33</v>
      </c>
      <c r="Q226" s="11"/>
      <c r="R226" s="11"/>
      <c r="S226" s="10"/>
    </row>
    <row r="227" spans="2:19" s="6" customFormat="1" ht="16.5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366</v>
      </c>
      <c r="F227" s="23" t="s">
        <v>350</v>
      </c>
      <c r="G227" s="6" t="s">
        <v>368</v>
      </c>
      <c r="H227" s="25">
        <v>34583000</v>
      </c>
      <c r="I227" s="6">
        <f t="shared" ca="1" si="16"/>
        <v>19</v>
      </c>
      <c r="J227" s="13" t="str">
        <f t="shared" ca="1" si="19"/>
        <v>정상</v>
      </c>
      <c r="K227" s="11"/>
      <c r="L227" s="11">
        <v>46118</v>
      </c>
      <c r="M227" s="10"/>
      <c r="N227" s="10" t="s">
        <v>33</v>
      </c>
      <c r="Q227" s="11"/>
      <c r="R227" s="11"/>
      <c r="S227" s="10"/>
    </row>
    <row r="228" spans="2:19" s="6" customFormat="1" ht="16.5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208</v>
      </c>
      <c r="F228" s="23" t="s">
        <v>351</v>
      </c>
      <c r="G228" s="6" t="s">
        <v>368</v>
      </c>
      <c r="H228" s="25">
        <v>6600000</v>
      </c>
      <c r="I228" s="6">
        <f t="shared" ca="1" si="16"/>
        <v>28</v>
      </c>
      <c r="J228" s="13" t="str">
        <f t="shared" ca="1" si="19"/>
        <v>정상</v>
      </c>
      <c r="K228" s="11"/>
      <c r="L228" s="11">
        <v>46127</v>
      </c>
      <c r="M228" s="10"/>
      <c r="N228" s="10" t="s">
        <v>33</v>
      </c>
      <c r="Q228" s="11"/>
      <c r="R228" s="11"/>
      <c r="S228" s="10"/>
    </row>
    <row r="229" spans="2:19" s="6" customFormat="1" ht="16.5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221</v>
      </c>
      <c r="F229" s="23" t="s">
        <v>352</v>
      </c>
      <c r="G229" s="6" t="s">
        <v>368</v>
      </c>
      <c r="H229" s="25">
        <v>15802000</v>
      </c>
      <c r="I229" s="6">
        <f t="shared" ca="1" si="16"/>
        <v>43</v>
      </c>
      <c r="J229" s="13" t="str">
        <f t="shared" ca="1" si="19"/>
        <v>관리</v>
      </c>
      <c r="K229" s="11"/>
      <c r="L229" s="11">
        <v>46142</v>
      </c>
      <c r="M229" s="10"/>
      <c r="N229" s="10" t="s">
        <v>33</v>
      </c>
      <c r="Q229" s="11"/>
      <c r="R229" s="11"/>
      <c r="S229" s="10"/>
    </row>
    <row r="230" spans="2:19" s="6" customFormat="1" ht="16.5" customHeight="1">
      <c r="B230" s="10">
        <f>IF(C230="","",COUNTA($C$2:C230))</f>
        <v>229</v>
      </c>
      <c r="C230" s="11">
        <v>46100</v>
      </c>
      <c r="D230" s="10" t="str">
        <f t="shared" si="18"/>
        <v>B</v>
      </c>
      <c r="E230" s="23" t="s">
        <v>218</v>
      </c>
      <c r="F230" s="23" t="s">
        <v>353</v>
      </c>
      <c r="G230" s="6" t="s">
        <v>368</v>
      </c>
      <c r="H230" s="25">
        <v>9450000</v>
      </c>
      <c r="I230" s="6">
        <f t="shared" ca="1" si="16"/>
        <v>48</v>
      </c>
      <c r="J230" s="13" t="str">
        <f t="shared" ca="1" si="19"/>
        <v>관리</v>
      </c>
      <c r="K230" s="11">
        <v>46157</v>
      </c>
      <c r="L230" s="11"/>
      <c r="M230" s="10"/>
      <c r="N230" s="10" t="s">
        <v>33</v>
      </c>
      <c r="Q230" s="11"/>
      <c r="R230" s="11"/>
      <c r="S230" s="10"/>
    </row>
    <row r="231" spans="2:19" s="6" customFormat="1" ht="16.5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126</v>
      </c>
      <c r="F231" s="23" t="s">
        <v>347</v>
      </c>
      <c r="G231" s="6" t="s">
        <v>368</v>
      </c>
      <c r="H231" s="25">
        <v>521000</v>
      </c>
      <c r="I231" s="6">
        <f t="shared" ca="1" si="16"/>
        <v>41</v>
      </c>
      <c r="J231" s="13" t="str">
        <f t="shared" ca="1" si="19"/>
        <v>관리</v>
      </c>
      <c r="K231" s="11"/>
      <c r="L231" s="11">
        <v>46141</v>
      </c>
      <c r="M231" s="10"/>
      <c r="N231" s="10" t="s">
        <v>33</v>
      </c>
      <c r="Q231" s="11"/>
      <c r="R231" s="11"/>
      <c r="S231" s="10"/>
    </row>
    <row r="232" spans="2:19" s="6" customFormat="1" ht="16.5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39</v>
      </c>
      <c r="F232" s="23" t="s">
        <v>354</v>
      </c>
      <c r="G232" s="6" t="s">
        <v>368</v>
      </c>
      <c r="H232" s="25">
        <v>333000</v>
      </c>
      <c r="I232" s="6">
        <f t="shared" ca="1" si="16"/>
        <v>12</v>
      </c>
      <c r="J232" s="13" t="str">
        <f t="shared" ca="1" si="19"/>
        <v>정상</v>
      </c>
      <c r="K232" s="11"/>
      <c r="L232" s="11">
        <v>46112</v>
      </c>
      <c r="M232" s="10"/>
      <c r="N232" s="10" t="s">
        <v>33</v>
      </c>
      <c r="Q232" s="11"/>
      <c r="R232" s="11"/>
      <c r="S232" s="10"/>
    </row>
    <row r="233" spans="2:19" s="6" customFormat="1" ht="16.5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81</v>
      </c>
      <c r="F233" s="23" t="s">
        <v>355</v>
      </c>
      <c r="G233" s="6" t="s">
        <v>368</v>
      </c>
      <c r="H233" s="25">
        <v>2835000</v>
      </c>
      <c r="I233" s="6">
        <f t="shared" ca="1" si="16"/>
        <v>48</v>
      </c>
      <c r="J233" s="13" t="str">
        <f t="shared" ca="1" si="19"/>
        <v>관리</v>
      </c>
      <c r="K233" s="11"/>
      <c r="L233" s="11"/>
      <c r="M233" s="10"/>
      <c r="N233" s="10" t="s">
        <v>33</v>
      </c>
      <c r="Q233" s="11"/>
      <c r="R233" s="11"/>
      <c r="S233" s="10"/>
    </row>
    <row r="234" spans="2:19" s="6" customFormat="1" ht="16.5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128</v>
      </c>
      <c r="F234" s="23" t="s">
        <v>356</v>
      </c>
      <c r="G234" s="6" t="s">
        <v>368</v>
      </c>
      <c r="H234" s="25">
        <v>351900</v>
      </c>
      <c r="I234" s="6">
        <f t="shared" ca="1" si="16"/>
        <v>0</v>
      </c>
      <c r="J234" s="13" t="str">
        <f t="shared" ca="1" si="19"/>
        <v>정상</v>
      </c>
      <c r="K234" s="11"/>
      <c r="L234" s="11">
        <v>46100</v>
      </c>
      <c r="M234" s="10"/>
      <c r="N234" s="10" t="s">
        <v>33</v>
      </c>
      <c r="Q234" s="11"/>
      <c r="R234" s="11"/>
      <c r="S234" s="10"/>
    </row>
    <row r="235" spans="2:19" s="6" customFormat="1" ht="16.5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17</v>
      </c>
      <c r="F235" s="23" t="s">
        <v>357</v>
      </c>
      <c r="G235" s="6" t="s">
        <v>368</v>
      </c>
      <c r="H235" s="25">
        <v>839000</v>
      </c>
      <c r="I235" s="6">
        <f t="shared" ca="1" si="16"/>
        <v>48</v>
      </c>
      <c r="J235" s="13" t="str">
        <f t="shared" ca="1" si="19"/>
        <v>관리</v>
      </c>
      <c r="K235" s="11"/>
      <c r="L235" s="11"/>
      <c r="M235" s="10"/>
      <c r="N235" s="10" t="s">
        <v>33</v>
      </c>
      <c r="Q235" s="11"/>
      <c r="R235" s="11"/>
      <c r="S235" s="10"/>
    </row>
    <row r="236" spans="2:19" s="6" customFormat="1" ht="16.5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367</v>
      </c>
      <c r="F236" s="23" t="s">
        <v>358</v>
      </c>
      <c r="G236" s="6" t="s">
        <v>368</v>
      </c>
      <c r="H236" s="25">
        <v>1507200</v>
      </c>
      <c r="I236" s="6">
        <f t="shared" ca="1" si="16"/>
        <v>29</v>
      </c>
      <c r="J236" s="13" t="str">
        <f t="shared" ca="1" si="19"/>
        <v>정상</v>
      </c>
      <c r="K236" s="11"/>
      <c r="L236" s="11">
        <v>46129</v>
      </c>
      <c r="M236" s="10"/>
      <c r="N236" s="10" t="s">
        <v>33</v>
      </c>
      <c r="Q236" s="11"/>
      <c r="R236" s="11"/>
      <c r="S236" s="10"/>
    </row>
    <row r="237" spans="2:19" s="6" customFormat="1" ht="16.5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219</v>
      </c>
      <c r="F237" s="23" t="s">
        <v>359</v>
      </c>
      <c r="G237" s="6" t="s">
        <v>368</v>
      </c>
      <c r="H237" s="25">
        <v>585000</v>
      </c>
      <c r="I237" s="6">
        <f t="shared" ca="1" si="16"/>
        <v>26</v>
      </c>
      <c r="J237" s="13" t="str">
        <f t="shared" ca="1" si="19"/>
        <v>정상</v>
      </c>
      <c r="K237" s="11"/>
      <c r="L237" s="11">
        <v>46126</v>
      </c>
      <c r="M237" s="10"/>
      <c r="N237" s="10" t="s">
        <v>33</v>
      </c>
      <c r="Q237" s="11"/>
      <c r="R237" s="11"/>
      <c r="S237" s="10"/>
    </row>
    <row r="238" spans="2:19" s="6" customFormat="1" ht="16.5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221</v>
      </c>
      <c r="F238" s="23" t="s">
        <v>352</v>
      </c>
      <c r="G238" s="6" t="s">
        <v>368</v>
      </c>
      <c r="H238" s="25">
        <v>615000</v>
      </c>
      <c r="I238" s="6">
        <f t="shared" ca="1" si="16"/>
        <v>42</v>
      </c>
      <c r="J238" s="13" t="str">
        <f t="shared" ca="1" si="19"/>
        <v>관리</v>
      </c>
      <c r="K238" s="11"/>
      <c r="L238" s="11">
        <v>46142</v>
      </c>
      <c r="M238" s="10"/>
      <c r="N238" s="10" t="s">
        <v>33</v>
      </c>
      <c r="Q238" s="11"/>
      <c r="R238" s="11"/>
      <c r="S238" s="10"/>
    </row>
    <row r="239" spans="2:19" s="6" customFormat="1" ht="16.5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219</v>
      </c>
      <c r="F239" s="23" t="s">
        <v>360</v>
      </c>
      <c r="G239" s="6" t="s">
        <v>368</v>
      </c>
      <c r="H239" s="25">
        <v>44793500</v>
      </c>
      <c r="I239" s="6">
        <f t="shared" ca="1" si="16"/>
        <v>26</v>
      </c>
      <c r="J239" s="13" t="str">
        <f t="shared" ca="1" si="19"/>
        <v>정상</v>
      </c>
      <c r="K239" s="11"/>
      <c r="L239" s="11">
        <v>46126</v>
      </c>
      <c r="M239" s="10"/>
      <c r="N239" s="10" t="s">
        <v>33</v>
      </c>
      <c r="Q239" s="11"/>
      <c r="R239" s="11"/>
      <c r="S239" s="10"/>
    </row>
    <row r="240" spans="2:19" s="6" customFormat="1" ht="16.5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39</v>
      </c>
      <c r="F240" s="23" t="s">
        <v>361</v>
      </c>
      <c r="G240" s="6" t="s">
        <v>368</v>
      </c>
      <c r="H240" s="25">
        <v>602300</v>
      </c>
      <c r="I240" s="6">
        <f t="shared" ca="1" si="16"/>
        <v>12</v>
      </c>
      <c r="J240" s="13" t="str">
        <f t="shared" ca="1" si="19"/>
        <v>정상</v>
      </c>
      <c r="K240" s="11"/>
      <c r="L240" s="11">
        <v>46112</v>
      </c>
      <c r="M240" s="10"/>
      <c r="N240" s="10" t="s">
        <v>33</v>
      </c>
      <c r="Q240" s="11"/>
      <c r="R240" s="11"/>
      <c r="S240" s="10"/>
    </row>
    <row r="241" spans="2:19" s="6" customFormat="1" ht="16.5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218</v>
      </c>
      <c r="F241" s="23" t="s">
        <v>362</v>
      </c>
      <c r="G241" s="6" t="s">
        <v>368</v>
      </c>
      <c r="H241" s="25">
        <v>1180000</v>
      </c>
      <c r="I241" s="6">
        <f t="shared" ca="1" si="16"/>
        <v>48</v>
      </c>
      <c r="J241" s="13" t="str">
        <f t="shared" ca="1" si="19"/>
        <v>관리</v>
      </c>
      <c r="K241" s="11">
        <v>46157</v>
      </c>
      <c r="L241" s="11"/>
      <c r="M241" s="10"/>
      <c r="N241" s="10" t="s">
        <v>33</v>
      </c>
      <c r="Q241" s="11"/>
      <c r="R241" s="11"/>
      <c r="S241" s="10"/>
    </row>
    <row r="242" spans="2:19" s="6" customFormat="1" ht="16.5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333</v>
      </c>
      <c r="F242" s="23" t="s">
        <v>363</v>
      </c>
      <c r="G242" s="6" t="s">
        <v>368</v>
      </c>
      <c r="H242" s="25">
        <v>3300000</v>
      </c>
      <c r="I242" s="6">
        <f t="shared" ca="1" si="16"/>
        <v>26</v>
      </c>
      <c r="J242" s="13" t="str">
        <f t="shared" ca="1" si="19"/>
        <v>정상</v>
      </c>
      <c r="K242" s="11"/>
      <c r="L242" s="11">
        <v>46126</v>
      </c>
      <c r="M242" s="10"/>
      <c r="N242" s="10" t="s">
        <v>33</v>
      </c>
      <c r="Q242" s="11"/>
      <c r="R242" s="11"/>
      <c r="S242" s="10"/>
    </row>
    <row r="243" spans="2:19" s="6" customFormat="1" ht="16.5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218</v>
      </c>
      <c r="F243" s="23" t="s">
        <v>364</v>
      </c>
      <c r="G243" s="6" t="s">
        <v>368</v>
      </c>
      <c r="H243" s="25">
        <v>1548500</v>
      </c>
      <c r="I243" s="6">
        <f t="shared" ca="1" si="16"/>
        <v>48</v>
      </c>
      <c r="J243" s="13" t="str">
        <f t="shared" ca="1" si="19"/>
        <v>관리</v>
      </c>
      <c r="K243" s="11">
        <v>46157</v>
      </c>
      <c r="L243" s="11"/>
      <c r="M243" s="10"/>
      <c r="N243" s="10" t="s">
        <v>33</v>
      </c>
      <c r="Q243" s="11"/>
      <c r="R243" s="11"/>
      <c r="S243" s="10"/>
    </row>
    <row r="244" spans="2:19" s="6" customFormat="1" ht="16.5" customHeight="1">
      <c r="B244" s="10">
        <f>IF(C244="","",COUNTA($C$2:C244))</f>
        <v>243</v>
      </c>
      <c r="C244" s="11">
        <v>46101</v>
      </c>
      <c r="D244" s="10" t="s">
        <v>243</v>
      </c>
      <c r="E244" s="6" t="s">
        <v>370</v>
      </c>
      <c r="F244" s="6" t="s">
        <v>369</v>
      </c>
      <c r="G244" s="6" t="s">
        <v>377</v>
      </c>
      <c r="H244" s="4">
        <v>10716800</v>
      </c>
      <c r="I244" s="6">
        <f t="shared" ca="1" si="16"/>
        <v>12</v>
      </c>
      <c r="J244" s="13" t="str">
        <f t="shared" ca="1" si="19"/>
        <v>정상</v>
      </c>
      <c r="K244" s="11"/>
      <c r="L244" s="11">
        <v>46113</v>
      </c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39">
        <v>46101</v>
      </c>
      <c r="D245" s="10" t="s">
        <v>243</v>
      </c>
      <c r="E245" s="6" t="s">
        <v>374</v>
      </c>
      <c r="F245" s="6" t="s">
        <v>371</v>
      </c>
      <c r="G245" s="6" t="s">
        <v>233</v>
      </c>
      <c r="H245" s="4">
        <v>9029600</v>
      </c>
      <c r="I245" s="6">
        <f t="shared" ca="1" si="16"/>
        <v>13</v>
      </c>
      <c r="J245" s="13" t="str">
        <f t="shared" ca="1" si="19"/>
        <v>정상</v>
      </c>
      <c r="K245" s="11"/>
      <c r="L245" s="11">
        <v>46114</v>
      </c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39">
        <v>46101</v>
      </c>
      <c r="D246" s="10" t="s">
        <v>243</v>
      </c>
      <c r="E246" s="6" t="s">
        <v>375</v>
      </c>
      <c r="F246" s="6" t="s">
        <v>372</v>
      </c>
      <c r="G246" s="6" t="s">
        <v>233</v>
      </c>
      <c r="H246" s="4">
        <v>6484400</v>
      </c>
      <c r="I246" s="6">
        <f t="shared" ca="1" si="16"/>
        <v>26</v>
      </c>
      <c r="J246" s="13" t="str">
        <f t="shared" ca="1" si="19"/>
        <v>관리</v>
      </c>
      <c r="K246" s="11">
        <v>46127</v>
      </c>
      <c r="L246" s="11">
        <v>46127</v>
      </c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39">
        <v>46101</v>
      </c>
      <c r="D247" s="10" t="s">
        <v>243</v>
      </c>
      <c r="E247" s="6" t="s">
        <v>376</v>
      </c>
      <c r="F247" s="6" t="s">
        <v>373</v>
      </c>
      <c r="G247" s="6" t="s">
        <v>233</v>
      </c>
      <c r="H247" s="4">
        <v>52857300</v>
      </c>
      <c r="I247" s="6">
        <f t="shared" ca="1" si="16"/>
        <v>11</v>
      </c>
      <c r="J247" s="13" t="str">
        <f t="shared" ca="1" si="19"/>
        <v>정상</v>
      </c>
      <c r="K247" s="11"/>
      <c r="L247" s="11">
        <v>46112</v>
      </c>
      <c r="M247" s="10"/>
      <c r="N247" s="10" t="s">
        <v>33</v>
      </c>
      <c r="Q247" s="11"/>
      <c r="R247" s="11"/>
      <c r="S247" s="10"/>
    </row>
    <row r="248" spans="2:19" s="6" customFormat="1" ht="16.5" customHeight="1">
      <c r="B248" s="10">
        <f>IF(C248="","",COUNTA($C$2:C248))</f>
        <v>247</v>
      </c>
      <c r="C248" s="30">
        <v>46101</v>
      </c>
      <c r="D248" s="10" t="s">
        <v>178</v>
      </c>
      <c r="E248" s="23" t="s">
        <v>383</v>
      </c>
      <c r="F248" s="23" t="s">
        <v>378</v>
      </c>
      <c r="G248" s="6" t="s">
        <v>385</v>
      </c>
      <c r="H248" s="25">
        <v>114000</v>
      </c>
      <c r="I248" s="6">
        <f t="shared" ca="1" si="16"/>
        <v>21</v>
      </c>
      <c r="J248" s="13" t="str">
        <f t="shared" ca="1" si="19"/>
        <v>정상</v>
      </c>
      <c r="K248" s="11"/>
      <c r="L248" s="11">
        <v>46122</v>
      </c>
      <c r="M248" s="10"/>
      <c r="N248" s="10" t="s">
        <v>33</v>
      </c>
      <c r="Q248" s="11"/>
      <c r="R248" s="11"/>
      <c r="S248" s="10"/>
    </row>
    <row r="249" spans="2:19" s="6" customFormat="1" ht="16.5" customHeight="1">
      <c r="B249" s="10">
        <f>IF(C249="","",COUNTA($C$2:C249))</f>
        <v>248</v>
      </c>
      <c r="C249" s="30">
        <v>46101</v>
      </c>
      <c r="D249" s="10" t="s">
        <v>178</v>
      </c>
      <c r="E249" s="23" t="s">
        <v>24</v>
      </c>
      <c r="F249" s="23" t="s">
        <v>379</v>
      </c>
      <c r="G249" s="6" t="s">
        <v>385</v>
      </c>
      <c r="H249" s="25">
        <v>9563000</v>
      </c>
      <c r="I249" s="6">
        <f t="shared" ca="1" si="16"/>
        <v>47</v>
      </c>
      <c r="J249" s="13" t="str">
        <f t="shared" ca="1" si="19"/>
        <v>관리</v>
      </c>
      <c r="K249" s="11"/>
      <c r="L249" s="11"/>
      <c r="M249" s="10"/>
      <c r="N249" s="10" t="s">
        <v>33</v>
      </c>
      <c r="Q249" s="11"/>
      <c r="R249" s="11"/>
      <c r="S249" s="10"/>
    </row>
    <row r="250" spans="2:19" s="6" customFormat="1" ht="16.5" customHeight="1">
      <c r="B250" s="10">
        <f>IF(C250="","",COUNTA($C$2:C250))</f>
        <v>249</v>
      </c>
      <c r="C250" s="30">
        <v>46101</v>
      </c>
      <c r="D250" s="10" t="s">
        <v>178</v>
      </c>
      <c r="E250" s="23" t="s">
        <v>100</v>
      </c>
      <c r="F250" s="23" t="s">
        <v>380</v>
      </c>
      <c r="G250" s="6" t="s">
        <v>385</v>
      </c>
      <c r="H250" s="25">
        <v>2270000</v>
      </c>
      <c r="I250" s="6">
        <f t="shared" ca="1" si="16"/>
        <v>47</v>
      </c>
      <c r="J250" s="13" t="str">
        <f t="shared" ca="1" si="19"/>
        <v>관리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customHeight="1">
      <c r="B251" s="10">
        <f>IF(C251="","",COUNTA($C$2:C251))</f>
        <v>250</v>
      </c>
      <c r="C251" s="30">
        <v>46101</v>
      </c>
      <c r="D251" s="10" t="s">
        <v>178</v>
      </c>
      <c r="E251" s="23" t="s">
        <v>384</v>
      </c>
      <c r="F251" s="23" t="s">
        <v>381</v>
      </c>
      <c r="G251" s="6" t="s">
        <v>385</v>
      </c>
      <c r="H251" s="25">
        <v>121500</v>
      </c>
      <c r="I251" s="6">
        <f t="shared" ca="1" si="16"/>
        <v>0</v>
      </c>
      <c r="J251" s="13" t="str">
        <f t="shared" ca="1" si="19"/>
        <v>정상</v>
      </c>
      <c r="K251" s="11"/>
      <c r="L251" s="11">
        <v>46101</v>
      </c>
      <c r="M251" s="10"/>
      <c r="N251" s="10" t="s">
        <v>33</v>
      </c>
      <c r="Q251" s="11"/>
      <c r="R251" s="11"/>
      <c r="S251" s="10"/>
    </row>
    <row r="252" spans="2:19" s="6" customFormat="1" ht="16.5" customHeight="1">
      <c r="B252" s="10">
        <f>IF(C252="","",COUNTA($C$2:C252))</f>
        <v>251</v>
      </c>
      <c r="C252" s="30">
        <v>46101</v>
      </c>
      <c r="D252" s="10" t="s">
        <v>178</v>
      </c>
      <c r="E252" s="23" t="s">
        <v>122</v>
      </c>
      <c r="F252" s="23" t="s">
        <v>382</v>
      </c>
      <c r="G252" s="6" t="s">
        <v>385</v>
      </c>
      <c r="H252" s="25">
        <v>658000</v>
      </c>
      <c r="I252" s="6">
        <f t="shared" ca="1" si="16"/>
        <v>21</v>
      </c>
      <c r="J252" s="13" t="str">
        <f t="shared" ca="1" si="19"/>
        <v>정상</v>
      </c>
      <c r="K252" s="11"/>
      <c r="L252" s="11">
        <v>46122</v>
      </c>
      <c r="M252" s="10"/>
      <c r="N252" s="10" t="s">
        <v>33</v>
      </c>
      <c r="Q252" s="11"/>
      <c r="R252" s="11"/>
      <c r="S252" s="10"/>
    </row>
    <row r="253" spans="2:19" s="6" customFormat="1" ht="16.5" customHeight="1">
      <c r="B253" s="10">
        <f>IF(C253="","",COUNTA($C$2:C253))</f>
        <v>252</v>
      </c>
      <c r="C253" s="39">
        <v>46104</v>
      </c>
      <c r="D253" s="10" t="s">
        <v>243</v>
      </c>
      <c r="E253" s="6" t="s">
        <v>387</v>
      </c>
      <c r="F253" s="6" t="s">
        <v>386</v>
      </c>
      <c r="G253" s="6" t="s">
        <v>230</v>
      </c>
      <c r="H253" s="4">
        <v>23835400</v>
      </c>
      <c r="I253" s="6">
        <f t="shared" ca="1" si="16"/>
        <v>23</v>
      </c>
      <c r="J253" s="13" t="str">
        <f t="shared" ca="1" si="19"/>
        <v>정상</v>
      </c>
      <c r="K253" s="11"/>
      <c r="L253" s="11">
        <v>46127</v>
      </c>
      <c r="M253" s="10"/>
      <c r="N253" s="10" t="s">
        <v>33</v>
      </c>
      <c r="Q253" s="11"/>
      <c r="R253" s="11"/>
      <c r="S253" s="10"/>
    </row>
    <row r="254" spans="2:19" s="6" customFormat="1" ht="16.5" customHeight="1">
      <c r="B254" s="10">
        <f>IF(C254="","",COUNTA($C$2:C254))</f>
        <v>253</v>
      </c>
      <c r="C254" s="39">
        <v>46104</v>
      </c>
      <c r="D254" s="10" t="s">
        <v>243</v>
      </c>
      <c r="E254" s="6" t="s">
        <v>389</v>
      </c>
      <c r="F254" s="6" t="s">
        <v>388</v>
      </c>
      <c r="G254" s="6" t="s">
        <v>230</v>
      </c>
      <c r="H254" s="4">
        <v>8708400</v>
      </c>
      <c r="I254" s="6">
        <f t="shared" ref="I254:I317" ca="1" si="20">IF(C254="","",IF(L254="",TODAY()-C254,L254-C254))</f>
        <v>23</v>
      </c>
      <c r="J254" s="13" t="str">
        <f t="shared" ref="J254:J285" ca="1" si="21">IF(I254="","",
 IF(G254="선급금",
   IF(I254&lt;=20,"정상",IF(I254&lt;=90,"관리","장기미수")),
 IF(G254="자재",
   IF(I254&lt;=40,"정상",IF(I254&lt;=90,"관리","장기미수")),
   IF(I254&lt;=30,"정상",IF(I254&lt;=90,"관리","장기미수"))
  )
 )
)</f>
        <v>정상</v>
      </c>
      <c r="K254" s="11">
        <v>46127</v>
      </c>
      <c r="L254" s="11">
        <v>46127</v>
      </c>
      <c r="M254" s="10"/>
      <c r="N254" s="10" t="s">
        <v>33</v>
      </c>
      <c r="Q254" s="11"/>
      <c r="R254" s="11"/>
      <c r="S254" s="10"/>
    </row>
    <row r="255" spans="2:19" s="6" customFormat="1" ht="16.5" customHeight="1">
      <c r="B255" s="10">
        <f>IF(C255="","",COUNTA($C$2:C255))</f>
        <v>254</v>
      </c>
      <c r="C255" s="39">
        <v>46105</v>
      </c>
      <c r="D255" s="10" t="str">
        <f t="shared" si="18"/>
        <v>A</v>
      </c>
      <c r="E255" s="6" t="s">
        <v>393</v>
      </c>
      <c r="F255" s="6" t="s">
        <v>390</v>
      </c>
      <c r="G255" s="6" t="s">
        <v>227</v>
      </c>
      <c r="H255" s="4">
        <v>8559000</v>
      </c>
      <c r="I255" s="6">
        <f t="shared" ca="1" si="20"/>
        <v>2</v>
      </c>
      <c r="J255" s="13" t="str">
        <f t="shared" ca="1" si="21"/>
        <v>정상</v>
      </c>
      <c r="K255" s="11"/>
      <c r="L255" s="11">
        <v>46107</v>
      </c>
      <c r="M255" s="10"/>
      <c r="N255" s="10" t="s">
        <v>33</v>
      </c>
      <c r="Q255" s="11"/>
      <c r="R255" s="11"/>
      <c r="S255" s="10"/>
    </row>
    <row r="256" spans="2:19" s="6" customFormat="1" ht="16.5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394</v>
      </c>
      <c r="F256" s="6" t="s">
        <v>391</v>
      </c>
      <c r="G256" s="6" t="s">
        <v>392</v>
      </c>
      <c r="H256" s="4">
        <v>3281000</v>
      </c>
      <c r="I256" s="6">
        <f t="shared" ca="1" si="20"/>
        <v>22</v>
      </c>
      <c r="J256" s="13" t="str">
        <f t="shared" ca="1" si="21"/>
        <v>관리</v>
      </c>
      <c r="K256" s="11">
        <v>46127</v>
      </c>
      <c r="L256" s="11">
        <v>46127</v>
      </c>
      <c r="M256" s="10"/>
      <c r="N256" s="10" t="s">
        <v>33</v>
      </c>
      <c r="Q256" s="11"/>
      <c r="R256" s="11"/>
      <c r="S256" s="10"/>
    </row>
    <row r="257" spans="2:19" s="6" customFormat="1" ht="16.5" customHeight="1">
      <c r="B257" s="10">
        <f>IF(C257="","",COUNTA($C$2:C257))</f>
        <v>256</v>
      </c>
      <c r="C257" s="11">
        <v>46104</v>
      </c>
      <c r="D257" s="10" t="str">
        <f t="shared" si="18"/>
        <v>B</v>
      </c>
      <c r="E257" s="6" t="s">
        <v>218</v>
      </c>
      <c r="F257" s="23" t="s">
        <v>397</v>
      </c>
      <c r="G257" s="6" t="s">
        <v>416</v>
      </c>
      <c r="H257" s="4">
        <v>4290000</v>
      </c>
      <c r="I257" s="6">
        <f t="shared" ca="1" si="20"/>
        <v>44</v>
      </c>
      <c r="J257" s="13" t="str">
        <f t="shared" ca="1" si="21"/>
        <v>관리</v>
      </c>
      <c r="K257" s="11">
        <v>46157</v>
      </c>
      <c r="L257" s="11"/>
      <c r="M257" s="10"/>
      <c r="N257" s="10" t="s">
        <v>33</v>
      </c>
      <c r="Q257" s="11"/>
      <c r="R257" s="11"/>
      <c r="S257" s="10"/>
    </row>
    <row r="258" spans="2:19" s="6" customFormat="1" ht="16.5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530</v>
      </c>
      <c r="F258" s="23" t="s">
        <v>398</v>
      </c>
      <c r="G258" s="6" t="s">
        <v>416</v>
      </c>
      <c r="H258" s="4">
        <v>8800000</v>
      </c>
      <c r="I258" s="6">
        <f t="shared" ca="1" si="20"/>
        <v>2</v>
      </c>
      <c r="J258" s="13" t="str">
        <f t="shared" ca="1" si="21"/>
        <v>정상</v>
      </c>
      <c r="K258" s="11"/>
      <c r="L258" s="11">
        <v>46106</v>
      </c>
      <c r="M258" s="10"/>
      <c r="N258" s="10" t="s">
        <v>33</v>
      </c>
      <c r="Q258" s="11"/>
      <c r="R258" s="11"/>
      <c r="S258" s="10"/>
    </row>
    <row r="259" spans="2:19" s="6" customFormat="1" ht="16.5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26</v>
      </c>
      <c r="F259" s="23" t="s">
        <v>399</v>
      </c>
      <c r="G259" s="6" t="s">
        <v>416</v>
      </c>
      <c r="H259" s="4">
        <v>465000</v>
      </c>
      <c r="I259" s="6">
        <f t="shared" ca="1" si="20"/>
        <v>44</v>
      </c>
      <c r="J259" s="13" t="str">
        <f t="shared" ca="1" si="21"/>
        <v>관리</v>
      </c>
      <c r="K259" s="11"/>
      <c r="L259" s="11"/>
      <c r="M259" s="10"/>
      <c r="N259" s="10" t="s">
        <v>33</v>
      </c>
      <c r="P259" s="6" t="s">
        <v>80</v>
      </c>
      <c r="Q259" s="11"/>
      <c r="R259" s="11"/>
      <c r="S259" s="10"/>
    </row>
    <row r="260" spans="2:19" s="6" customFormat="1" ht="16.5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126</v>
      </c>
      <c r="F260" s="23" t="s">
        <v>400</v>
      </c>
      <c r="G260" s="6" t="s">
        <v>416</v>
      </c>
      <c r="H260" s="4">
        <v>5765500</v>
      </c>
      <c r="I260" s="6">
        <f t="shared" ca="1" si="20"/>
        <v>37</v>
      </c>
      <c r="J260" s="13" t="str">
        <f t="shared" ca="1" si="21"/>
        <v>정상</v>
      </c>
      <c r="K260" s="11"/>
      <c r="L260" s="11">
        <v>46141</v>
      </c>
      <c r="M260" s="10"/>
      <c r="N260" s="10" t="s">
        <v>33</v>
      </c>
      <c r="Q260" s="11"/>
      <c r="R260" s="11"/>
      <c r="S260" s="10"/>
    </row>
    <row r="261" spans="2:19" s="6" customFormat="1" ht="16.5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120</v>
      </c>
      <c r="F261" s="23" t="s">
        <v>401</v>
      </c>
      <c r="G261" s="6" t="s">
        <v>416</v>
      </c>
      <c r="H261" s="4">
        <v>222000</v>
      </c>
      <c r="I261" s="6">
        <f t="shared" ca="1" si="20"/>
        <v>11</v>
      </c>
      <c r="J261" s="13" t="str">
        <f t="shared" ca="1" si="21"/>
        <v>정상</v>
      </c>
      <c r="K261" s="11"/>
      <c r="L261" s="11">
        <v>46115</v>
      </c>
      <c r="M261" s="10"/>
      <c r="N261" s="10" t="s">
        <v>33</v>
      </c>
      <c r="Q261" s="11"/>
      <c r="R261" s="11"/>
      <c r="S261" s="10"/>
    </row>
    <row r="262" spans="2:19" s="6" customFormat="1" ht="16.5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207</v>
      </c>
      <c r="F262" s="23" t="s">
        <v>402</v>
      </c>
      <c r="G262" s="6" t="s">
        <v>416</v>
      </c>
      <c r="H262" s="4">
        <v>1866000</v>
      </c>
      <c r="I262" s="6">
        <f t="shared" ca="1" si="20"/>
        <v>38</v>
      </c>
      <c r="J262" s="13" t="str">
        <f t="shared" ca="1" si="21"/>
        <v>정상</v>
      </c>
      <c r="K262" s="11">
        <v>46142</v>
      </c>
      <c r="L262" s="11">
        <v>46142</v>
      </c>
      <c r="M262" s="10"/>
      <c r="N262" s="10" t="s">
        <v>33</v>
      </c>
      <c r="Q262" s="11"/>
      <c r="R262" s="11"/>
      <c r="S262" s="10"/>
    </row>
    <row r="263" spans="2:19" s="6" customFormat="1" ht="16.5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179</v>
      </c>
      <c r="F263" s="23" t="s">
        <v>403</v>
      </c>
      <c r="G263" s="6" t="s">
        <v>416</v>
      </c>
      <c r="H263" s="4">
        <v>798500</v>
      </c>
      <c r="I263" s="6">
        <f t="shared" ca="1" si="20"/>
        <v>18</v>
      </c>
      <c r="J263" s="13" t="str">
        <f t="shared" ca="1" si="21"/>
        <v>정상</v>
      </c>
      <c r="K263" s="11"/>
      <c r="L263" s="11">
        <v>46122</v>
      </c>
      <c r="M263" s="10"/>
      <c r="N263" s="10" t="s">
        <v>33</v>
      </c>
      <c r="Q263" s="11"/>
      <c r="R263" s="11"/>
      <c r="S263" s="10"/>
    </row>
    <row r="264" spans="2:19" s="6" customFormat="1" ht="16.5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395</v>
      </c>
      <c r="F264" s="23" t="s">
        <v>404</v>
      </c>
      <c r="G264" s="6" t="s">
        <v>416</v>
      </c>
      <c r="H264" s="4">
        <v>5442500</v>
      </c>
      <c r="I264" s="6">
        <f t="shared" ca="1" si="20"/>
        <v>18</v>
      </c>
      <c r="J264" s="13" t="str">
        <f t="shared" ca="1" si="21"/>
        <v>정상</v>
      </c>
      <c r="K264" s="11"/>
      <c r="L264" s="11">
        <v>46122</v>
      </c>
      <c r="M264" s="10"/>
      <c r="N264" s="10" t="s">
        <v>33</v>
      </c>
      <c r="Q264" s="11"/>
      <c r="R264" s="11"/>
      <c r="S264" s="10"/>
    </row>
    <row r="265" spans="2:19" s="6" customFormat="1" ht="16.5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208</v>
      </c>
      <c r="F265" s="23" t="s">
        <v>405</v>
      </c>
      <c r="G265" s="6" t="s">
        <v>416</v>
      </c>
      <c r="H265" s="4">
        <v>2969500</v>
      </c>
      <c r="I265" s="6">
        <f t="shared" ca="1" si="20"/>
        <v>23</v>
      </c>
      <c r="J265" s="13" t="str">
        <f t="shared" ca="1" si="21"/>
        <v>정상</v>
      </c>
      <c r="K265" s="11"/>
      <c r="L265" s="11">
        <v>46127</v>
      </c>
      <c r="M265" s="10"/>
      <c r="N265" s="10" t="s">
        <v>33</v>
      </c>
      <c r="Q265" s="11"/>
      <c r="R265" s="11"/>
      <c r="S265" s="10"/>
    </row>
    <row r="266" spans="2:19" s="6" customFormat="1" ht="16.5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195</v>
      </c>
      <c r="F266" s="23" t="s">
        <v>406</v>
      </c>
      <c r="G266" s="6" t="s">
        <v>416</v>
      </c>
      <c r="H266" s="4">
        <v>10451300</v>
      </c>
      <c r="I266" s="6">
        <f t="shared" ca="1" si="20"/>
        <v>35</v>
      </c>
      <c r="J266" s="13" t="str">
        <f t="shared" ca="1" si="21"/>
        <v>정상</v>
      </c>
      <c r="K266" s="11"/>
      <c r="L266" s="11">
        <v>46139</v>
      </c>
      <c r="M266" s="10"/>
      <c r="N266" s="10" t="s">
        <v>33</v>
      </c>
      <c r="Q266" s="11"/>
      <c r="R266" s="11"/>
      <c r="S266" s="10"/>
    </row>
    <row r="267" spans="2:19" s="6" customFormat="1" ht="16.5" customHeight="1">
      <c r="B267" s="10">
        <f>IF(C267="","",COUNTA($C$2:C267))</f>
        <v>266</v>
      </c>
      <c r="C267" s="11">
        <v>46104</v>
      </c>
      <c r="D267" s="10" t="str">
        <f t="shared" ref="D267:D307" si="22">IF(G267="","",IF(OR(G267="선급금",G267="중도금",G267="잔금"),"A",IF(G267="자재","B",IF(G267="특허료","C",""))))</f>
        <v>B</v>
      </c>
      <c r="E267" s="6" t="s">
        <v>108</v>
      </c>
      <c r="F267" s="23" t="s">
        <v>407</v>
      </c>
      <c r="G267" s="6" t="s">
        <v>416</v>
      </c>
      <c r="H267" s="4">
        <v>2250000</v>
      </c>
      <c r="I267" s="6">
        <f t="shared" ca="1" si="20"/>
        <v>44</v>
      </c>
      <c r="J267" s="13" t="str">
        <f t="shared" ca="1" si="21"/>
        <v>관리</v>
      </c>
      <c r="K267" s="11">
        <v>46172</v>
      </c>
      <c r="L267" s="11"/>
      <c r="M267" s="10"/>
      <c r="N267" s="10" t="s">
        <v>33</v>
      </c>
      <c r="Q267" s="11"/>
      <c r="R267" s="11"/>
      <c r="S267" s="10"/>
    </row>
    <row r="268" spans="2:19" s="6" customFormat="1" ht="16.5" customHeight="1">
      <c r="B268" s="10">
        <f>IF(C268="","",COUNTA($C$2:C268))</f>
        <v>267</v>
      </c>
      <c r="C268" s="11">
        <v>46105</v>
      </c>
      <c r="D268" s="10" t="str">
        <f t="shared" si="22"/>
        <v>B</v>
      </c>
      <c r="E268" s="6" t="s">
        <v>126</v>
      </c>
      <c r="F268" s="23" t="s">
        <v>408</v>
      </c>
      <c r="G268" s="6" t="s">
        <v>416</v>
      </c>
      <c r="H268" s="4">
        <v>2711000</v>
      </c>
      <c r="I268" s="6">
        <f t="shared" ca="1" si="20"/>
        <v>36</v>
      </c>
      <c r="J268" s="13" t="str">
        <f t="shared" ca="1" si="21"/>
        <v>정상</v>
      </c>
      <c r="K268" s="11"/>
      <c r="L268" s="11">
        <v>46141</v>
      </c>
      <c r="M268" s="10"/>
      <c r="N268" s="10" t="s">
        <v>33</v>
      </c>
      <c r="Q268" s="11"/>
      <c r="R268" s="11"/>
      <c r="S268" s="10"/>
    </row>
    <row r="269" spans="2:19" s="6" customFormat="1" ht="16.5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126</v>
      </c>
      <c r="F269" s="23" t="s">
        <v>409</v>
      </c>
      <c r="G269" s="6" t="s">
        <v>416</v>
      </c>
      <c r="H269" s="4">
        <v>10539000</v>
      </c>
      <c r="I269" s="6">
        <f t="shared" ca="1" si="20"/>
        <v>36</v>
      </c>
      <c r="J269" s="13" t="str">
        <f t="shared" ca="1" si="21"/>
        <v>정상</v>
      </c>
      <c r="K269" s="11"/>
      <c r="L269" s="11">
        <v>46141</v>
      </c>
      <c r="M269" s="10"/>
      <c r="N269" s="10" t="s">
        <v>33</v>
      </c>
      <c r="Q269" s="11"/>
      <c r="R269" s="11"/>
      <c r="S269" s="10"/>
    </row>
    <row r="270" spans="2:19" s="6" customFormat="1" ht="16.5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396</v>
      </c>
      <c r="F270" s="23" t="s">
        <v>410</v>
      </c>
      <c r="G270" s="6" t="s">
        <v>416</v>
      </c>
      <c r="H270" s="4">
        <v>1021000</v>
      </c>
      <c r="I270" s="6">
        <f t="shared" ca="1" si="20"/>
        <v>43</v>
      </c>
      <c r="J270" s="13" t="str">
        <f t="shared" ca="1" si="21"/>
        <v>관리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98</v>
      </c>
      <c r="F271" s="23" t="s">
        <v>411</v>
      </c>
      <c r="G271" s="6" t="s">
        <v>416</v>
      </c>
      <c r="H271" s="4">
        <v>427800</v>
      </c>
      <c r="I271" s="6">
        <f t="shared" ca="1" si="20"/>
        <v>43</v>
      </c>
      <c r="J271" s="13" t="str">
        <f t="shared" ca="1" si="21"/>
        <v>관리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218</v>
      </c>
      <c r="F272" s="23" t="s">
        <v>412</v>
      </c>
      <c r="G272" s="6" t="s">
        <v>416</v>
      </c>
      <c r="H272" s="4">
        <v>1180000</v>
      </c>
      <c r="I272" s="6">
        <f t="shared" ca="1" si="20"/>
        <v>43</v>
      </c>
      <c r="J272" s="13" t="str">
        <f t="shared" ca="1" si="21"/>
        <v>관리</v>
      </c>
      <c r="K272" s="11">
        <v>46157</v>
      </c>
      <c r="L272" s="11"/>
      <c r="M272" s="10"/>
      <c r="N272" s="10" t="s">
        <v>33</v>
      </c>
      <c r="Q272" s="11"/>
      <c r="R272" s="11"/>
      <c r="S272" s="10"/>
    </row>
    <row r="273" spans="2:19" s="6" customFormat="1" ht="16.5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208</v>
      </c>
      <c r="F273" s="23" t="s">
        <v>413</v>
      </c>
      <c r="G273" s="6" t="s">
        <v>416</v>
      </c>
      <c r="H273" s="4">
        <v>4520000</v>
      </c>
      <c r="I273" s="6">
        <f t="shared" ca="1" si="20"/>
        <v>22</v>
      </c>
      <c r="J273" s="13" t="str">
        <f t="shared" ca="1" si="21"/>
        <v>정상</v>
      </c>
      <c r="K273" s="11"/>
      <c r="L273" s="11">
        <v>46127</v>
      </c>
      <c r="M273" s="10"/>
      <c r="N273" s="10" t="s">
        <v>33</v>
      </c>
      <c r="Q273" s="11"/>
      <c r="R273" s="11"/>
      <c r="S273" s="10"/>
    </row>
    <row r="274" spans="2:19" s="6" customFormat="1" ht="16.5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126</v>
      </c>
      <c r="F274" s="23" t="s">
        <v>414</v>
      </c>
      <c r="G274" s="6" t="s">
        <v>416</v>
      </c>
      <c r="H274" s="4">
        <v>157000</v>
      </c>
      <c r="I274" s="6">
        <f t="shared" ca="1" si="20"/>
        <v>36</v>
      </c>
      <c r="J274" s="13" t="str">
        <f t="shared" ca="1" si="21"/>
        <v>정상</v>
      </c>
      <c r="K274" s="11"/>
      <c r="L274" s="11">
        <v>46141</v>
      </c>
      <c r="M274" s="10"/>
      <c r="N274" s="10" t="s">
        <v>33</v>
      </c>
      <c r="Q274" s="11"/>
      <c r="R274" s="11"/>
      <c r="S274" s="10"/>
    </row>
    <row r="275" spans="2:19" s="6" customFormat="1" ht="16.5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222</v>
      </c>
      <c r="F275" s="23" t="s">
        <v>415</v>
      </c>
      <c r="G275" s="6" t="s">
        <v>416</v>
      </c>
      <c r="H275" s="4">
        <v>2380000</v>
      </c>
      <c r="I275" s="6">
        <f t="shared" ca="1" si="20"/>
        <v>43</v>
      </c>
      <c r="J275" s="13" t="str">
        <f t="shared" ca="1" si="21"/>
        <v>관리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customHeight="1">
      <c r="B276" s="10">
        <f>IF(C276="","",COUNTA($C$2:C276))</f>
        <v>275</v>
      </c>
      <c r="C276" s="11">
        <v>46106</v>
      </c>
      <c r="D276" s="10" t="s">
        <v>243</v>
      </c>
      <c r="E276" s="6" t="s">
        <v>421</v>
      </c>
      <c r="F276" s="6" t="s">
        <v>420</v>
      </c>
      <c r="G276" s="6" t="s">
        <v>422</v>
      </c>
      <c r="H276" s="4">
        <v>8080000</v>
      </c>
      <c r="I276" s="6">
        <f t="shared" ca="1" si="20"/>
        <v>7</v>
      </c>
      <c r="J276" s="13" t="str">
        <f t="shared" ca="1" si="21"/>
        <v>정상</v>
      </c>
      <c r="K276" s="11"/>
      <c r="L276" s="11">
        <v>46113</v>
      </c>
      <c r="M276" s="10"/>
      <c r="N276" s="10" t="s">
        <v>33</v>
      </c>
      <c r="Q276" s="11"/>
      <c r="R276" s="11"/>
      <c r="S276" s="10"/>
    </row>
    <row r="277" spans="2:19" s="6" customFormat="1" ht="16.5" customHeight="1">
      <c r="B277" s="10">
        <f>IF(C277="","",COUNTA($C$2:C277))</f>
        <v>276</v>
      </c>
      <c r="C277" s="11">
        <v>46107</v>
      </c>
      <c r="D277" s="10" t="s">
        <v>243</v>
      </c>
      <c r="E277" s="6" t="s">
        <v>423</v>
      </c>
      <c r="F277" s="6" t="s">
        <v>424</v>
      </c>
      <c r="G277" s="6" t="s">
        <v>422</v>
      </c>
      <c r="H277" s="4">
        <v>2878800</v>
      </c>
      <c r="I277" s="6">
        <f t="shared" ca="1" si="20"/>
        <v>41</v>
      </c>
      <c r="J277" s="13" t="str">
        <f t="shared" ca="1" si="21"/>
        <v>관리</v>
      </c>
      <c r="K277" s="11"/>
      <c r="L277" s="11"/>
      <c r="M277" s="10"/>
      <c r="N277" s="10" t="s">
        <v>33</v>
      </c>
      <c r="Q277" s="11"/>
      <c r="R277" s="11"/>
      <c r="S277" s="10"/>
    </row>
    <row r="278" spans="2:19" s="6" customFormat="1" ht="16.5" customHeight="1">
      <c r="B278" s="10">
        <f>IF(C278="","",COUNTA($C$2:C278))</f>
        <v>277</v>
      </c>
      <c r="C278" s="11">
        <v>46106</v>
      </c>
      <c r="D278" s="10" t="s">
        <v>178</v>
      </c>
      <c r="E278" s="6" t="s">
        <v>206</v>
      </c>
      <c r="F278" s="6" t="s">
        <v>211</v>
      </c>
      <c r="G278" s="6" t="s">
        <v>435</v>
      </c>
      <c r="H278" s="4">
        <v>350000</v>
      </c>
      <c r="I278" s="6">
        <f t="shared" ca="1" si="20"/>
        <v>0</v>
      </c>
      <c r="J278" s="13" t="str">
        <f t="shared" ca="1" si="21"/>
        <v>정상</v>
      </c>
      <c r="K278" s="11"/>
      <c r="L278" s="11">
        <v>46106</v>
      </c>
      <c r="M278" s="10"/>
      <c r="N278" s="10" t="s">
        <v>33</v>
      </c>
      <c r="Q278" s="11"/>
      <c r="R278" s="11"/>
      <c r="S278" s="10"/>
    </row>
    <row r="279" spans="2:19" s="6" customFormat="1" ht="16.5" customHeight="1">
      <c r="B279" s="10">
        <f>IF(C279="","",COUNTA($C$2:C279))</f>
        <v>278</v>
      </c>
      <c r="C279" s="11">
        <v>46106</v>
      </c>
      <c r="D279" s="10" t="s">
        <v>178</v>
      </c>
      <c r="E279" s="6" t="s">
        <v>126</v>
      </c>
      <c r="F279" s="6" t="s">
        <v>425</v>
      </c>
      <c r="G279" s="6" t="s">
        <v>435</v>
      </c>
      <c r="H279" s="4">
        <v>4748300</v>
      </c>
      <c r="I279" s="6">
        <f t="shared" ca="1" si="20"/>
        <v>35</v>
      </c>
      <c r="J279" s="13" t="str">
        <f t="shared" ca="1" si="21"/>
        <v>정상</v>
      </c>
      <c r="K279" s="11"/>
      <c r="L279" s="11">
        <v>46141</v>
      </c>
      <c r="M279" s="10"/>
      <c r="N279" s="10" t="s">
        <v>33</v>
      </c>
      <c r="Q279" s="11"/>
      <c r="R279" s="11"/>
      <c r="S279" s="10"/>
    </row>
    <row r="280" spans="2:19" s="6" customFormat="1" ht="16.5" customHeight="1">
      <c r="B280" s="10">
        <f>IF(C280="","",COUNTA($C$2:C280))</f>
        <v>279</v>
      </c>
      <c r="C280" s="11">
        <v>46106</v>
      </c>
      <c r="D280" s="10" t="s">
        <v>178</v>
      </c>
      <c r="E280" s="6" t="s">
        <v>105</v>
      </c>
      <c r="F280" s="6" t="s">
        <v>426</v>
      </c>
      <c r="G280" s="6" t="s">
        <v>435</v>
      </c>
      <c r="H280" s="4">
        <v>396000</v>
      </c>
      <c r="I280" s="6">
        <f t="shared" ca="1" si="20"/>
        <v>6</v>
      </c>
      <c r="J280" s="13" t="str">
        <f t="shared" ca="1" si="21"/>
        <v>정상</v>
      </c>
      <c r="K280" s="11"/>
      <c r="L280" s="11">
        <v>46112</v>
      </c>
      <c r="M280" s="10"/>
      <c r="N280" s="10" t="s">
        <v>33</v>
      </c>
      <c r="Q280" s="11"/>
      <c r="R280" s="11"/>
      <c r="S280" s="10"/>
    </row>
    <row r="281" spans="2:19" s="6" customFormat="1" ht="16.5" customHeight="1">
      <c r="B281" s="10">
        <f>IF(C281="","",COUNTA($C$2:C281))</f>
        <v>280</v>
      </c>
      <c r="C281" s="11">
        <v>46106</v>
      </c>
      <c r="D281" s="10" t="s">
        <v>178</v>
      </c>
      <c r="E281" s="6" t="s">
        <v>126</v>
      </c>
      <c r="F281" s="6" t="s">
        <v>427</v>
      </c>
      <c r="G281" s="6" t="s">
        <v>435</v>
      </c>
      <c r="H281" s="4">
        <v>1414500</v>
      </c>
      <c r="I281" s="6">
        <f t="shared" ca="1" si="20"/>
        <v>35</v>
      </c>
      <c r="J281" s="13" t="str">
        <f t="shared" ca="1" si="21"/>
        <v>정상</v>
      </c>
      <c r="K281" s="11"/>
      <c r="L281" s="11">
        <v>46141</v>
      </c>
      <c r="M281" s="10"/>
      <c r="N281" s="10" t="s">
        <v>33</v>
      </c>
      <c r="Q281" s="11"/>
      <c r="R281" s="11"/>
      <c r="S281" s="10"/>
    </row>
    <row r="282" spans="2:19" s="6" customFormat="1" ht="16.5" customHeight="1">
      <c r="B282" s="10">
        <f>IF(C282="","",COUNTA($C$2:C282))</f>
        <v>281</v>
      </c>
      <c r="C282" s="11">
        <v>46106</v>
      </c>
      <c r="D282" s="10" t="s">
        <v>178</v>
      </c>
      <c r="E282" s="6" t="s">
        <v>249</v>
      </c>
      <c r="F282" s="6" t="s">
        <v>428</v>
      </c>
      <c r="G282" s="6" t="s">
        <v>435</v>
      </c>
      <c r="H282" s="4">
        <v>936000</v>
      </c>
      <c r="I282" s="6">
        <f t="shared" ca="1" si="20"/>
        <v>36</v>
      </c>
      <c r="J282" s="13" t="str">
        <f t="shared" ca="1" si="21"/>
        <v>정상</v>
      </c>
      <c r="K282" s="11">
        <v>46142</v>
      </c>
      <c r="L282" s="11">
        <v>46142</v>
      </c>
      <c r="M282" s="10"/>
      <c r="N282" s="10" t="s">
        <v>33</v>
      </c>
      <c r="Q282" s="11"/>
      <c r="R282" s="11"/>
      <c r="S282" s="10"/>
    </row>
    <row r="283" spans="2:19" s="6" customFormat="1" ht="16.5" customHeight="1">
      <c r="B283" s="10">
        <f>IF(C283="","",COUNTA($C$2:C283))</f>
        <v>282</v>
      </c>
      <c r="C283" s="11">
        <v>46106</v>
      </c>
      <c r="D283" s="10" t="s">
        <v>178</v>
      </c>
      <c r="E283" s="6" t="s">
        <v>126</v>
      </c>
      <c r="F283" s="6" t="s">
        <v>429</v>
      </c>
      <c r="G283" s="6" t="s">
        <v>435</v>
      </c>
      <c r="H283" s="4">
        <v>8336500</v>
      </c>
      <c r="I283" s="6">
        <f t="shared" ca="1" si="20"/>
        <v>35</v>
      </c>
      <c r="J283" s="13" t="str">
        <f t="shared" ca="1" si="21"/>
        <v>정상</v>
      </c>
      <c r="K283" s="11"/>
      <c r="L283" s="11">
        <v>46141</v>
      </c>
      <c r="M283" s="10"/>
      <c r="N283" s="10" t="s">
        <v>33</v>
      </c>
      <c r="Q283" s="11"/>
      <c r="R283" s="11"/>
      <c r="S283" s="10"/>
    </row>
    <row r="284" spans="2:19" s="6" customFormat="1" ht="16.5" customHeight="1">
      <c r="B284" s="10">
        <f>IF(C284="","",COUNTA($C$2:C284))</f>
        <v>283</v>
      </c>
      <c r="C284" s="11">
        <v>46106</v>
      </c>
      <c r="D284" s="10" t="s">
        <v>178</v>
      </c>
      <c r="E284" s="6" t="s">
        <v>126</v>
      </c>
      <c r="F284" s="6" t="s">
        <v>430</v>
      </c>
      <c r="G284" s="6" t="s">
        <v>435</v>
      </c>
      <c r="H284" s="4">
        <v>555000</v>
      </c>
      <c r="I284" s="6">
        <f t="shared" ca="1" si="20"/>
        <v>35</v>
      </c>
      <c r="J284" s="13" t="str">
        <f t="shared" ca="1" si="21"/>
        <v>정상</v>
      </c>
      <c r="K284" s="11"/>
      <c r="L284" s="11">
        <v>46141</v>
      </c>
      <c r="M284" s="10"/>
      <c r="N284" s="10" t="s">
        <v>33</v>
      </c>
      <c r="Q284" s="11"/>
      <c r="R284" s="11"/>
      <c r="S284" s="10"/>
    </row>
    <row r="285" spans="2:19" s="6" customFormat="1" ht="16.5" customHeight="1">
      <c r="B285" s="10">
        <f>IF(C285="","",COUNTA($C$2:C285))</f>
        <v>284</v>
      </c>
      <c r="C285" s="11">
        <v>46106</v>
      </c>
      <c r="D285" s="10" t="s">
        <v>178</v>
      </c>
      <c r="E285" s="6" t="s">
        <v>207</v>
      </c>
      <c r="F285" s="6" t="s">
        <v>431</v>
      </c>
      <c r="G285" s="6" t="s">
        <v>435</v>
      </c>
      <c r="H285" s="4">
        <v>508400</v>
      </c>
      <c r="I285" s="6">
        <f t="shared" ca="1" si="20"/>
        <v>36</v>
      </c>
      <c r="J285" s="13" t="str">
        <f t="shared" ca="1" si="21"/>
        <v>정상</v>
      </c>
      <c r="K285" s="11">
        <v>46142</v>
      </c>
      <c r="L285" s="11">
        <v>46142</v>
      </c>
      <c r="M285" s="10"/>
      <c r="N285" s="10" t="s">
        <v>33</v>
      </c>
      <c r="Q285" s="11"/>
      <c r="R285" s="11"/>
      <c r="S285" s="10"/>
    </row>
    <row r="286" spans="2:19" s="6" customFormat="1" ht="16.5" customHeight="1">
      <c r="B286" s="10">
        <f>IF(C286="","",COUNTA($C$2:C286))</f>
        <v>285</v>
      </c>
      <c r="C286" s="11">
        <v>46106</v>
      </c>
      <c r="D286" s="10" t="s">
        <v>178</v>
      </c>
      <c r="E286" s="6" t="s">
        <v>434</v>
      </c>
      <c r="F286" s="6" t="s">
        <v>432</v>
      </c>
      <c r="G286" s="6" t="s">
        <v>435</v>
      </c>
      <c r="H286" s="4">
        <v>6771000</v>
      </c>
      <c r="I286" s="6">
        <f t="shared" ca="1" si="20"/>
        <v>34</v>
      </c>
      <c r="J286" s="13" t="str">
        <f t="shared" ref="J286:J349" ca="1" si="23">IF(I286="","",
 IF(G286="선급금",
   IF(I286&lt;=20,"정상",IF(I286&lt;=90,"관리","장기미수")),
 IF(G286="자재",
   IF(I286&lt;=40,"정상",IF(I286&lt;=90,"관리","장기미수")),
   IF(I286&lt;=30,"정상",IF(I286&lt;=90,"관리","장기미수"))
  )
 )
)</f>
        <v>정상</v>
      </c>
      <c r="K286" s="11"/>
      <c r="L286" s="11">
        <v>46140</v>
      </c>
      <c r="M286" s="10"/>
      <c r="N286" s="10" t="s">
        <v>33</v>
      </c>
      <c r="Q286" s="11"/>
      <c r="R286" s="11"/>
      <c r="S286" s="10"/>
    </row>
    <row r="287" spans="2:19" s="6" customFormat="1" ht="16.5" customHeight="1">
      <c r="B287" s="10">
        <f>IF(C287="","",COUNTA($C$2:C287))</f>
        <v>286</v>
      </c>
      <c r="C287" s="11">
        <v>46106</v>
      </c>
      <c r="D287" s="10" t="s">
        <v>178</v>
      </c>
      <c r="E287" s="6" t="s">
        <v>24</v>
      </c>
      <c r="F287" s="6" t="s">
        <v>433</v>
      </c>
      <c r="G287" s="6" t="s">
        <v>435</v>
      </c>
      <c r="H287" s="4">
        <v>2997000</v>
      </c>
      <c r="I287" s="6">
        <f t="shared" ca="1" si="20"/>
        <v>42</v>
      </c>
      <c r="J287" s="13" t="str">
        <f t="shared" ca="1" si="23"/>
        <v>관리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customHeight="1">
      <c r="B288" s="10">
        <f>IF(C288="","",COUNTA($C$2:C288))</f>
        <v>287</v>
      </c>
      <c r="C288" s="11">
        <v>46106</v>
      </c>
      <c r="D288" s="10" t="s">
        <v>437</v>
      </c>
      <c r="E288" s="6" t="s">
        <v>234</v>
      </c>
      <c r="F288" s="6" t="s">
        <v>232</v>
      </c>
      <c r="G288" s="6" t="s">
        <v>438</v>
      </c>
      <c r="H288" s="4">
        <v>30186600</v>
      </c>
      <c r="I288" s="6">
        <f t="shared" ca="1" si="20"/>
        <v>42</v>
      </c>
      <c r="J288" s="13" t="str">
        <f t="shared" ca="1" si="23"/>
        <v>관리</v>
      </c>
      <c r="K288" s="11"/>
      <c r="L288" s="11"/>
      <c r="M288" s="10"/>
      <c r="N288" s="10" t="s">
        <v>33</v>
      </c>
      <c r="Q288" s="11"/>
      <c r="R288" s="11"/>
      <c r="S288" s="10"/>
    </row>
    <row r="289" spans="2:19" s="6" customFormat="1" ht="16.5" customHeight="1">
      <c r="B289" s="10">
        <f>IF(C289="","",COUNTA($C$2:C289))</f>
        <v>288</v>
      </c>
      <c r="C289" s="11" t="s">
        <v>464</v>
      </c>
      <c r="D289" s="10" t="str">
        <f t="shared" si="22"/>
        <v>B</v>
      </c>
      <c r="E289" s="6" t="s">
        <v>219</v>
      </c>
      <c r="F289" s="23" t="s">
        <v>439</v>
      </c>
      <c r="G289" s="6" t="s">
        <v>458</v>
      </c>
      <c r="H289" s="25">
        <v>111000</v>
      </c>
      <c r="I289" s="6">
        <f t="shared" ca="1" si="20"/>
        <v>19</v>
      </c>
      <c r="J289" s="13" t="str">
        <f t="shared" ca="1" si="23"/>
        <v>정상</v>
      </c>
      <c r="K289" s="11"/>
      <c r="L289" s="11">
        <v>46126</v>
      </c>
      <c r="M289" s="10"/>
      <c r="N289" s="10" t="s">
        <v>33</v>
      </c>
      <c r="Q289" s="11"/>
      <c r="R289" s="11"/>
      <c r="S289" s="10"/>
    </row>
    <row r="290" spans="2:19" s="6" customFormat="1" ht="16.5" customHeight="1">
      <c r="B290" s="10">
        <f>IF(C290="","",COUNTA($C$2:C290))</f>
        <v>289</v>
      </c>
      <c r="C290" s="11" t="s">
        <v>464</v>
      </c>
      <c r="D290" s="10" t="str">
        <f t="shared" si="22"/>
        <v>B</v>
      </c>
      <c r="E290" s="6" t="s">
        <v>221</v>
      </c>
      <c r="F290" s="23" t="s">
        <v>440</v>
      </c>
      <c r="G290" s="6" t="s">
        <v>458</v>
      </c>
      <c r="H290" s="25">
        <v>1135000</v>
      </c>
      <c r="I290" s="6">
        <f t="shared" ca="1" si="20"/>
        <v>35</v>
      </c>
      <c r="J290" s="13" t="str">
        <f t="shared" ca="1" si="23"/>
        <v>정상</v>
      </c>
      <c r="K290" s="11"/>
      <c r="L290" s="11">
        <v>46142</v>
      </c>
      <c r="M290" s="10"/>
      <c r="N290" s="10" t="s">
        <v>33</v>
      </c>
      <c r="Q290" s="11"/>
      <c r="R290" s="11"/>
      <c r="S290" s="10"/>
    </row>
    <row r="291" spans="2:19" s="6" customFormat="1" ht="16.5" customHeight="1">
      <c r="B291" s="10">
        <f>IF(C291="","",COUNTA($C$2:C291))</f>
        <v>290</v>
      </c>
      <c r="C291" s="11" t="s">
        <v>464</v>
      </c>
      <c r="D291" s="10" t="str">
        <f t="shared" si="22"/>
        <v>B</v>
      </c>
      <c r="E291" s="6" t="s">
        <v>249</v>
      </c>
      <c r="F291" s="23" t="s">
        <v>441</v>
      </c>
      <c r="G291" s="6" t="s">
        <v>458</v>
      </c>
      <c r="H291" s="25">
        <v>14380000</v>
      </c>
      <c r="I291" s="6">
        <f t="shared" ca="1" si="20"/>
        <v>35</v>
      </c>
      <c r="J291" s="13" t="str">
        <f t="shared" ca="1" si="23"/>
        <v>정상</v>
      </c>
      <c r="K291" s="11">
        <v>46142</v>
      </c>
      <c r="L291" s="11">
        <v>46142</v>
      </c>
      <c r="M291" s="10"/>
      <c r="N291" s="10" t="s">
        <v>33</v>
      </c>
      <c r="Q291" s="11"/>
      <c r="R291" s="11"/>
      <c r="S291" s="10"/>
    </row>
    <row r="292" spans="2:19" s="6" customFormat="1" ht="16.5" customHeight="1">
      <c r="B292" s="10">
        <f>IF(C292="","",COUNTA($C$2:C292))</f>
        <v>291</v>
      </c>
      <c r="C292" s="11" t="s">
        <v>464</v>
      </c>
      <c r="D292" s="10" t="str">
        <f t="shared" si="22"/>
        <v>B</v>
      </c>
      <c r="E292" s="6" t="s">
        <v>221</v>
      </c>
      <c r="F292" s="23" t="s">
        <v>440</v>
      </c>
      <c r="G292" s="6" t="s">
        <v>458</v>
      </c>
      <c r="H292" s="25">
        <v>4175400</v>
      </c>
      <c r="I292" s="6">
        <f t="shared" ca="1" si="20"/>
        <v>35</v>
      </c>
      <c r="J292" s="13" t="str">
        <f t="shared" ca="1" si="23"/>
        <v>정상</v>
      </c>
      <c r="K292" s="11"/>
      <c r="L292" s="11">
        <v>46142</v>
      </c>
      <c r="M292" s="10"/>
      <c r="N292" s="10" t="s">
        <v>33</v>
      </c>
      <c r="Q292" s="11"/>
      <c r="R292" s="11"/>
      <c r="S292" s="10"/>
    </row>
    <row r="293" spans="2:19" s="6" customFormat="1" ht="16.5" customHeight="1">
      <c r="B293" s="10">
        <f>IF(C293="","",COUNTA($C$2:C293))</f>
        <v>292</v>
      </c>
      <c r="C293" s="11" t="s">
        <v>464</v>
      </c>
      <c r="D293" s="10" t="str">
        <f t="shared" si="22"/>
        <v>B</v>
      </c>
      <c r="E293" s="6" t="s">
        <v>209</v>
      </c>
      <c r="F293" s="23" t="s">
        <v>442</v>
      </c>
      <c r="G293" s="6" t="s">
        <v>458</v>
      </c>
      <c r="H293" s="25">
        <v>5473000</v>
      </c>
      <c r="I293" s="6">
        <f t="shared" ca="1" si="20"/>
        <v>41</v>
      </c>
      <c r="J293" s="13" t="str">
        <f t="shared" ca="1" si="23"/>
        <v>관리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customHeight="1">
      <c r="B294" s="10">
        <f>IF(C294="","",COUNTA($C$2:C294))</f>
        <v>293</v>
      </c>
      <c r="C294" s="11" t="s">
        <v>464</v>
      </c>
      <c r="D294" s="10" t="str">
        <f t="shared" si="22"/>
        <v>B</v>
      </c>
      <c r="E294" s="6" t="s">
        <v>24</v>
      </c>
      <c r="F294" s="23" t="s">
        <v>443</v>
      </c>
      <c r="G294" s="6" t="s">
        <v>458</v>
      </c>
      <c r="H294" s="25">
        <v>52914000</v>
      </c>
      <c r="I294" s="6">
        <f t="shared" ca="1" si="20"/>
        <v>41</v>
      </c>
      <c r="J294" s="13" t="str">
        <f t="shared" ca="1" si="23"/>
        <v>관리</v>
      </c>
      <c r="K294" s="11"/>
      <c r="L294" s="11"/>
      <c r="M294" s="10"/>
      <c r="N294" s="10" t="s">
        <v>20</v>
      </c>
      <c r="O294" s="6" t="s">
        <v>58</v>
      </c>
      <c r="P294" s="6" t="s">
        <v>153</v>
      </c>
      <c r="Q294" s="11"/>
      <c r="R294" s="11"/>
      <c r="S294" s="10"/>
    </row>
    <row r="295" spans="2:19" s="6" customFormat="1" ht="16.5" customHeight="1">
      <c r="B295" s="10">
        <f>IF(C295="","",COUNTA($C$2:C295))</f>
        <v>294</v>
      </c>
      <c r="C295" s="11" t="s">
        <v>464</v>
      </c>
      <c r="D295" s="10" t="str">
        <f t="shared" si="22"/>
        <v>B</v>
      </c>
      <c r="E295" s="6" t="s">
        <v>723</v>
      </c>
      <c r="F295" s="23" t="s">
        <v>444</v>
      </c>
      <c r="G295" s="6" t="s">
        <v>458</v>
      </c>
      <c r="H295" s="25">
        <v>427500</v>
      </c>
      <c r="I295" s="6">
        <f t="shared" ca="1" si="20"/>
        <v>41</v>
      </c>
      <c r="J295" s="13" t="str">
        <f t="shared" ca="1" si="23"/>
        <v>관리</v>
      </c>
      <c r="K295" s="11"/>
      <c r="L295" s="11"/>
      <c r="M295" s="10"/>
      <c r="N295" s="10" t="s">
        <v>33</v>
      </c>
      <c r="Q295" s="11"/>
      <c r="R295" s="11"/>
      <c r="S295" s="10"/>
    </row>
    <row r="296" spans="2:19" s="6" customFormat="1" ht="16.5" customHeight="1">
      <c r="B296" s="10">
        <f>IF(C296="","",COUNTA($C$2:C296))</f>
        <v>295</v>
      </c>
      <c r="C296" s="11" t="s">
        <v>464</v>
      </c>
      <c r="D296" s="10" t="str">
        <f t="shared" si="22"/>
        <v>B</v>
      </c>
      <c r="E296" s="6" t="s">
        <v>195</v>
      </c>
      <c r="F296" s="23" t="s">
        <v>445</v>
      </c>
      <c r="G296" s="6" t="s">
        <v>458</v>
      </c>
      <c r="H296" s="25">
        <v>5032500</v>
      </c>
      <c r="I296" s="6">
        <f t="shared" ca="1" si="20"/>
        <v>41</v>
      </c>
      <c r="J296" s="13" t="str">
        <f t="shared" ca="1" si="23"/>
        <v>관리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customHeight="1">
      <c r="B297" s="10">
        <f>IF(C297="","",COUNTA($C$2:C297))</f>
        <v>296</v>
      </c>
      <c r="C297" s="11" t="s">
        <v>464</v>
      </c>
      <c r="D297" s="10" t="str">
        <f t="shared" si="22"/>
        <v>B</v>
      </c>
      <c r="E297" s="6" t="s">
        <v>56</v>
      </c>
      <c r="F297" s="23" t="s">
        <v>446</v>
      </c>
      <c r="G297" s="6" t="s">
        <v>458</v>
      </c>
      <c r="H297" s="25">
        <v>987000</v>
      </c>
      <c r="I297" s="6">
        <f t="shared" ca="1" si="20"/>
        <v>0</v>
      </c>
      <c r="J297" s="13" t="str">
        <f t="shared" ca="1" si="23"/>
        <v>정상</v>
      </c>
      <c r="K297" s="11"/>
      <c r="L297" s="11">
        <v>46107</v>
      </c>
      <c r="M297" s="10"/>
      <c r="N297" s="10" t="s">
        <v>33</v>
      </c>
      <c r="Q297" s="11"/>
      <c r="R297" s="11"/>
      <c r="S297" s="10"/>
    </row>
    <row r="298" spans="2:19" s="6" customFormat="1" ht="16.5" customHeight="1">
      <c r="B298" s="10">
        <f>IF(C298="","",COUNTA($C$2:C298))</f>
        <v>297</v>
      </c>
      <c r="C298" s="11" t="s">
        <v>464</v>
      </c>
      <c r="D298" s="10" t="str">
        <f t="shared" si="22"/>
        <v>B</v>
      </c>
      <c r="E298" s="6" t="s">
        <v>459</v>
      </c>
      <c r="F298" s="23" t="s">
        <v>447</v>
      </c>
      <c r="G298" s="6" t="s">
        <v>458</v>
      </c>
      <c r="H298" s="25">
        <v>2884600</v>
      </c>
      <c r="I298" s="6">
        <f t="shared" ca="1" si="20"/>
        <v>32</v>
      </c>
      <c r="J298" s="13" t="str">
        <f t="shared" ca="1" si="23"/>
        <v>정상</v>
      </c>
      <c r="K298" s="11"/>
      <c r="L298" s="11">
        <v>46139</v>
      </c>
      <c r="M298" s="10"/>
      <c r="N298" s="10" t="s">
        <v>33</v>
      </c>
      <c r="Q298" s="11"/>
      <c r="R298" s="11"/>
      <c r="S298" s="10"/>
    </row>
    <row r="299" spans="2:19" s="6" customFormat="1" ht="16.5" customHeight="1">
      <c r="B299" s="10">
        <f>IF(C299="","",COUNTA($C$2:C299))</f>
        <v>298</v>
      </c>
      <c r="C299" s="11" t="s">
        <v>464</v>
      </c>
      <c r="D299" s="10" t="str">
        <f t="shared" si="22"/>
        <v>B</v>
      </c>
      <c r="E299" s="6" t="s">
        <v>98</v>
      </c>
      <c r="F299" s="23" t="s">
        <v>448</v>
      </c>
      <c r="G299" s="6" t="s">
        <v>458</v>
      </c>
      <c r="H299" s="25">
        <v>180000</v>
      </c>
      <c r="I299" s="6">
        <f t="shared" ca="1" si="20"/>
        <v>35</v>
      </c>
      <c r="J299" s="13" t="str">
        <f t="shared" ca="1" si="23"/>
        <v>정상</v>
      </c>
      <c r="K299" s="11"/>
      <c r="L299" s="11">
        <v>46142</v>
      </c>
      <c r="M299" s="10"/>
      <c r="N299" s="10" t="s">
        <v>33</v>
      </c>
      <c r="Q299" s="11"/>
      <c r="R299" s="11"/>
      <c r="S299" s="10"/>
    </row>
    <row r="300" spans="2:19" s="6" customFormat="1" ht="16.5" customHeight="1">
      <c r="B300" s="10">
        <f>IF(C300="","",COUNTA($C$2:C300))</f>
        <v>299</v>
      </c>
      <c r="C300" s="11" t="s">
        <v>464</v>
      </c>
      <c r="D300" s="10" t="str">
        <f t="shared" si="22"/>
        <v>B</v>
      </c>
      <c r="E300" s="6" t="s">
        <v>126</v>
      </c>
      <c r="F300" s="23" t="s">
        <v>449</v>
      </c>
      <c r="G300" s="6" t="s">
        <v>458</v>
      </c>
      <c r="H300" s="25">
        <v>24591000</v>
      </c>
      <c r="I300" s="6">
        <f t="shared" ca="1" si="20"/>
        <v>34</v>
      </c>
      <c r="J300" s="13" t="str">
        <f t="shared" ca="1" si="23"/>
        <v>정상</v>
      </c>
      <c r="K300" s="11"/>
      <c r="L300" s="11">
        <v>46141</v>
      </c>
      <c r="M300" s="10"/>
      <c r="N300" s="10" t="s">
        <v>33</v>
      </c>
      <c r="Q300" s="11"/>
      <c r="R300" s="11"/>
      <c r="S300" s="10"/>
    </row>
    <row r="301" spans="2:19" s="6" customFormat="1" ht="16.5" customHeight="1">
      <c r="B301" s="10">
        <f>IF(C301="","",COUNTA($C$2:C301))</f>
        <v>300</v>
      </c>
      <c r="C301" s="11" t="s">
        <v>464</v>
      </c>
      <c r="D301" s="10" t="str">
        <f t="shared" si="22"/>
        <v>B</v>
      </c>
      <c r="E301" s="6" t="s">
        <v>208</v>
      </c>
      <c r="F301" s="23" t="s">
        <v>450</v>
      </c>
      <c r="G301" s="6" t="s">
        <v>458</v>
      </c>
      <c r="H301" s="25">
        <v>3390000</v>
      </c>
      <c r="I301" s="6">
        <f t="shared" ca="1" si="20"/>
        <v>20</v>
      </c>
      <c r="J301" s="13" t="str">
        <f t="shared" ca="1" si="23"/>
        <v>정상</v>
      </c>
      <c r="K301" s="11"/>
      <c r="L301" s="11">
        <v>46127</v>
      </c>
      <c r="M301" s="10"/>
      <c r="N301" s="10" t="s">
        <v>33</v>
      </c>
      <c r="Q301" s="11"/>
      <c r="R301" s="11"/>
      <c r="S301" s="10"/>
    </row>
    <row r="302" spans="2:19" s="6" customFormat="1" ht="16.5" customHeight="1">
      <c r="B302" s="10">
        <f>IF(C302="","",COUNTA($C$2:C302))</f>
        <v>301</v>
      </c>
      <c r="C302" s="11" t="s">
        <v>464</v>
      </c>
      <c r="D302" s="10" t="str">
        <f t="shared" si="22"/>
        <v>B</v>
      </c>
      <c r="E302" s="6" t="s">
        <v>222</v>
      </c>
      <c r="F302" s="23" t="s">
        <v>451</v>
      </c>
      <c r="G302" s="6" t="s">
        <v>458</v>
      </c>
      <c r="H302" s="25">
        <v>4637500</v>
      </c>
      <c r="I302" s="6">
        <f t="shared" ca="1" si="20"/>
        <v>41</v>
      </c>
      <c r="J302" s="13" t="str">
        <f t="shared" ca="1" si="23"/>
        <v>관리</v>
      </c>
      <c r="K302" s="11"/>
      <c r="L302" s="11"/>
      <c r="M302" s="10"/>
      <c r="N302" s="10" t="s">
        <v>33</v>
      </c>
      <c r="Q302" s="11"/>
      <c r="R302" s="11"/>
      <c r="S302" s="10"/>
    </row>
    <row r="303" spans="2:19" s="6" customFormat="1" ht="16.5" customHeight="1">
      <c r="B303" s="10">
        <f>IF(C303="","",COUNTA($C$2:C303))</f>
        <v>302</v>
      </c>
      <c r="C303" s="11" t="s">
        <v>465</v>
      </c>
      <c r="D303" s="10" t="str">
        <f t="shared" si="22"/>
        <v>B</v>
      </c>
      <c r="E303" s="6" t="s">
        <v>81</v>
      </c>
      <c r="F303" s="23" t="s">
        <v>452</v>
      </c>
      <c r="G303" s="6" t="s">
        <v>458</v>
      </c>
      <c r="H303" s="25">
        <v>121500</v>
      </c>
      <c r="I303" s="6">
        <f t="shared" ca="1" si="20"/>
        <v>40</v>
      </c>
      <c r="J303" s="13" t="str">
        <f t="shared" ca="1" si="23"/>
        <v>정상</v>
      </c>
      <c r="K303" s="11"/>
      <c r="L303" s="11"/>
      <c r="M303" s="10"/>
      <c r="N303" s="10" t="s">
        <v>33</v>
      </c>
      <c r="Q303" s="11"/>
      <c r="R303" s="11"/>
      <c r="S303" s="10"/>
    </row>
    <row r="304" spans="2:19" s="6" customFormat="1" ht="16.5" customHeight="1">
      <c r="B304" s="10">
        <f>IF(C304="","",COUNTA($C$2:C304))</f>
        <v>303</v>
      </c>
      <c r="C304" s="11" t="s">
        <v>465</v>
      </c>
      <c r="D304" s="10" t="str">
        <f t="shared" si="22"/>
        <v>B</v>
      </c>
      <c r="E304" s="6" t="s">
        <v>460</v>
      </c>
      <c r="F304" s="23" t="s">
        <v>453</v>
      </c>
      <c r="G304" s="6" t="s">
        <v>458</v>
      </c>
      <c r="H304" s="25">
        <v>13647200</v>
      </c>
      <c r="I304" s="6">
        <f t="shared" ca="1" si="20"/>
        <v>40</v>
      </c>
      <c r="J304" s="13" t="str">
        <f t="shared" ca="1" si="23"/>
        <v>정상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customHeight="1">
      <c r="B305" s="10">
        <f>IF(C305="","",COUNTA($C$2:C305))</f>
        <v>304</v>
      </c>
      <c r="C305" s="11" t="s">
        <v>465</v>
      </c>
      <c r="D305" s="10" t="str">
        <f t="shared" si="22"/>
        <v>B</v>
      </c>
      <c r="E305" s="6" t="s">
        <v>108</v>
      </c>
      <c r="F305" s="23" t="s">
        <v>454</v>
      </c>
      <c r="G305" s="6" t="s">
        <v>458</v>
      </c>
      <c r="H305" s="25">
        <v>1810000</v>
      </c>
      <c r="I305" s="6">
        <f t="shared" ca="1" si="20"/>
        <v>40</v>
      </c>
      <c r="J305" s="13" t="str">
        <f t="shared" ca="1" si="23"/>
        <v>정상</v>
      </c>
      <c r="K305" s="11">
        <v>46172</v>
      </c>
      <c r="L305" s="11"/>
      <c r="M305" s="10"/>
      <c r="N305" s="10" t="s">
        <v>33</v>
      </c>
      <c r="Q305" s="11"/>
      <c r="R305" s="11"/>
      <c r="S305" s="10"/>
    </row>
    <row r="306" spans="2:19" s="6" customFormat="1" ht="16.5" customHeight="1">
      <c r="B306" s="10">
        <f>IF(C306="","",COUNTA($C$2:C306))</f>
        <v>305</v>
      </c>
      <c r="C306" s="11" t="s">
        <v>465</v>
      </c>
      <c r="D306" s="10" t="str">
        <f t="shared" si="22"/>
        <v>B</v>
      </c>
      <c r="E306" s="6" t="s">
        <v>108</v>
      </c>
      <c r="F306" s="23" t="s">
        <v>454</v>
      </c>
      <c r="G306" s="6" t="s">
        <v>458</v>
      </c>
      <c r="H306" s="25">
        <v>33000000</v>
      </c>
      <c r="I306" s="6">
        <f t="shared" ca="1" si="20"/>
        <v>40</v>
      </c>
      <c r="J306" s="13" t="str">
        <f t="shared" ca="1" si="23"/>
        <v>정상</v>
      </c>
      <c r="K306" s="11">
        <v>46172</v>
      </c>
      <c r="L306" s="11"/>
      <c r="M306" s="10"/>
      <c r="N306" s="10" t="s">
        <v>33</v>
      </c>
      <c r="Q306" s="11"/>
      <c r="R306" s="11"/>
      <c r="S306" s="10"/>
    </row>
    <row r="307" spans="2:19" s="6" customFormat="1" ht="16.5" customHeight="1">
      <c r="B307" s="10">
        <f>IF(C307="","",COUNTA($C$2:C307))</f>
        <v>306</v>
      </c>
      <c r="C307" s="11" t="s">
        <v>465</v>
      </c>
      <c r="D307" s="10" t="str">
        <f t="shared" si="22"/>
        <v>B</v>
      </c>
      <c r="E307" s="6" t="s">
        <v>461</v>
      </c>
      <c r="F307" s="23" t="s">
        <v>455</v>
      </c>
      <c r="G307" s="6" t="s">
        <v>458</v>
      </c>
      <c r="H307" s="25">
        <v>548000</v>
      </c>
      <c r="I307" s="6">
        <f t="shared" ca="1" si="20"/>
        <v>24</v>
      </c>
      <c r="J307" s="13" t="str">
        <f t="shared" ca="1" si="23"/>
        <v>정상</v>
      </c>
      <c r="K307" s="11"/>
      <c r="L307" s="11">
        <v>46132</v>
      </c>
      <c r="M307" s="10"/>
      <c r="N307" s="10" t="s">
        <v>33</v>
      </c>
      <c r="Q307" s="11"/>
      <c r="R307" s="11"/>
      <c r="S307" s="10"/>
    </row>
    <row r="308" spans="2:19" s="6" customFormat="1" ht="16.5" customHeight="1">
      <c r="B308" s="10">
        <f>IF(C308="","",COUNTA($C$2:C308))</f>
        <v>307</v>
      </c>
      <c r="C308" s="11" t="s">
        <v>466</v>
      </c>
      <c r="D308" s="10" t="str">
        <f>IF(G309="","",IF(OR(G309="선급금",G309="중도금",G309="잔금"),"A",IF(G309="자재","B",IF(G309="특허료","C",""))))</f>
        <v>B</v>
      </c>
      <c r="E308" s="6" t="s">
        <v>462</v>
      </c>
      <c r="F308" s="23" t="s">
        <v>456</v>
      </c>
      <c r="G308" s="6" t="s">
        <v>458</v>
      </c>
      <c r="H308" s="25">
        <v>216000</v>
      </c>
      <c r="I308" s="6">
        <f t="shared" ca="1" si="20"/>
        <v>0</v>
      </c>
      <c r="J308" s="13" t="str">
        <f t="shared" ca="1" si="23"/>
        <v>정상</v>
      </c>
      <c r="K308" s="11"/>
      <c r="L308" s="11">
        <v>46111</v>
      </c>
      <c r="M308" s="10"/>
      <c r="N308" s="10" t="s">
        <v>33</v>
      </c>
      <c r="Q308" s="11"/>
      <c r="R308" s="11"/>
      <c r="S308" s="10"/>
    </row>
    <row r="309" spans="2:19" s="6" customFormat="1" ht="16.5" customHeight="1">
      <c r="B309" s="10">
        <f>IF(C309="","",COUNTA($C$2:C309))</f>
        <v>308</v>
      </c>
      <c r="C309" s="11" t="s">
        <v>466</v>
      </c>
      <c r="D309" s="10" t="s">
        <v>178</v>
      </c>
      <c r="E309" s="6" t="s">
        <v>463</v>
      </c>
      <c r="F309" s="23" t="s">
        <v>457</v>
      </c>
      <c r="G309" s="6" t="s">
        <v>458</v>
      </c>
      <c r="H309" s="25">
        <v>35839300</v>
      </c>
      <c r="I309" s="6">
        <f t="shared" ca="1" si="20"/>
        <v>37</v>
      </c>
      <c r="J309" s="13" t="str">
        <f t="shared" ca="1" si="23"/>
        <v>정상</v>
      </c>
      <c r="K309" s="11"/>
      <c r="L309" s="11"/>
      <c r="M309" s="10"/>
      <c r="N309" s="10" t="s">
        <v>33</v>
      </c>
      <c r="Q309" s="11"/>
      <c r="R309" s="11"/>
      <c r="S309" s="10"/>
    </row>
    <row r="310" spans="2:19" s="6" customFormat="1" ht="16.5" customHeight="1">
      <c r="B310" s="10">
        <f>IF(C310="","",COUNTA($C$2:C310))</f>
        <v>309</v>
      </c>
      <c r="C310" s="11">
        <v>46111</v>
      </c>
      <c r="D310" s="10" t="s">
        <v>243</v>
      </c>
      <c r="E310" s="6" t="s">
        <v>469</v>
      </c>
      <c r="F310" s="6" t="s">
        <v>467</v>
      </c>
      <c r="G310" s="6" t="s">
        <v>468</v>
      </c>
      <c r="H310" s="4">
        <v>109031200</v>
      </c>
      <c r="I310" s="6">
        <f t="shared" ca="1" si="20"/>
        <v>16</v>
      </c>
      <c r="J310" s="13" t="str">
        <f t="shared" ca="1" si="23"/>
        <v>정상</v>
      </c>
      <c r="K310" s="11"/>
      <c r="L310" s="11">
        <v>46127</v>
      </c>
      <c r="M310" s="10"/>
      <c r="N310" s="10" t="s">
        <v>33</v>
      </c>
      <c r="Q310" s="11"/>
      <c r="R310" s="11"/>
      <c r="S310" s="10"/>
    </row>
    <row r="311" spans="2:19" s="6" customFormat="1" ht="16.5" customHeight="1">
      <c r="B311" s="10">
        <f>IF(C311="","",COUNTA($C$2:C311))</f>
        <v>310</v>
      </c>
      <c r="C311" s="11">
        <v>46112</v>
      </c>
      <c r="D311" s="10" t="s">
        <v>243</v>
      </c>
      <c r="E311" s="6" t="s">
        <v>624</v>
      </c>
      <c r="F311" s="6" t="s">
        <v>622</v>
      </c>
      <c r="G311" s="6" t="s">
        <v>623</v>
      </c>
      <c r="H311" s="4">
        <v>6562000</v>
      </c>
      <c r="I311" s="6">
        <f t="shared" ca="1" si="20"/>
        <v>15</v>
      </c>
      <c r="J311" s="13" t="str">
        <f t="shared" ca="1" si="23"/>
        <v>정상</v>
      </c>
      <c r="K311" s="11"/>
      <c r="L311" s="11">
        <v>46127</v>
      </c>
      <c r="M311" s="10"/>
      <c r="N311" s="10" t="s">
        <v>33</v>
      </c>
      <c r="Q311" s="11"/>
      <c r="R311" s="11"/>
      <c r="S311" s="10"/>
    </row>
    <row r="312" spans="2:19" s="6" customFormat="1" ht="16.5" customHeight="1">
      <c r="B312" s="10">
        <f>IF(C312="","",COUNTA($C$2:C312))</f>
        <v>311</v>
      </c>
      <c r="C312" s="11" t="s">
        <v>509</v>
      </c>
      <c r="D312" s="10" t="s">
        <v>178</v>
      </c>
      <c r="E312" s="6" t="s">
        <v>503</v>
      </c>
      <c r="F312" s="6" t="s">
        <v>471</v>
      </c>
      <c r="G312" s="6" t="s">
        <v>512</v>
      </c>
      <c r="H312" s="25">
        <v>380000</v>
      </c>
      <c r="I312" s="6">
        <f t="shared" ca="1" si="20"/>
        <v>0</v>
      </c>
      <c r="J312" s="13" t="str">
        <f t="shared" ca="1" si="23"/>
        <v>정상</v>
      </c>
      <c r="K312" s="11"/>
      <c r="L312" s="11">
        <v>46114</v>
      </c>
      <c r="M312" s="10"/>
      <c r="N312" s="10" t="s">
        <v>33</v>
      </c>
      <c r="Q312" s="11"/>
      <c r="R312" s="11"/>
      <c r="S312" s="10"/>
    </row>
    <row r="313" spans="2:19" s="6" customFormat="1" ht="16.5" customHeight="1">
      <c r="B313" s="10">
        <f>IF(C313="","",COUNTA($C$2:C313))</f>
        <v>312</v>
      </c>
      <c r="C313" s="11" t="s">
        <v>510</v>
      </c>
      <c r="D313" s="10" t="s">
        <v>178</v>
      </c>
      <c r="E313" s="6" t="s">
        <v>126</v>
      </c>
      <c r="F313" s="6" t="s">
        <v>472</v>
      </c>
      <c r="G313" s="6" t="s">
        <v>512</v>
      </c>
      <c r="H313" s="25">
        <v>1182500</v>
      </c>
      <c r="I313" s="6">
        <f t="shared" ca="1" si="20"/>
        <v>33</v>
      </c>
      <c r="J313" s="13" t="str">
        <f t="shared" ca="1" si="23"/>
        <v>정상</v>
      </c>
      <c r="K313" s="11"/>
      <c r="L313" s="11"/>
      <c r="M313" s="10"/>
      <c r="N313" s="10" t="s">
        <v>33</v>
      </c>
      <c r="Q313" s="11"/>
      <c r="R313" s="11"/>
      <c r="S313" s="10"/>
    </row>
    <row r="314" spans="2:19" s="6" customFormat="1" ht="16.5" customHeight="1">
      <c r="B314" s="10">
        <f>IF(C314="","",COUNTA($C$2:C314))</f>
        <v>313</v>
      </c>
      <c r="C314" s="11" t="s">
        <v>510</v>
      </c>
      <c r="D314" s="10" t="s">
        <v>178</v>
      </c>
      <c r="E314" s="6" t="s">
        <v>504</v>
      </c>
      <c r="F314" s="6" t="s">
        <v>473</v>
      </c>
      <c r="G314" s="6" t="s">
        <v>512</v>
      </c>
      <c r="H314" s="25">
        <v>4300000</v>
      </c>
      <c r="I314" s="6">
        <f t="shared" ca="1" si="20"/>
        <v>33</v>
      </c>
      <c r="J314" s="13" t="str">
        <f t="shared" ca="1" si="23"/>
        <v>정상</v>
      </c>
      <c r="K314" s="11"/>
      <c r="L314" s="11"/>
      <c r="M314" s="10"/>
      <c r="N314" s="10" t="s">
        <v>33</v>
      </c>
      <c r="Q314" s="11"/>
      <c r="R314" s="11"/>
      <c r="S314" s="10"/>
    </row>
    <row r="315" spans="2:19" s="6" customFormat="1" ht="16.5" customHeight="1">
      <c r="B315" s="10">
        <f>IF(C315="","",COUNTA($C$2:C315))</f>
        <v>314</v>
      </c>
      <c r="C315" s="11" t="s">
        <v>510</v>
      </c>
      <c r="D315" s="10" t="s">
        <v>178</v>
      </c>
      <c r="E315" s="6" t="s">
        <v>505</v>
      </c>
      <c r="F315" s="6" t="s">
        <v>474</v>
      </c>
      <c r="G315" s="6" t="s">
        <v>512</v>
      </c>
      <c r="H315" s="25">
        <v>550950</v>
      </c>
      <c r="I315" s="6">
        <f t="shared" ca="1" si="20"/>
        <v>33</v>
      </c>
      <c r="J315" s="13" t="str">
        <f t="shared" ca="1" si="23"/>
        <v>정상</v>
      </c>
      <c r="K315" s="11"/>
      <c r="L315" s="11"/>
      <c r="M315" s="10"/>
      <c r="N315" s="10" t="s">
        <v>33</v>
      </c>
      <c r="Q315" s="11"/>
      <c r="R315" s="11"/>
      <c r="S315" s="10"/>
    </row>
    <row r="316" spans="2:19" s="6" customFormat="1" ht="16.5" customHeight="1">
      <c r="B316" s="10">
        <f>IF(C316="","",COUNTA($C$2:C316))</f>
        <v>315</v>
      </c>
      <c r="C316" s="11" t="s">
        <v>510</v>
      </c>
      <c r="D316" s="10" t="s">
        <v>178</v>
      </c>
      <c r="E316" s="6" t="s">
        <v>506</v>
      </c>
      <c r="F316" s="6" t="s">
        <v>475</v>
      </c>
      <c r="G316" s="6" t="s">
        <v>512</v>
      </c>
      <c r="H316" s="25">
        <v>736000</v>
      </c>
      <c r="I316" s="6">
        <f t="shared" ca="1" si="20"/>
        <v>0</v>
      </c>
      <c r="J316" s="13" t="str">
        <f t="shared" ca="1" si="23"/>
        <v>정상</v>
      </c>
      <c r="K316" s="11"/>
      <c r="L316" s="11">
        <v>46115</v>
      </c>
      <c r="M316" s="10"/>
      <c r="N316" s="10" t="s">
        <v>33</v>
      </c>
      <c r="Q316" s="11"/>
      <c r="R316" s="11"/>
      <c r="S316" s="10"/>
    </row>
    <row r="317" spans="2:19" s="6" customFormat="1" ht="16.5" customHeight="1">
      <c r="B317" s="10">
        <f>IF(C317="","",COUNTA($C$2:C317))</f>
        <v>316</v>
      </c>
      <c r="C317" s="11" t="s">
        <v>510</v>
      </c>
      <c r="D317" s="10" t="s">
        <v>178</v>
      </c>
      <c r="E317" s="6" t="s">
        <v>128</v>
      </c>
      <c r="F317" s="6" t="s">
        <v>476</v>
      </c>
      <c r="G317" s="6" t="s">
        <v>512</v>
      </c>
      <c r="H317" s="25">
        <v>1432700</v>
      </c>
      <c r="I317" s="6">
        <f t="shared" ca="1" si="20"/>
        <v>3</v>
      </c>
      <c r="J317" s="13" t="str">
        <f t="shared" ca="1" si="23"/>
        <v>정상</v>
      </c>
      <c r="K317" s="11"/>
      <c r="L317" s="11">
        <v>46118</v>
      </c>
      <c r="M317" s="10"/>
      <c r="N317" s="10" t="s">
        <v>33</v>
      </c>
      <c r="Q317" s="11"/>
      <c r="R317" s="11"/>
      <c r="S317" s="10"/>
    </row>
    <row r="318" spans="2:19" s="6" customFormat="1" ht="16.5" customHeight="1">
      <c r="B318" s="10">
        <f>IF(C318="","",COUNTA($C$2:C318))</f>
        <v>317</v>
      </c>
      <c r="C318" s="11" t="s">
        <v>510</v>
      </c>
      <c r="D318" s="10" t="s">
        <v>178</v>
      </c>
      <c r="E318" s="6" t="s">
        <v>395</v>
      </c>
      <c r="F318" s="6" t="s">
        <v>477</v>
      </c>
      <c r="G318" s="6" t="s">
        <v>512</v>
      </c>
      <c r="H318" s="25">
        <v>18900000</v>
      </c>
      <c r="I318" s="6">
        <f t="shared" ref="I318:I381" ca="1" si="24">IF(C318="","",IF(L318="",TODAY()-C318,L318-C318))</f>
        <v>33</v>
      </c>
      <c r="J318" s="13" t="str">
        <f t="shared" ca="1" si="23"/>
        <v>정상</v>
      </c>
      <c r="K318" s="11"/>
      <c r="L318" s="11"/>
      <c r="M318" s="10"/>
      <c r="N318" s="10" t="s">
        <v>33</v>
      </c>
      <c r="Q318" s="11"/>
      <c r="R318" s="11"/>
      <c r="S318" s="10"/>
    </row>
    <row r="319" spans="2:19" s="6" customFormat="1" ht="16.5" customHeight="1">
      <c r="B319" s="10">
        <f>IF(C319="","",COUNTA($C$2:C319))</f>
        <v>318</v>
      </c>
      <c r="C319" s="11" t="s">
        <v>510</v>
      </c>
      <c r="D319" s="10" t="s">
        <v>178</v>
      </c>
      <c r="E319" s="6" t="s">
        <v>100</v>
      </c>
      <c r="F319" s="6" t="s">
        <v>478</v>
      </c>
      <c r="G319" s="6" t="s">
        <v>512</v>
      </c>
      <c r="H319" s="25">
        <v>1478000</v>
      </c>
      <c r="I319" s="6">
        <f t="shared" ca="1" si="24"/>
        <v>33</v>
      </c>
      <c r="J319" s="13" t="str">
        <f t="shared" ca="1" si="23"/>
        <v>정상</v>
      </c>
      <c r="K319" s="11"/>
      <c r="L319" s="11"/>
      <c r="M319" s="10"/>
      <c r="N319" s="10" t="s">
        <v>33</v>
      </c>
      <c r="Q319" s="11"/>
      <c r="R319" s="11"/>
      <c r="S319" s="10"/>
    </row>
    <row r="320" spans="2:19" s="6" customFormat="1" ht="16.5" customHeight="1">
      <c r="B320" s="10">
        <f>IF(C320="","",COUNTA($C$2:C320))</f>
        <v>319</v>
      </c>
      <c r="C320" s="11" t="s">
        <v>510</v>
      </c>
      <c r="D320" s="10" t="s">
        <v>178</v>
      </c>
      <c r="E320" s="6" t="s">
        <v>24</v>
      </c>
      <c r="F320" s="6" t="s">
        <v>433</v>
      </c>
      <c r="G320" s="6" t="s">
        <v>512</v>
      </c>
      <c r="H320" s="25">
        <v>2261000</v>
      </c>
      <c r="I320" s="6">
        <f t="shared" ca="1" si="24"/>
        <v>33</v>
      </c>
      <c r="J320" s="13" t="str">
        <f t="shared" ca="1" si="23"/>
        <v>정상</v>
      </c>
      <c r="K320" s="11"/>
      <c r="L320" s="11"/>
      <c r="M320" s="10"/>
      <c r="N320" s="10" t="s">
        <v>20</v>
      </c>
      <c r="O320" s="6" t="s">
        <v>58</v>
      </c>
      <c r="P320" s="6" t="s">
        <v>153</v>
      </c>
      <c r="Q320" s="11"/>
      <c r="R320" s="11"/>
      <c r="S320" s="10"/>
    </row>
    <row r="321" spans="2:19" s="6" customFormat="1" ht="16.5" customHeight="1">
      <c r="B321" s="10">
        <f>IF(C321="","",COUNTA($C$2:C321))</f>
        <v>320</v>
      </c>
      <c r="C321" s="11" t="s">
        <v>510</v>
      </c>
      <c r="D321" s="10" t="s">
        <v>178</v>
      </c>
      <c r="E321" s="6" t="s">
        <v>24</v>
      </c>
      <c r="F321" s="6" t="s">
        <v>433</v>
      </c>
      <c r="G321" s="6" t="s">
        <v>512</v>
      </c>
      <c r="H321" s="25">
        <v>5104500</v>
      </c>
      <c r="I321" s="6">
        <f t="shared" ca="1" si="24"/>
        <v>33</v>
      </c>
      <c r="J321" s="13" t="str">
        <f t="shared" ca="1" si="23"/>
        <v>정상</v>
      </c>
      <c r="K321" s="11"/>
      <c r="L321" s="11"/>
      <c r="M321" s="10"/>
      <c r="N321" s="10" t="s">
        <v>20</v>
      </c>
      <c r="O321" s="6" t="s">
        <v>58</v>
      </c>
      <c r="P321" s="6" t="s">
        <v>153</v>
      </c>
      <c r="Q321" s="11"/>
      <c r="R321" s="11"/>
      <c r="S321" s="10"/>
    </row>
    <row r="322" spans="2:19" s="6" customFormat="1" ht="16.5" customHeight="1">
      <c r="B322" s="10">
        <f>IF(C322="","",COUNTA($C$2:C322))</f>
        <v>321</v>
      </c>
      <c r="C322" s="11" t="s">
        <v>510</v>
      </c>
      <c r="D322" s="10" t="s">
        <v>178</v>
      </c>
      <c r="E322" s="6" t="s">
        <v>126</v>
      </c>
      <c r="F322" s="6" t="s">
        <v>479</v>
      </c>
      <c r="G322" s="6" t="s">
        <v>512</v>
      </c>
      <c r="H322" s="25">
        <v>1575000</v>
      </c>
      <c r="I322" s="6">
        <f t="shared" ca="1" si="24"/>
        <v>33</v>
      </c>
      <c r="J322" s="13" t="str">
        <f t="shared" ca="1" si="23"/>
        <v>정상</v>
      </c>
      <c r="K322" s="11"/>
      <c r="L322" s="11"/>
      <c r="M322" s="10"/>
      <c r="N322" s="10" t="s">
        <v>33</v>
      </c>
      <c r="Q322" s="11"/>
      <c r="R322" s="11"/>
      <c r="S322" s="10"/>
    </row>
    <row r="323" spans="2:19" s="6" customFormat="1" ht="16.5" customHeight="1">
      <c r="B323" s="10">
        <f>IF(C323="","",COUNTA($C$2:C323))</f>
        <v>322</v>
      </c>
      <c r="C323" s="11" t="s">
        <v>510</v>
      </c>
      <c r="D323" s="10" t="s">
        <v>178</v>
      </c>
      <c r="E323" s="6" t="s">
        <v>366</v>
      </c>
      <c r="F323" s="6" t="s">
        <v>480</v>
      </c>
      <c r="G323" s="6" t="s">
        <v>512</v>
      </c>
      <c r="H323" s="25">
        <v>16446000</v>
      </c>
      <c r="I323" s="6">
        <f t="shared" ca="1" si="24"/>
        <v>3</v>
      </c>
      <c r="J323" s="13" t="str">
        <f t="shared" ca="1" si="23"/>
        <v>정상</v>
      </c>
      <c r="K323" s="11"/>
      <c r="L323" s="11">
        <v>46118</v>
      </c>
      <c r="M323" s="10"/>
      <c r="N323" s="10" t="s">
        <v>33</v>
      </c>
      <c r="Q323" s="11"/>
      <c r="R323" s="11"/>
      <c r="S323" s="10"/>
    </row>
    <row r="324" spans="2:19" s="6" customFormat="1" ht="16.5" customHeight="1">
      <c r="B324" s="10">
        <f>IF(C324="","",COUNTA($C$2:C324))</f>
        <v>323</v>
      </c>
      <c r="C324" s="11" t="s">
        <v>510</v>
      </c>
      <c r="D324" s="10" t="s">
        <v>178</v>
      </c>
      <c r="E324" s="6" t="s">
        <v>207</v>
      </c>
      <c r="F324" s="6" t="s">
        <v>481</v>
      </c>
      <c r="G324" s="6" t="s">
        <v>512</v>
      </c>
      <c r="H324" s="25">
        <v>156900</v>
      </c>
      <c r="I324" s="6">
        <f t="shared" ca="1" si="24"/>
        <v>27</v>
      </c>
      <c r="J324" s="13" t="str">
        <f t="shared" ca="1" si="23"/>
        <v>정상</v>
      </c>
      <c r="K324" s="11">
        <v>46142</v>
      </c>
      <c r="L324" s="11">
        <v>46142</v>
      </c>
      <c r="M324" s="10"/>
      <c r="N324" s="10" t="s">
        <v>33</v>
      </c>
      <c r="Q324" s="11"/>
      <c r="R324" s="11"/>
      <c r="S324" s="10"/>
    </row>
    <row r="325" spans="2:19" s="6" customFormat="1" ht="16.5" customHeight="1">
      <c r="B325" s="10">
        <f>IF(C325="","",COUNTA($C$2:C325))</f>
        <v>324</v>
      </c>
      <c r="C325" s="11" t="s">
        <v>510</v>
      </c>
      <c r="D325" s="10" t="s">
        <v>178</v>
      </c>
      <c r="E325" s="6" t="s">
        <v>39</v>
      </c>
      <c r="F325" s="6" t="s">
        <v>482</v>
      </c>
      <c r="G325" s="6" t="s">
        <v>512</v>
      </c>
      <c r="H325" s="25">
        <v>2137500</v>
      </c>
      <c r="I325" s="6">
        <f t="shared" ca="1" si="24"/>
        <v>33</v>
      </c>
      <c r="J325" s="13" t="str">
        <f t="shared" ca="1" si="23"/>
        <v>정상</v>
      </c>
      <c r="K325" s="11"/>
      <c r="L325" s="11"/>
      <c r="M325" s="10"/>
      <c r="N325" s="10" t="s">
        <v>33</v>
      </c>
      <c r="Q325" s="11"/>
      <c r="R325" s="11"/>
      <c r="S325" s="10"/>
    </row>
    <row r="326" spans="2:19" s="6" customFormat="1" ht="16.5" customHeight="1">
      <c r="B326" s="10">
        <f>IF(C326="","",COUNTA($C$2:C326))</f>
        <v>325</v>
      </c>
      <c r="C326" s="11" t="s">
        <v>510</v>
      </c>
      <c r="D326" s="10" t="s">
        <v>178</v>
      </c>
      <c r="E326" s="6" t="s">
        <v>110</v>
      </c>
      <c r="F326" s="6" t="s">
        <v>483</v>
      </c>
      <c r="G326" s="6" t="s">
        <v>512</v>
      </c>
      <c r="H326" s="25">
        <v>1469400</v>
      </c>
      <c r="I326" s="6">
        <f t="shared" ca="1" si="24"/>
        <v>33</v>
      </c>
      <c r="J326" s="13" t="str">
        <f t="shared" ca="1" si="23"/>
        <v>정상</v>
      </c>
      <c r="K326" s="11"/>
      <c r="L326" s="11"/>
      <c r="M326" s="10"/>
      <c r="N326" s="10" t="s">
        <v>33</v>
      </c>
      <c r="Q326" s="11"/>
      <c r="R326" s="11"/>
      <c r="S326" s="10"/>
    </row>
    <row r="327" spans="2:19" s="6" customFormat="1" ht="16.5" customHeight="1">
      <c r="B327" s="10">
        <f>IF(C327="","",COUNTA($C$2:C327))</f>
        <v>326</v>
      </c>
      <c r="C327" s="11" t="s">
        <v>510</v>
      </c>
      <c r="D327" s="10" t="s">
        <v>178</v>
      </c>
      <c r="E327" s="6" t="s">
        <v>126</v>
      </c>
      <c r="F327" s="6" t="s">
        <v>479</v>
      </c>
      <c r="G327" s="6" t="s">
        <v>512</v>
      </c>
      <c r="H327" s="25">
        <v>24591000</v>
      </c>
      <c r="I327" s="6">
        <f t="shared" ca="1" si="24"/>
        <v>33</v>
      </c>
      <c r="J327" s="13" t="str">
        <f t="shared" ca="1" si="23"/>
        <v>정상</v>
      </c>
      <c r="K327" s="11"/>
      <c r="L327" s="11"/>
      <c r="M327" s="10"/>
      <c r="N327" s="10" t="s">
        <v>33</v>
      </c>
      <c r="Q327" s="11"/>
      <c r="R327" s="11"/>
      <c r="S327" s="10"/>
    </row>
    <row r="328" spans="2:19" s="6" customFormat="1" ht="16.5" customHeight="1">
      <c r="B328" s="10">
        <f>IF(C328="","",COUNTA($C$2:C328))</f>
        <v>327</v>
      </c>
      <c r="C328" s="11" t="s">
        <v>510</v>
      </c>
      <c r="D328" s="10" t="s">
        <v>178</v>
      </c>
      <c r="E328" s="6" t="s">
        <v>126</v>
      </c>
      <c r="F328" s="6" t="s">
        <v>484</v>
      </c>
      <c r="G328" s="6" t="s">
        <v>512</v>
      </c>
      <c r="H328" s="25">
        <v>4770000</v>
      </c>
      <c r="I328" s="6">
        <f t="shared" ca="1" si="24"/>
        <v>33</v>
      </c>
      <c r="J328" s="13" t="str">
        <f t="shared" ca="1" si="23"/>
        <v>정상</v>
      </c>
      <c r="K328" s="11"/>
      <c r="L328" s="11"/>
      <c r="M328" s="10"/>
      <c r="N328" s="10" t="s">
        <v>33</v>
      </c>
      <c r="Q328" s="11"/>
      <c r="R328" s="11"/>
      <c r="S328" s="10"/>
    </row>
    <row r="329" spans="2:19" s="6" customFormat="1" ht="16.5" customHeight="1">
      <c r="B329" s="10">
        <f>IF(C329="","",COUNTA($C$2:C329))</f>
        <v>328</v>
      </c>
      <c r="C329" s="11" t="s">
        <v>510</v>
      </c>
      <c r="D329" s="10" t="s">
        <v>178</v>
      </c>
      <c r="E329" s="6" t="s">
        <v>126</v>
      </c>
      <c r="F329" s="6" t="s">
        <v>485</v>
      </c>
      <c r="G329" s="6" t="s">
        <v>512</v>
      </c>
      <c r="H329" s="25">
        <v>5661500</v>
      </c>
      <c r="I329" s="6">
        <f t="shared" ca="1" si="24"/>
        <v>33</v>
      </c>
      <c r="J329" s="13" t="str">
        <f t="shared" ca="1" si="23"/>
        <v>정상</v>
      </c>
      <c r="K329" s="11"/>
      <c r="L329" s="11"/>
      <c r="M329" s="10"/>
      <c r="N329" s="10" t="s">
        <v>33</v>
      </c>
      <c r="Q329" s="11"/>
      <c r="R329" s="11"/>
      <c r="S329" s="10"/>
    </row>
    <row r="330" spans="2:19" s="6" customFormat="1" ht="16.5" customHeight="1">
      <c r="B330" s="10">
        <f>IF(C330="","",COUNTA($C$2:C330))</f>
        <v>329</v>
      </c>
      <c r="C330" s="11" t="s">
        <v>510</v>
      </c>
      <c r="D330" s="10" t="s">
        <v>178</v>
      </c>
      <c r="E330" s="6" t="s">
        <v>100</v>
      </c>
      <c r="F330" s="6" t="s">
        <v>478</v>
      </c>
      <c r="G330" s="6" t="s">
        <v>512</v>
      </c>
      <c r="H330" s="25">
        <v>1700000</v>
      </c>
      <c r="I330" s="6">
        <f t="shared" ca="1" si="24"/>
        <v>33</v>
      </c>
      <c r="J330" s="13" t="str">
        <f t="shared" ca="1" si="23"/>
        <v>정상</v>
      </c>
      <c r="K330" s="11"/>
      <c r="L330" s="11"/>
      <c r="M330" s="10"/>
      <c r="N330" s="10" t="s">
        <v>33</v>
      </c>
      <c r="Q330" s="11"/>
      <c r="R330" s="11"/>
      <c r="S330" s="10"/>
    </row>
    <row r="331" spans="2:19" s="6" customFormat="1" ht="16.5" customHeight="1">
      <c r="B331" s="10">
        <f>IF(C331="","",COUNTA($C$2:C331))</f>
        <v>330</v>
      </c>
      <c r="C331" s="11" t="s">
        <v>510</v>
      </c>
      <c r="D331" s="10" t="s">
        <v>178</v>
      </c>
      <c r="E331" s="6" t="s">
        <v>195</v>
      </c>
      <c r="F331" s="6" t="s">
        <v>486</v>
      </c>
      <c r="G331" s="6" t="s">
        <v>512</v>
      </c>
      <c r="H331" s="25">
        <v>5060000</v>
      </c>
      <c r="I331" s="6">
        <f t="shared" ca="1" si="24"/>
        <v>25</v>
      </c>
      <c r="J331" s="13" t="str">
        <f t="shared" ca="1" si="23"/>
        <v>정상</v>
      </c>
      <c r="K331" s="11"/>
      <c r="L331" s="11">
        <v>46140</v>
      </c>
      <c r="M331" s="10"/>
      <c r="N331" s="10" t="s">
        <v>33</v>
      </c>
      <c r="Q331" s="11"/>
      <c r="R331" s="11"/>
      <c r="S331" s="10"/>
    </row>
    <row r="332" spans="2:19" s="6" customFormat="1" ht="16.5" customHeight="1">
      <c r="B332" s="10">
        <f>IF(C332="","",COUNTA($C$2:C332))</f>
        <v>331</v>
      </c>
      <c r="C332" s="11" t="s">
        <v>510</v>
      </c>
      <c r="D332" s="10" t="s">
        <v>178</v>
      </c>
      <c r="E332" s="6" t="s">
        <v>163</v>
      </c>
      <c r="F332" s="6" t="s">
        <v>487</v>
      </c>
      <c r="G332" s="6" t="s">
        <v>512</v>
      </c>
      <c r="H332" s="25">
        <v>6050000</v>
      </c>
      <c r="I332" s="6">
        <f t="shared" ca="1" si="24"/>
        <v>4</v>
      </c>
      <c r="J332" s="13" t="str">
        <f t="shared" ca="1" si="23"/>
        <v>정상</v>
      </c>
      <c r="K332" s="11"/>
      <c r="L332" s="11">
        <v>46119</v>
      </c>
      <c r="M332" s="10"/>
      <c r="N332" s="10" t="s">
        <v>33</v>
      </c>
      <c r="Q332" s="11"/>
      <c r="R332" s="11"/>
      <c r="S332" s="10"/>
    </row>
    <row r="333" spans="2:19" s="6" customFormat="1" ht="16.5" customHeight="1">
      <c r="B333" s="10">
        <f>IF(C333="","",COUNTA($C$2:C333))</f>
        <v>332</v>
      </c>
      <c r="C333" s="11" t="s">
        <v>510</v>
      </c>
      <c r="D333" s="10" t="s">
        <v>178</v>
      </c>
      <c r="E333" s="6" t="s">
        <v>316</v>
      </c>
      <c r="F333" s="6" t="s">
        <v>488</v>
      </c>
      <c r="G333" s="6" t="s">
        <v>512</v>
      </c>
      <c r="H333" s="25">
        <v>585000</v>
      </c>
      <c r="I333" s="6">
        <f t="shared" ca="1" si="24"/>
        <v>33</v>
      </c>
      <c r="J333" s="13" t="str">
        <f t="shared" ca="1" si="23"/>
        <v>정상</v>
      </c>
      <c r="K333" s="11"/>
      <c r="L333" s="11"/>
      <c r="M333" s="10"/>
      <c r="N333" s="10" t="s">
        <v>33</v>
      </c>
      <c r="Q333" s="11"/>
      <c r="R333" s="11"/>
      <c r="S333" s="10"/>
    </row>
    <row r="334" spans="2:19" s="6" customFormat="1" ht="16.5" customHeight="1">
      <c r="B334" s="10">
        <f>IF(C334="","",COUNTA($C$2:C334))</f>
        <v>333</v>
      </c>
      <c r="C334" s="11" t="s">
        <v>510</v>
      </c>
      <c r="D334" s="10" t="s">
        <v>178</v>
      </c>
      <c r="E334" s="6" t="s">
        <v>434</v>
      </c>
      <c r="F334" s="6" t="s">
        <v>489</v>
      </c>
      <c r="G334" s="6" t="s">
        <v>512</v>
      </c>
      <c r="H334" s="25">
        <v>33428500</v>
      </c>
      <c r="I334" s="6">
        <f t="shared" ca="1" si="24"/>
        <v>33</v>
      </c>
      <c r="J334" s="13" t="str">
        <f t="shared" ca="1" si="23"/>
        <v>정상</v>
      </c>
      <c r="K334" s="11"/>
      <c r="L334" s="11"/>
      <c r="M334" s="10"/>
      <c r="N334" s="10" t="s">
        <v>33</v>
      </c>
      <c r="Q334" s="11"/>
      <c r="R334" s="11"/>
      <c r="S334" s="10"/>
    </row>
    <row r="335" spans="2:19" s="6" customFormat="1" ht="16.5" customHeight="1">
      <c r="B335" s="10">
        <f>IF(C335="","",COUNTA($C$2:C335))</f>
        <v>334</v>
      </c>
      <c r="C335" s="11" t="s">
        <v>511</v>
      </c>
      <c r="D335" s="10" t="s">
        <v>178</v>
      </c>
      <c r="E335" s="6" t="s">
        <v>461</v>
      </c>
      <c r="F335" s="6" t="s">
        <v>490</v>
      </c>
      <c r="G335" s="6" t="s">
        <v>512</v>
      </c>
      <c r="H335" s="25">
        <v>835000</v>
      </c>
      <c r="I335" s="6">
        <f t="shared" ca="1" si="24"/>
        <v>30</v>
      </c>
      <c r="J335" s="13" t="str">
        <f t="shared" ca="1" si="23"/>
        <v>정상</v>
      </c>
      <c r="K335" s="11"/>
      <c r="L335" s="11"/>
      <c r="M335" s="10"/>
      <c r="N335" s="10" t="s">
        <v>33</v>
      </c>
      <c r="Q335" s="11"/>
      <c r="R335" s="11"/>
      <c r="S335" s="10"/>
    </row>
    <row r="336" spans="2:19" s="6" customFormat="1" ht="16.5" customHeight="1">
      <c r="B336" s="10">
        <f>IF(C336="","",COUNTA($C$2:C336))</f>
        <v>335</v>
      </c>
      <c r="C336" s="11" t="s">
        <v>511</v>
      </c>
      <c r="D336" s="10" t="s">
        <v>178</v>
      </c>
      <c r="E336" s="6" t="s">
        <v>507</v>
      </c>
      <c r="F336" s="6" t="s">
        <v>491</v>
      </c>
      <c r="G336" s="6" t="s">
        <v>512</v>
      </c>
      <c r="H336" s="25">
        <v>1295800</v>
      </c>
      <c r="I336" s="6">
        <f t="shared" ca="1" si="24"/>
        <v>24</v>
      </c>
      <c r="J336" s="13" t="str">
        <f t="shared" ca="1" si="23"/>
        <v>정상</v>
      </c>
      <c r="K336" s="11"/>
      <c r="L336" s="11">
        <v>46142</v>
      </c>
      <c r="M336" s="10"/>
      <c r="N336" s="10" t="s">
        <v>33</v>
      </c>
      <c r="Q336" s="11"/>
      <c r="R336" s="11"/>
      <c r="S336" s="10"/>
    </row>
    <row r="337" spans="2:19" s="6" customFormat="1" ht="16.5" customHeight="1">
      <c r="B337" s="10">
        <f>IF(C337="","",COUNTA($C$2:C337))</f>
        <v>336</v>
      </c>
      <c r="C337" s="11" t="s">
        <v>511</v>
      </c>
      <c r="D337" s="10" t="s">
        <v>178</v>
      </c>
      <c r="E337" s="6" t="s">
        <v>126</v>
      </c>
      <c r="F337" s="6" t="s">
        <v>485</v>
      </c>
      <c r="G337" s="6" t="s">
        <v>512</v>
      </c>
      <c r="H337" s="25">
        <v>3180000</v>
      </c>
      <c r="I337" s="6">
        <f t="shared" ca="1" si="24"/>
        <v>30</v>
      </c>
      <c r="J337" s="13" t="str">
        <f t="shared" ca="1" si="23"/>
        <v>정상</v>
      </c>
      <c r="K337" s="11"/>
      <c r="L337" s="11"/>
      <c r="M337" s="10"/>
      <c r="N337" s="10" t="s">
        <v>33</v>
      </c>
      <c r="Q337" s="11"/>
      <c r="R337" s="11"/>
      <c r="S337" s="10"/>
    </row>
    <row r="338" spans="2:19" s="6" customFormat="1" ht="16.5" customHeight="1">
      <c r="B338" s="10">
        <f>IF(C338="","",COUNTA($C$2:C338))</f>
        <v>337</v>
      </c>
      <c r="C338" s="11" t="s">
        <v>511</v>
      </c>
      <c r="D338" s="10" t="s">
        <v>178</v>
      </c>
      <c r="E338" s="6" t="s">
        <v>434</v>
      </c>
      <c r="F338" s="6" t="s">
        <v>492</v>
      </c>
      <c r="G338" s="6" t="s">
        <v>512</v>
      </c>
      <c r="H338" s="25">
        <v>40027000</v>
      </c>
      <c r="I338" s="6">
        <f t="shared" ca="1" si="24"/>
        <v>30</v>
      </c>
      <c r="J338" s="13" t="str">
        <f t="shared" ca="1" si="23"/>
        <v>정상</v>
      </c>
      <c r="K338" s="11"/>
      <c r="L338" s="11"/>
      <c r="M338" s="10"/>
      <c r="N338" s="10" t="s">
        <v>33</v>
      </c>
      <c r="Q338" s="11"/>
      <c r="R338" s="11"/>
      <c r="S338" s="10"/>
    </row>
    <row r="339" spans="2:19" s="6" customFormat="1" ht="16.5" customHeight="1">
      <c r="B339" s="10">
        <f>IF(C339="","",COUNTA($C$2:C339))</f>
        <v>338</v>
      </c>
      <c r="C339" s="11" t="s">
        <v>511</v>
      </c>
      <c r="D339" s="10" t="s">
        <v>178</v>
      </c>
      <c r="E339" s="6" t="s">
        <v>83</v>
      </c>
      <c r="F339" s="6" t="s">
        <v>493</v>
      </c>
      <c r="G339" s="6" t="s">
        <v>512</v>
      </c>
      <c r="H339" s="25">
        <v>63450600</v>
      </c>
      <c r="I339" s="6">
        <f t="shared" ca="1" si="24"/>
        <v>30</v>
      </c>
      <c r="J339" s="13" t="str">
        <f t="shared" ca="1" si="23"/>
        <v>정상</v>
      </c>
      <c r="K339" s="11"/>
      <c r="L339" s="11"/>
      <c r="M339" s="10"/>
      <c r="N339" s="10" t="s">
        <v>33</v>
      </c>
      <c r="Q339" s="11"/>
      <c r="R339" s="11"/>
      <c r="S339" s="10"/>
    </row>
    <row r="340" spans="2:19" s="6" customFormat="1" ht="16.5" customHeight="1">
      <c r="B340" s="10">
        <f>IF(C340="","",COUNTA($C$2:C340))</f>
        <v>339</v>
      </c>
      <c r="C340" s="11" t="s">
        <v>511</v>
      </c>
      <c r="D340" s="10" t="s">
        <v>178</v>
      </c>
      <c r="E340" s="6" t="s">
        <v>220</v>
      </c>
      <c r="F340" s="6" t="s">
        <v>215</v>
      </c>
      <c r="G340" s="6" t="s">
        <v>512</v>
      </c>
      <c r="H340" s="25">
        <v>3060000</v>
      </c>
      <c r="I340" s="6">
        <f t="shared" ca="1" si="24"/>
        <v>4</v>
      </c>
      <c r="J340" s="13" t="str">
        <f t="shared" ca="1" si="23"/>
        <v>정상</v>
      </c>
      <c r="K340" s="11"/>
      <c r="L340" s="11">
        <v>46122</v>
      </c>
      <c r="M340" s="10"/>
      <c r="N340" s="10" t="s">
        <v>33</v>
      </c>
      <c r="Q340" s="11"/>
      <c r="R340" s="11"/>
      <c r="S340" s="10"/>
    </row>
    <row r="341" spans="2:19" s="6" customFormat="1" ht="16.5" customHeight="1">
      <c r="B341" s="10">
        <f>IF(C341="","",COUNTA($C$2:C341))</f>
        <v>340</v>
      </c>
      <c r="C341" s="11" t="s">
        <v>511</v>
      </c>
      <c r="D341" s="10" t="s">
        <v>178</v>
      </c>
      <c r="E341" s="6" t="s">
        <v>195</v>
      </c>
      <c r="F341" s="6" t="s">
        <v>486</v>
      </c>
      <c r="G341" s="6" t="s">
        <v>512</v>
      </c>
      <c r="H341" s="25">
        <v>310800</v>
      </c>
      <c r="I341" s="6">
        <f t="shared" ca="1" si="24"/>
        <v>9</v>
      </c>
      <c r="J341" s="13" t="str">
        <f t="shared" ca="1" si="23"/>
        <v>정상</v>
      </c>
      <c r="K341" s="11"/>
      <c r="L341" s="11">
        <v>46127</v>
      </c>
      <c r="M341" s="10"/>
      <c r="N341" s="10" t="s">
        <v>33</v>
      </c>
      <c r="Q341" s="11"/>
      <c r="R341" s="11"/>
      <c r="S341" s="10"/>
    </row>
    <row r="342" spans="2:19" s="6" customFormat="1" ht="16.5" customHeight="1">
      <c r="B342" s="10">
        <f>IF(C342="","",COUNTA($C$2:C342))</f>
        <v>341</v>
      </c>
      <c r="C342" s="11" t="s">
        <v>511</v>
      </c>
      <c r="D342" s="10" t="s">
        <v>178</v>
      </c>
      <c r="E342" s="6" t="s">
        <v>30</v>
      </c>
      <c r="F342" s="6" t="s">
        <v>494</v>
      </c>
      <c r="G342" s="6" t="s">
        <v>512</v>
      </c>
      <c r="H342" s="25">
        <v>381000</v>
      </c>
      <c r="I342" s="6">
        <f t="shared" ca="1" si="24"/>
        <v>24</v>
      </c>
      <c r="J342" s="13" t="str">
        <f t="shared" ca="1" si="23"/>
        <v>정상</v>
      </c>
      <c r="K342" s="11"/>
      <c r="L342" s="11">
        <v>46142</v>
      </c>
      <c r="M342" s="10"/>
      <c r="N342" s="10" t="s">
        <v>33</v>
      </c>
      <c r="Q342" s="11"/>
      <c r="R342" s="11"/>
      <c r="S342" s="10"/>
    </row>
    <row r="343" spans="2:19" s="6" customFormat="1" ht="16.5" customHeight="1">
      <c r="B343" s="10">
        <f>IF(C343="","",COUNTA($C$2:C343))</f>
        <v>342</v>
      </c>
      <c r="C343" s="11" t="s">
        <v>511</v>
      </c>
      <c r="D343" s="10" t="s">
        <v>178</v>
      </c>
      <c r="E343" s="6" t="s">
        <v>508</v>
      </c>
      <c r="F343" s="6" t="s">
        <v>495</v>
      </c>
      <c r="G343" s="6" t="s">
        <v>512</v>
      </c>
      <c r="H343" s="25">
        <v>295000</v>
      </c>
      <c r="I343" s="6">
        <f t="shared" ca="1" si="24"/>
        <v>30</v>
      </c>
      <c r="J343" s="13" t="str">
        <f t="shared" ca="1" si="23"/>
        <v>정상</v>
      </c>
      <c r="K343" s="11"/>
      <c r="L343" s="11"/>
      <c r="M343" s="10"/>
      <c r="N343" s="10" t="s">
        <v>33</v>
      </c>
      <c r="Q343" s="11"/>
      <c r="R343" s="11"/>
      <c r="S343" s="10"/>
    </row>
    <row r="344" spans="2:19" s="6" customFormat="1" ht="16.5" customHeight="1">
      <c r="B344" s="10">
        <f>IF(C344="","",COUNTA($C$2:C344))</f>
        <v>343</v>
      </c>
      <c r="C344" s="11" t="s">
        <v>511</v>
      </c>
      <c r="D344" s="10" t="s">
        <v>178</v>
      </c>
      <c r="E344" s="6" t="s">
        <v>207</v>
      </c>
      <c r="F344" s="6" t="s">
        <v>496</v>
      </c>
      <c r="G344" s="6" t="s">
        <v>512</v>
      </c>
      <c r="H344" s="25">
        <v>5664000</v>
      </c>
      <c r="I344" s="6">
        <f t="shared" ca="1" si="24"/>
        <v>24</v>
      </c>
      <c r="J344" s="13" t="str">
        <f t="shared" ca="1" si="23"/>
        <v>정상</v>
      </c>
      <c r="K344" s="11"/>
      <c r="L344" s="11">
        <v>46142</v>
      </c>
      <c r="M344" s="10"/>
      <c r="N344" s="10" t="s">
        <v>33</v>
      </c>
      <c r="Q344" s="11"/>
      <c r="R344" s="11"/>
      <c r="S344" s="10"/>
    </row>
    <row r="345" spans="2:19" s="6" customFormat="1" ht="16.5" customHeight="1">
      <c r="B345" s="10">
        <f>IF(C345="","",COUNTA($C$2:C345))</f>
        <v>344</v>
      </c>
      <c r="C345" s="11" t="s">
        <v>511</v>
      </c>
      <c r="D345" s="10" t="s">
        <v>178</v>
      </c>
      <c r="E345" s="6" t="s">
        <v>17</v>
      </c>
      <c r="F345" s="6" t="s">
        <v>497</v>
      </c>
      <c r="G345" s="6" t="s">
        <v>512</v>
      </c>
      <c r="H345" s="25">
        <v>216900</v>
      </c>
      <c r="I345" s="6">
        <f t="shared" ca="1" si="24"/>
        <v>1</v>
      </c>
      <c r="J345" s="13" t="str">
        <f t="shared" ca="1" si="23"/>
        <v>정상</v>
      </c>
      <c r="K345" s="11"/>
      <c r="L345" s="11">
        <v>46119</v>
      </c>
      <c r="M345" s="10"/>
      <c r="N345" s="10" t="s">
        <v>33</v>
      </c>
      <c r="Q345" s="11"/>
      <c r="R345" s="11"/>
      <c r="S345" s="10"/>
    </row>
    <row r="346" spans="2:19" s="6" customFormat="1" ht="16.5" customHeight="1">
      <c r="B346" s="10">
        <f>IF(C346="","",COUNTA($C$2:C346))</f>
        <v>345</v>
      </c>
      <c r="C346" s="11" t="s">
        <v>511</v>
      </c>
      <c r="D346" s="10" t="s">
        <v>178</v>
      </c>
      <c r="E346" s="6" t="s">
        <v>24</v>
      </c>
      <c r="F346" s="6" t="s">
        <v>107</v>
      </c>
      <c r="G346" s="6" t="s">
        <v>512</v>
      </c>
      <c r="H346" s="25">
        <v>4160000</v>
      </c>
      <c r="I346" s="6">
        <f t="shared" ca="1" si="24"/>
        <v>30</v>
      </c>
      <c r="J346" s="13" t="str">
        <f t="shared" ca="1" si="23"/>
        <v>정상</v>
      </c>
      <c r="K346" s="11"/>
      <c r="L346" s="11"/>
      <c r="M346" s="10"/>
      <c r="N346" s="10" t="s">
        <v>20</v>
      </c>
      <c r="O346" s="6" t="s">
        <v>58</v>
      </c>
      <c r="P346" s="6" t="s">
        <v>153</v>
      </c>
      <c r="Q346" s="11"/>
      <c r="R346" s="11"/>
      <c r="S346" s="10"/>
    </row>
    <row r="347" spans="2:19" s="6" customFormat="1" ht="16.5" customHeight="1">
      <c r="B347" s="10">
        <f>IF(C347="","",COUNTA($C$2:C347))</f>
        <v>346</v>
      </c>
      <c r="C347" s="11" t="s">
        <v>511</v>
      </c>
      <c r="D347" s="10" t="s">
        <v>178</v>
      </c>
      <c r="E347" s="6" t="s">
        <v>26</v>
      </c>
      <c r="F347" s="6" t="s">
        <v>498</v>
      </c>
      <c r="G347" s="6" t="s">
        <v>512</v>
      </c>
      <c r="H347" s="25">
        <v>1460000</v>
      </c>
      <c r="I347" s="6">
        <f t="shared" ca="1" si="24"/>
        <v>30</v>
      </c>
      <c r="J347" s="13" t="str">
        <f t="shared" ca="1" si="23"/>
        <v>정상</v>
      </c>
      <c r="K347" s="11"/>
      <c r="L347" s="11"/>
      <c r="M347" s="10"/>
      <c r="N347" s="10" t="s">
        <v>33</v>
      </c>
      <c r="P347" s="6" t="s">
        <v>80</v>
      </c>
      <c r="Q347" s="11"/>
      <c r="R347" s="11"/>
      <c r="S347" s="10"/>
    </row>
    <row r="348" spans="2:19" s="6" customFormat="1" ht="16.5" customHeight="1">
      <c r="B348" s="10">
        <f>IF(C348="","",COUNTA($C$2:C348))</f>
        <v>347</v>
      </c>
      <c r="C348" s="11" t="s">
        <v>511</v>
      </c>
      <c r="D348" s="10" t="s">
        <v>178</v>
      </c>
      <c r="E348" s="6" t="s">
        <v>26</v>
      </c>
      <c r="F348" s="6" t="s">
        <v>499</v>
      </c>
      <c r="G348" s="6" t="s">
        <v>512</v>
      </c>
      <c r="H348" s="25">
        <v>720000</v>
      </c>
      <c r="I348" s="6">
        <f t="shared" ca="1" si="24"/>
        <v>30</v>
      </c>
      <c r="J348" s="13" t="str">
        <f t="shared" ca="1" si="23"/>
        <v>정상</v>
      </c>
      <c r="K348" s="11"/>
      <c r="L348" s="11"/>
      <c r="M348" s="10"/>
      <c r="N348" s="10" t="s">
        <v>33</v>
      </c>
      <c r="P348" s="6" t="s">
        <v>80</v>
      </c>
      <c r="Q348" s="11"/>
      <c r="R348" s="11"/>
      <c r="S348" s="10"/>
    </row>
    <row r="349" spans="2:19" s="6" customFormat="1" ht="16.5" customHeight="1">
      <c r="B349" s="10">
        <f>IF(C349="","",COUNTA($C$2:C349))</f>
        <v>348</v>
      </c>
      <c r="C349" s="11" t="s">
        <v>511</v>
      </c>
      <c r="D349" s="10" t="s">
        <v>178</v>
      </c>
      <c r="E349" s="6" t="s">
        <v>375</v>
      </c>
      <c r="F349" s="6" t="s">
        <v>500</v>
      </c>
      <c r="G349" s="6" t="s">
        <v>512</v>
      </c>
      <c r="H349" s="25">
        <v>3380000</v>
      </c>
      <c r="I349" s="6">
        <f t="shared" ca="1" si="24"/>
        <v>9</v>
      </c>
      <c r="J349" s="13" t="str">
        <f t="shared" ca="1" si="23"/>
        <v>정상</v>
      </c>
      <c r="K349" s="11"/>
      <c r="L349" s="11">
        <v>46127</v>
      </c>
      <c r="M349" s="10"/>
      <c r="N349" s="10" t="s">
        <v>33</v>
      </c>
      <c r="Q349" s="11"/>
      <c r="R349" s="11"/>
      <c r="S349" s="10"/>
    </row>
    <row r="350" spans="2:19" s="6" customFormat="1" ht="16.5" customHeight="1">
      <c r="B350" s="10">
        <f>IF(C350="","",COUNTA($C$2:C350))</f>
        <v>349</v>
      </c>
      <c r="C350" s="11" t="s">
        <v>511</v>
      </c>
      <c r="D350" s="10" t="s">
        <v>178</v>
      </c>
      <c r="E350" s="6" t="s">
        <v>126</v>
      </c>
      <c r="F350" s="6" t="s">
        <v>501</v>
      </c>
      <c r="G350" s="6" t="s">
        <v>512</v>
      </c>
      <c r="H350" s="25">
        <v>1230000</v>
      </c>
      <c r="I350" s="6">
        <f t="shared" ca="1" si="24"/>
        <v>30</v>
      </c>
      <c r="J350" s="13" t="str">
        <f t="shared" ref="J350:J410" ca="1" si="25">IF(I350="","",
 IF(G350="선급금",
   IF(I350&lt;=20,"정상",IF(I350&lt;=90,"관리","장기미수")),
 IF(G350="자재",
   IF(I350&lt;=40,"정상",IF(I350&lt;=90,"관리","장기미수")),
   IF(I350&lt;=30,"정상",IF(I350&lt;=90,"관리","장기미수"))
  )
 )
)</f>
        <v>정상</v>
      </c>
      <c r="K350" s="11"/>
      <c r="L350" s="11"/>
      <c r="M350" s="10"/>
      <c r="N350" s="10" t="s">
        <v>33</v>
      </c>
      <c r="Q350" s="11"/>
      <c r="R350" s="11"/>
      <c r="S350" s="10"/>
    </row>
    <row r="351" spans="2:19" s="6" customFormat="1" ht="16.5" customHeight="1">
      <c r="B351" s="10">
        <f>IF(C351="","",COUNTA($C$2:C351))</f>
        <v>350</v>
      </c>
      <c r="C351" s="11" t="s">
        <v>511</v>
      </c>
      <c r="D351" s="10" t="s">
        <v>178</v>
      </c>
      <c r="E351" s="6" t="s">
        <v>100</v>
      </c>
      <c r="F351" s="6" t="s">
        <v>478</v>
      </c>
      <c r="G351" s="6" t="s">
        <v>512</v>
      </c>
      <c r="H351" s="25">
        <v>2378500</v>
      </c>
      <c r="I351" s="6">
        <f t="shared" ca="1" si="24"/>
        <v>30</v>
      </c>
      <c r="J351" s="13" t="str">
        <f t="shared" ca="1" si="25"/>
        <v>정상</v>
      </c>
      <c r="K351" s="11"/>
      <c r="L351" s="11"/>
      <c r="M351" s="10"/>
      <c r="N351" s="10" t="s">
        <v>33</v>
      </c>
      <c r="Q351" s="11"/>
      <c r="R351" s="11"/>
      <c r="S351" s="10"/>
    </row>
    <row r="352" spans="2:19" s="6" customFormat="1" ht="16.5" customHeight="1">
      <c r="B352" s="10">
        <f>IF(C352="","",COUNTA($C$2:C352))</f>
        <v>351</v>
      </c>
      <c r="C352" s="11" t="s">
        <v>511</v>
      </c>
      <c r="D352" s="10" t="s">
        <v>178</v>
      </c>
      <c r="E352" s="6" t="s">
        <v>434</v>
      </c>
      <c r="F352" s="6" t="s">
        <v>492</v>
      </c>
      <c r="G352" s="6" t="s">
        <v>512</v>
      </c>
      <c r="H352" s="25">
        <v>957000</v>
      </c>
      <c r="I352" s="6">
        <f t="shared" ca="1" si="24"/>
        <v>30</v>
      </c>
      <c r="J352" s="13" t="str">
        <f t="shared" ca="1" si="25"/>
        <v>정상</v>
      </c>
      <c r="K352" s="11"/>
      <c r="L352" s="11"/>
      <c r="M352" s="10"/>
      <c r="N352" s="10" t="s">
        <v>33</v>
      </c>
      <c r="Q352" s="11"/>
      <c r="R352" s="11"/>
      <c r="S352" s="10"/>
    </row>
    <row r="353" spans="2:19" s="6" customFormat="1" ht="16.5" customHeight="1">
      <c r="B353" s="10">
        <f>IF(C353="","",COUNTA($C$2:C353))</f>
        <v>352</v>
      </c>
      <c r="C353" s="11" t="s">
        <v>511</v>
      </c>
      <c r="D353" s="10" t="s">
        <v>178</v>
      </c>
      <c r="E353" s="6" t="s">
        <v>56</v>
      </c>
      <c r="F353" s="6" t="s">
        <v>502</v>
      </c>
      <c r="G353" s="6" t="s">
        <v>512</v>
      </c>
      <c r="H353" s="25">
        <v>2975000</v>
      </c>
      <c r="I353" s="6">
        <f t="shared" ca="1" si="24"/>
        <v>30</v>
      </c>
      <c r="J353" s="13" t="str">
        <f t="shared" ca="1" si="25"/>
        <v>정상</v>
      </c>
      <c r="K353" s="11"/>
      <c r="L353" s="11"/>
      <c r="M353" s="10"/>
      <c r="N353" s="10" t="s">
        <v>33</v>
      </c>
      <c r="Q353" s="11"/>
      <c r="R353" s="11"/>
      <c r="S353" s="10"/>
    </row>
    <row r="354" spans="2:19" s="6" customFormat="1" ht="16.5" customHeight="1">
      <c r="B354" s="10">
        <f>IF(C354="","",COUNTA($C$2:C354))</f>
        <v>353</v>
      </c>
      <c r="C354" s="11">
        <v>46115</v>
      </c>
      <c r="D354" s="10" t="s">
        <v>243</v>
      </c>
      <c r="E354" s="6" t="s">
        <v>513</v>
      </c>
      <c r="F354" s="6" t="s">
        <v>417</v>
      </c>
      <c r="G354" s="6" t="s">
        <v>514</v>
      </c>
      <c r="H354" s="4">
        <v>22230800</v>
      </c>
      <c r="I354" s="6">
        <f t="shared" ca="1" si="24"/>
        <v>12</v>
      </c>
      <c r="J354" s="13" t="str">
        <f t="shared" ca="1" si="25"/>
        <v>정상</v>
      </c>
      <c r="K354" s="11"/>
      <c r="L354" s="11">
        <v>46127</v>
      </c>
      <c r="M354" s="10"/>
      <c r="N354" s="10" t="s">
        <v>33</v>
      </c>
      <c r="Q354" s="11"/>
      <c r="R354" s="11"/>
      <c r="S354" s="10"/>
    </row>
    <row r="355" spans="2:19" s="6" customFormat="1" ht="16.5" customHeight="1">
      <c r="B355" s="10">
        <f>IF(C355="","",COUNTA($C$2:C355))</f>
        <v>354</v>
      </c>
      <c r="C355" s="11">
        <v>46118</v>
      </c>
      <c r="D355" s="10" t="s">
        <v>243</v>
      </c>
      <c r="E355" s="6" t="s">
        <v>270</v>
      </c>
      <c r="F355" s="6" t="s">
        <v>515</v>
      </c>
      <c r="G355" s="6" t="s">
        <v>516</v>
      </c>
      <c r="H355" s="4">
        <v>26011000</v>
      </c>
      <c r="I355" s="6">
        <f t="shared" ca="1" si="24"/>
        <v>30</v>
      </c>
      <c r="J355" s="13" t="str">
        <f t="shared" ca="1" si="25"/>
        <v>정상</v>
      </c>
      <c r="K355" s="11"/>
      <c r="L355" s="11"/>
      <c r="M355" s="10"/>
      <c r="N355" s="10" t="s">
        <v>33</v>
      </c>
      <c r="Q355" s="11"/>
      <c r="R355" s="11"/>
      <c r="S355" s="10"/>
    </row>
    <row r="356" spans="2:19" s="6" customFormat="1" ht="16.5" customHeight="1">
      <c r="B356" s="10">
        <f>IF(C356="","",COUNTA($C$2:C356))</f>
        <v>355</v>
      </c>
      <c r="C356" s="11">
        <v>46113</v>
      </c>
      <c r="D356" s="10" t="s">
        <v>243</v>
      </c>
      <c r="E356" s="6" t="s">
        <v>228</v>
      </c>
      <c r="F356" s="6" t="s">
        <v>225</v>
      </c>
      <c r="G356" s="6" t="s">
        <v>517</v>
      </c>
      <c r="H356" s="4">
        <v>22092800</v>
      </c>
      <c r="I356" s="6">
        <f t="shared" ca="1" si="24"/>
        <v>23</v>
      </c>
      <c r="J356" s="13" t="str">
        <f t="shared" ca="1" si="25"/>
        <v>정상</v>
      </c>
      <c r="K356" s="11"/>
      <c r="L356" s="11">
        <v>46136</v>
      </c>
      <c r="M356" s="10"/>
      <c r="N356" s="10" t="s">
        <v>33</v>
      </c>
      <c r="Q356" s="11"/>
      <c r="R356" s="11"/>
      <c r="S356" s="10"/>
    </row>
    <row r="357" spans="2:19" s="6" customFormat="1" ht="16.5" customHeight="1">
      <c r="B357" s="10">
        <f>IF(C357="","",COUNTA($C$2:C357))</f>
        <v>356</v>
      </c>
      <c r="C357" s="11">
        <v>46118</v>
      </c>
      <c r="D357" s="10" t="s">
        <v>243</v>
      </c>
      <c r="E357" s="6" t="s">
        <v>207</v>
      </c>
      <c r="F357" s="6" t="s">
        <v>518</v>
      </c>
      <c r="G357" s="6" t="s">
        <v>531</v>
      </c>
      <c r="H357" s="4">
        <v>10316800</v>
      </c>
      <c r="I357" s="6">
        <f t="shared" ca="1" si="24"/>
        <v>30</v>
      </c>
      <c r="J357" s="13" t="str">
        <f t="shared" ca="1" si="25"/>
        <v>정상</v>
      </c>
      <c r="K357" s="11"/>
      <c r="L357" s="11"/>
      <c r="M357" s="10"/>
      <c r="N357" s="10" t="s">
        <v>33</v>
      </c>
      <c r="Q357" s="11"/>
      <c r="R357" s="11"/>
      <c r="S357" s="10"/>
    </row>
    <row r="358" spans="2:19" s="6" customFormat="1" ht="16.5" customHeight="1">
      <c r="B358" s="10">
        <f>IF(C358="","",COUNTA($C$2:C358))</f>
        <v>357</v>
      </c>
      <c r="C358" s="11">
        <v>46115</v>
      </c>
      <c r="D358" s="10" t="s">
        <v>243</v>
      </c>
      <c r="E358" s="6" t="s">
        <v>519</v>
      </c>
      <c r="F358" s="6" t="s">
        <v>272</v>
      </c>
      <c r="G358" s="6" t="s">
        <v>520</v>
      </c>
      <c r="H358" s="4">
        <v>39444000</v>
      </c>
      <c r="I358" s="6">
        <f t="shared" ca="1" si="24"/>
        <v>12</v>
      </c>
      <c r="J358" s="13" t="str">
        <f t="shared" ca="1" si="25"/>
        <v>정상</v>
      </c>
      <c r="K358" s="11"/>
      <c r="L358" s="11">
        <v>46127</v>
      </c>
      <c r="M358" s="10"/>
      <c r="N358" s="10" t="s">
        <v>33</v>
      </c>
      <c r="Q358" s="11"/>
      <c r="R358" s="11"/>
      <c r="S358" s="10"/>
    </row>
    <row r="359" spans="2:19" s="6" customFormat="1" ht="16.5" customHeight="1">
      <c r="B359" s="10">
        <f>IF(C359="","",COUNTA($C$2:C359))</f>
        <v>358</v>
      </c>
      <c r="C359" s="11">
        <v>46115</v>
      </c>
      <c r="D359" s="10" t="s">
        <v>243</v>
      </c>
      <c r="E359" s="6" t="s">
        <v>521</v>
      </c>
      <c r="F359" s="6" t="s">
        <v>340</v>
      </c>
      <c r="G359" s="6" t="s">
        <v>520</v>
      </c>
      <c r="H359" s="4">
        <v>36998800</v>
      </c>
      <c r="I359" s="6">
        <f t="shared" ca="1" si="24"/>
        <v>27</v>
      </c>
      <c r="J359" s="13" t="str">
        <f t="shared" ca="1" si="25"/>
        <v>정상</v>
      </c>
      <c r="K359" s="11">
        <v>46142</v>
      </c>
      <c r="L359" s="11">
        <v>46142</v>
      </c>
      <c r="M359" s="10"/>
      <c r="N359" s="10" t="s">
        <v>33</v>
      </c>
      <c r="Q359" s="11"/>
      <c r="R359" s="11"/>
      <c r="S359" s="10"/>
    </row>
    <row r="360" spans="2:19" s="6" customFormat="1" ht="16.5" customHeight="1">
      <c r="B360" s="10">
        <f>IF(C360="","",COUNTA($C$2:C360))</f>
        <v>359</v>
      </c>
      <c r="C360" s="11">
        <v>46115</v>
      </c>
      <c r="D360" s="10" t="str">
        <f t="shared" ref="D360:D364" si="26">IF(G360="","",IF(OR(G360="선급금",G360="중도금",G360="잔금"),"A",IF(G360="자재","B",IF(G360="특허료","C",""))))</f>
        <v>A</v>
      </c>
      <c r="E360" s="6" t="s">
        <v>374</v>
      </c>
      <c r="F360" s="6" t="s">
        <v>371</v>
      </c>
      <c r="G360" s="6" t="s">
        <v>520</v>
      </c>
      <c r="H360" s="4">
        <v>18059200</v>
      </c>
      <c r="I360" s="6">
        <f t="shared" ca="1" si="24"/>
        <v>33</v>
      </c>
      <c r="J360" s="13" t="str">
        <f t="shared" ca="1" si="25"/>
        <v>관리</v>
      </c>
      <c r="K360" s="11"/>
      <c r="L360" s="11"/>
      <c r="M360" s="10"/>
      <c r="N360" s="10" t="s">
        <v>33</v>
      </c>
      <c r="Q360" s="11"/>
      <c r="R360" s="11"/>
      <c r="S360" s="10"/>
    </row>
    <row r="361" spans="2:19" s="6" customFormat="1" ht="16.5" customHeight="1">
      <c r="B361" s="10">
        <f>IF(C361="","",COUNTA($C$2:C361))</f>
        <v>360</v>
      </c>
      <c r="C361" s="11">
        <v>46113</v>
      </c>
      <c r="D361" s="10" t="str">
        <f t="shared" si="26"/>
        <v>A</v>
      </c>
      <c r="E361" s="6" t="s">
        <v>375</v>
      </c>
      <c r="F361" s="6" t="s">
        <v>372</v>
      </c>
      <c r="G361" s="6" t="s">
        <v>520</v>
      </c>
      <c r="H361" s="4">
        <v>12968800</v>
      </c>
      <c r="I361" s="6">
        <f t="shared" ca="1" si="24"/>
        <v>14</v>
      </c>
      <c r="J361" s="13" t="str">
        <f t="shared" ca="1" si="25"/>
        <v>정상</v>
      </c>
      <c r="K361" s="11">
        <v>46127</v>
      </c>
      <c r="L361" s="11">
        <v>46127</v>
      </c>
      <c r="M361" s="10"/>
      <c r="N361" s="10" t="s">
        <v>33</v>
      </c>
      <c r="Q361" s="11"/>
      <c r="R361" s="11"/>
      <c r="S361" s="10"/>
    </row>
    <row r="362" spans="2:19" s="6" customFormat="1" ht="16.5" customHeight="1">
      <c r="B362" s="10">
        <f>IF(C362="","",COUNTA($C$2:C362))</f>
        <v>361</v>
      </c>
      <c r="C362" s="11">
        <v>46114</v>
      </c>
      <c r="D362" s="10" t="str">
        <f t="shared" si="26"/>
        <v>A</v>
      </c>
      <c r="E362" s="6" t="s">
        <v>421</v>
      </c>
      <c r="F362" s="6" t="s">
        <v>420</v>
      </c>
      <c r="G362" s="6" t="s">
        <v>520</v>
      </c>
      <c r="H362" s="4">
        <v>16160000</v>
      </c>
      <c r="I362" s="6">
        <f t="shared" ca="1" si="24"/>
        <v>34</v>
      </c>
      <c r="J362" s="13" t="str">
        <f t="shared" ca="1" si="25"/>
        <v>관리</v>
      </c>
      <c r="K362" s="11"/>
      <c r="L362" s="11"/>
      <c r="M362" s="10"/>
      <c r="N362" s="10" t="s">
        <v>33</v>
      </c>
      <c r="Q362" s="11"/>
      <c r="R362" s="11"/>
      <c r="S362" s="10"/>
    </row>
    <row r="363" spans="2:19" s="6" customFormat="1" ht="16.5" customHeight="1">
      <c r="B363" s="10">
        <f>IF(C363="","",COUNTA($C$2:C363))</f>
        <v>362</v>
      </c>
      <c r="C363" s="11">
        <v>46118</v>
      </c>
      <c r="D363" s="10" t="str">
        <f t="shared" si="26"/>
        <v>A</v>
      </c>
      <c r="E363" s="6" t="s">
        <v>423</v>
      </c>
      <c r="F363" s="6" t="s">
        <v>424</v>
      </c>
      <c r="G363" s="6" t="s">
        <v>520</v>
      </c>
      <c r="H363" s="4">
        <v>5757600</v>
      </c>
      <c r="I363" s="6">
        <f t="shared" ca="1" si="24"/>
        <v>30</v>
      </c>
      <c r="J363" s="13" t="str">
        <f t="shared" ca="1" si="25"/>
        <v>정상</v>
      </c>
      <c r="K363" s="11">
        <v>46142</v>
      </c>
      <c r="L363" s="11"/>
      <c r="M363" s="10"/>
      <c r="N363" s="10" t="s">
        <v>33</v>
      </c>
      <c r="Q363" s="11"/>
      <c r="R363" s="11"/>
      <c r="S363" s="10"/>
    </row>
    <row r="364" spans="2:19" s="6" customFormat="1" ht="16.5" customHeight="1">
      <c r="B364" s="10">
        <f>IF(C364="","",COUNTA($C$2:C364))</f>
        <v>363</v>
      </c>
      <c r="C364" s="11">
        <v>46113</v>
      </c>
      <c r="D364" s="10" t="str">
        <f t="shared" si="26"/>
        <v>A</v>
      </c>
      <c r="E364" s="6" t="s">
        <v>195</v>
      </c>
      <c r="F364" s="6" t="s">
        <v>522</v>
      </c>
      <c r="G364" s="6" t="s">
        <v>523</v>
      </c>
      <c r="H364" s="4">
        <v>17723800</v>
      </c>
      <c r="I364" s="6">
        <f t="shared" ca="1" si="24"/>
        <v>13</v>
      </c>
      <c r="J364" s="13" t="str">
        <f t="shared" ca="1" si="25"/>
        <v>정상</v>
      </c>
      <c r="K364" s="11">
        <v>46122</v>
      </c>
      <c r="L364" s="11">
        <v>46126</v>
      </c>
      <c r="M364" s="10"/>
      <c r="N364" s="10" t="s">
        <v>33</v>
      </c>
      <c r="Q364" s="11"/>
      <c r="R364" s="11"/>
      <c r="S364" s="10"/>
    </row>
    <row r="365" spans="2:19" s="6" customFormat="1" ht="16.5" customHeight="1">
      <c r="B365" s="10">
        <f>IF(C365="","",COUNTA($C$2:C365))</f>
        <v>364</v>
      </c>
      <c r="C365" s="11">
        <v>46113</v>
      </c>
      <c r="D365" s="10" t="s">
        <v>243</v>
      </c>
      <c r="E365" s="6" t="s">
        <v>208</v>
      </c>
      <c r="F365" s="6" t="s">
        <v>524</v>
      </c>
      <c r="G365" s="6" t="s">
        <v>523</v>
      </c>
      <c r="H365" s="4">
        <v>48448200</v>
      </c>
      <c r="I365" s="6">
        <f t="shared" ca="1" si="24"/>
        <v>14</v>
      </c>
      <c r="J365" s="13" t="str">
        <f t="shared" ca="1" si="25"/>
        <v>정상</v>
      </c>
      <c r="K365" s="11">
        <v>46127</v>
      </c>
      <c r="L365" s="11">
        <v>46127</v>
      </c>
      <c r="M365" s="10"/>
      <c r="N365" s="10" t="s">
        <v>33</v>
      </c>
      <c r="Q365" s="11"/>
      <c r="R365" s="11"/>
      <c r="S365" s="10"/>
    </row>
    <row r="366" spans="2:19" s="6" customFormat="1" ht="16.5" customHeight="1">
      <c r="B366" s="10">
        <f>IF(C366="","",COUNTA($C$2:C366))</f>
        <v>365</v>
      </c>
      <c r="C366" s="11">
        <v>46114</v>
      </c>
      <c r="D366" s="10" t="s">
        <v>243</v>
      </c>
      <c r="E366" s="6" t="s">
        <v>179</v>
      </c>
      <c r="F366" s="6" t="s">
        <v>525</v>
      </c>
      <c r="G366" s="6" t="s">
        <v>523</v>
      </c>
      <c r="H366" s="4">
        <v>23838400</v>
      </c>
      <c r="I366" s="6">
        <f t="shared" ca="1" si="24"/>
        <v>1</v>
      </c>
      <c r="J366" s="13" t="str">
        <f t="shared" ca="1" si="25"/>
        <v>정상</v>
      </c>
      <c r="K366" s="11"/>
      <c r="L366" s="11">
        <v>46115</v>
      </c>
      <c r="M366" s="10"/>
      <c r="N366" s="10" t="s">
        <v>33</v>
      </c>
      <c r="Q366" s="11"/>
      <c r="R366" s="11"/>
      <c r="S366" s="10"/>
    </row>
    <row r="367" spans="2:19" s="6" customFormat="1" ht="16.5" customHeight="1">
      <c r="B367" s="10">
        <f>IF(C367="","",COUNTA($C$2:C367))</f>
        <v>366</v>
      </c>
      <c r="C367" s="11">
        <v>46114</v>
      </c>
      <c r="D367" s="10" t="s">
        <v>243</v>
      </c>
      <c r="E367" s="6" t="s">
        <v>527</v>
      </c>
      <c r="F367" s="6" t="s">
        <v>526</v>
      </c>
      <c r="G367" s="6" t="s">
        <v>523</v>
      </c>
      <c r="H367" s="4">
        <v>23050000</v>
      </c>
      <c r="I367" s="6">
        <f t="shared" ca="1" si="24"/>
        <v>1</v>
      </c>
      <c r="J367" s="13" t="str">
        <f t="shared" ca="1" si="25"/>
        <v>정상</v>
      </c>
      <c r="K367" s="11"/>
      <c r="L367" s="11">
        <v>46115</v>
      </c>
      <c r="M367" s="10"/>
      <c r="N367" s="10" t="s">
        <v>33</v>
      </c>
      <c r="Q367" s="11"/>
      <c r="R367" s="11"/>
      <c r="S367" s="10"/>
    </row>
    <row r="368" spans="2:19" s="6" customFormat="1" ht="16.5" customHeight="1">
      <c r="B368" s="10">
        <f>IF(C368="","",COUNTA($C$2:C368))</f>
        <v>367</v>
      </c>
      <c r="C368" s="11">
        <v>46119</v>
      </c>
      <c r="D368" s="10" t="s">
        <v>243</v>
      </c>
      <c r="E368" s="6" t="s">
        <v>394</v>
      </c>
      <c r="F368" s="6" t="s">
        <v>391</v>
      </c>
      <c r="G368" s="6" t="s">
        <v>532</v>
      </c>
      <c r="H368" s="4">
        <v>4218000</v>
      </c>
      <c r="I368" s="6">
        <f t="shared" ca="1" si="24"/>
        <v>29</v>
      </c>
      <c r="J368" s="13" t="str">
        <f t="shared" ca="1" si="25"/>
        <v>정상</v>
      </c>
      <c r="K368" s="11"/>
      <c r="L368" s="11"/>
      <c r="M368" s="10"/>
      <c r="N368" s="10" t="s">
        <v>33</v>
      </c>
      <c r="Q368" s="11"/>
      <c r="R368" s="11"/>
      <c r="S368" s="10"/>
    </row>
    <row r="369" spans="2:19" s="6" customFormat="1" ht="16.5" customHeight="1">
      <c r="B369" s="10">
        <f>IF(C369="","",COUNTA($C$2:C369))</f>
        <v>368</v>
      </c>
      <c r="C369" s="11">
        <v>46119</v>
      </c>
      <c r="D369" s="10" t="s">
        <v>243</v>
      </c>
      <c r="E369" s="6" t="s">
        <v>567</v>
      </c>
      <c r="F369" s="6" t="s">
        <v>533</v>
      </c>
      <c r="G369" s="6" t="s">
        <v>534</v>
      </c>
      <c r="H369" s="4">
        <v>2040000</v>
      </c>
      <c r="I369" s="6">
        <f t="shared" ca="1" si="24"/>
        <v>8</v>
      </c>
      <c r="J369" s="13" t="str">
        <f t="shared" ca="1" si="25"/>
        <v>정상</v>
      </c>
      <c r="K369" s="11"/>
      <c r="L369" s="11">
        <v>46127</v>
      </c>
      <c r="M369" s="10"/>
      <c r="N369" s="10" t="s">
        <v>33</v>
      </c>
      <c r="Q369" s="11"/>
      <c r="R369" s="11"/>
      <c r="S369" s="10"/>
    </row>
    <row r="370" spans="2:19" s="6" customFormat="1" ht="16.5" customHeight="1">
      <c r="B370" s="10">
        <f>IF(C370="","",COUNTA($C$2:C370))</f>
        <v>369</v>
      </c>
      <c r="C370" s="11" t="s">
        <v>543</v>
      </c>
      <c r="D370" s="10" t="s">
        <v>178</v>
      </c>
      <c r="E370" s="6" t="s">
        <v>521</v>
      </c>
      <c r="F370" s="6" t="s">
        <v>535</v>
      </c>
      <c r="G370" s="6" t="s">
        <v>544</v>
      </c>
      <c r="H370" s="4">
        <v>1019800</v>
      </c>
      <c r="I370" s="6">
        <f t="shared" ca="1" si="24"/>
        <v>28</v>
      </c>
      <c r="J370" s="13" t="str">
        <f t="shared" ca="1" si="25"/>
        <v>정상</v>
      </c>
      <c r="K370" s="11"/>
      <c r="L370" s="11"/>
      <c r="M370" s="10"/>
      <c r="N370" s="10" t="s">
        <v>33</v>
      </c>
      <c r="Q370" s="11"/>
      <c r="R370" s="11"/>
      <c r="S370" s="10"/>
    </row>
    <row r="371" spans="2:19" s="6" customFormat="1" ht="16.5" customHeight="1">
      <c r="B371" s="10">
        <f>IF(C371="","",COUNTA($C$2:C371))</f>
        <v>370</v>
      </c>
      <c r="C371" s="11" t="s">
        <v>543</v>
      </c>
      <c r="D371" s="10" t="s">
        <v>178</v>
      </c>
      <c r="E371" s="6" t="s">
        <v>126</v>
      </c>
      <c r="F371" s="6" t="s">
        <v>479</v>
      </c>
      <c r="G371" s="6" t="s">
        <v>544</v>
      </c>
      <c r="H371" s="4">
        <v>565000</v>
      </c>
      <c r="I371" s="6">
        <f t="shared" ca="1" si="24"/>
        <v>28</v>
      </c>
      <c r="J371" s="13" t="str">
        <f t="shared" ca="1" si="25"/>
        <v>정상</v>
      </c>
      <c r="K371" s="11"/>
      <c r="L371" s="11"/>
      <c r="M371" s="10"/>
      <c r="N371" s="10" t="s">
        <v>33</v>
      </c>
      <c r="Q371" s="11"/>
      <c r="R371" s="11"/>
      <c r="S371" s="10"/>
    </row>
    <row r="372" spans="2:19" s="6" customFormat="1" ht="16.5" customHeight="1">
      <c r="B372" s="10">
        <f>IF(C372="","",COUNTA($C$2:C372))</f>
        <v>371</v>
      </c>
      <c r="C372" s="11" t="s">
        <v>543</v>
      </c>
      <c r="D372" s="10" t="s">
        <v>178</v>
      </c>
      <c r="E372" s="6" t="s">
        <v>221</v>
      </c>
      <c r="F372" s="6" t="s">
        <v>216</v>
      </c>
      <c r="G372" s="6" t="s">
        <v>544</v>
      </c>
      <c r="H372" s="4">
        <v>102368000</v>
      </c>
      <c r="I372" s="6">
        <f t="shared" ca="1" si="24"/>
        <v>28</v>
      </c>
      <c r="J372" s="13" t="str">
        <f t="shared" ca="1" si="25"/>
        <v>정상</v>
      </c>
      <c r="K372" s="11"/>
      <c r="L372" s="11"/>
      <c r="M372" s="10"/>
      <c r="N372" s="10" t="s">
        <v>33</v>
      </c>
      <c r="Q372" s="11"/>
      <c r="R372" s="11"/>
      <c r="S372" s="10"/>
    </row>
    <row r="373" spans="2:19" s="6" customFormat="1" ht="16.5" customHeight="1">
      <c r="B373" s="10">
        <f>IF(C373="","",COUNTA($C$2:C373))</f>
        <v>372</v>
      </c>
      <c r="C373" s="11" t="s">
        <v>543</v>
      </c>
      <c r="D373" s="10" t="s">
        <v>178</v>
      </c>
      <c r="E373" s="6" t="s">
        <v>266</v>
      </c>
      <c r="F373" s="6" t="s">
        <v>536</v>
      </c>
      <c r="G373" s="6" t="s">
        <v>544</v>
      </c>
      <c r="H373" s="4">
        <v>11000000</v>
      </c>
      <c r="I373" s="6">
        <f t="shared" ca="1" si="24"/>
        <v>14</v>
      </c>
      <c r="J373" s="13" t="str">
        <f t="shared" ca="1" si="25"/>
        <v>정상</v>
      </c>
      <c r="K373" s="11"/>
      <c r="L373" s="11">
        <v>46134</v>
      </c>
      <c r="M373" s="10"/>
      <c r="N373" s="10" t="s">
        <v>33</v>
      </c>
      <c r="Q373" s="11"/>
      <c r="R373" s="11"/>
      <c r="S373" s="10"/>
    </row>
    <row r="374" spans="2:19" s="6" customFormat="1" ht="16.5" customHeight="1">
      <c r="B374" s="10">
        <f>IF(C374="","",COUNTA($C$2:C374))</f>
        <v>373</v>
      </c>
      <c r="C374" s="11" t="s">
        <v>543</v>
      </c>
      <c r="D374" s="10" t="s">
        <v>178</v>
      </c>
      <c r="E374" s="6" t="s">
        <v>249</v>
      </c>
      <c r="F374" s="6" t="s">
        <v>536</v>
      </c>
      <c r="G374" s="6" t="s">
        <v>544</v>
      </c>
      <c r="H374" s="4">
        <v>22000000</v>
      </c>
      <c r="I374" s="6">
        <f t="shared" ca="1" si="24"/>
        <v>28</v>
      </c>
      <c r="J374" s="13" t="str">
        <f t="shared" ca="1" si="25"/>
        <v>정상</v>
      </c>
      <c r="K374" s="11">
        <v>46173</v>
      </c>
      <c r="L374" s="11"/>
      <c r="M374" s="10"/>
      <c r="N374" s="10" t="s">
        <v>33</v>
      </c>
      <c r="Q374" s="11"/>
      <c r="R374" s="11"/>
      <c r="S374" s="10"/>
    </row>
    <row r="375" spans="2:19" s="6" customFormat="1" ht="16.5" customHeight="1">
      <c r="B375" s="10">
        <f>IF(C375="","",COUNTA($C$2:C375))</f>
        <v>374</v>
      </c>
      <c r="C375" s="11" t="s">
        <v>543</v>
      </c>
      <c r="D375" s="10" t="s">
        <v>178</v>
      </c>
      <c r="E375" s="6" t="s">
        <v>208</v>
      </c>
      <c r="F375" s="6" t="s">
        <v>537</v>
      </c>
      <c r="G375" s="6" t="s">
        <v>544</v>
      </c>
      <c r="H375" s="12">
        <v>22000000</v>
      </c>
      <c r="I375" s="6">
        <f t="shared" ca="1" si="24"/>
        <v>7</v>
      </c>
      <c r="J375" s="13" t="str">
        <f t="shared" ca="1" si="25"/>
        <v>정상</v>
      </c>
      <c r="K375" s="11"/>
      <c r="L375" s="11">
        <v>46127</v>
      </c>
      <c r="M375" s="10"/>
      <c r="N375" s="10" t="s">
        <v>33</v>
      </c>
      <c r="Q375" s="11"/>
      <c r="R375" s="11"/>
      <c r="S375" s="10"/>
    </row>
    <row r="376" spans="2:19" s="6" customFormat="1" ht="16.5" customHeight="1">
      <c r="B376" s="10">
        <f>IF(C376="","",COUNTA($C$2:C376))</f>
        <v>375</v>
      </c>
      <c r="C376" s="11" t="s">
        <v>543</v>
      </c>
      <c r="D376" s="10" t="s">
        <v>178</v>
      </c>
      <c r="E376" s="6" t="s">
        <v>126</v>
      </c>
      <c r="F376" s="6" t="s">
        <v>425</v>
      </c>
      <c r="G376" s="6" t="s">
        <v>544</v>
      </c>
      <c r="H376" s="12">
        <v>3689400</v>
      </c>
      <c r="I376" s="6">
        <f t="shared" ca="1" si="24"/>
        <v>28</v>
      </c>
      <c r="J376" s="13" t="str">
        <f t="shared" ca="1" si="25"/>
        <v>정상</v>
      </c>
      <c r="K376" s="11"/>
      <c r="L376" s="11"/>
      <c r="M376" s="10"/>
      <c r="N376" s="10" t="s">
        <v>33</v>
      </c>
      <c r="Q376" s="11"/>
      <c r="R376" s="11"/>
      <c r="S376" s="10"/>
    </row>
    <row r="377" spans="2:19" s="6" customFormat="1" ht="16.5" customHeight="1">
      <c r="B377" s="10">
        <f>IF(C377="","",COUNTA($C$2:C377))</f>
        <v>376</v>
      </c>
      <c r="C377" s="11" t="s">
        <v>543</v>
      </c>
      <c r="D377" s="10" t="s">
        <v>178</v>
      </c>
      <c r="E377" s="6" t="s">
        <v>24</v>
      </c>
      <c r="F377" s="6" t="s">
        <v>107</v>
      </c>
      <c r="G377" s="6" t="s">
        <v>544</v>
      </c>
      <c r="H377" s="12">
        <v>416000</v>
      </c>
      <c r="I377" s="6">
        <f t="shared" ca="1" si="24"/>
        <v>28</v>
      </c>
      <c r="J377" s="13" t="str">
        <f t="shared" ca="1" si="25"/>
        <v>정상</v>
      </c>
      <c r="K377" s="11"/>
      <c r="L377" s="11"/>
      <c r="M377" s="10"/>
      <c r="N377" s="10" t="s">
        <v>33</v>
      </c>
      <c r="Q377" s="11"/>
      <c r="R377" s="11"/>
      <c r="S377" s="10"/>
    </row>
    <row r="378" spans="2:19" s="6" customFormat="1" ht="16.5" customHeight="1">
      <c r="B378" s="10">
        <f>IF(C378="","",COUNTA($C$2:C378))</f>
        <v>377</v>
      </c>
      <c r="C378" s="11" t="s">
        <v>543</v>
      </c>
      <c r="D378" s="10" t="s">
        <v>178</v>
      </c>
      <c r="E378" s="6" t="s">
        <v>24</v>
      </c>
      <c r="F378" s="6" t="s">
        <v>107</v>
      </c>
      <c r="G378" s="6" t="s">
        <v>544</v>
      </c>
      <c r="H378" s="12">
        <v>1754000</v>
      </c>
      <c r="I378" s="6">
        <f t="shared" ca="1" si="24"/>
        <v>28</v>
      </c>
      <c r="J378" s="13" t="str">
        <f t="shared" ca="1" si="25"/>
        <v>정상</v>
      </c>
      <c r="K378" s="11"/>
      <c r="L378" s="11"/>
      <c r="M378" s="10"/>
      <c r="N378" s="10" t="s">
        <v>33</v>
      </c>
      <c r="Q378" s="11"/>
      <c r="R378" s="11"/>
      <c r="S378" s="10"/>
    </row>
    <row r="379" spans="2:19" s="6" customFormat="1" ht="16.5" customHeight="1">
      <c r="B379" s="10">
        <f>IF(C379="","",COUNTA($C$2:C379))</f>
        <v>378</v>
      </c>
      <c r="C379" s="11" t="s">
        <v>543</v>
      </c>
      <c r="D379" s="10" t="s">
        <v>178</v>
      </c>
      <c r="E379" s="6" t="s">
        <v>541</v>
      </c>
      <c r="F379" s="6" t="s">
        <v>538</v>
      </c>
      <c r="G379" s="6" t="s">
        <v>544</v>
      </c>
      <c r="H379" s="12">
        <v>6917000</v>
      </c>
      <c r="I379" s="6">
        <f t="shared" ca="1" si="24"/>
        <v>13</v>
      </c>
      <c r="J379" s="13" t="str">
        <f t="shared" ca="1" si="25"/>
        <v>정상</v>
      </c>
      <c r="K379" s="11"/>
      <c r="L379" s="11">
        <v>46133</v>
      </c>
      <c r="M379" s="10"/>
      <c r="N379" s="10" t="s">
        <v>33</v>
      </c>
      <c r="Q379" s="11"/>
      <c r="R379" s="11"/>
      <c r="S379" s="10"/>
    </row>
    <row r="380" spans="2:19" s="6" customFormat="1" ht="16.5" customHeight="1">
      <c r="B380" s="10">
        <f>IF(C380="","",COUNTA($C$2:C380))</f>
        <v>379</v>
      </c>
      <c r="C380" s="11" t="s">
        <v>543</v>
      </c>
      <c r="D380" s="10" t="s">
        <v>178</v>
      </c>
      <c r="E380" s="6" t="s">
        <v>542</v>
      </c>
      <c r="F380" s="6" t="s">
        <v>539</v>
      </c>
      <c r="G380" s="6" t="s">
        <v>544</v>
      </c>
      <c r="H380" s="12">
        <v>13478000</v>
      </c>
      <c r="I380" s="6">
        <f t="shared" ca="1" si="24"/>
        <v>2</v>
      </c>
      <c r="J380" s="13" t="str">
        <f t="shared" ca="1" si="25"/>
        <v>정상</v>
      </c>
      <c r="K380" s="11"/>
      <c r="L380" s="11">
        <v>46122</v>
      </c>
      <c r="M380" s="10"/>
      <c r="N380" s="10" t="s">
        <v>33</v>
      </c>
      <c r="Q380" s="11"/>
      <c r="R380" s="11"/>
      <c r="S380" s="10"/>
    </row>
    <row r="381" spans="2:19" s="6" customFormat="1" ht="16.5" customHeight="1">
      <c r="B381" s="10">
        <f>IF(C381="","",COUNTA($C$2:C381))</f>
        <v>380</v>
      </c>
      <c r="C381" s="11" t="s">
        <v>543</v>
      </c>
      <c r="D381" s="10" t="s">
        <v>178</v>
      </c>
      <c r="E381" s="6" t="s">
        <v>126</v>
      </c>
      <c r="F381" s="6" t="s">
        <v>540</v>
      </c>
      <c r="G381" s="6" t="s">
        <v>544</v>
      </c>
      <c r="H381" s="12">
        <v>11211800</v>
      </c>
      <c r="I381" s="6">
        <f t="shared" ca="1" si="24"/>
        <v>28</v>
      </c>
      <c r="J381" s="13" t="str">
        <f t="shared" ca="1" si="25"/>
        <v>정상</v>
      </c>
      <c r="K381" s="11"/>
      <c r="L381" s="11"/>
      <c r="M381" s="10"/>
      <c r="N381" s="10" t="s">
        <v>33</v>
      </c>
      <c r="Q381" s="11"/>
      <c r="R381" s="11"/>
      <c r="S381" s="10"/>
    </row>
    <row r="382" spans="2:19" s="6" customFormat="1" ht="16.5" customHeight="1">
      <c r="B382" s="10">
        <f>IF(C382="","",COUNTA($C$2:C382))</f>
        <v>381</v>
      </c>
      <c r="C382" s="11">
        <v>46120</v>
      </c>
      <c r="D382" s="10" t="s">
        <v>243</v>
      </c>
      <c r="E382" s="6" t="s">
        <v>270</v>
      </c>
      <c r="F382" s="6" t="s">
        <v>545</v>
      </c>
      <c r="G382" s="6" t="s">
        <v>546</v>
      </c>
      <c r="H382" s="12">
        <v>20237900</v>
      </c>
      <c r="I382" s="6">
        <f t="shared" ref="I382:I436" ca="1" si="27">IF(C382="","",IF(L382="",TODAY()-C382,L382-C382))</f>
        <v>28</v>
      </c>
      <c r="J382" s="13" t="str">
        <f t="shared" ca="1" si="25"/>
        <v>정상</v>
      </c>
      <c r="K382" s="11"/>
      <c r="L382" s="11"/>
      <c r="M382" s="10"/>
      <c r="N382" s="10" t="s">
        <v>33</v>
      </c>
      <c r="Q382" s="11"/>
      <c r="R382" s="11"/>
      <c r="S382" s="10"/>
    </row>
    <row r="383" spans="2:19" s="6" customFormat="1" ht="16.5" customHeight="1">
      <c r="B383" s="10">
        <f>IF(C383="","",COUNTA($C$2:C383))</f>
        <v>382</v>
      </c>
      <c r="C383" s="11">
        <v>46120</v>
      </c>
      <c r="D383" s="10" t="s">
        <v>243</v>
      </c>
      <c r="E383" s="6" t="s">
        <v>548</v>
      </c>
      <c r="F383" s="6" t="s">
        <v>547</v>
      </c>
      <c r="G383" s="6" t="s">
        <v>549</v>
      </c>
      <c r="H383" s="12">
        <v>6013200</v>
      </c>
      <c r="I383" s="6">
        <f t="shared" ca="1" si="27"/>
        <v>1</v>
      </c>
      <c r="J383" s="13" t="str">
        <f t="shared" ca="1" si="25"/>
        <v>정상</v>
      </c>
      <c r="K383" s="11"/>
      <c r="L383" s="11">
        <v>46121</v>
      </c>
      <c r="M383" s="10"/>
      <c r="N383" s="10" t="s">
        <v>33</v>
      </c>
      <c r="Q383" s="11"/>
      <c r="R383" s="11"/>
      <c r="S383" s="10"/>
    </row>
    <row r="384" spans="2:19" s="6" customFormat="1" ht="16.5" customHeight="1">
      <c r="B384" s="10">
        <f>IF(C384="","",COUNTA($C$2:C384))</f>
        <v>383</v>
      </c>
      <c r="C384" s="11" t="s">
        <v>563</v>
      </c>
      <c r="D384" s="10" t="s">
        <v>178</v>
      </c>
      <c r="E384" s="6" t="s">
        <v>24</v>
      </c>
      <c r="F384" s="6" t="s">
        <v>550</v>
      </c>
      <c r="G384" s="6" t="s">
        <v>565</v>
      </c>
      <c r="H384" s="12">
        <v>4492000</v>
      </c>
      <c r="I384" s="6">
        <f t="shared" ca="1" si="27"/>
        <v>27</v>
      </c>
      <c r="J384" s="13" t="str">
        <f t="shared" ca="1" si="25"/>
        <v>정상</v>
      </c>
      <c r="K384" s="11"/>
      <c r="L384" s="11"/>
      <c r="M384" s="10"/>
      <c r="N384" s="10" t="s">
        <v>33</v>
      </c>
      <c r="Q384" s="11"/>
      <c r="R384" s="11"/>
      <c r="S384" s="10"/>
    </row>
    <row r="385" spans="2:19" s="6" customFormat="1" ht="16.5" customHeight="1">
      <c r="B385" s="10">
        <f>IF(C385="","",COUNTA($C$2:C385))</f>
        <v>384</v>
      </c>
      <c r="C385" s="11" t="s">
        <v>563</v>
      </c>
      <c r="D385" s="10" t="s">
        <v>178</v>
      </c>
      <c r="E385" s="6" t="s">
        <v>542</v>
      </c>
      <c r="F385" s="6" t="s">
        <v>551</v>
      </c>
      <c r="G385" s="6" t="s">
        <v>565</v>
      </c>
      <c r="H385" s="12">
        <v>31045500</v>
      </c>
      <c r="I385" s="6">
        <f t="shared" ca="1" si="27"/>
        <v>27</v>
      </c>
      <c r="J385" s="13" t="str">
        <f t="shared" ca="1" si="25"/>
        <v>정상</v>
      </c>
      <c r="K385" s="11"/>
      <c r="L385" s="11"/>
      <c r="M385" s="10"/>
      <c r="N385" s="10" t="s">
        <v>33</v>
      </c>
      <c r="Q385" s="11"/>
      <c r="R385" s="11"/>
      <c r="S385" s="10"/>
    </row>
    <row r="386" spans="2:19" s="6" customFormat="1" ht="16.5" customHeight="1">
      <c r="B386" s="10">
        <f>IF(C386="","",COUNTA($C$2:C386))</f>
        <v>385</v>
      </c>
      <c r="C386" s="11" t="s">
        <v>563</v>
      </c>
      <c r="D386" s="10" t="s">
        <v>178</v>
      </c>
      <c r="E386" s="6" t="s">
        <v>542</v>
      </c>
      <c r="F386" s="6" t="s">
        <v>552</v>
      </c>
      <c r="G386" s="6" t="s">
        <v>565</v>
      </c>
      <c r="H386" s="12">
        <v>574800</v>
      </c>
      <c r="I386" s="6">
        <f t="shared" ca="1" si="27"/>
        <v>27</v>
      </c>
      <c r="J386" s="13" t="str">
        <f t="shared" ca="1" si="25"/>
        <v>정상</v>
      </c>
      <c r="K386" s="11"/>
      <c r="L386" s="11"/>
      <c r="M386" s="10"/>
      <c r="N386" s="10" t="s">
        <v>33</v>
      </c>
      <c r="Q386" s="11"/>
      <c r="R386" s="11"/>
      <c r="S386" s="10"/>
    </row>
    <row r="387" spans="2:19" s="6" customFormat="1" ht="16.5" customHeight="1">
      <c r="B387" s="10">
        <f>IF(C387="","",COUNTA($C$2:C387))</f>
        <v>386</v>
      </c>
      <c r="C387" s="11" t="s">
        <v>563</v>
      </c>
      <c r="D387" s="10" t="s">
        <v>178</v>
      </c>
      <c r="E387" s="6" t="s">
        <v>128</v>
      </c>
      <c r="F387" s="6" t="s">
        <v>553</v>
      </c>
      <c r="G387" s="6" t="s">
        <v>565</v>
      </c>
      <c r="H387" s="12">
        <v>3687500</v>
      </c>
      <c r="I387" s="6">
        <f t="shared" ca="1" si="27"/>
        <v>5</v>
      </c>
      <c r="J387" s="13" t="str">
        <f t="shared" ca="1" si="25"/>
        <v>정상</v>
      </c>
      <c r="K387" s="11"/>
      <c r="L387" s="11">
        <v>46126</v>
      </c>
      <c r="M387" s="10"/>
      <c r="N387" s="10" t="s">
        <v>33</v>
      </c>
      <c r="Q387" s="11"/>
      <c r="R387" s="11"/>
      <c r="S387" s="10"/>
    </row>
    <row r="388" spans="2:19" s="6" customFormat="1" ht="16.5" customHeight="1">
      <c r="B388" s="10">
        <f>IF(C388="","",COUNTA($C$2:C388))</f>
        <v>387</v>
      </c>
      <c r="C388" s="11" t="s">
        <v>563</v>
      </c>
      <c r="D388" s="10" t="s">
        <v>178</v>
      </c>
      <c r="E388" s="6" t="s">
        <v>208</v>
      </c>
      <c r="F388" s="6" t="s">
        <v>554</v>
      </c>
      <c r="G388" s="6" t="s">
        <v>565</v>
      </c>
      <c r="H388" s="12">
        <v>21780000</v>
      </c>
      <c r="I388" s="6">
        <f t="shared" ca="1" si="27"/>
        <v>6</v>
      </c>
      <c r="J388" s="13" t="str">
        <f t="shared" ca="1" si="25"/>
        <v>정상</v>
      </c>
      <c r="K388" s="11"/>
      <c r="L388" s="11">
        <v>46127</v>
      </c>
      <c r="M388" s="10"/>
      <c r="N388" s="10" t="s">
        <v>33</v>
      </c>
      <c r="Q388" s="11"/>
      <c r="R388" s="11"/>
      <c r="S388" s="10"/>
    </row>
    <row r="389" spans="2:19" s="6" customFormat="1" ht="16.5" customHeight="1">
      <c r="B389" s="10">
        <f>IF(C389="","",COUNTA($C$2:C389))</f>
        <v>388</v>
      </c>
      <c r="C389" s="11" t="s">
        <v>563</v>
      </c>
      <c r="D389" s="10" t="s">
        <v>178</v>
      </c>
      <c r="E389" s="6" t="s">
        <v>561</v>
      </c>
      <c r="F389" s="6" t="s">
        <v>555</v>
      </c>
      <c r="G389" s="6" t="s">
        <v>565</v>
      </c>
      <c r="H389" s="12">
        <v>1630000</v>
      </c>
      <c r="I389" s="6">
        <f t="shared" ca="1" si="27"/>
        <v>27</v>
      </c>
      <c r="J389" s="13" t="str">
        <f t="shared" ca="1" si="25"/>
        <v>정상</v>
      </c>
      <c r="K389" s="11"/>
      <c r="L389" s="11"/>
      <c r="M389" s="10"/>
      <c r="N389" s="10" t="s">
        <v>33</v>
      </c>
      <c r="Q389" s="11"/>
      <c r="R389" s="11"/>
      <c r="S389" s="10"/>
    </row>
    <row r="390" spans="2:19" s="6" customFormat="1" ht="16.5" customHeight="1">
      <c r="B390" s="10">
        <f>IF(C390="","",COUNTA($C$2:C390))</f>
        <v>389</v>
      </c>
      <c r="C390" s="11" t="s">
        <v>563</v>
      </c>
      <c r="D390" s="10" t="s">
        <v>178</v>
      </c>
      <c r="E390" s="6" t="s">
        <v>395</v>
      </c>
      <c r="F390" s="6" t="s">
        <v>556</v>
      </c>
      <c r="G390" s="6" t="s">
        <v>565</v>
      </c>
      <c r="H390" s="12">
        <v>20219600</v>
      </c>
      <c r="I390" s="6">
        <f t="shared" ca="1" si="27"/>
        <v>27</v>
      </c>
      <c r="J390" s="13" t="str">
        <f t="shared" ca="1" si="25"/>
        <v>정상</v>
      </c>
      <c r="K390" s="11"/>
      <c r="L390" s="11"/>
      <c r="M390" s="10"/>
      <c r="N390" s="10" t="s">
        <v>33</v>
      </c>
      <c r="Q390" s="11"/>
      <c r="R390" s="11"/>
      <c r="S390" s="10"/>
    </row>
    <row r="391" spans="2:19" s="6" customFormat="1" ht="16.5" customHeight="1">
      <c r="B391" s="10">
        <f>IF(C391="","",COUNTA($C$2:C391))</f>
        <v>390</v>
      </c>
      <c r="C391" s="11" t="s">
        <v>563</v>
      </c>
      <c r="D391" s="10" t="s">
        <v>178</v>
      </c>
      <c r="E391" s="6" t="s">
        <v>126</v>
      </c>
      <c r="F391" s="6" t="s">
        <v>684</v>
      </c>
      <c r="G391" s="6" t="s">
        <v>565</v>
      </c>
      <c r="H391" s="12">
        <v>963200</v>
      </c>
      <c r="I391" s="6">
        <f t="shared" ca="1" si="27"/>
        <v>27</v>
      </c>
      <c r="J391" s="13" t="str">
        <f t="shared" ca="1" si="25"/>
        <v>정상</v>
      </c>
      <c r="K391" s="11"/>
      <c r="L391" s="11"/>
      <c r="M391" s="10"/>
      <c r="N391" s="10" t="s">
        <v>33</v>
      </c>
      <c r="Q391" s="11"/>
      <c r="R391" s="11"/>
      <c r="S391" s="10"/>
    </row>
    <row r="392" spans="2:19" s="6" customFormat="1" ht="16.5" customHeight="1">
      <c r="B392" s="10">
        <f>IF(C392="","",COUNTA($C$2:C392))</f>
        <v>391</v>
      </c>
      <c r="C392" s="11" t="s">
        <v>563</v>
      </c>
      <c r="D392" s="10" t="s">
        <v>178</v>
      </c>
      <c r="E392" s="6" t="s">
        <v>562</v>
      </c>
      <c r="F392" s="6" t="s">
        <v>558</v>
      </c>
      <c r="G392" s="6" t="s">
        <v>565</v>
      </c>
      <c r="H392" s="12">
        <v>1380000</v>
      </c>
      <c r="I392" s="6">
        <f t="shared" ca="1" si="27"/>
        <v>15</v>
      </c>
      <c r="J392" s="13" t="str">
        <f t="shared" ca="1" si="25"/>
        <v>정상</v>
      </c>
      <c r="K392" s="11"/>
      <c r="L392" s="11">
        <v>46136</v>
      </c>
      <c r="M392" s="10"/>
      <c r="N392" s="10" t="s">
        <v>33</v>
      </c>
      <c r="Q392" s="11"/>
      <c r="R392" s="11"/>
      <c r="S392" s="10"/>
    </row>
    <row r="393" spans="2:19" s="6" customFormat="1" ht="16.5" customHeight="1">
      <c r="B393" s="10">
        <f>IF(C393="","",COUNTA($C$2:C393))</f>
        <v>392</v>
      </c>
      <c r="C393" s="11" t="s">
        <v>564</v>
      </c>
      <c r="D393" s="10" t="s">
        <v>178</v>
      </c>
      <c r="E393" s="6" t="s">
        <v>62</v>
      </c>
      <c r="F393" s="6" t="s">
        <v>559</v>
      </c>
      <c r="G393" s="6" t="s">
        <v>565</v>
      </c>
      <c r="H393" s="12">
        <v>410000</v>
      </c>
      <c r="I393" s="6">
        <f t="shared" ca="1" si="27"/>
        <v>14</v>
      </c>
      <c r="J393" s="13" t="str">
        <f t="shared" ca="1" si="25"/>
        <v>정상</v>
      </c>
      <c r="K393" s="11"/>
      <c r="L393" s="11">
        <v>46136</v>
      </c>
      <c r="M393" s="10"/>
      <c r="N393" s="10" t="s">
        <v>33</v>
      </c>
      <c r="Q393" s="11"/>
      <c r="R393" s="11"/>
      <c r="S393" s="10"/>
    </row>
    <row r="394" spans="2:19" s="6" customFormat="1" ht="16.5" customHeight="1">
      <c r="B394" s="10">
        <f>IF(C394="","",COUNTA($C$2:C394))</f>
        <v>393</v>
      </c>
      <c r="C394" s="11" t="s">
        <v>564</v>
      </c>
      <c r="D394" s="10" t="s">
        <v>178</v>
      </c>
      <c r="E394" s="6" t="s">
        <v>126</v>
      </c>
      <c r="F394" s="6" t="s">
        <v>485</v>
      </c>
      <c r="G394" s="6" t="s">
        <v>565</v>
      </c>
      <c r="H394" s="12">
        <v>464000</v>
      </c>
      <c r="I394" s="6">
        <f t="shared" ca="1" si="27"/>
        <v>26</v>
      </c>
      <c r="J394" s="13" t="str">
        <f t="shared" ca="1" si="25"/>
        <v>정상</v>
      </c>
      <c r="K394" s="11"/>
      <c r="L394" s="11"/>
      <c r="M394" s="10"/>
      <c r="N394" s="10" t="s">
        <v>33</v>
      </c>
      <c r="Q394" s="11"/>
      <c r="R394" s="11"/>
      <c r="S394" s="10"/>
    </row>
    <row r="395" spans="2:19" s="6" customFormat="1" ht="16.5" customHeight="1">
      <c r="B395" s="10">
        <f>IF(C395="","",COUNTA($C$2:C395))</f>
        <v>394</v>
      </c>
      <c r="C395" s="11" t="s">
        <v>564</v>
      </c>
      <c r="D395" s="10" t="s">
        <v>178</v>
      </c>
      <c r="E395" s="6" t="s">
        <v>207</v>
      </c>
      <c r="F395" s="6" t="s">
        <v>560</v>
      </c>
      <c r="G395" s="6" t="s">
        <v>565</v>
      </c>
      <c r="H395" s="12">
        <v>1261000</v>
      </c>
      <c r="I395" s="6">
        <f t="shared" ca="1" si="27"/>
        <v>20</v>
      </c>
      <c r="J395" s="13" t="str">
        <f t="shared" ca="1" si="25"/>
        <v>정상</v>
      </c>
      <c r="K395" s="11"/>
      <c r="L395" s="11">
        <v>46142</v>
      </c>
      <c r="M395" s="10"/>
      <c r="N395" s="10" t="s">
        <v>33</v>
      </c>
      <c r="Q395" s="11"/>
      <c r="R395" s="11"/>
      <c r="S395" s="10"/>
    </row>
    <row r="396" spans="2:19" s="6" customFormat="1" ht="16.5" customHeight="1">
      <c r="B396" s="10">
        <f>IF(C396="","",COUNTA($C$2:C396))</f>
        <v>395</v>
      </c>
      <c r="C396" s="11" t="s">
        <v>564</v>
      </c>
      <c r="D396" s="10" t="str">
        <f t="shared" ref="D396:D418" si="28">IF(G396="","",IF(OR(G396="선급금",G396="중도금",G396="잔금"),"A",IF(G396="자재","B",IF(G396="특허료","C",""))))</f>
        <v>B</v>
      </c>
      <c r="E396" s="6" t="s">
        <v>124</v>
      </c>
      <c r="F396" s="6" t="s">
        <v>568</v>
      </c>
      <c r="G396" s="6" t="s">
        <v>172</v>
      </c>
      <c r="H396" s="12">
        <v>866400</v>
      </c>
      <c r="I396" s="6">
        <f t="shared" ca="1" si="27"/>
        <v>0</v>
      </c>
      <c r="J396" s="13" t="str">
        <f t="shared" ca="1" si="25"/>
        <v>정상</v>
      </c>
      <c r="K396" s="11"/>
      <c r="L396" s="11">
        <v>46122</v>
      </c>
      <c r="M396" s="10"/>
      <c r="N396" s="10" t="s">
        <v>33</v>
      </c>
      <c r="Q396" s="11"/>
      <c r="R396" s="11"/>
      <c r="S396" s="10"/>
    </row>
    <row r="397" spans="2:19" s="18" customFormat="1" ht="13.5">
      <c r="B397" s="10">
        <f>IF(C397="","",COUNTA($C$2:C397))</f>
        <v>396</v>
      </c>
      <c r="C397" s="11" t="s">
        <v>564</v>
      </c>
      <c r="D397" s="10" t="str">
        <f t="shared" si="28"/>
        <v>B</v>
      </c>
      <c r="E397" s="18" t="s">
        <v>126</v>
      </c>
      <c r="F397" s="18" t="s">
        <v>569</v>
      </c>
      <c r="G397" s="6" t="s">
        <v>172</v>
      </c>
      <c r="H397" s="12">
        <v>-785400</v>
      </c>
      <c r="I397" s="18">
        <f t="shared" ca="1" si="27"/>
        <v>26</v>
      </c>
      <c r="J397" s="13" t="str">
        <f t="shared" ca="1" si="25"/>
        <v>정상</v>
      </c>
      <c r="K397" s="11"/>
      <c r="L397" s="11"/>
      <c r="M397" s="42"/>
      <c r="N397" s="10" t="s">
        <v>33</v>
      </c>
      <c r="Q397" s="11"/>
      <c r="R397" s="11"/>
    </row>
    <row r="398" spans="2:19" s="18" customFormat="1" ht="13.5">
      <c r="B398" s="10">
        <f>IF(C398="","",COUNTA($C$2:C398))</f>
        <v>397</v>
      </c>
      <c r="C398" s="11" t="s">
        <v>564</v>
      </c>
      <c r="D398" s="10" t="s">
        <v>181</v>
      </c>
      <c r="E398" s="18" t="s">
        <v>421</v>
      </c>
      <c r="F398" s="18" t="s">
        <v>570</v>
      </c>
      <c r="G398" s="6" t="s">
        <v>571</v>
      </c>
      <c r="H398" s="12">
        <v>2421500</v>
      </c>
      <c r="I398" s="18">
        <f t="shared" ca="1" si="27"/>
        <v>5</v>
      </c>
      <c r="J398" s="13" t="str">
        <f t="shared" ca="1" si="25"/>
        <v>정상</v>
      </c>
      <c r="K398" s="11"/>
      <c r="L398" s="11">
        <v>46127</v>
      </c>
      <c r="M398" s="42"/>
      <c r="N398" s="10" t="s">
        <v>33</v>
      </c>
      <c r="Q398" s="11"/>
      <c r="R398" s="11"/>
    </row>
    <row r="399" spans="2:19" s="18" customFormat="1" ht="13.5">
      <c r="B399" s="10">
        <f>IF(C399="","",COUNTA($C$2:C399))</f>
        <v>398</v>
      </c>
      <c r="C399" s="11">
        <v>46122</v>
      </c>
      <c r="D399" s="42" t="s">
        <v>243</v>
      </c>
      <c r="E399" s="43" t="s">
        <v>573</v>
      </c>
      <c r="F399" s="43" t="s">
        <v>572</v>
      </c>
      <c r="G399" s="6" t="s">
        <v>230</v>
      </c>
      <c r="H399" s="12">
        <v>72676000</v>
      </c>
      <c r="I399" s="18">
        <f t="shared" ca="1" si="27"/>
        <v>5</v>
      </c>
      <c r="J399" s="13" t="str">
        <f t="shared" ca="1" si="25"/>
        <v>정상</v>
      </c>
      <c r="K399" s="44"/>
      <c r="L399" s="44">
        <v>46127</v>
      </c>
      <c r="M399" s="42"/>
      <c r="N399" s="10" t="s">
        <v>33</v>
      </c>
      <c r="Q399" s="11"/>
      <c r="R399" s="11"/>
    </row>
    <row r="400" spans="2:19" s="18" customFormat="1" ht="13.5">
      <c r="B400" s="10">
        <f>IF(C400="","",COUNTA($C$2:C400))</f>
        <v>399</v>
      </c>
      <c r="C400" s="11">
        <v>46122</v>
      </c>
      <c r="D400" s="42" t="s">
        <v>243</v>
      </c>
      <c r="E400" s="18" t="s">
        <v>126</v>
      </c>
      <c r="F400" s="18" t="s">
        <v>420</v>
      </c>
      <c r="G400" s="18" t="s">
        <v>574</v>
      </c>
      <c r="H400" s="12">
        <v>14760000</v>
      </c>
      <c r="I400" s="18">
        <f t="shared" ca="1" si="27"/>
        <v>26</v>
      </c>
      <c r="J400" s="13" t="str">
        <f t="shared" ca="1" si="25"/>
        <v>정상</v>
      </c>
      <c r="K400" s="44"/>
      <c r="L400" s="44"/>
      <c r="M400" s="42"/>
      <c r="N400" s="10" t="s">
        <v>33</v>
      </c>
      <c r="Q400" s="11"/>
      <c r="R400" s="11"/>
    </row>
    <row r="401" spans="2:18" s="18" customFormat="1" ht="13.5">
      <c r="B401" s="10">
        <f>IF(C401="","",COUNTA($C$2:C401))</f>
        <v>400</v>
      </c>
      <c r="C401" s="11">
        <v>46122</v>
      </c>
      <c r="D401" s="42" t="s">
        <v>243</v>
      </c>
      <c r="E401" s="18" t="s">
        <v>423</v>
      </c>
      <c r="F401" s="18" t="s">
        <v>575</v>
      </c>
      <c r="G401" s="18" t="s">
        <v>574</v>
      </c>
      <c r="H401" s="12">
        <v>2480000</v>
      </c>
      <c r="I401" s="18">
        <f t="shared" ca="1" si="27"/>
        <v>5</v>
      </c>
      <c r="J401" s="13" t="str">
        <f t="shared" ca="1" si="25"/>
        <v>정상</v>
      </c>
      <c r="K401" s="44"/>
      <c r="L401" s="44">
        <v>46127</v>
      </c>
      <c r="M401" s="42"/>
      <c r="N401" s="10" t="s">
        <v>33</v>
      </c>
      <c r="Q401" s="11"/>
      <c r="R401" s="11"/>
    </row>
    <row r="402" spans="2:18" s="18" customFormat="1" ht="13.5">
      <c r="B402" s="10">
        <f>IF(C402="","",COUNTA($C$2:C402))</f>
        <v>401</v>
      </c>
      <c r="C402" s="45" t="s">
        <v>586</v>
      </c>
      <c r="D402" s="42" t="str">
        <f t="shared" si="28"/>
        <v>B</v>
      </c>
      <c r="E402" s="18" t="s">
        <v>126</v>
      </c>
      <c r="F402" s="18" t="s">
        <v>479</v>
      </c>
      <c r="G402" s="6" t="s">
        <v>598</v>
      </c>
      <c r="H402" s="12">
        <v>52695000</v>
      </c>
      <c r="I402" s="18">
        <f t="shared" ca="1" si="27"/>
        <v>22</v>
      </c>
      <c r="J402" s="13" t="str">
        <f t="shared" ca="1" si="25"/>
        <v>정상</v>
      </c>
      <c r="K402" s="44"/>
      <c r="L402" s="44"/>
      <c r="M402" s="42"/>
      <c r="N402" s="10" t="s">
        <v>33</v>
      </c>
      <c r="Q402" s="11"/>
      <c r="R402" s="11"/>
    </row>
    <row r="403" spans="2:18" s="18" customFormat="1" ht="16.5" customHeight="1">
      <c r="B403" s="10">
        <f>IF(C403="","",COUNTA($C$2:C403))</f>
        <v>402</v>
      </c>
      <c r="C403" s="45" t="s">
        <v>586</v>
      </c>
      <c r="D403" s="42" t="str">
        <f t="shared" si="28"/>
        <v>B</v>
      </c>
      <c r="E403" s="18" t="s">
        <v>577</v>
      </c>
      <c r="F403" s="38" t="s">
        <v>588</v>
      </c>
      <c r="G403" s="6" t="s">
        <v>598</v>
      </c>
      <c r="H403" s="12">
        <v>1217300</v>
      </c>
      <c r="I403" s="18">
        <f t="shared" ca="1" si="27"/>
        <v>16</v>
      </c>
      <c r="J403" s="13" t="str">
        <f t="shared" ca="1" si="25"/>
        <v>정상</v>
      </c>
      <c r="K403" s="44"/>
      <c r="L403" s="44">
        <v>46142</v>
      </c>
      <c r="M403" s="42"/>
      <c r="N403" s="10" t="s">
        <v>33</v>
      </c>
      <c r="Q403" s="46"/>
      <c r="R403" s="46"/>
    </row>
    <row r="404" spans="2:18" s="18" customFormat="1" ht="16.5" customHeight="1">
      <c r="B404" s="10">
        <f>IF(C404="","",COUNTA($C$2:C404))</f>
        <v>403</v>
      </c>
      <c r="C404" s="45" t="s">
        <v>586</v>
      </c>
      <c r="D404" s="42" t="str">
        <f t="shared" si="28"/>
        <v>B</v>
      </c>
      <c r="E404" s="18" t="s">
        <v>578</v>
      </c>
      <c r="F404" s="18" t="s">
        <v>589</v>
      </c>
      <c r="G404" s="6" t="s">
        <v>598</v>
      </c>
      <c r="H404" s="12">
        <v>7826000</v>
      </c>
      <c r="I404" s="18">
        <f t="shared" ca="1" si="27"/>
        <v>1</v>
      </c>
      <c r="J404" s="13" t="str">
        <f t="shared" ca="1" si="25"/>
        <v>정상</v>
      </c>
      <c r="K404" s="44"/>
      <c r="L404" s="44">
        <v>46127</v>
      </c>
      <c r="M404" s="42"/>
      <c r="N404" s="10" t="s">
        <v>33</v>
      </c>
      <c r="Q404" s="46"/>
      <c r="R404" s="46"/>
    </row>
    <row r="405" spans="2:18" s="18" customFormat="1" ht="16.5" customHeight="1">
      <c r="B405" s="10">
        <f>IF(C405="","",COUNTA($C$2:C405))</f>
        <v>404</v>
      </c>
      <c r="C405" s="45" t="s">
        <v>587</v>
      </c>
      <c r="D405" s="42" t="str">
        <f t="shared" si="28"/>
        <v>B</v>
      </c>
      <c r="E405" s="18" t="s">
        <v>249</v>
      </c>
      <c r="F405" s="18" t="s">
        <v>428</v>
      </c>
      <c r="G405" s="6" t="s">
        <v>598</v>
      </c>
      <c r="H405" s="12">
        <v>44522500</v>
      </c>
      <c r="I405" s="18">
        <f t="shared" ca="1" si="27"/>
        <v>23</v>
      </c>
      <c r="J405" s="13" t="str">
        <f t="shared" ca="1" si="25"/>
        <v>정상</v>
      </c>
      <c r="K405" s="44">
        <v>46173</v>
      </c>
      <c r="L405" s="44"/>
      <c r="M405" s="42"/>
      <c r="N405" s="10" t="s">
        <v>33</v>
      </c>
      <c r="Q405" s="46"/>
      <c r="R405" s="46"/>
    </row>
    <row r="406" spans="2:18" s="18" customFormat="1" ht="16.5" customHeight="1">
      <c r="B406" s="10">
        <f>IF(C406="","",COUNTA($C$2:C406))</f>
        <v>405</v>
      </c>
      <c r="C406" s="30" t="s">
        <v>587</v>
      </c>
      <c r="D406" s="42" t="str">
        <f t="shared" si="28"/>
        <v>B</v>
      </c>
      <c r="E406" s="18" t="s">
        <v>580</v>
      </c>
      <c r="F406" s="18" t="s">
        <v>591</v>
      </c>
      <c r="G406" s="6" t="s">
        <v>598</v>
      </c>
      <c r="H406" s="12">
        <v>10572000</v>
      </c>
      <c r="I406" s="18">
        <f t="shared" ca="1" si="27"/>
        <v>1</v>
      </c>
      <c r="J406" s="13" t="str">
        <f t="shared" ca="1" si="25"/>
        <v>정상</v>
      </c>
      <c r="K406" s="44"/>
      <c r="L406" s="44">
        <v>46126</v>
      </c>
      <c r="M406" s="42"/>
      <c r="N406" s="10" t="s">
        <v>33</v>
      </c>
      <c r="Q406" s="46"/>
      <c r="R406" s="46"/>
    </row>
    <row r="407" spans="2:18" s="18" customFormat="1" ht="16.5" customHeight="1">
      <c r="B407" s="10">
        <f>IF(C407="","",COUNTA($C$2:C407))</f>
        <v>406</v>
      </c>
      <c r="C407" s="30" t="s">
        <v>587</v>
      </c>
      <c r="D407" s="42" t="str">
        <f t="shared" si="28"/>
        <v>B</v>
      </c>
      <c r="E407" s="18" t="s">
        <v>581</v>
      </c>
      <c r="F407" s="18" t="s">
        <v>211</v>
      </c>
      <c r="G407" s="6" t="s">
        <v>598</v>
      </c>
      <c r="H407" s="12">
        <v>280000</v>
      </c>
      <c r="I407" s="18">
        <f t="shared" ca="1" si="27"/>
        <v>0</v>
      </c>
      <c r="J407" s="13" t="str">
        <f t="shared" ca="1" si="25"/>
        <v>정상</v>
      </c>
      <c r="K407" s="44"/>
      <c r="L407" s="44">
        <v>46125</v>
      </c>
      <c r="M407" s="42"/>
      <c r="N407" s="10" t="s">
        <v>33</v>
      </c>
      <c r="Q407" s="46"/>
      <c r="R407" s="46"/>
    </row>
    <row r="408" spans="2:18" s="18" customFormat="1" ht="16.5" customHeight="1">
      <c r="B408" s="10">
        <f>IF(C408="","",COUNTA($C$2:C408))</f>
        <v>407</v>
      </c>
      <c r="C408" s="30" t="s">
        <v>587</v>
      </c>
      <c r="D408" s="42" t="str">
        <f t="shared" si="28"/>
        <v>B</v>
      </c>
      <c r="E408" s="18" t="s">
        <v>395</v>
      </c>
      <c r="F408" s="18" t="s">
        <v>477</v>
      </c>
      <c r="G408" s="6" t="s">
        <v>598</v>
      </c>
      <c r="H408" s="12">
        <v>7665000</v>
      </c>
      <c r="I408" s="18">
        <f t="shared" ca="1" si="27"/>
        <v>23</v>
      </c>
      <c r="J408" s="13" t="str">
        <f t="shared" ca="1" si="25"/>
        <v>정상</v>
      </c>
      <c r="K408" s="44"/>
      <c r="L408" s="44"/>
      <c r="M408" s="42"/>
      <c r="N408" s="10" t="s">
        <v>33</v>
      </c>
      <c r="Q408" s="46"/>
      <c r="R408" s="46"/>
    </row>
    <row r="409" spans="2:18" s="18" customFormat="1" ht="16.5" customHeight="1">
      <c r="B409" s="10">
        <f>IF(C409="","",COUNTA($C$2:C409))</f>
        <v>408</v>
      </c>
      <c r="C409" s="30" t="s">
        <v>587</v>
      </c>
      <c r="D409" s="42" t="str">
        <f t="shared" si="28"/>
        <v>B</v>
      </c>
      <c r="E409" s="18" t="s">
        <v>582</v>
      </c>
      <c r="F409" s="18" t="s">
        <v>592</v>
      </c>
      <c r="G409" s="6" t="s">
        <v>598</v>
      </c>
      <c r="H409" s="12">
        <v>481100</v>
      </c>
      <c r="I409" s="18">
        <f t="shared" ca="1" si="27"/>
        <v>17</v>
      </c>
      <c r="J409" s="13" t="str">
        <f t="shared" ca="1" si="25"/>
        <v>정상</v>
      </c>
      <c r="K409" s="44"/>
      <c r="L409" s="44">
        <v>46142</v>
      </c>
      <c r="M409" s="42"/>
      <c r="N409" s="10" t="s">
        <v>33</v>
      </c>
      <c r="Q409" s="46"/>
      <c r="R409" s="46"/>
    </row>
    <row r="410" spans="2:18" s="18" customFormat="1" ht="16.5" customHeight="1">
      <c r="B410" s="10">
        <f>IF(C410="","",COUNTA($C$2:C410))</f>
        <v>409</v>
      </c>
      <c r="C410" s="30" t="s">
        <v>587</v>
      </c>
      <c r="D410" s="42" t="str">
        <f t="shared" si="28"/>
        <v>B</v>
      </c>
      <c r="E410" s="18" t="s">
        <v>434</v>
      </c>
      <c r="F410" s="18" t="s">
        <v>432</v>
      </c>
      <c r="G410" s="6" t="s">
        <v>598</v>
      </c>
      <c r="H410" s="12">
        <v>3109500</v>
      </c>
      <c r="I410" s="18">
        <f t="shared" ca="1" si="27"/>
        <v>23</v>
      </c>
      <c r="J410" s="13" t="str">
        <f t="shared" ca="1" si="25"/>
        <v>정상</v>
      </c>
      <c r="K410" s="44"/>
      <c r="L410" s="44"/>
      <c r="M410" s="42"/>
      <c r="N410" s="10" t="s">
        <v>33</v>
      </c>
      <c r="Q410" s="46"/>
      <c r="R410" s="46"/>
    </row>
    <row r="411" spans="2:18" s="18" customFormat="1" ht="16.5" customHeight="1">
      <c r="B411" s="10">
        <f>IF(C411="","",COUNTA($C$2:C411))</f>
        <v>410</v>
      </c>
      <c r="C411" s="30" t="s">
        <v>587</v>
      </c>
      <c r="D411" s="42" t="str">
        <f t="shared" si="28"/>
        <v>B</v>
      </c>
      <c r="E411" s="18" t="s">
        <v>583</v>
      </c>
      <c r="F411" s="18" t="s">
        <v>588</v>
      </c>
      <c r="G411" s="6" t="s">
        <v>598</v>
      </c>
      <c r="H411" s="12">
        <v>399900</v>
      </c>
      <c r="I411" s="18">
        <f t="shared" ca="1" si="27"/>
        <v>23</v>
      </c>
      <c r="J411" s="13" t="str">
        <f t="shared" ref="J411:J468" ca="1" si="29">IF(I411="","",
 IF(G411="선급금",
   IF(I411&lt;=20,"정상",IF(I411&lt;=90,"관리","장기미수")),
 IF(G411="자재",
   IF(I411&lt;=40,"정상",IF(I411&lt;=90,"관리","장기미수")),
   IF(I411&lt;=30,"정상",IF(I411&lt;=90,"관리","장기미수"))
  )
 )
)</f>
        <v>정상</v>
      </c>
      <c r="K411" s="44"/>
      <c r="L411" s="44"/>
      <c r="M411" s="42"/>
      <c r="N411" s="10" t="s">
        <v>33</v>
      </c>
      <c r="Q411" s="46"/>
      <c r="R411" s="46"/>
    </row>
    <row r="412" spans="2:18" s="18" customFormat="1" ht="16.5" customHeight="1">
      <c r="B412" s="10">
        <f>IF(C412="","",COUNTA($C$2:C412))</f>
        <v>411</v>
      </c>
      <c r="C412" s="30" t="s">
        <v>587</v>
      </c>
      <c r="D412" s="42" t="str">
        <f t="shared" si="28"/>
        <v>B</v>
      </c>
      <c r="E412" s="18" t="s">
        <v>584</v>
      </c>
      <c r="F412" s="18" t="s">
        <v>593</v>
      </c>
      <c r="G412" s="6" t="s">
        <v>598</v>
      </c>
      <c r="H412" s="12">
        <v>4678300</v>
      </c>
      <c r="I412" s="18">
        <f t="shared" ca="1" si="27"/>
        <v>23</v>
      </c>
      <c r="J412" s="13" t="str">
        <f t="shared" ca="1" si="29"/>
        <v>정상</v>
      </c>
      <c r="K412" s="44"/>
      <c r="L412" s="44"/>
      <c r="M412" s="42"/>
      <c r="N412" s="10" t="s">
        <v>33</v>
      </c>
      <c r="Q412" s="46"/>
      <c r="R412" s="46"/>
    </row>
    <row r="413" spans="2:18" s="18" customFormat="1" ht="16.5" customHeight="1">
      <c r="B413" s="10">
        <f>IF(C413="","",COUNTA($C$2:C413))</f>
        <v>412</v>
      </c>
      <c r="C413" s="30" t="s">
        <v>587</v>
      </c>
      <c r="D413" s="42" t="str">
        <f t="shared" si="28"/>
        <v>B</v>
      </c>
      <c r="E413" s="18" t="s">
        <v>584</v>
      </c>
      <c r="F413" s="18" t="s">
        <v>594</v>
      </c>
      <c r="G413" s="6" t="s">
        <v>598</v>
      </c>
      <c r="H413" s="12">
        <v>941200</v>
      </c>
      <c r="I413" s="18">
        <f t="shared" ca="1" si="27"/>
        <v>23</v>
      </c>
      <c r="J413" s="13" t="str">
        <f t="shared" ca="1" si="29"/>
        <v>정상</v>
      </c>
      <c r="K413" s="44"/>
      <c r="L413" s="44"/>
      <c r="M413" s="42"/>
      <c r="N413" s="10" t="s">
        <v>33</v>
      </c>
      <c r="Q413" s="46"/>
      <c r="R413" s="46"/>
    </row>
    <row r="414" spans="2:18" s="18" customFormat="1" ht="16.5" customHeight="1">
      <c r="B414" s="10">
        <f>IF(C414="","",COUNTA($C$2:C414))</f>
        <v>413</v>
      </c>
      <c r="C414" s="30" t="s">
        <v>587</v>
      </c>
      <c r="D414" s="42" t="str">
        <f t="shared" si="28"/>
        <v>B</v>
      </c>
      <c r="E414" s="18" t="s">
        <v>128</v>
      </c>
      <c r="F414" s="18" t="s">
        <v>129</v>
      </c>
      <c r="G414" s="6" t="s">
        <v>598</v>
      </c>
      <c r="H414" s="12">
        <v>1885800</v>
      </c>
      <c r="I414" s="18">
        <f t="shared" ca="1" si="27"/>
        <v>1</v>
      </c>
      <c r="J414" s="13" t="str">
        <f t="shared" ca="1" si="29"/>
        <v>정상</v>
      </c>
      <c r="K414" s="44"/>
      <c r="L414" s="44">
        <v>46126</v>
      </c>
      <c r="M414" s="42"/>
      <c r="N414" s="10" t="s">
        <v>33</v>
      </c>
      <c r="Q414" s="46"/>
      <c r="R414" s="46"/>
    </row>
    <row r="415" spans="2:18" s="18" customFormat="1" ht="16.5" customHeight="1">
      <c r="B415" s="10">
        <f>IF(C415="","",COUNTA($C$2:C415))</f>
        <v>414</v>
      </c>
      <c r="C415" s="30" t="s">
        <v>587</v>
      </c>
      <c r="D415" s="42" t="str">
        <f>IF(G415="","",IF(OR(G415="선급금",G415="중도금",G415="잔금"),"A",IF(G415="자재","B",IF(G415="특허료","C",""))))</f>
        <v>B</v>
      </c>
      <c r="E415" s="18" t="s">
        <v>39</v>
      </c>
      <c r="F415" s="18" t="s">
        <v>595</v>
      </c>
      <c r="G415" s="6" t="s">
        <v>598</v>
      </c>
      <c r="H415" s="12">
        <v>332400</v>
      </c>
      <c r="I415" s="18">
        <f t="shared" ca="1" si="27"/>
        <v>23</v>
      </c>
      <c r="J415" s="13" t="str">
        <f t="shared" ca="1" si="29"/>
        <v>정상</v>
      </c>
      <c r="K415" s="44"/>
      <c r="L415" s="44"/>
      <c r="M415" s="42"/>
      <c r="N415" s="10" t="s">
        <v>33</v>
      </c>
      <c r="Q415" s="46"/>
      <c r="R415" s="46"/>
    </row>
    <row r="416" spans="2:18" s="18" customFormat="1" ht="16.5" customHeight="1">
      <c r="B416" s="10">
        <f>IF(C416="","",COUNTA($C$2:C416))</f>
        <v>415</v>
      </c>
      <c r="C416" s="30" t="s">
        <v>587</v>
      </c>
      <c r="D416" s="42" t="str">
        <f t="shared" si="28"/>
        <v>B</v>
      </c>
      <c r="E416" s="18" t="s">
        <v>585</v>
      </c>
      <c r="F416" s="18" t="s">
        <v>596</v>
      </c>
      <c r="G416" s="6" t="s">
        <v>598</v>
      </c>
      <c r="H416" s="12">
        <v>1254000</v>
      </c>
      <c r="I416" s="18">
        <f t="shared" ca="1" si="27"/>
        <v>1</v>
      </c>
      <c r="J416" s="13" t="str">
        <f t="shared" ca="1" si="29"/>
        <v>정상</v>
      </c>
      <c r="K416" s="44"/>
      <c r="L416" s="44">
        <v>46126</v>
      </c>
      <c r="M416" s="42"/>
      <c r="N416" s="10" t="s">
        <v>33</v>
      </c>
      <c r="Q416" s="46"/>
      <c r="R416" s="46"/>
    </row>
    <row r="417" spans="2:18" s="18" customFormat="1" ht="16.5" customHeight="1">
      <c r="B417" s="10">
        <f>IF(C417="","",COUNTA($C$2:C417))</f>
        <v>416</v>
      </c>
      <c r="C417" s="30" t="s">
        <v>587</v>
      </c>
      <c r="D417" s="42" t="str">
        <f t="shared" si="28"/>
        <v>B</v>
      </c>
      <c r="E417" s="18" t="s">
        <v>83</v>
      </c>
      <c r="F417" s="18" t="s">
        <v>493</v>
      </c>
      <c r="G417" s="6" t="s">
        <v>598</v>
      </c>
      <c r="H417" s="12">
        <v>7680000</v>
      </c>
      <c r="I417" s="18">
        <f t="shared" ca="1" si="27"/>
        <v>23</v>
      </c>
      <c r="J417" s="13" t="str">
        <f t="shared" ca="1" si="29"/>
        <v>정상</v>
      </c>
      <c r="K417" s="44"/>
      <c r="L417" s="44"/>
      <c r="M417" s="42"/>
      <c r="N417" s="10" t="s">
        <v>33</v>
      </c>
      <c r="Q417" s="46"/>
      <c r="R417" s="46"/>
    </row>
    <row r="418" spans="2:18" s="18" customFormat="1" ht="16.5" customHeight="1">
      <c r="B418" s="10">
        <f>IF(C418="","",COUNTA($C$2:C418))</f>
        <v>417</v>
      </c>
      <c r="C418" s="30" t="s">
        <v>587</v>
      </c>
      <c r="D418" s="42" t="str">
        <f t="shared" si="28"/>
        <v>B</v>
      </c>
      <c r="E418" s="18" t="s">
        <v>195</v>
      </c>
      <c r="F418" s="18" t="s">
        <v>597</v>
      </c>
      <c r="G418" s="6" t="s">
        <v>598</v>
      </c>
      <c r="H418" s="12">
        <v>720200</v>
      </c>
      <c r="I418" s="18">
        <f t="shared" ca="1" si="27"/>
        <v>23</v>
      </c>
      <c r="J418" s="13" t="str">
        <f t="shared" ca="1" si="29"/>
        <v>정상</v>
      </c>
      <c r="K418" s="44"/>
      <c r="L418" s="44"/>
      <c r="M418" s="42"/>
      <c r="N418" s="10" t="s">
        <v>33</v>
      </c>
      <c r="Q418" s="46"/>
      <c r="R418" s="46"/>
    </row>
    <row r="419" spans="2:18" s="18" customFormat="1" ht="16.5" customHeight="1">
      <c r="B419" s="10">
        <f>IF(C419="","",COUNTA($C$2:C419))</f>
        <v>418</v>
      </c>
      <c r="C419" s="44">
        <v>46125</v>
      </c>
      <c r="D419" s="42" t="s">
        <v>243</v>
      </c>
      <c r="E419" s="18" t="s">
        <v>519</v>
      </c>
      <c r="F419" s="18" t="s">
        <v>272</v>
      </c>
      <c r="G419" s="18" t="s">
        <v>600</v>
      </c>
      <c r="H419" s="12">
        <v>59166000</v>
      </c>
      <c r="I419" s="18">
        <f t="shared" ca="1" si="27"/>
        <v>23</v>
      </c>
      <c r="J419" s="13" t="str">
        <f t="shared" ca="1" si="29"/>
        <v>정상</v>
      </c>
      <c r="K419" s="44"/>
      <c r="L419" s="44"/>
      <c r="M419" s="42"/>
      <c r="N419" s="10" t="s">
        <v>33</v>
      </c>
      <c r="Q419" s="46"/>
      <c r="R419" s="46"/>
    </row>
    <row r="420" spans="2:18" s="18" customFormat="1" ht="16.5" customHeight="1">
      <c r="B420" s="10">
        <f>IF(C420="","",COUNTA($C$2:C420))</f>
        <v>419</v>
      </c>
      <c r="C420" s="44">
        <v>46125</v>
      </c>
      <c r="D420" s="42" t="s">
        <v>243</v>
      </c>
      <c r="E420" s="18" t="s">
        <v>375</v>
      </c>
      <c r="F420" s="18" t="s">
        <v>372</v>
      </c>
      <c r="G420" s="18" t="s">
        <v>601</v>
      </c>
      <c r="H420" s="12">
        <v>12618800</v>
      </c>
      <c r="I420" s="18">
        <f t="shared" ca="1" si="27"/>
        <v>23</v>
      </c>
      <c r="J420" s="13" t="str">
        <f t="shared" ca="1" si="29"/>
        <v>정상</v>
      </c>
      <c r="K420" s="44"/>
      <c r="L420" s="44"/>
      <c r="M420" s="42"/>
      <c r="N420" s="10" t="s">
        <v>33</v>
      </c>
      <c r="Q420" s="46"/>
      <c r="R420" s="46"/>
    </row>
    <row r="421" spans="2:18" s="18" customFormat="1" ht="16.5" customHeight="1">
      <c r="B421" s="10">
        <f>IF(C421="","",COUNTA($C$2:C421))</f>
        <v>420</v>
      </c>
      <c r="C421" s="44">
        <v>46125</v>
      </c>
      <c r="D421" s="42" t="s">
        <v>243</v>
      </c>
      <c r="E421" s="18" t="s">
        <v>548</v>
      </c>
      <c r="F421" s="18" t="s">
        <v>547</v>
      </c>
      <c r="G421" s="18" t="s">
        <v>602</v>
      </c>
      <c r="H421" s="12">
        <v>12026400</v>
      </c>
      <c r="I421" s="18">
        <f t="shared" ca="1" si="27"/>
        <v>23</v>
      </c>
      <c r="J421" s="13" t="str">
        <f t="shared" ca="1" si="29"/>
        <v>정상</v>
      </c>
      <c r="K421" s="44"/>
      <c r="L421" s="44"/>
      <c r="M421" s="42"/>
      <c r="N421" s="10" t="s">
        <v>33</v>
      </c>
      <c r="Q421" s="46"/>
      <c r="R421" s="46"/>
    </row>
    <row r="422" spans="2:18" s="18" customFormat="1" ht="16.5" customHeight="1">
      <c r="B422" s="10">
        <f>IF(C422="","",COUNTA($C$2:C422))</f>
        <v>421</v>
      </c>
      <c r="C422" s="44">
        <v>46125</v>
      </c>
      <c r="D422" s="42" t="s">
        <v>243</v>
      </c>
      <c r="E422" s="18" t="s">
        <v>394</v>
      </c>
      <c r="F422" s="18" t="s">
        <v>599</v>
      </c>
      <c r="G422" s="18" t="s">
        <v>603</v>
      </c>
      <c r="H422" s="12">
        <v>5365000</v>
      </c>
      <c r="I422" s="18">
        <f t="shared" ca="1" si="27"/>
        <v>17</v>
      </c>
      <c r="J422" s="13" t="str">
        <f t="shared" ca="1" si="29"/>
        <v>정상</v>
      </c>
      <c r="K422" s="44"/>
      <c r="L422" s="44">
        <v>46142</v>
      </c>
      <c r="M422" s="42"/>
      <c r="N422" s="10" t="s">
        <v>33</v>
      </c>
      <c r="Q422" s="46"/>
      <c r="R422" s="46"/>
    </row>
    <row r="423" spans="2:18" ht="16.5" customHeight="1">
      <c r="B423" s="10">
        <f>IF(C423="","",COUNTA($C$2:C423))</f>
        <v>422</v>
      </c>
      <c r="C423" s="44" t="s">
        <v>586</v>
      </c>
      <c r="D423" s="42" t="s">
        <v>178</v>
      </c>
      <c r="E423" s="18" t="s">
        <v>195</v>
      </c>
      <c r="F423" s="18" t="s">
        <v>597</v>
      </c>
      <c r="G423" s="18" t="s">
        <v>607</v>
      </c>
      <c r="H423" s="4">
        <v>802000</v>
      </c>
      <c r="I423" s="18">
        <f t="shared" ca="1" si="27"/>
        <v>22</v>
      </c>
      <c r="J423" s="13" t="str">
        <f t="shared" ca="1" si="29"/>
        <v>정상</v>
      </c>
      <c r="N423" s="10" t="s">
        <v>33</v>
      </c>
    </row>
    <row r="424" spans="2:18" ht="16.5" customHeight="1">
      <c r="B424" s="10">
        <f>IF(C424="","",COUNTA($C$2:C424))</f>
        <v>423</v>
      </c>
      <c r="C424" s="44" t="s">
        <v>586</v>
      </c>
      <c r="D424" s="42" t="s">
        <v>178</v>
      </c>
      <c r="E424" s="18" t="s">
        <v>521</v>
      </c>
      <c r="F424" s="18" t="s">
        <v>535</v>
      </c>
      <c r="G424" s="18" t="s">
        <v>607</v>
      </c>
      <c r="H424" s="4">
        <v>990000</v>
      </c>
      <c r="I424" s="18">
        <f t="shared" ca="1" si="27"/>
        <v>22</v>
      </c>
      <c r="J424" s="13" t="str">
        <f t="shared" ca="1" si="29"/>
        <v>정상</v>
      </c>
      <c r="N424" s="10" t="s">
        <v>33</v>
      </c>
    </row>
    <row r="425" spans="2:18" ht="16.5" customHeight="1">
      <c r="B425" s="10">
        <f>IF(C425="","",COUNTA($C$2:C425))</f>
        <v>424</v>
      </c>
      <c r="C425" s="44" t="s">
        <v>586</v>
      </c>
      <c r="D425" s="42" t="s">
        <v>178</v>
      </c>
      <c r="E425" s="18" t="s">
        <v>606</v>
      </c>
      <c r="F425" s="18" t="s">
        <v>604</v>
      </c>
      <c r="G425" s="18" t="s">
        <v>607</v>
      </c>
      <c r="H425" s="4">
        <v>3592300</v>
      </c>
      <c r="I425" s="18">
        <f t="shared" ca="1" si="27"/>
        <v>0</v>
      </c>
      <c r="J425" s="13" t="str">
        <f t="shared" ca="1" si="29"/>
        <v>정상</v>
      </c>
      <c r="L425" s="44">
        <v>46126</v>
      </c>
      <c r="N425" s="10" t="s">
        <v>33</v>
      </c>
    </row>
    <row r="426" spans="2:18" ht="16.5" customHeight="1">
      <c r="B426" s="10">
        <f>IF(C426="","",COUNTA($C$2:C426))</f>
        <v>425</v>
      </c>
      <c r="C426" s="44" t="s">
        <v>586</v>
      </c>
      <c r="D426" s="42" t="s">
        <v>178</v>
      </c>
      <c r="E426" s="18" t="s">
        <v>585</v>
      </c>
      <c r="F426" s="18" t="s">
        <v>596</v>
      </c>
      <c r="G426" s="18" t="s">
        <v>607</v>
      </c>
      <c r="H426" s="4">
        <v>11000000</v>
      </c>
      <c r="I426" s="18">
        <f t="shared" ca="1" si="27"/>
        <v>0</v>
      </c>
      <c r="J426" s="13" t="str">
        <f t="shared" ca="1" si="29"/>
        <v>정상</v>
      </c>
      <c r="L426" s="44">
        <v>46126</v>
      </c>
      <c r="N426" s="10" t="s">
        <v>33</v>
      </c>
    </row>
    <row r="427" spans="2:18" ht="16.5" customHeight="1">
      <c r="B427" s="10">
        <f>IF(C427="","",COUNTA($C$2:C427))</f>
        <v>426</v>
      </c>
      <c r="C427" s="44" t="s">
        <v>586</v>
      </c>
      <c r="D427" s="42" t="s">
        <v>178</v>
      </c>
      <c r="E427" s="18" t="s">
        <v>100</v>
      </c>
      <c r="F427" s="18" t="s">
        <v>605</v>
      </c>
      <c r="G427" s="18" t="s">
        <v>607</v>
      </c>
      <c r="H427" s="4">
        <v>11295600</v>
      </c>
      <c r="I427" s="18">
        <f t="shared" ca="1" si="27"/>
        <v>22</v>
      </c>
      <c r="J427" s="13" t="str">
        <f t="shared" ca="1" si="29"/>
        <v>정상</v>
      </c>
      <c r="N427" s="10" t="s">
        <v>33</v>
      </c>
    </row>
    <row r="428" spans="2:18" ht="16.5" customHeight="1">
      <c r="B428" s="10">
        <f>IF(C428="","",COUNTA($C$2:C428))</f>
        <v>427</v>
      </c>
      <c r="C428" s="44" t="s">
        <v>586</v>
      </c>
      <c r="D428" s="42" t="s">
        <v>178</v>
      </c>
      <c r="E428" s="18" t="s">
        <v>375</v>
      </c>
      <c r="F428" s="18" t="s">
        <v>500</v>
      </c>
      <c r="G428" s="18" t="s">
        <v>607</v>
      </c>
      <c r="H428" s="4">
        <v>23634000</v>
      </c>
      <c r="I428" s="18">
        <f t="shared" ca="1" si="27"/>
        <v>1</v>
      </c>
      <c r="J428" s="13" t="str">
        <f t="shared" ca="1" si="29"/>
        <v>정상</v>
      </c>
      <c r="L428" s="44">
        <v>46127</v>
      </c>
      <c r="N428" s="10" t="s">
        <v>33</v>
      </c>
    </row>
    <row r="429" spans="2:18" s="18" customFormat="1" ht="16.5" customHeight="1">
      <c r="B429" s="10">
        <f>IF(C429="","",COUNTA($C$2:C429))</f>
        <v>428</v>
      </c>
      <c r="C429" s="44" t="s">
        <v>586</v>
      </c>
      <c r="D429" s="42" t="s">
        <v>181</v>
      </c>
      <c r="E429" s="18" t="s">
        <v>609</v>
      </c>
      <c r="F429" s="18" t="s">
        <v>608</v>
      </c>
      <c r="G429" s="18" t="s">
        <v>610</v>
      </c>
      <c r="H429" s="12">
        <v>299600</v>
      </c>
      <c r="I429" s="18">
        <f t="shared" ca="1" si="27"/>
        <v>16</v>
      </c>
      <c r="J429" s="13" t="str">
        <f t="shared" ca="1" si="29"/>
        <v>정상</v>
      </c>
      <c r="K429" s="44"/>
      <c r="L429" s="44">
        <v>46142</v>
      </c>
      <c r="M429" s="42"/>
      <c r="N429" s="10" t="s">
        <v>33</v>
      </c>
      <c r="Q429" s="46"/>
      <c r="R429" s="46"/>
    </row>
    <row r="430" spans="2:18" s="18" customFormat="1" ht="16.5" customHeight="1">
      <c r="B430" s="10">
        <f>IF(C430="","",COUNTA($C$2:C430))</f>
        <v>429</v>
      </c>
      <c r="C430" s="44" t="s">
        <v>586</v>
      </c>
      <c r="D430" s="42" t="s">
        <v>243</v>
      </c>
      <c r="E430" s="18" t="s">
        <v>618</v>
      </c>
      <c r="F430" s="18" t="s">
        <v>614</v>
      </c>
      <c r="G430" s="18" t="s">
        <v>611</v>
      </c>
      <c r="H430" s="12">
        <v>7532400</v>
      </c>
      <c r="I430" s="18">
        <f t="shared" ca="1" si="27"/>
        <v>22</v>
      </c>
      <c r="J430" s="13" t="str">
        <f t="shared" ca="1" si="29"/>
        <v>정상</v>
      </c>
      <c r="K430" s="44"/>
      <c r="L430" s="44"/>
      <c r="M430" s="42"/>
      <c r="N430" s="10" t="s">
        <v>33</v>
      </c>
      <c r="Q430" s="46"/>
      <c r="R430" s="46"/>
    </row>
    <row r="431" spans="2:18" s="18" customFormat="1" ht="16.5" customHeight="1">
      <c r="B431" s="10">
        <f>IF(C431="","",COUNTA($C$2:C431))</f>
        <v>430</v>
      </c>
      <c r="C431" s="44" t="s">
        <v>586</v>
      </c>
      <c r="D431" s="42" t="s">
        <v>243</v>
      </c>
      <c r="E431" s="18" t="s">
        <v>619</v>
      </c>
      <c r="F431" s="18" t="s">
        <v>615</v>
      </c>
      <c r="G431" s="18" t="s">
        <v>612</v>
      </c>
      <c r="H431" s="12">
        <v>70476400</v>
      </c>
      <c r="I431" s="18">
        <f t="shared" ca="1" si="27"/>
        <v>20</v>
      </c>
      <c r="J431" s="13" t="str">
        <f t="shared" ca="1" si="29"/>
        <v>정상</v>
      </c>
      <c r="K431" s="44"/>
      <c r="L431" s="44">
        <v>46146</v>
      </c>
      <c r="M431" s="42"/>
      <c r="N431" s="10" t="s">
        <v>33</v>
      </c>
      <c r="Q431" s="46"/>
      <c r="R431" s="46"/>
    </row>
    <row r="432" spans="2:18" s="18" customFormat="1" ht="16.5" customHeight="1">
      <c r="B432" s="10">
        <f>IF(C432="","",COUNTA($C$2:C432))</f>
        <v>431</v>
      </c>
      <c r="C432" s="44" t="s">
        <v>586</v>
      </c>
      <c r="D432" s="42" t="s">
        <v>243</v>
      </c>
      <c r="E432" s="18" t="s">
        <v>620</v>
      </c>
      <c r="F432" s="18" t="s">
        <v>616</v>
      </c>
      <c r="G432" s="18" t="s">
        <v>611</v>
      </c>
      <c r="H432" s="12">
        <v>7287600</v>
      </c>
      <c r="I432" s="18">
        <f t="shared" ca="1" si="27"/>
        <v>22</v>
      </c>
      <c r="J432" s="13" t="str">
        <f t="shared" ca="1" si="29"/>
        <v>정상</v>
      </c>
      <c r="K432" s="44"/>
      <c r="L432" s="44"/>
      <c r="M432" s="42"/>
      <c r="N432" s="10" t="s">
        <v>33</v>
      </c>
      <c r="Q432" s="46"/>
      <c r="R432" s="46"/>
    </row>
    <row r="433" spans="2:18" s="18" customFormat="1" ht="16.5" customHeight="1">
      <c r="B433" s="10">
        <f>IF(C433="","",COUNTA($C$2:C433))</f>
        <v>432</v>
      </c>
      <c r="C433" s="44" t="s">
        <v>586</v>
      </c>
      <c r="D433" s="42" t="s">
        <v>243</v>
      </c>
      <c r="E433" s="18" t="s">
        <v>621</v>
      </c>
      <c r="F433" s="18" t="s">
        <v>617</v>
      </c>
      <c r="G433" s="18" t="s">
        <v>613</v>
      </c>
      <c r="H433" s="12">
        <v>4080000</v>
      </c>
      <c r="I433" s="18">
        <f t="shared" ca="1" si="27"/>
        <v>22</v>
      </c>
      <c r="J433" s="13" t="str">
        <f t="shared" ca="1" si="29"/>
        <v>정상</v>
      </c>
      <c r="K433" s="44"/>
      <c r="L433" s="44"/>
      <c r="M433" s="42"/>
      <c r="N433" s="10" t="s">
        <v>33</v>
      </c>
      <c r="Q433" s="46"/>
      <c r="R433" s="46"/>
    </row>
    <row r="434" spans="2:18" ht="16.5" customHeight="1">
      <c r="B434" s="10">
        <f>IF(C434="","",COUNTA($C$2:C434))</f>
        <v>433</v>
      </c>
      <c r="C434" s="30" t="s">
        <v>639</v>
      </c>
      <c r="D434" s="42" t="s">
        <v>638</v>
      </c>
      <c r="E434" s="23" t="s">
        <v>585</v>
      </c>
      <c r="F434" s="23" t="s">
        <v>626</v>
      </c>
      <c r="G434" s="18" t="s">
        <v>641</v>
      </c>
      <c r="H434" s="4">
        <v>4826000</v>
      </c>
      <c r="I434" s="18">
        <f t="shared" ca="1" si="27"/>
        <v>21</v>
      </c>
      <c r="J434" s="13" t="str">
        <f t="shared" ca="1" si="29"/>
        <v>정상</v>
      </c>
      <c r="N434" s="10" t="s">
        <v>33</v>
      </c>
    </row>
    <row r="435" spans="2:18" ht="16.5" customHeight="1">
      <c r="B435" s="10">
        <f>IF(C435="","",COUNTA($C$2:C435))</f>
        <v>434</v>
      </c>
      <c r="C435" s="30" t="s">
        <v>639</v>
      </c>
      <c r="D435" s="42" t="s">
        <v>638</v>
      </c>
      <c r="E435" s="23" t="s">
        <v>249</v>
      </c>
      <c r="F435" s="23" t="s">
        <v>627</v>
      </c>
      <c r="G435" s="18" t="s">
        <v>641</v>
      </c>
      <c r="H435" s="4">
        <v>266400</v>
      </c>
      <c r="I435" s="18">
        <f t="shared" ca="1" si="27"/>
        <v>21</v>
      </c>
      <c r="J435" s="13" t="str">
        <f t="shared" ca="1" si="29"/>
        <v>정상</v>
      </c>
      <c r="K435" s="44">
        <v>46173</v>
      </c>
      <c r="N435" s="10" t="s">
        <v>33</v>
      </c>
    </row>
    <row r="436" spans="2:18" ht="16.5" customHeight="1">
      <c r="B436" s="10">
        <f>IF(C436="","",COUNTA($C$2:C436))</f>
        <v>435</v>
      </c>
      <c r="C436" s="30" t="s">
        <v>639</v>
      </c>
      <c r="D436" s="42" t="s">
        <v>638</v>
      </c>
      <c r="E436" s="23" t="s">
        <v>463</v>
      </c>
      <c r="F436" s="23" t="s">
        <v>625</v>
      </c>
      <c r="G436" s="18" t="s">
        <v>641</v>
      </c>
      <c r="H436" s="4">
        <v>1013300</v>
      </c>
      <c r="I436" s="18">
        <f t="shared" ca="1" si="27"/>
        <v>21</v>
      </c>
      <c r="J436" s="13" t="str">
        <f t="shared" ca="1" si="29"/>
        <v>정상</v>
      </c>
      <c r="N436" s="10" t="s">
        <v>33</v>
      </c>
    </row>
    <row r="437" spans="2:18" ht="16.5" customHeight="1">
      <c r="B437" s="10">
        <f>IF(C437="","",COUNTA($C$2:C437))</f>
        <v>436</v>
      </c>
      <c r="C437" s="30" t="s">
        <v>639</v>
      </c>
      <c r="D437" s="42" t="s">
        <v>638</v>
      </c>
      <c r="E437" s="23" t="s">
        <v>81</v>
      </c>
      <c r="F437" s="23" t="s">
        <v>628</v>
      </c>
      <c r="G437" s="18" t="s">
        <v>641</v>
      </c>
      <c r="H437" s="4">
        <v>449400</v>
      </c>
      <c r="I437" s="18">
        <f t="shared" ref="I437:I499" ca="1" si="30">IF(C437="","",IF(L437="",TODAY()-C437,L437-C437))</f>
        <v>21</v>
      </c>
      <c r="J437" s="13" t="str">
        <f t="shared" ca="1" si="29"/>
        <v>정상</v>
      </c>
      <c r="N437" s="10" t="s">
        <v>33</v>
      </c>
    </row>
    <row r="438" spans="2:18" ht="16.5" customHeight="1">
      <c r="B438" s="10">
        <f>IF(C438="","",COUNTA($C$2:C438))</f>
        <v>437</v>
      </c>
      <c r="C438" s="30" t="s">
        <v>639</v>
      </c>
      <c r="D438" s="42" t="s">
        <v>638</v>
      </c>
      <c r="E438" s="23" t="s">
        <v>208</v>
      </c>
      <c r="F438" s="23" t="s">
        <v>629</v>
      </c>
      <c r="G438" s="18" t="s">
        <v>641</v>
      </c>
      <c r="H438" s="4">
        <v>-7260000</v>
      </c>
      <c r="I438" s="18">
        <f t="shared" ca="1" si="30"/>
        <v>21</v>
      </c>
      <c r="J438" s="13" t="str">
        <f t="shared" ca="1" si="29"/>
        <v>정상</v>
      </c>
      <c r="N438" s="10" t="s">
        <v>33</v>
      </c>
    </row>
    <row r="439" spans="2:18" ht="16.5" customHeight="1">
      <c r="B439" s="10">
        <f>IF(C439="","",COUNTA($C$2:C439))</f>
        <v>438</v>
      </c>
      <c r="C439" s="30" t="s">
        <v>639</v>
      </c>
      <c r="D439" s="42" t="s">
        <v>638</v>
      </c>
      <c r="E439" s="23" t="s">
        <v>209</v>
      </c>
      <c r="F439" s="23" t="s">
        <v>630</v>
      </c>
      <c r="G439" s="18" t="s">
        <v>641</v>
      </c>
      <c r="H439" s="4">
        <v>10770000</v>
      </c>
      <c r="I439" s="18">
        <f t="shared" ca="1" si="30"/>
        <v>21</v>
      </c>
      <c r="J439" s="13" t="str">
        <f t="shared" ca="1" si="29"/>
        <v>정상</v>
      </c>
      <c r="N439" s="10" t="s">
        <v>33</v>
      </c>
    </row>
    <row r="440" spans="2:18" ht="16.5" customHeight="1">
      <c r="B440" s="10">
        <f>IF(C440="","",COUNTA($C$2:C440))</f>
        <v>439</v>
      </c>
      <c r="C440" s="30" t="s">
        <v>639</v>
      </c>
      <c r="D440" s="42" t="s">
        <v>638</v>
      </c>
      <c r="E440" s="23" t="s">
        <v>636</v>
      </c>
      <c r="F440" s="23" t="s">
        <v>631</v>
      </c>
      <c r="G440" s="18" t="s">
        <v>641</v>
      </c>
      <c r="H440" s="4">
        <v>46300</v>
      </c>
      <c r="I440" s="18">
        <f t="shared" ca="1" si="30"/>
        <v>15</v>
      </c>
      <c r="J440" s="13" t="str">
        <f t="shared" ca="1" si="29"/>
        <v>정상</v>
      </c>
      <c r="L440" s="44">
        <v>46142</v>
      </c>
      <c r="N440" s="10" t="s">
        <v>33</v>
      </c>
    </row>
    <row r="441" spans="2:18" ht="16.5" customHeight="1">
      <c r="B441" s="10">
        <f>IF(C441="","",COUNTA($C$2:C441))</f>
        <v>440</v>
      </c>
      <c r="C441" s="30" t="s">
        <v>639</v>
      </c>
      <c r="D441" s="42" t="s">
        <v>638</v>
      </c>
      <c r="E441" s="23" t="s">
        <v>126</v>
      </c>
      <c r="F441" s="23" t="s">
        <v>632</v>
      </c>
      <c r="G441" s="18" t="s">
        <v>641</v>
      </c>
      <c r="H441" s="4">
        <v>11690000</v>
      </c>
      <c r="I441" s="18">
        <f t="shared" ca="1" si="30"/>
        <v>21</v>
      </c>
      <c r="J441" s="13" t="str">
        <f t="shared" ca="1" si="29"/>
        <v>정상</v>
      </c>
      <c r="N441" s="10" t="s">
        <v>33</v>
      </c>
    </row>
    <row r="442" spans="2:18" ht="16.5" customHeight="1">
      <c r="B442" s="10">
        <f>IF(C442="","",COUNTA($C$2:C442))</f>
        <v>441</v>
      </c>
      <c r="C442" s="30" t="s">
        <v>640</v>
      </c>
      <c r="D442" s="42" t="s">
        <v>638</v>
      </c>
      <c r="E442" s="23" t="s">
        <v>637</v>
      </c>
      <c r="F442" s="23" t="s">
        <v>633</v>
      </c>
      <c r="G442" s="18" t="s">
        <v>641</v>
      </c>
      <c r="H442" s="4">
        <v>2000200</v>
      </c>
      <c r="I442" s="18">
        <f t="shared" ca="1" si="30"/>
        <v>0</v>
      </c>
      <c r="J442" s="13" t="str">
        <f t="shared" ca="1" si="29"/>
        <v>정상</v>
      </c>
      <c r="L442" s="44">
        <v>46128</v>
      </c>
      <c r="N442" s="10" t="s">
        <v>33</v>
      </c>
    </row>
    <row r="443" spans="2:18" ht="16.5" customHeight="1">
      <c r="B443" s="10">
        <f>IF(C443="","",COUNTA($C$2:C443))</f>
        <v>442</v>
      </c>
      <c r="C443" s="30" t="s">
        <v>640</v>
      </c>
      <c r="D443" s="42" t="s">
        <v>638</v>
      </c>
      <c r="E443" s="23" t="s">
        <v>434</v>
      </c>
      <c r="F443" s="23" t="s">
        <v>634</v>
      </c>
      <c r="G443" s="18" t="s">
        <v>641</v>
      </c>
      <c r="H443" s="4">
        <v>8651000</v>
      </c>
      <c r="I443" s="18">
        <f t="shared" ca="1" si="30"/>
        <v>20</v>
      </c>
      <c r="J443" s="13" t="str">
        <f t="shared" ca="1" si="29"/>
        <v>정상</v>
      </c>
      <c r="N443" s="10" t="s">
        <v>33</v>
      </c>
    </row>
    <row r="444" spans="2:18" ht="16.5" customHeight="1">
      <c r="B444" s="10">
        <f>IF(C444="","",COUNTA($C$2:C444))</f>
        <v>443</v>
      </c>
      <c r="C444" s="30" t="s">
        <v>640</v>
      </c>
      <c r="D444" s="42" t="s">
        <v>638</v>
      </c>
      <c r="E444" s="23" t="s">
        <v>249</v>
      </c>
      <c r="F444" s="23" t="s">
        <v>627</v>
      </c>
      <c r="G444" s="18" t="s">
        <v>641</v>
      </c>
      <c r="H444" s="4">
        <v>2110000</v>
      </c>
      <c r="I444" s="18">
        <f t="shared" ca="1" si="30"/>
        <v>20</v>
      </c>
      <c r="J444" s="13" t="str">
        <f t="shared" ca="1" si="29"/>
        <v>정상</v>
      </c>
      <c r="K444" s="44">
        <v>46173</v>
      </c>
      <c r="N444" s="10" t="s">
        <v>33</v>
      </c>
    </row>
    <row r="445" spans="2:18" ht="16.5" customHeight="1">
      <c r="B445" s="10">
        <f>IF(C445="","",COUNTA($C$2:C445))</f>
        <v>444</v>
      </c>
      <c r="C445" s="30" t="s">
        <v>640</v>
      </c>
      <c r="D445" s="42" t="s">
        <v>638</v>
      </c>
      <c r="E445" s="23" t="s">
        <v>24</v>
      </c>
      <c r="F445" s="23" t="s">
        <v>635</v>
      </c>
      <c r="G445" s="18" t="s">
        <v>641</v>
      </c>
      <c r="H445" s="4">
        <v>1006400</v>
      </c>
      <c r="I445" s="18">
        <f t="shared" ca="1" si="30"/>
        <v>20</v>
      </c>
      <c r="J445" s="13" t="str">
        <f t="shared" ca="1" si="29"/>
        <v>정상</v>
      </c>
      <c r="N445" s="10" t="s">
        <v>33</v>
      </c>
    </row>
    <row r="446" spans="2:18" s="18" customFormat="1" ht="16.5" customHeight="1">
      <c r="B446" s="10">
        <f>IF(C446="","",COUNTA($C$2:C446))</f>
        <v>445</v>
      </c>
      <c r="C446" s="30" t="s">
        <v>642</v>
      </c>
      <c r="D446" s="42" t="s">
        <v>643</v>
      </c>
      <c r="E446" s="48" t="s">
        <v>647</v>
      </c>
      <c r="F446" s="48" t="s">
        <v>646</v>
      </c>
      <c r="G446" s="18" t="s">
        <v>645</v>
      </c>
      <c r="H446" s="12">
        <v>65224000</v>
      </c>
      <c r="I446" s="18">
        <f t="shared" ca="1" si="30"/>
        <v>11</v>
      </c>
      <c r="J446" s="13" t="str">
        <f t="shared" ca="1" si="29"/>
        <v>정상</v>
      </c>
      <c r="K446" s="44"/>
      <c r="L446" s="44">
        <v>46140</v>
      </c>
      <c r="M446" s="42"/>
      <c r="N446" s="10" t="s">
        <v>33</v>
      </c>
      <c r="Q446" s="46"/>
      <c r="R446" s="46"/>
    </row>
    <row r="447" spans="2:18" s="18" customFormat="1" ht="16.5" customHeight="1">
      <c r="B447" s="10">
        <f>IF(C447="","",COUNTA($C$2:C447))</f>
        <v>446</v>
      </c>
      <c r="C447" s="30">
        <v>46129</v>
      </c>
      <c r="D447" s="42" t="s">
        <v>643</v>
      </c>
      <c r="E447" s="18" t="s">
        <v>519</v>
      </c>
      <c r="F447" s="18" t="s">
        <v>644</v>
      </c>
      <c r="G447" s="47" t="s">
        <v>227</v>
      </c>
      <c r="H447" s="12">
        <v>104823750</v>
      </c>
      <c r="I447" s="18">
        <f t="shared" ca="1" si="30"/>
        <v>7</v>
      </c>
      <c r="J447" s="13" t="str">
        <f t="shared" ca="1" si="29"/>
        <v>정상</v>
      </c>
      <c r="K447" s="44"/>
      <c r="L447" s="44">
        <v>46136</v>
      </c>
      <c r="M447" s="42"/>
      <c r="N447" s="10" t="s">
        <v>33</v>
      </c>
      <c r="Q447" s="46"/>
      <c r="R447" s="46"/>
    </row>
    <row r="448" spans="2:18" s="18" customFormat="1" ht="16.5" customHeight="1">
      <c r="B448" s="10">
        <f>IF(C448="","",COUNTA($C$2:C448))</f>
        <v>447</v>
      </c>
      <c r="C448" s="30" t="s">
        <v>642</v>
      </c>
      <c r="D448" s="42" t="s">
        <v>239</v>
      </c>
      <c r="E448" s="23" t="s">
        <v>206</v>
      </c>
      <c r="F448" s="18" t="s">
        <v>557</v>
      </c>
      <c r="G448" s="47" t="s">
        <v>665</v>
      </c>
      <c r="H448" s="12">
        <v>700000</v>
      </c>
      <c r="I448" s="18">
        <f t="shared" ca="1" si="30"/>
        <v>0</v>
      </c>
      <c r="J448" s="13" t="str">
        <f t="shared" ca="1" si="29"/>
        <v>정상</v>
      </c>
      <c r="K448" s="44"/>
      <c r="L448" s="44">
        <v>46129</v>
      </c>
      <c r="M448" s="42"/>
      <c r="N448" s="10" t="s">
        <v>33</v>
      </c>
      <c r="Q448" s="46"/>
      <c r="R448" s="46"/>
    </row>
    <row r="449" spans="2:18" s="18" customFormat="1" ht="16.5" customHeight="1">
      <c r="B449" s="10">
        <f>IF(C449="","",COUNTA($C$2:C449))</f>
        <v>448</v>
      </c>
      <c r="C449" s="30" t="s">
        <v>642</v>
      </c>
      <c r="D449" s="42" t="s">
        <v>239</v>
      </c>
      <c r="E449" s="23" t="s">
        <v>579</v>
      </c>
      <c r="F449" s="18" t="s">
        <v>590</v>
      </c>
      <c r="G449" s="47" t="s">
        <v>665</v>
      </c>
      <c r="H449" s="12">
        <v>12079800</v>
      </c>
      <c r="I449" s="18">
        <f t="shared" ca="1" si="30"/>
        <v>0</v>
      </c>
      <c r="J449" s="13" t="str">
        <f t="shared" ca="1" si="29"/>
        <v>정상</v>
      </c>
      <c r="K449" s="44"/>
      <c r="L449" s="44">
        <v>46129</v>
      </c>
      <c r="M449" s="42"/>
      <c r="N449" s="10" t="s">
        <v>33</v>
      </c>
      <c r="Q449" s="46"/>
      <c r="R449" s="46"/>
    </row>
    <row r="450" spans="2:18" s="18" customFormat="1" ht="16.5" customHeight="1">
      <c r="B450" s="10">
        <f>IF(C450="","",COUNTA($C$2:C450))</f>
        <v>449</v>
      </c>
      <c r="C450" s="30" t="s">
        <v>642</v>
      </c>
      <c r="D450" s="42" t="s">
        <v>239</v>
      </c>
      <c r="E450" s="23" t="s">
        <v>218</v>
      </c>
      <c r="F450" s="18" t="s">
        <v>648</v>
      </c>
      <c r="G450" s="47" t="s">
        <v>665</v>
      </c>
      <c r="H450" s="12">
        <v>167600</v>
      </c>
      <c r="I450" s="18">
        <f t="shared" ca="1" si="30"/>
        <v>19</v>
      </c>
      <c r="J450" s="13" t="str">
        <f t="shared" ca="1" si="29"/>
        <v>정상</v>
      </c>
      <c r="K450" s="44"/>
      <c r="L450" s="44"/>
      <c r="M450" s="42"/>
      <c r="N450" s="10" t="s">
        <v>33</v>
      </c>
      <c r="Q450" s="46"/>
      <c r="R450" s="46"/>
    </row>
    <row r="451" spans="2:18" s="18" customFormat="1" ht="16.5" customHeight="1">
      <c r="B451" s="10">
        <f>IF(C451="","",COUNTA($C$2:C451))</f>
        <v>450</v>
      </c>
      <c r="C451" s="30" t="s">
        <v>642</v>
      </c>
      <c r="D451" s="42" t="s">
        <v>239</v>
      </c>
      <c r="E451" s="23" t="s">
        <v>661</v>
      </c>
      <c r="F451" s="18" t="s">
        <v>211</v>
      </c>
      <c r="G451" s="47" t="s">
        <v>665</v>
      </c>
      <c r="H451" s="12">
        <v>233200</v>
      </c>
      <c r="I451" s="18">
        <f t="shared" ca="1" si="30"/>
        <v>19</v>
      </c>
      <c r="J451" s="13" t="str">
        <f t="shared" ca="1" si="29"/>
        <v>정상</v>
      </c>
      <c r="K451" s="44"/>
      <c r="L451" s="44"/>
      <c r="M451" s="42"/>
      <c r="N451" s="10" t="s">
        <v>33</v>
      </c>
      <c r="Q451" s="46"/>
      <c r="R451" s="46"/>
    </row>
    <row r="452" spans="2:18" s="18" customFormat="1" ht="16.5" customHeight="1">
      <c r="B452" s="10">
        <f>IF(C452="","",COUNTA($C$2:C452))</f>
        <v>451</v>
      </c>
      <c r="C452" s="30" t="s">
        <v>642</v>
      </c>
      <c r="D452" s="42" t="s">
        <v>239</v>
      </c>
      <c r="E452" s="23" t="s">
        <v>126</v>
      </c>
      <c r="F452" s="18" t="s">
        <v>479</v>
      </c>
      <c r="G452" s="47" t="s">
        <v>665</v>
      </c>
      <c r="H452" s="12">
        <v>1969000</v>
      </c>
      <c r="I452" s="18">
        <f t="shared" ca="1" si="30"/>
        <v>19</v>
      </c>
      <c r="J452" s="13" t="str">
        <f t="shared" ca="1" si="29"/>
        <v>정상</v>
      </c>
      <c r="K452" s="44"/>
      <c r="L452" s="44"/>
      <c r="M452" s="42"/>
      <c r="N452" s="10" t="s">
        <v>33</v>
      </c>
      <c r="Q452" s="46"/>
      <c r="R452" s="46"/>
    </row>
    <row r="453" spans="2:18" s="18" customFormat="1" ht="16.5" customHeight="1">
      <c r="B453" s="10">
        <f>IF(C453="","",COUNTA($C$2:C453))</f>
        <v>452</v>
      </c>
      <c r="C453" s="30" t="s">
        <v>663</v>
      </c>
      <c r="D453" s="42" t="s">
        <v>239</v>
      </c>
      <c r="E453" s="23" t="s">
        <v>366</v>
      </c>
      <c r="F453" s="18" t="s">
        <v>480</v>
      </c>
      <c r="G453" s="47" t="s">
        <v>665</v>
      </c>
      <c r="H453" s="12">
        <v>5047800</v>
      </c>
      <c r="I453" s="18">
        <f t="shared" ca="1" si="30"/>
        <v>16</v>
      </c>
      <c r="J453" s="13" t="str">
        <f t="shared" ca="1" si="29"/>
        <v>정상</v>
      </c>
      <c r="K453" s="44"/>
      <c r="L453" s="44"/>
      <c r="M453" s="42"/>
      <c r="N453" s="10" t="s">
        <v>33</v>
      </c>
      <c r="Q453" s="46"/>
      <c r="R453" s="46"/>
    </row>
    <row r="454" spans="2:18" s="18" customFormat="1" ht="16.5" customHeight="1">
      <c r="B454" s="10">
        <f>IF(C454="","",COUNTA($C$2:C454))</f>
        <v>453</v>
      </c>
      <c r="C454" s="30" t="s">
        <v>663</v>
      </c>
      <c r="D454" s="42" t="s">
        <v>239</v>
      </c>
      <c r="E454" s="23" t="s">
        <v>209</v>
      </c>
      <c r="F454" s="18" t="s">
        <v>649</v>
      </c>
      <c r="G454" s="47" t="s">
        <v>665</v>
      </c>
      <c r="H454" s="12">
        <v>56594600</v>
      </c>
      <c r="I454" s="18">
        <f t="shared" ca="1" si="30"/>
        <v>16</v>
      </c>
      <c r="J454" s="13" t="str">
        <f t="shared" ca="1" si="29"/>
        <v>정상</v>
      </c>
      <c r="K454" s="44"/>
      <c r="L454" s="44"/>
      <c r="M454" s="42"/>
      <c r="N454" s="10" t="s">
        <v>33</v>
      </c>
      <c r="Q454" s="46"/>
      <c r="R454" s="46"/>
    </row>
    <row r="455" spans="2:18" s="18" customFormat="1" ht="16.5" customHeight="1">
      <c r="B455" s="10">
        <f>IF(C455="","",COUNTA($C$2:C455))</f>
        <v>454</v>
      </c>
      <c r="C455" s="30" t="s">
        <v>663</v>
      </c>
      <c r="D455" s="42" t="s">
        <v>239</v>
      </c>
      <c r="E455" s="23" t="s">
        <v>209</v>
      </c>
      <c r="F455" s="18" t="s">
        <v>650</v>
      </c>
      <c r="G455" s="47" t="s">
        <v>665</v>
      </c>
      <c r="H455" s="12">
        <v>-1277000</v>
      </c>
      <c r="I455" s="18">
        <f t="shared" ca="1" si="30"/>
        <v>16</v>
      </c>
      <c r="J455" s="13" t="str">
        <f t="shared" ca="1" si="29"/>
        <v>정상</v>
      </c>
      <c r="K455" s="44"/>
      <c r="L455" s="44"/>
      <c r="M455" s="42"/>
      <c r="N455" s="10" t="s">
        <v>33</v>
      </c>
      <c r="Q455" s="46"/>
      <c r="R455" s="46"/>
    </row>
    <row r="456" spans="2:18" s="18" customFormat="1" ht="16.5" customHeight="1">
      <c r="B456" s="10">
        <f>IF(C456="","",COUNTA($C$2:C456))</f>
        <v>455</v>
      </c>
      <c r="C456" s="30" t="s">
        <v>663</v>
      </c>
      <c r="D456" s="42" t="s">
        <v>239</v>
      </c>
      <c r="E456" s="23" t="s">
        <v>128</v>
      </c>
      <c r="F456" s="18" t="s">
        <v>651</v>
      </c>
      <c r="G456" s="47" t="s">
        <v>665</v>
      </c>
      <c r="H456" s="12">
        <v>2242500</v>
      </c>
      <c r="I456" s="18">
        <f t="shared" ca="1" si="30"/>
        <v>16</v>
      </c>
      <c r="J456" s="13" t="str">
        <f t="shared" ca="1" si="29"/>
        <v>정상</v>
      </c>
      <c r="K456" s="44"/>
      <c r="L456" s="44"/>
      <c r="M456" s="42"/>
      <c r="N456" s="10" t="s">
        <v>33</v>
      </c>
      <c r="Q456" s="46"/>
      <c r="R456" s="46"/>
    </row>
    <row r="457" spans="2:18" s="18" customFormat="1" ht="16.5" customHeight="1">
      <c r="B457" s="10">
        <f>IF(C457="","",COUNTA($C$2:C457))</f>
        <v>456</v>
      </c>
      <c r="C457" s="30" t="s">
        <v>663</v>
      </c>
      <c r="D457" s="42" t="s">
        <v>239</v>
      </c>
      <c r="E457" s="23" t="s">
        <v>461</v>
      </c>
      <c r="F457" s="18" t="s">
        <v>652</v>
      </c>
      <c r="G457" s="47" t="s">
        <v>665</v>
      </c>
      <c r="H457" s="12">
        <v>2107200</v>
      </c>
      <c r="I457" s="18">
        <f t="shared" ca="1" si="30"/>
        <v>16</v>
      </c>
      <c r="J457" s="13" t="str">
        <f t="shared" ca="1" si="29"/>
        <v>정상</v>
      </c>
      <c r="K457" s="44"/>
      <c r="L457" s="44"/>
      <c r="M457" s="42"/>
      <c r="N457" s="10" t="s">
        <v>33</v>
      </c>
      <c r="Q457" s="46"/>
      <c r="R457" s="46"/>
    </row>
    <row r="458" spans="2:18" s="18" customFormat="1" ht="16.5" customHeight="1">
      <c r="B458" s="10">
        <f>IF(C458="","",COUNTA($C$2:C458))</f>
        <v>457</v>
      </c>
      <c r="C458" s="30" t="s">
        <v>663</v>
      </c>
      <c r="D458" s="42" t="s">
        <v>239</v>
      </c>
      <c r="E458" s="23" t="s">
        <v>128</v>
      </c>
      <c r="F458" s="18" t="s">
        <v>653</v>
      </c>
      <c r="G458" s="47" t="s">
        <v>665</v>
      </c>
      <c r="H458" s="12">
        <v>10709900</v>
      </c>
      <c r="I458" s="18">
        <f t="shared" ca="1" si="30"/>
        <v>16</v>
      </c>
      <c r="J458" s="13" t="str">
        <f t="shared" ca="1" si="29"/>
        <v>정상</v>
      </c>
      <c r="K458" s="44"/>
      <c r="L458" s="44"/>
      <c r="M458" s="42"/>
      <c r="N458" s="10" t="s">
        <v>33</v>
      </c>
      <c r="Q458" s="46"/>
      <c r="R458" s="46"/>
    </row>
    <row r="459" spans="2:18" s="18" customFormat="1" ht="16.5" customHeight="1">
      <c r="B459" s="10">
        <f>IF(C459="","",COUNTA($C$2:C459))</f>
        <v>458</v>
      </c>
      <c r="C459" s="30" t="s">
        <v>663</v>
      </c>
      <c r="D459" s="42" t="s">
        <v>239</v>
      </c>
      <c r="E459" s="23" t="s">
        <v>662</v>
      </c>
      <c r="F459" s="18" t="s">
        <v>654</v>
      </c>
      <c r="G459" s="47" t="s">
        <v>665</v>
      </c>
      <c r="H459" s="12">
        <v>8250000</v>
      </c>
      <c r="I459" s="18">
        <f t="shared" ca="1" si="30"/>
        <v>0</v>
      </c>
      <c r="J459" s="13" t="str">
        <f t="shared" ca="1" si="29"/>
        <v>정상</v>
      </c>
      <c r="K459" s="44"/>
      <c r="L459" s="44">
        <v>46132</v>
      </c>
      <c r="M459" s="42"/>
      <c r="N459" s="10" t="s">
        <v>33</v>
      </c>
      <c r="Q459" s="46"/>
      <c r="R459" s="46"/>
    </row>
    <row r="460" spans="2:18" s="18" customFormat="1" ht="16.5" customHeight="1">
      <c r="B460" s="10">
        <f>IF(C460="","",COUNTA($C$2:C460))</f>
        <v>459</v>
      </c>
      <c r="C460" s="30" t="s">
        <v>663</v>
      </c>
      <c r="D460" s="42" t="s">
        <v>239</v>
      </c>
      <c r="E460" s="23" t="s">
        <v>83</v>
      </c>
      <c r="F460" s="18" t="s">
        <v>493</v>
      </c>
      <c r="G460" s="47" t="s">
        <v>665</v>
      </c>
      <c r="H460" s="12">
        <v>7032000</v>
      </c>
      <c r="I460" s="18">
        <f t="shared" ca="1" si="30"/>
        <v>16</v>
      </c>
      <c r="J460" s="13" t="str">
        <f t="shared" ca="1" si="29"/>
        <v>정상</v>
      </c>
      <c r="K460" s="44"/>
      <c r="L460" s="44"/>
      <c r="M460" s="42"/>
      <c r="N460" s="10" t="s">
        <v>33</v>
      </c>
      <c r="Q460" s="46"/>
      <c r="R460" s="46"/>
    </row>
    <row r="461" spans="2:18" s="18" customFormat="1" ht="16.5" customHeight="1">
      <c r="B461" s="10">
        <f>IF(C461="","",COUNTA($C$2:C461))</f>
        <v>460</v>
      </c>
      <c r="C461" s="30" t="s">
        <v>663</v>
      </c>
      <c r="D461" s="42" t="s">
        <v>239</v>
      </c>
      <c r="E461" s="23" t="s">
        <v>110</v>
      </c>
      <c r="F461" s="18" t="s">
        <v>655</v>
      </c>
      <c r="G461" s="47" t="s">
        <v>665</v>
      </c>
      <c r="H461" s="12">
        <v>20070100</v>
      </c>
      <c r="I461" s="18">
        <f t="shared" ca="1" si="30"/>
        <v>16</v>
      </c>
      <c r="J461" s="13" t="str">
        <f t="shared" ca="1" si="29"/>
        <v>정상</v>
      </c>
      <c r="K461" s="44"/>
      <c r="L461" s="44"/>
      <c r="M461" s="42"/>
      <c r="N461" s="10" t="s">
        <v>33</v>
      </c>
      <c r="Q461" s="46"/>
      <c r="R461" s="46"/>
    </row>
    <row r="462" spans="2:18" s="18" customFormat="1" ht="16.5" customHeight="1">
      <c r="B462" s="10">
        <f>IF(C462="","",COUNTA($C$2:C462))</f>
        <v>461</v>
      </c>
      <c r="C462" s="30" t="s">
        <v>663</v>
      </c>
      <c r="D462" s="42" t="s">
        <v>239</v>
      </c>
      <c r="E462" s="23" t="s">
        <v>128</v>
      </c>
      <c r="F462" s="18" t="s">
        <v>553</v>
      </c>
      <c r="G462" s="47" t="s">
        <v>665</v>
      </c>
      <c r="H462" s="12">
        <v>25734800</v>
      </c>
      <c r="I462" s="18">
        <f t="shared" ca="1" si="30"/>
        <v>16</v>
      </c>
      <c r="J462" s="13" t="str">
        <f t="shared" ca="1" si="29"/>
        <v>정상</v>
      </c>
      <c r="K462" s="44"/>
      <c r="L462" s="44"/>
      <c r="M462" s="42"/>
      <c r="N462" s="10" t="s">
        <v>33</v>
      </c>
      <c r="Q462" s="46"/>
      <c r="R462" s="46"/>
    </row>
    <row r="463" spans="2:18" s="18" customFormat="1" ht="16.5" customHeight="1">
      <c r="B463" s="10">
        <f>IF(C463="","",COUNTA($C$2:C463))</f>
        <v>462</v>
      </c>
      <c r="C463" s="30" t="s">
        <v>664</v>
      </c>
      <c r="D463" s="42" t="s">
        <v>239</v>
      </c>
      <c r="E463" s="23" t="s">
        <v>585</v>
      </c>
      <c r="F463" s="18" t="s">
        <v>656</v>
      </c>
      <c r="G463" s="47" t="s">
        <v>665</v>
      </c>
      <c r="H463" s="12">
        <v>15595200</v>
      </c>
      <c r="I463" s="18">
        <f t="shared" ca="1" si="30"/>
        <v>15</v>
      </c>
      <c r="J463" s="13" t="str">
        <f t="shared" ca="1" si="29"/>
        <v>정상</v>
      </c>
      <c r="K463" s="44"/>
      <c r="L463" s="44"/>
      <c r="M463" s="42"/>
      <c r="N463" s="10" t="s">
        <v>33</v>
      </c>
      <c r="Q463" s="46"/>
      <c r="R463" s="46"/>
    </row>
    <row r="464" spans="2:18" s="18" customFormat="1" ht="16.5" customHeight="1">
      <c r="B464" s="10">
        <f>IF(C464="","",COUNTA($C$2:C464))</f>
        <v>463</v>
      </c>
      <c r="C464" s="30" t="s">
        <v>664</v>
      </c>
      <c r="D464" s="42" t="s">
        <v>239</v>
      </c>
      <c r="E464" s="23" t="s">
        <v>126</v>
      </c>
      <c r="F464" s="18" t="s">
        <v>484</v>
      </c>
      <c r="G464" s="47" t="s">
        <v>665</v>
      </c>
      <c r="H464" s="12">
        <v>484000</v>
      </c>
      <c r="I464" s="18">
        <f t="shared" ca="1" si="30"/>
        <v>15</v>
      </c>
      <c r="J464" s="13" t="str">
        <f t="shared" ca="1" si="29"/>
        <v>정상</v>
      </c>
      <c r="K464" s="44"/>
      <c r="L464" s="44"/>
      <c r="M464" s="42"/>
      <c r="N464" s="10" t="s">
        <v>33</v>
      </c>
      <c r="Q464" s="46"/>
      <c r="R464" s="46"/>
    </row>
    <row r="465" spans="2:18" s="18" customFormat="1" ht="16.5" customHeight="1">
      <c r="B465" s="10">
        <f>IF(C465="","",COUNTA($C$2:C465))</f>
        <v>464</v>
      </c>
      <c r="C465" s="30" t="s">
        <v>664</v>
      </c>
      <c r="D465" s="42" t="s">
        <v>239</v>
      </c>
      <c r="E465" s="23" t="s">
        <v>105</v>
      </c>
      <c r="F465" s="18" t="s">
        <v>657</v>
      </c>
      <c r="G465" s="47" t="s">
        <v>665</v>
      </c>
      <c r="H465" s="12">
        <v>972200</v>
      </c>
      <c r="I465" s="18">
        <f t="shared" ca="1" si="30"/>
        <v>9</v>
      </c>
      <c r="J465" s="13" t="str">
        <f t="shared" ca="1" si="29"/>
        <v>정상</v>
      </c>
      <c r="K465" s="44"/>
      <c r="L465" s="44">
        <v>46142</v>
      </c>
      <c r="M465" s="42"/>
      <c r="N465" s="10" t="s">
        <v>33</v>
      </c>
      <c r="Q465" s="46"/>
      <c r="R465" s="46"/>
    </row>
    <row r="466" spans="2:18" s="18" customFormat="1" ht="16.5" customHeight="1">
      <c r="B466" s="10">
        <f>IF(C466="","",COUNTA($C$2:C466))</f>
        <v>465</v>
      </c>
      <c r="C466" s="30" t="s">
        <v>664</v>
      </c>
      <c r="D466" s="42" t="s">
        <v>239</v>
      </c>
      <c r="E466" s="23" t="s">
        <v>579</v>
      </c>
      <c r="F466" s="18" t="s">
        <v>658</v>
      </c>
      <c r="G466" s="47" t="s">
        <v>665</v>
      </c>
      <c r="H466" s="12">
        <v>498600</v>
      </c>
      <c r="I466" s="18">
        <f t="shared" ca="1" si="30"/>
        <v>0</v>
      </c>
      <c r="J466" s="13" t="str">
        <f t="shared" ca="1" si="29"/>
        <v>정상</v>
      </c>
      <c r="K466" s="44"/>
      <c r="L466" s="44">
        <v>46133</v>
      </c>
      <c r="M466" s="42"/>
      <c r="N466" s="10" t="s">
        <v>33</v>
      </c>
      <c r="Q466" s="46"/>
      <c r="R466" s="46"/>
    </row>
    <row r="467" spans="2:18" s="18" customFormat="1" ht="16.5" customHeight="1">
      <c r="B467" s="10">
        <f>IF(C467="","",COUNTA($C$2:C467))</f>
        <v>466</v>
      </c>
      <c r="C467" s="30" t="s">
        <v>664</v>
      </c>
      <c r="D467" s="42" t="s">
        <v>239</v>
      </c>
      <c r="E467" s="23" t="s">
        <v>209</v>
      </c>
      <c r="F467" s="18" t="s">
        <v>649</v>
      </c>
      <c r="G467" s="47" t="s">
        <v>665</v>
      </c>
      <c r="H467" s="12">
        <v>18524900</v>
      </c>
      <c r="I467" s="18">
        <f t="shared" ca="1" si="30"/>
        <v>15</v>
      </c>
      <c r="J467" s="13" t="str">
        <f t="shared" ca="1" si="29"/>
        <v>정상</v>
      </c>
      <c r="K467" s="44"/>
      <c r="L467" s="44"/>
      <c r="M467" s="42"/>
      <c r="N467" s="10" t="s">
        <v>33</v>
      </c>
      <c r="Q467" s="46"/>
      <c r="R467" s="46"/>
    </row>
    <row r="468" spans="2:18" s="18" customFormat="1" ht="16.5" customHeight="1">
      <c r="B468" s="10">
        <f>IF(C468="","",COUNTA($C$2:C468))</f>
        <v>467</v>
      </c>
      <c r="C468" s="30" t="s">
        <v>664</v>
      </c>
      <c r="D468" s="42" t="s">
        <v>239</v>
      </c>
      <c r="E468" s="23" t="s">
        <v>207</v>
      </c>
      <c r="F468" s="18" t="s">
        <v>659</v>
      </c>
      <c r="G468" s="47" t="s">
        <v>665</v>
      </c>
      <c r="H468" s="12">
        <v>3547500</v>
      </c>
      <c r="I468" s="18">
        <f t="shared" ca="1" si="30"/>
        <v>15</v>
      </c>
      <c r="J468" s="13" t="str">
        <f t="shared" ca="1" si="29"/>
        <v>정상</v>
      </c>
      <c r="K468" s="44">
        <v>46142</v>
      </c>
      <c r="L468" s="44"/>
      <c r="M468" s="42"/>
      <c r="N468" s="10" t="s">
        <v>33</v>
      </c>
      <c r="Q468" s="46"/>
      <c r="R468" s="46"/>
    </row>
    <row r="469" spans="2:18" s="18" customFormat="1" ht="16.5" customHeight="1">
      <c r="B469" s="10">
        <f>IF(C469="","",COUNTA($C$2:C469))</f>
        <v>468</v>
      </c>
      <c r="C469" s="30" t="s">
        <v>664</v>
      </c>
      <c r="D469" s="42" t="s">
        <v>239</v>
      </c>
      <c r="E469" s="23" t="s">
        <v>662</v>
      </c>
      <c r="F469" s="18" t="s">
        <v>660</v>
      </c>
      <c r="G469" s="47" t="s">
        <v>665</v>
      </c>
      <c r="H469" s="12">
        <v>5362500</v>
      </c>
      <c r="I469" s="18">
        <f t="shared" ca="1" si="30"/>
        <v>0</v>
      </c>
      <c r="J469" s="13" t="str">
        <f t="shared" ref="J469:J531" ca="1" si="31">IF(I469="","",
 IF(G469="선급금",
   IF(I469&lt;=20,"정상",IF(I469&lt;=90,"관리","장기미수")),
 IF(G469="자재",
   IF(I469&lt;=40,"정상",IF(I469&lt;=90,"관리","장기미수")),
   IF(I469&lt;=30,"정상",IF(I469&lt;=90,"관리","장기미수"))
  )
 )
)</f>
        <v>정상</v>
      </c>
      <c r="K469" s="44"/>
      <c r="L469" s="44">
        <v>46133</v>
      </c>
      <c r="M469" s="42"/>
      <c r="N469" s="10" t="s">
        <v>33</v>
      </c>
      <c r="Q469" s="46"/>
      <c r="R469" s="46"/>
    </row>
    <row r="470" spans="2:18" s="18" customFormat="1" ht="16.5" customHeight="1">
      <c r="B470" s="10">
        <f>IF(C470="","",COUNTA($C$2:C470))</f>
        <v>469</v>
      </c>
      <c r="C470" s="30" t="s">
        <v>664</v>
      </c>
      <c r="D470" s="42" t="s">
        <v>239</v>
      </c>
      <c r="E470" s="23" t="s">
        <v>221</v>
      </c>
      <c r="F470" s="18" t="s">
        <v>216</v>
      </c>
      <c r="G470" s="47" t="s">
        <v>665</v>
      </c>
      <c r="H470" s="12">
        <v>4472000</v>
      </c>
      <c r="I470" s="18">
        <f t="shared" ca="1" si="30"/>
        <v>15</v>
      </c>
      <c r="J470" s="13" t="str">
        <f t="shared" ca="1" si="31"/>
        <v>정상</v>
      </c>
      <c r="K470" s="44"/>
      <c r="L470" s="44"/>
      <c r="M470" s="42"/>
      <c r="N470" s="10" t="s">
        <v>33</v>
      </c>
      <c r="Q470" s="46"/>
      <c r="R470" s="46"/>
    </row>
    <row r="471" spans="2:18" s="42" customFormat="1" ht="16.5" customHeight="1">
      <c r="B471" s="10">
        <f>IF(C471="","",COUNTA($C$2:C471))</f>
        <v>470</v>
      </c>
      <c r="C471" s="44" t="s">
        <v>642</v>
      </c>
      <c r="D471" s="42" t="s">
        <v>669</v>
      </c>
      <c r="E471" s="43" t="s">
        <v>668</v>
      </c>
      <c r="F471" s="43" t="s">
        <v>666</v>
      </c>
      <c r="G471" s="43" t="s">
        <v>667</v>
      </c>
      <c r="H471" s="49">
        <v>14255200</v>
      </c>
      <c r="I471" s="18">
        <f t="shared" ca="1" si="30"/>
        <v>19</v>
      </c>
      <c r="J471" s="13" t="str">
        <f t="shared" ca="1" si="31"/>
        <v>정상</v>
      </c>
      <c r="K471" s="44"/>
      <c r="L471" s="44"/>
      <c r="N471" s="10" t="s">
        <v>33</v>
      </c>
      <c r="Q471" s="44"/>
      <c r="R471" s="44"/>
    </row>
    <row r="472" spans="2:18" ht="16.5" customHeight="1">
      <c r="B472" s="10">
        <f>IF(C472="","",COUNTA($C$2:C472))</f>
        <v>471</v>
      </c>
      <c r="C472" s="44">
        <v>46132</v>
      </c>
      <c r="D472" s="42" t="s">
        <v>669</v>
      </c>
      <c r="E472" s="50" t="s">
        <v>671</v>
      </c>
      <c r="F472" s="47" t="s">
        <v>670</v>
      </c>
      <c r="G472" s="47" t="s">
        <v>672</v>
      </c>
      <c r="H472" s="4">
        <v>35447600</v>
      </c>
      <c r="I472" s="18">
        <f t="shared" ca="1" si="30"/>
        <v>16</v>
      </c>
      <c r="J472" s="13" t="str">
        <f t="shared" ca="1" si="31"/>
        <v>정상</v>
      </c>
      <c r="N472" s="10" t="s">
        <v>33</v>
      </c>
    </row>
    <row r="473" spans="2:18" ht="16.5" customHeight="1">
      <c r="B473" s="10">
        <f>IF(C473="","",COUNTA($C$2:C473))</f>
        <v>472</v>
      </c>
      <c r="C473" s="30" t="s">
        <v>664</v>
      </c>
      <c r="D473" s="51" t="s">
        <v>679</v>
      </c>
      <c r="E473" s="23" t="s">
        <v>673</v>
      </c>
      <c r="F473" s="23" t="s">
        <v>674</v>
      </c>
      <c r="G473" s="47" t="s">
        <v>678</v>
      </c>
      <c r="H473" s="4">
        <v>900000</v>
      </c>
      <c r="I473" s="18">
        <f t="shared" ca="1" si="30"/>
        <v>0</v>
      </c>
      <c r="J473" s="13" t="str">
        <f t="shared" ca="1" si="31"/>
        <v>정상</v>
      </c>
      <c r="L473" s="44">
        <v>46133</v>
      </c>
      <c r="N473" s="10" t="s">
        <v>33</v>
      </c>
    </row>
    <row r="474" spans="2:18" ht="16.5" customHeight="1">
      <c r="B474" s="10">
        <f>IF(C474="","",COUNTA($C$2:C474))</f>
        <v>473</v>
      </c>
      <c r="C474" s="30" t="s">
        <v>664</v>
      </c>
      <c r="D474" s="51" t="s">
        <v>679</v>
      </c>
      <c r="E474" s="23" t="s">
        <v>463</v>
      </c>
      <c r="F474" s="23" t="s">
        <v>675</v>
      </c>
      <c r="G474" s="47" t="s">
        <v>678</v>
      </c>
      <c r="H474" s="4">
        <v>300800</v>
      </c>
      <c r="I474" s="18">
        <f t="shared" ca="1" si="30"/>
        <v>15</v>
      </c>
      <c r="J474" s="13" t="str">
        <f t="shared" ca="1" si="31"/>
        <v>정상</v>
      </c>
      <c r="N474" s="10" t="s">
        <v>33</v>
      </c>
    </row>
    <row r="475" spans="2:18" ht="16.5" customHeight="1">
      <c r="B475" s="10">
        <f>IF(C475="","",COUNTA($C$2:C475))</f>
        <v>474</v>
      </c>
      <c r="C475" s="30" t="s">
        <v>664</v>
      </c>
      <c r="D475" s="51" t="s">
        <v>679</v>
      </c>
      <c r="E475" s="23" t="s">
        <v>578</v>
      </c>
      <c r="F475" s="23" t="s">
        <v>589</v>
      </c>
      <c r="G475" s="47" t="s">
        <v>678</v>
      </c>
      <c r="H475" s="4">
        <v>4882500</v>
      </c>
      <c r="I475" s="18">
        <f t="shared" ca="1" si="30"/>
        <v>15</v>
      </c>
      <c r="J475" s="13" t="str">
        <f t="shared" ca="1" si="31"/>
        <v>정상</v>
      </c>
      <c r="N475" s="10" t="s">
        <v>33</v>
      </c>
    </row>
    <row r="476" spans="2:18" ht="16.5" customHeight="1">
      <c r="B476" s="10">
        <f>IF(C476="","",COUNTA($C$2:C476))</f>
        <v>475</v>
      </c>
      <c r="C476" s="30" t="s">
        <v>664</v>
      </c>
      <c r="D476" s="51" t="s">
        <v>679</v>
      </c>
      <c r="E476" s="23" t="s">
        <v>463</v>
      </c>
      <c r="F476" s="23" t="s">
        <v>676</v>
      </c>
      <c r="G476" s="47" t="s">
        <v>678</v>
      </c>
      <c r="H476" s="4">
        <v>717500</v>
      </c>
      <c r="I476" s="18">
        <f t="shared" ca="1" si="30"/>
        <v>15</v>
      </c>
      <c r="J476" s="13" t="str">
        <f t="shared" ca="1" si="31"/>
        <v>정상</v>
      </c>
      <c r="N476" s="10" t="s">
        <v>33</v>
      </c>
    </row>
    <row r="477" spans="2:18" ht="16.5" customHeight="1">
      <c r="B477" s="10">
        <f>IF(C477="","",COUNTA($C$2:C477))</f>
        <v>476</v>
      </c>
      <c r="C477" s="30" t="s">
        <v>664</v>
      </c>
      <c r="D477" s="51" t="s">
        <v>679</v>
      </c>
      <c r="E477" s="23" t="s">
        <v>126</v>
      </c>
      <c r="F477" s="23" t="s">
        <v>485</v>
      </c>
      <c r="G477" s="47" t="s">
        <v>678</v>
      </c>
      <c r="H477" s="4">
        <v>1836000</v>
      </c>
      <c r="I477" s="18">
        <f t="shared" ca="1" si="30"/>
        <v>15</v>
      </c>
      <c r="J477" s="13" t="str">
        <f t="shared" ca="1" si="31"/>
        <v>정상</v>
      </c>
      <c r="N477" s="10" t="s">
        <v>33</v>
      </c>
    </row>
    <row r="478" spans="2:18" ht="16.5" customHeight="1">
      <c r="B478" s="10">
        <f>IF(C478="","",COUNTA($C$2:C478))</f>
        <v>477</v>
      </c>
      <c r="C478" s="30" t="s">
        <v>664</v>
      </c>
      <c r="D478" s="51" t="s">
        <v>679</v>
      </c>
      <c r="E478" s="23" t="s">
        <v>39</v>
      </c>
      <c r="F478" s="23" t="s">
        <v>677</v>
      </c>
      <c r="G478" s="47" t="s">
        <v>678</v>
      </c>
      <c r="H478" s="4">
        <v>109200</v>
      </c>
      <c r="I478" s="18">
        <f t="shared" ca="1" si="30"/>
        <v>15</v>
      </c>
      <c r="J478" s="13" t="str">
        <f t="shared" ca="1" si="31"/>
        <v>정상</v>
      </c>
      <c r="N478" s="10" t="s">
        <v>33</v>
      </c>
    </row>
    <row r="479" spans="2:18" ht="16.5" customHeight="1">
      <c r="B479" s="10">
        <f>IF(C479="","",COUNTA($C$2:C479))</f>
        <v>478</v>
      </c>
      <c r="C479" s="30" t="s">
        <v>664</v>
      </c>
      <c r="E479" s="18" t="s">
        <v>681</v>
      </c>
      <c r="F479" s="18" t="s">
        <v>680</v>
      </c>
      <c r="G479" s="18" t="s">
        <v>683</v>
      </c>
      <c r="H479" s="4">
        <v>15432000</v>
      </c>
      <c r="I479" s="18">
        <f t="shared" ca="1" si="30"/>
        <v>9</v>
      </c>
      <c r="J479" s="13" t="str">
        <f t="shared" ca="1" si="31"/>
        <v>정상</v>
      </c>
      <c r="L479" s="44">
        <v>46142</v>
      </c>
      <c r="N479" s="10" t="s">
        <v>33</v>
      </c>
    </row>
    <row r="480" spans="2:18" ht="16.5" customHeight="1">
      <c r="B480" s="10">
        <f>IF(C480="","",COUNTA($C$2:C480))</f>
        <v>479</v>
      </c>
      <c r="C480" s="30" t="s">
        <v>708</v>
      </c>
      <c r="D480" s="51" t="s">
        <v>711</v>
      </c>
      <c r="E480" s="23" t="s">
        <v>704</v>
      </c>
      <c r="F480" s="23" t="s">
        <v>685</v>
      </c>
      <c r="G480" s="47" t="s">
        <v>710</v>
      </c>
      <c r="H480" s="25">
        <v>76300</v>
      </c>
      <c r="I480" s="18">
        <f t="shared" ca="1" si="30"/>
        <v>14</v>
      </c>
      <c r="J480" s="13" t="str">
        <f t="shared" ca="1" si="31"/>
        <v>정상</v>
      </c>
      <c r="N480" s="10" t="s">
        <v>33</v>
      </c>
    </row>
    <row r="481" spans="2:14" ht="16.5" customHeight="1">
      <c r="B481" s="10">
        <f>IF(C481="","",COUNTA($C$2:C481))</f>
        <v>480</v>
      </c>
      <c r="C481" s="30" t="s">
        <v>708</v>
      </c>
      <c r="D481" s="51" t="s">
        <v>711</v>
      </c>
      <c r="E481" s="23" t="s">
        <v>221</v>
      </c>
      <c r="F481" s="23" t="s">
        <v>216</v>
      </c>
      <c r="G481" s="47" t="s">
        <v>710</v>
      </c>
      <c r="H481" s="25">
        <v>1710000</v>
      </c>
      <c r="I481" s="18">
        <f t="shared" ca="1" si="30"/>
        <v>14</v>
      </c>
      <c r="J481" s="13" t="str">
        <f t="shared" ca="1" si="31"/>
        <v>정상</v>
      </c>
      <c r="N481" s="10" t="s">
        <v>33</v>
      </c>
    </row>
    <row r="482" spans="2:14" ht="16.5" customHeight="1">
      <c r="B482" s="10">
        <f>IF(C482="","",COUNTA($C$2:C482))</f>
        <v>481</v>
      </c>
      <c r="C482" s="30" t="s">
        <v>708</v>
      </c>
      <c r="D482" s="51" t="s">
        <v>711</v>
      </c>
      <c r="E482" s="23" t="s">
        <v>249</v>
      </c>
      <c r="F482" s="23" t="s">
        <v>536</v>
      </c>
      <c r="G482" s="47" t="s">
        <v>710</v>
      </c>
      <c r="H482" s="25">
        <v>1710000</v>
      </c>
      <c r="I482" s="18">
        <f t="shared" ca="1" si="30"/>
        <v>14</v>
      </c>
      <c r="J482" s="13" t="str">
        <f t="shared" ca="1" si="31"/>
        <v>정상</v>
      </c>
      <c r="N482" s="10" t="s">
        <v>33</v>
      </c>
    </row>
    <row r="483" spans="2:14" ht="16.5" customHeight="1">
      <c r="B483" s="10">
        <f>IF(C483="","",COUNTA($C$2:C483))</f>
        <v>482</v>
      </c>
      <c r="C483" s="30" t="s">
        <v>708</v>
      </c>
      <c r="D483" s="51" t="s">
        <v>711</v>
      </c>
      <c r="E483" s="23" t="s">
        <v>128</v>
      </c>
      <c r="F483" s="23" t="s">
        <v>553</v>
      </c>
      <c r="G483" s="47" t="s">
        <v>710</v>
      </c>
      <c r="H483" s="25">
        <v>1555000</v>
      </c>
      <c r="I483" s="18">
        <f t="shared" ca="1" si="30"/>
        <v>14</v>
      </c>
      <c r="J483" s="13" t="str">
        <f t="shared" ca="1" si="31"/>
        <v>정상</v>
      </c>
      <c r="N483" s="10" t="s">
        <v>33</v>
      </c>
    </row>
    <row r="484" spans="2:14" ht="16.5" customHeight="1">
      <c r="B484" s="10">
        <f>IF(C484="","",COUNTA($C$2:C484))</f>
        <v>483</v>
      </c>
      <c r="C484" s="30" t="s">
        <v>708</v>
      </c>
      <c r="D484" s="51" t="s">
        <v>711</v>
      </c>
      <c r="E484" s="23" t="s">
        <v>434</v>
      </c>
      <c r="F484" s="23" t="s">
        <v>489</v>
      </c>
      <c r="G484" s="47" t="s">
        <v>710</v>
      </c>
      <c r="H484" s="25">
        <v>5776000</v>
      </c>
      <c r="I484" s="18">
        <f t="shared" ca="1" si="30"/>
        <v>14</v>
      </c>
      <c r="J484" s="13" t="str">
        <f t="shared" ca="1" si="31"/>
        <v>정상</v>
      </c>
      <c r="N484" s="10" t="s">
        <v>33</v>
      </c>
    </row>
    <row r="485" spans="2:14" ht="16.5" customHeight="1">
      <c r="B485" s="10">
        <f>IF(C485="","",COUNTA($C$2:C485))</f>
        <v>484</v>
      </c>
      <c r="C485" s="30" t="s">
        <v>708</v>
      </c>
      <c r="D485" s="51" t="s">
        <v>711</v>
      </c>
      <c r="E485" s="23" t="s">
        <v>705</v>
      </c>
      <c r="F485" s="23" t="s">
        <v>686</v>
      </c>
      <c r="G485" s="47" t="s">
        <v>710</v>
      </c>
      <c r="H485" s="25">
        <v>612800</v>
      </c>
      <c r="I485" s="18">
        <f t="shared" ca="1" si="30"/>
        <v>14</v>
      </c>
      <c r="J485" s="13" t="str">
        <f t="shared" ca="1" si="31"/>
        <v>정상</v>
      </c>
      <c r="N485" s="10" t="s">
        <v>33</v>
      </c>
    </row>
    <row r="486" spans="2:14" ht="16.5" customHeight="1">
      <c r="B486" s="10">
        <f>IF(C486="","",COUNTA($C$2:C486))</f>
        <v>485</v>
      </c>
      <c r="C486" s="30" t="s">
        <v>708</v>
      </c>
      <c r="D486" s="51" t="s">
        <v>711</v>
      </c>
      <c r="E486" s="23" t="s">
        <v>366</v>
      </c>
      <c r="F486" s="23" t="s">
        <v>480</v>
      </c>
      <c r="G486" s="47" t="s">
        <v>710</v>
      </c>
      <c r="H486" s="25">
        <v>1411400</v>
      </c>
      <c r="I486" s="18">
        <f t="shared" ca="1" si="30"/>
        <v>14</v>
      </c>
      <c r="J486" s="13" t="str">
        <f t="shared" ca="1" si="31"/>
        <v>정상</v>
      </c>
      <c r="N486" s="10" t="s">
        <v>33</v>
      </c>
    </row>
    <row r="487" spans="2:14" ht="16.5" customHeight="1">
      <c r="B487" s="10">
        <f>IF(C487="","",COUNTA($C$2:C487))</f>
        <v>486</v>
      </c>
      <c r="C487" s="30" t="s">
        <v>708</v>
      </c>
      <c r="D487" s="51" t="s">
        <v>711</v>
      </c>
      <c r="E487" s="23" t="s">
        <v>218</v>
      </c>
      <c r="F487" s="23" t="s">
        <v>687</v>
      </c>
      <c r="G487" s="47" t="s">
        <v>710</v>
      </c>
      <c r="H487" s="25">
        <v>1005000</v>
      </c>
      <c r="I487" s="18">
        <f t="shared" ca="1" si="30"/>
        <v>14</v>
      </c>
      <c r="J487" s="13" t="str">
        <f t="shared" ca="1" si="31"/>
        <v>정상</v>
      </c>
      <c r="N487" s="10" t="s">
        <v>33</v>
      </c>
    </row>
    <row r="488" spans="2:14" ht="16.5" customHeight="1">
      <c r="B488" s="10">
        <f>IF(C488="","",COUNTA($C$2:C488))</f>
        <v>487</v>
      </c>
      <c r="C488" s="30" t="s">
        <v>708</v>
      </c>
      <c r="D488" s="51" t="s">
        <v>711</v>
      </c>
      <c r="E488" s="23" t="s">
        <v>126</v>
      </c>
      <c r="F488" s="23" t="s">
        <v>688</v>
      </c>
      <c r="G488" s="47" t="s">
        <v>710</v>
      </c>
      <c r="H488" s="25">
        <v>11000000</v>
      </c>
      <c r="I488" s="18">
        <f t="shared" ca="1" si="30"/>
        <v>14</v>
      </c>
      <c r="J488" s="13" t="str">
        <f t="shared" ca="1" si="31"/>
        <v>정상</v>
      </c>
      <c r="N488" s="10" t="s">
        <v>33</v>
      </c>
    </row>
    <row r="489" spans="2:14" ht="16.5" customHeight="1">
      <c r="B489" s="10">
        <f>IF(C489="","",COUNTA($C$2:C489))</f>
        <v>488</v>
      </c>
      <c r="C489" s="30" t="s">
        <v>708</v>
      </c>
      <c r="D489" s="51" t="s">
        <v>711</v>
      </c>
      <c r="E489" s="23" t="s">
        <v>434</v>
      </c>
      <c r="F489" s="23" t="s">
        <v>492</v>
      </c>
      <c r="G489" s="47" t="s">
        <v>710</v>
      </c>
      <c r="H489" s="25">
        <v>10922300</v>
      </c>
      <c r="I489" s="18">
        <f t="shared" ca="1" si="30"/>
        <v>14</v>
      </c>
      <c r="J489" s="13" t="str">
        <f t="shared" ca="1" si="31"/>
        <v>정상</v>
      </c>
      <c r="N489" s="10" t="s">
        <v>33</v>
      </c>
    </row>
    <row r="490" spans="2:14" ht="16.5" customHeight="1">
      <c r="B490" s="10">
        <f>IF(C490="","",COUNTA($C$2:C490))</f>
        <v>489</v>
      </c>
      <c r="C490" s="30" t="s">
        <v>708</v>
      </c>
      <c r="D490" s="51" t="s">
        <v>711</v>
      </c>
      <c r="E490" s="23" t="s">
        <v>207</v>
      </c>
      <c r="F490" s="23" t="s">
        <v>689</v>
      </c>
      <c r="G490" s="47" t="s">
        <v>710</v>
      </c>
      <c r="H490" s="25">
        <v>6292500</v>
      </c>
      <c r="I490" s="18">
        <f t="shared" ca="1" si="30"/>
        <v>14</v>
      </c>
      <c r="J490" s="13" t="str">
        <f t="shared" ca="1" si="31"/>
        <v>정상</v>
      </c>
      <c r="K490" s="44">
        <v>46142</v>
      </c>
      <c r="N490" s="10" t="s">
        <v>33</v>
      </c>
    </row>
    <row r="491" spans="2:14" ht="16.5" customHeight="1">
      <c r="B491" s="10">
        <f>IF(C491="","",COUNTA($C$2:C491))</f>
        <v>490</v>
      </c>
      <c r="C491" s="30" t="s">
        <v>708</v>
      </c>
      <c r="D491" s="51" t="s">
        <v>711</v>
      </c>
      <c r="E491" s="23" t="s">
        <v>221</v>
      </c>
      <c r="F491" s="23" t="s">
        <v>216</v>
      </c>
      <c r="G491" s="47" t="s">
        <v>710</v>
      </c>
      <c r="H491" s="25">
        <v>591200</v>
      </c>
      <c r="I491" s="18">
        <f t="shared" ca="1" si="30"/>
        <v>14</v>
      </c>
      <c r="J491" s="13" t="str">
        <f t="shared" ca="1" si="31"/>
        <v>정상</v>
      </c>
      <c r="N491" s="10" t="s">
        <v>33</v>
      </c>
    </row>
    <row r="492" spans="2:14" ht="16.5" customHeight="1">
      <c r="B492" s="10">
        <f>IF(C492="","",COUNTA($C$2:C492))</f>
        <v>491</v>
      </c>
      <c r="C492" s="30" t="s">
        <v>708</v>
      </c>
      <c r="D492" s="51" t="s">
        <v>711</v>
      </c>
      <c r="E492" s="23" t="s">
        <v>706</v>
      </c>
      <c r="F492" s="23" t="s">
        <v>596</v>
      </c>
      <c r="G492" s="47" t="s">
        <v>710</v>
      </c>
      <c r="H492" s="25">
        <v>2142500</v>
      </c>
      <c r="I492" s="18">
        <f t="shared" ca="1" si="30"/>
        <v>8</v>
      </c>
      <c r="J492" s="13" t="str">
        <f t="shared" ca="1" si="31"/>
        <v>정상</v>
      </c>
      <c r="L492" s="44">
        <v>46142</v>
      </c>
      <c r="N492" s="10" t="s">
        <v>33</v>
      </c>
    </row>
    <row r="493" spans="2:14" ht="16.5" customHeight="1">
      <c r="B493" s="10">
        <f>IF(C493="","",COUNTA($C$2:C493))</f>
        <v>492</v>
      </c>
      <c r="C493" s="30" t="s">
        <v>709</v>
      </c>
      <c r="D493" s="51" t="s">
        <v>711</v>
      </c>
      <c r="E493" s="23" t="s">
        <v>83</v>
      </c>
      <c r="F493" s="23" t="s">
        <v>690</v>
      </c>
      <c r="G493" s="47" t="s">
        <v>710</v>
      </c>
      <c r="H493" s="25">
        <v>2561000</v>
      </c>
      <c r="I493" s="18">
        <f t="shared" ca="1" si="30"/>
        <v>13</v>
      </c>
      <c r="J493" s="13" t="str">
        <f t="shared" ca="1" si="31"/>
        <v>정상</v>
      </c>
      <c r="N493" s="10" t="s">
        <v>33</v>
      </c>
    </row>
    <row r="494" spans="2:14" ht="16.5" customHeight="1">
      <c r="B494" s="10">
        <f>IF(C494="","",COUNTA($C$2:C494))</f>
        <v>493</v>
      </c>
      <c r="C494" s="30" t="s">
        <v>709</v>
      </c>
      <c r="D494" s="51" t="s">
        <v>711</v>
      </c>
      <c r="E494" s="23" t="s">
        <v>122</v>
      </c>
      <c r="F494" s="23" t="s">
        <v>691</v>
      </c>
      <c r="G494" s="47" t="s">
        <v>710</v>
      </c>
      <c r="H494" s="25">
        <v>15465500</v>
      </c>
      <c r="I494" s="18">
        <f t="shared" ca="1" si="30"/>
        <v>13</v>
      </c>
      <c r="J494" s="13" t="str">
        <f t="shared" ca="1" si="31"/>
        <v>정상</v>
      </c>
      <c r="N494" s="10" t="s">
        <v>33</v>
      </c>
    </row>
    <row r="495" spans="2:14" ht="16.5" customHeight="1">
      <c r="B495" s="10">
        <f>IF(C495="","",COUNTA($C$2:C495))</f>
        <v>494</v>
      </c>
      <c r="C495" s="30" t="s">
        <v>709</v>
      </c>
      <c r="D495" s="51" t="s">
        <v>711</v>
      </c>
      <c r="E495" s="23" t="s">
        <v>195</v>
      </c>
      <c r="F495" s="23" t="s">
        <v>692</v>
      </c>
      <c r="G495" s="47" t="s">
        <v>710</v>
      </c>
      <c r="H495" s="25">
        <v>7350000</v>
      </c>
      <c r="I495" s="18">
        <f t="shared" ca="1" si="30"/>
        <v>5</v>
      </c>
      <c r="J495" s="13" t="str">
        <f t="shared" ca="1" si="31"/>
        <v>정상</v>
      </c>
      <c r="L495" s="44">
        <v>46140</v>
      </c>
      <c r="N495" s="10" t="s">
        <v>33</v>
      </c>
    </row>
    <row r="496" spans="2:14" ht="16.5" customHeight="1">
      <c r="B496" s="10">
        <f>IF(C496="","",COUNTA($C$2:C496))</f>
        <v>495</v>
      </c>
      <c r="C496" s="30" t="s">
        <v>709</v>
      </c>
      <c r="D496" s="51" t="s">
        <v>711</v>
      </c>
      <c r="E496" s="23" t="s">
        <v>17</v>
      </c>
      <c r="F496" s="23" t="s">
        <v>693</v>
      </c>
      <c r="G496" s="47" t="s">
        <v>710</v>
      </c>
      <c r="H496" s="25">
        <v>4767200</v>
      </c>
      <c r="I496" s="18">
        <f t="shared" ca="1" si="30"/>
        <v>13</v>
      </c>
      <c r="J496" s="13" t="str">
        <f t="shared" ca="1" si="31"/>
        <v>정상</v>
      </c>
      <c r="N496" s="10" t="s">
        <v>33</v>
      </c>
    </row>
    <row r="497" spans="2:14" ht="16.5" customHeight="1">
      <c r="B497" s="10">
        <f>IF(C497="","",COUNTA($C$2:C497))</f>
        <v>496</v>
      </c>
      <c r="C497" s="30" t="s">
        <v>709</v>
      </c>
      <c r="D497" s="51" t="s">
        <v>711</v>
      </c>
      <c r="E497" s="23" t="s">
        <v>100</v>
      </c>
      <c r="F497" s="23" t="s">
        <v>694</v>
      </c>
      <c r="G497" s="47" t="s">
        <v>710</v>
      </c>
      <c r="H497" s="25">
        <v>392500</v>
      </c>
      <c r="I497" s="18">
        <f t="shared" ca="1" si="30"/>
        <v>13</v>
      </c>
      <c r="J497" s="13" t="str">
        <f t="shared" ca="1" si="31"/>
        <v>정상</v>
      </c>
      <c r="N497" s="10" t="s">
        <v>33</v>
      </c>
    </row>
    <row r="498" spans="2:14" ht="16.5" customHeight="1">
      <c r="B498" s="10">
        <f>IF(C498="","",COUNTA($C$2:C498))</f>
        <v>497</v>
      </c>
      <c r="C498" s="30" t="s">
        <v>709</v>
      </c>
      <c r="D498" s="51" t="s">
        <v>711</v>
      </c>
      <c r="E498" s="23" t="s">
        <v>707</v>
      </c>
      <c r="F498" s="23" t="s">
        <v>695</v>
      </c>
      <c r="G498" s="47" t="s">
        <v>710</v>
      </c>
      <c r="H498" s="25">
        <v>896000</v>
      </c>
      <c r="I498" s="18">
        <f t="shared" ca="1" si="30"/>
        <v>6</v>
      </c>
      <c r="J498" s="13" t="str">
        <f t="shared" ca="1" si="31"/>
        <v>정상</v>
      </c>
      <c r="L498" s="44">
        <v>46141</v>
      </c>
      <c r="N498" s="10" t="s">
        <v>33</v>
      </c>
    </row>
    <row r="499" spans="2:14" ht="16.5" customHeight="1">
      <c r="B499" s="10">
        <f>IF(C499="","",COUNTA($C$2:C499))</f>
        <v>498</v>
      </c>
      <c r="C499" s="30" t="s">
        <v>709</v>
      </c>
      <c r="D499" s="51" t="s">
        <v>711</v>
      </c>
      <c r="E499" s="23" t="s">
        <v>375</v>
      </c>
      <c r="F499" s="23" t="s">
        <v>500</v>
      </c>
      <c r="G499" s="47" t="s">
        <v>710</v>
      </c>
      <c r="H499" s="25">
        <v>6565000</v>
      </c>
      <c r="I499" s="18">
        <f t="shared" ca="1" si="30"/>
        <v>13</v>
      </c>
      <c r="J499" s="13" t="str">
        <f t="shared" ca="1" si="31"/>
        <v>정상</v>
      </c>
      <c r="N499" s="10" t="s">
        <v>33</v>
      </c>
    </row>
    <row r="500" spans="2:14" ht="16.5" customHeight="1">
      <c r="B500" s="10">
        <f>IF(C500="","",COUNTA($C$2:C500))</f>
        <v>499</v>
      </c>
      <c r="C500" s="30" t="s">
        <v>709</v>
      </c>
      <c r="D500" s="51" t="s">
        <v>711</v>
      </c>
      <c r="E500" s="23" t="s">
        <v>126</v>
      </c>
      <c r="F500" s="23" t="s">
        <v>485</v>
      </c>
      <c r="G500" s="47" t="s">
        <v>710</v>
      </c>
      <c r="H500" s="25">
        <v>585000</v>
      </c>
      <c r="I500" s="18">
        <f t="shared" ref="I500:I563" ca="1" si="32">IF(C500="","",IF(L500="",TODAY()-C500,L500-C500))</f>
        <v>13</v>
      </c>
      <c r="J500" s="13" t="str">
        <f t="shared" ca="1" si="31"/>
        <v>정상</v>
      </c>
      <c r="N500" s="10" t="s">
        <v>33</v>
      </c>
    </row>
    <row r="501" spans="2:14" ht="16.5" customHeight="1">
      <c r="B501" s="10">
        <f>IF(C501="","",COUNTA($C$2:C501))</f>
        <v>500</v>
      </c>
      <c r="C501" s="30" t="s">
        <v>709</v>
      </c>
      <c r="D501" s="51" t="s">
        <v>711</v>
      </c>
      <c r="E501" s="23" t="s">
        <v>249</v>
      </c>
      <c r="F501" s="23" t="s">
        <v>428</v>
      </c>
      <c r="G501" s="47" t="s">
        <v>710</v>
      </c>
      <c r="H501" s="25">
        <v>10737500</v>
      </c>
      <c r="I501" s="18">
        <f t="shared" ca="1" si="32"/>
        <v>13</v>
      </c>
      <c r="J501" s="13" t="str">
        <f t="shared" ca="1" si="31"/>
        <v>정상</v>
      </c>
      <c r="N501" s="10" t="s">
        <v>33</v>
      </c>
    </row>
    <row r="502" spans="2:14" ht="16.5" customHeight="1">
      <c r="B502" s="10">
        <f>IF(C502="","",COUNTA($C$2:C502))</f>
        <v>501</v>
      </c>
      <c r="C502" s="30" t="s">
        <v>709</v>
      </c>
      <c r="D502" s="51" t="s">
        <v>711</v>
      </c>
      <c r="E502" s="23" t="s">
        <v>221</v>
      </c>
      <c r="F502" s="23" t="s">
        <v>216</v>
      </c>
      <c r="G502" s="47" t="s">
        <v>710</v>
      </c>
      <c r="H502" s="25">
        <v>16640000</v>
      </c>
      <c r="I502" s="18">
        <f t="shared" ca="1" si="32"/>
        <v>13</v>
      </c>
      <c r="J502" s="13" t="str">
        <f t="shared" ca="1" si="31"/>
        <v>정상</v>
      </c>
      <c r="N502" s="10" t="s">
        <v>33</v>
      </c>
    </row>
    <row r="503" spans="2:14" ht="16.5" customHeight="1">
      <c r="B503" s="10">
        <f>IF(C503="","",COUNTA($C$2:C503))</f>
        <v>502</v>
      </c>
      <c r="C503" s="30" t="s">
        <v>709</v>
      </c>
      <c r="D503" s="51" t="s">
        <v>711</v>
      </c>
      <c r="E503" s="23" t="s">
        <v>98</v>
      </c>
      <c r="F503" s="23" t="s">
        <v>696</v>
      </c>
      <c r="G503" s="47" t="s">
        <v>710</v>
      </c>
      <c r="H503" s="25">
        <v>137300</v>
      </c>
      <c r="I503" s="18">
        <f t="shared" ca="1" si="32"/>
        <v>13</v>
      </c>
      <c r="J503" s="13" t="str">
        <f t="shared" ca="1" si="31"/>
        <v>정상</v>
      </c>
      <c r="N503" s="10" t="s">
        <v>33</v>
      </c>
    </row>
    <row r="504" spans="2:14" ht="16.5" customHeight="1">
      <c r="B504" s="10">
        <f>IF(C504="","",COUNTA($C$2:C504))</f>
        <v>503</v>
      </c>
      <c r="C504" s="30" t="s">
        <v>709</v>
      </c>
      <c r="D504" s="51" t="s">
        <v>711</v>
      </c>
      <c r="E504" s="23" t="s">
        <v>579</v>
      </c>
      <c r="F504" s="23" t="s">
        <v>697</v>
      </c>
      <c r="G504" s="47" t="s">
        <v>710</v>
      </c>
      <c r="H504" s="25">
        <v>1160100</v>
      </c>
      <c r="I504" s="18">
        <f t="shared" ca="1" si="32"/>
        <v>1</v>
      </c>
      <c r="J504" s="13" t="str">
        <f t="shared" ca="1" si="31"/>
        <v>정상</v>
      </c>
      <c r="L504" s="44">
        <v>46136</v>
      </c>
      <c r="N504" s="10" t="s">
        <v>33</v>
      </c>
    </row>
    <row r="505" spans="2:14" ht="16.5" customHeight="1">
      <c r="B505" s="10">
        <f>IF(C505="","",COUNTA($C$2:C505))</f>
        <v>504</v>
      </c>
      <c r="C505" s="30" t="s">
        <v>709</v>
      </c>
      <c r="D505" s="51" t="s">
        <v>711</v>
      </c>
      <c r="E505" s="23" t="s">
        <v>218</v>
      </c>
      <c r="F505" s="23" t="s">
        <v>698</v>
      </c>
      <c r="G505" s="47" t="s">
        <v>710</v>
      </c>
      <c r="H505" s="25">
        <v>500000</v>
      </c>
      <c r="I505" s="18">
        <f t="shared" ca="1" si="32"/>
        <v>13</v>
      </c>
      <c r="J505" s="13" t="str">
        <f t="shared" ca="1" si="31"/>
        <v>정상</v>
      </c>
      <c r="N505" s="10" t="s">
        <v>33</v>
      </c>
    </row>
    <row r="506" spans="2:14" ht="16.5" customHeight="1">
      <c r="B506" s="10">
        <f>IF(C506="","",COUNTA($C$2:C506))</f>
        <v>505</v>
      </c>
      <c r="C506" s="30" t="s">
        <v>709</v>
      </c>
      <c r="D506" s="51" t="s">
        <v>711</v>
      </c>
      <c r="E506" s="23" t="s">
        <v>434</v>
      </c>
      <c r="F506" s="23" t="s">
        <v>699</v>
      </c>
      <c r="G506" s="47" t="s">
        <v>710</v>
      </c>
      <c r="H506" s="25">
        <v>1592000</v>
      </c>
      <c r="I506" s="18">
        <f t="shared" ca="1" si="32"/>
        <v>13</v>
      </c>
      <c r="J506" s="13" t="str">
        <f t="shared" ca="1" si="31"/>
        <v>정상</v>
      </c>
      <c r="N506" s="10" t="s">
        <v>33</v>
      </c>
    </row>
    <row r="507" spans="2:14" ht="16.5" customHeight="1">
      <c r="B507" s="10">
        <f>IF(C507="","",COUNTA($C$2:C507))</f>
        <v>506</v>
      </c>
      <c r="C507" s="30" t="s">
        <v>709</v>
      </c>
      <c r="D507" s="51" t="s">
        <v>711</v>
      </c>
      <c r="E507" s="23" t="s">
        <v>120</v>
      </c>
      <c r="F507" s="23" t="s">
        <v>700</v>
      </c>
      <c r="G507" s="47" t="s">
        <v>710</v>
      </c>
      <c r="H507" s="25">
        <v>7681500</v>
      </c>
      <c r="I507" s="18">
        <f t="shared" ca="1" si="32"/>
        <v>13</v>
      </c>
      <c r="J507" s="13" t="str">
        <f t="shared" ca="1" si="31"/>
        <v>정상</v>
      </c>
      <c r="N507" s="10" t="s">
        <v>33</v>
      </c>
    </row>
    <row r="508" spans="2:14" ht="16.5" customHeight="1">
      <c r="B508" s="10">
        <f>IF(C508="","",COUNTA($C$2:C508))</f>
        <v>507</v>
      </c>
      <c r="C508" s="30" t="s">
        <v>709</v>
      </c>
      <c r="D508" s="51" t="s">
        <v>711</v>
      </c>
      <c r="E508" s="23" t="s">
        <v>39</v>
      </c>
      <c r="F508" s="23" t="s">
        <v>701</v>
      </c>
      <c r="G508" s="47" t="s">
        <v>710</v>
      </c>
      <c r="H508" s="25">
        <v>3597000</v>
      </c>
      <c r="I508" s="18">
        <f t="shared" ca="1" si="32"/>
        <v>13</v>
      </c>
      <c r="J508" s="13" t="str">
        <f t="shared" ca="1" si="31"/>
        <v>정상</v>
      </c>
      <c r="N508" s="10" t="s">
        <v>33</v>
      </c>
    </row>
    <row r="509" spans="2:14" ht="16.5" customHeight="1">
      <c r="B509" s="10">
        <f>IF(C509="","",COUNTA($C$2:C509))</f>
        <v>508</v>
      </c>
      <c r="C509" s="30" t="s">
        <v>709</v>
      </c>
      <c r="D509" s="51" t="s">
        <v>711</v>
      </c>
      <c r="E509" s="23" t="s">
        <v>126</v>
      </c>
      <c r="F509" s="23" t="s">
        <v>702</v>
      </c>
      <c r="G509" s="47" t="s">
        <v>710</v>
      </c>
      <c r="H509" s="25">
        <v>1515000</v>
      </c>
      <c r="I509" s="18">
        <f t="shared" ca="1" si="32"/>
        <v>13</v>
      </c>
      <c r="J509" s="13" t="str">
        <f t="shared" ca="1" si="31"/>
        <v>정상</v>
      </c>
      <c r="N509" s="10" t="s">
        <v>33</v>
      </c>
    </row>
    <row r="510" spans="2:14" ht="16.5" customHeight="1">
      <c r="B510" s="10">
        <f>IF(C510="","",COUNTA($C$2:C510))</f>
        <v>509</v>
      </c>
      <c r="C510" s="30" t="s">
        <v>709</v>
      </c>
      <c r="D510" s="51" t="s">
        <v>711</v>
      </c>
      <c r="E510" s="23" t="s">
        <v>706</v>
      </c>
      <c r="F510" s="23" t="s">
        <v>596</v>
      </c>
      <c r="G510" s="47" t="s">
        <v>710</v>
      </c>
      <c r="H510" s="25">
        <v>2122500</v>
      </c>
      <c r="I510" s="18">
        <f t="shared" ca="1" si="32"/>
        <v>7</v>
      </c>
      <c r="J510" s="13" t="str">
        <f t="shared" ca="1" si="31"/>
        <v>정상</v>
      </c>
      <c r="L510" s="44">
        <v>46142</v>
      </c>
      <c r="N510" s="10" t="s">
        <v>33</v>
      </c>
    </row>
    <row r="511" spans="2:14" ht="16.5" customHeight="1">
      <c r="B511" s="10">
        <f>IF(C511="","",COUNTA($C$2:C511))</f>
        <v>510</v>
      </c>
      <c r="C511" s="30" t="s">
        <v>709</v>
      </c>
      <c r="D511" s="51" t="s">
        <v>711</v>
      </c>
      <c r="E511" s="23" t="s">
        <v>661</v>
      </c>
      <c r="F511" s="23" t="s">
        <v>703</v>
      </c>
      <c r="G511" s="47" t="s">
        <v>710</v>
      </c>
      <c r="H511" s="25">
        <v>4190000</v>
      </c>
      <c r="I511" s="18">
        <f t="shared" ca="1" si="32"/>
        <v>13</v>
      </c>
      <c r="J511" s="13" t="str">
        <f t="shared" ca="1" si="31"/>
        <v>정상</v>
      </c>
      <c r="N511" s="10" t="s">
        <v>33</v>
      </c>
    </row>
    <row r="512" spans="2:14" ht="16.5" customHeight="1">
      <c r="B512" s="10">
        <f>IF(C512="","",COUNTA($C$2:C512))</f>
        <v>511</v>
      </c>
      <c r="C512" s="30">
        <v>46134</v>
      </c>
      <c r="D512" s="51" t="s">
        <v>714</v>
      </c>
      <c r="E512" s="48" t="s">
        <v>713</v>
      </c>
      <c r="F512" s="48" t="s">
        <v>712</v>
      </c>
      <c r="G512" s="47" t="s">
        <v>715</v>
      </c>
      <c r="H512" s="4">
        <v>972000</v>
      </c>
      <c r="I512" s="18">
        <f t="shared" ca="1" si="32"/>
        <v>14</v>
      </c>
      <c r="J512" s="13" t="str">
        <f t="shared" ca="1" si="31"/>
        <v>정상</v>
      </c>
      <c r="N512" s="10" t="s">
        <v>33</v>
      </c>
    </row>
    <row r="513" spans="2:14" ht="16.5" customHeight="1">
      <c r="B513" s="10">
        <f>IF(C513="","",COUNTA($C$2:C513))</f>
        <v>512</v>
      </c>
      <c r="C513" s="30">
        <v>46134</v>
      </c>
      <c r="D513" s="51" t="s">
        <v>716</v>
      </c>
      <c r="E513" s="48" t="s">
        <v>719</v>
      </c>
      <c r="F513" s="48" t="s">
        <v>721</v>
      </c>
      <c r="G513" s="47" t="s">
        <v>717</v>
      </c>
      <c r="H513" s="4">
        <v>10730000</v>
      </c>
      <c r="I513" s="18">
        <f t="shared" ca="1" si="32"/>
        <v>14</v>
      </c>
      <c r="J513" s="13" t="str">
        <f t="shared" ca="1" si="31"/>
        <v>정상</v>
      </c>
      <c r="N513" s="10" t="s">
        <v>33</v>
      </c>
    </row>
    <row r="514" spans="2:14" ht="16.5" customHeight="1">
      <c r="B514" s="10">
        <f>IF(C514="","",COUNTA($C$2:C514))</f>
        <v>513</v>
      </c>
      <c r="C514" s="30">
        <v>46134</v>
      </c>
      <c r="D514" s="51" t="s">
        <v>716</v>
      </c>
      <c r="E514" s="48" t="s">
        <v>720</v>
      </c>
      <c r="F514" s="48" t="s">
        <v>722</v>
      </c>
      <c r="G514" s="47" t="s">
        <v>718</v>
      </c>
      <c r="H514" s="4">
        <v>9423400</v>
      </c>
      <c r="I514" s="18">
        <f t="shared" ca="1" si="32"/>
        <v>14</v>
      </c>
      <c r="J514" s="13" t="str">
        <f t="shared" ca="1" si="31"/>
        <v>정상</v>
      </c>
      <c r="N514" s="10" t="s">
        <v>33</v>
      </c>
    </row>
    <row r="515" spans="2:14" ht="16.5" customHeight="1">
      <c r="B515" s="10">
        <f>IF(C515="","",COUNTA($C$2:C515))</f>
        <v>514</v>
      </c>
      <c r="C515" s="30" t="s">
        <v>727</v>
      </c>
      <c r="D515" s="51" t="s">
        <v>738</v>
      </c>
      <c r="E515" s="23" t="s">
        <v>100</v>
      </c>
      <c r="F515" s="18" t="s">
        <v>605</v>
      </c>
      <c r="G515" s="47" t="s">
        <v>737</v>
      </c>
      <c r="H515" s="25">
        <v>50550500</v>
      </c>
      <c r="I515" s="18">
        <f t="shared" ca="1" si="32"/>
        <v>12</v>
      </c>
      <c r="J515" s="13" t="str">
        <f t="shared" ca="1" si="31"/>
        <v>정상</v>
      </c>
      <c r="N515" s="10" t="s">
        <v>33</v>
      </c>
    </row>
    <row r="516" spans="2:14" ht="16.5" customHeight="1">
      <c r="B516" s="10">
        <f>IF(C516="","",COUNTA($C$2:C516))</f>
        <v>515</v>
      </c>
      <c r="C516" s="30" t="s">
        <v>727</v>
      </c>
      <c r="D516" s="51" t="s">
        <v>738</v>
      </c>
      <c r="E516" s="23" t="s">
        <v>724</v>
      </c>
      <c r="F516" s="18" t="s">
        <v>729</v>
      </c>
      <c r="G516" s="47" t="s">
        <v>737</v>
      </c>
      <c r="H516" s="25">
        <v>72000</v>
      </c>
      <c r="I516" s="18">
        <f t="shared" ca="1" si="32"/>
        <v>12</v>
      </c>
      <c r="J516" s="13" t="str">
        <f t="shared" ca="1" si="31"/>
        <v>정상</v>
      </c>
      <c r="N516" s="10" t="s">
        <v>33</v>
      </c>
    </row>
    <row r="517" spans="2:14" ht="16.5" customHeight="1">
      <c r="B517" s="10">
        <f>IF(C517="","",COUNTA($C$2:C517))</f>
        <v>516</v>
      </c>
      <c r="C517" s="30" t="s">
        <v>727</v>
      </c>
      <c r="D517" s="51" t="s">
        <v>738</v>
      </c>
      <c r="E517" s="23" t="s">
        <v>267</v>
      </c>
      <c r="F517" s="18" t="s">
        <v>730</v>
      </c>
      <c r="G517" s="47" t="s">
        <v>737</v>
      </c>
      <c r="H517" s="25">
        <v>207000</v>
      </c>
      <c r="I517" s="18">
        <f t="shared" ca="1" si="32"/>
        <v>4</v>
      </c>
      <c r="J517" s="13" t="str">
        <f t="shared" ca="1" si="31"/>
        <v>정상</v>
      </c>
      <c r="L517" s="44">
        <v>46140</v>
      </c>
      <c r="N517" s="10" t="s">
        <v>33</v>
      </c>
    </row>
    <row r="518" spans="2:14" ht="16.5" customHeight="1">
      <c r="B518" s="10">
        <f>IF(C518="","",COUNTA($C$2:C518))</f>
        <v>517</v>
      </c>
      <c r="C518" s="30" t="s">
        <v>727</v>
      </c>
      <c r="D518" s="51" t="s">
        <v>738</v>
      </c>
      <c r="E518" s="23" t="s">
        <v>185</v>
      </c>
      <c r="F518" s="18" t="s">
        <v>731</v>
      </c>
      <c r="G518" s="47" t="s">
        <v>737</v>
      </c>
      <c r="H518" s="25">
        <v>1314100</v>
      </c>
      <c r="I518" s="18">
        <f t="shared" ca="1" si="32"/>
        <v>0</v>
      </c>
      <c r="J518" s="13" t="str">
        <f t="shared" ca="1" si="31"/>
        <v>정상</v>
      </c>
      <c r="L518" s="44">
        <v>46136</v>
      </c>
      <c r="N518" s="10" t="s">
        <v>33</v>
      </c>
    </row>
    <row r="519" spans="2:14" ht="16.5" customHeight="1">
      <c r="B519" s="10">
        <f>IF(C519="","",COUNTA($C$2:C519))</f>
        <v>518</v>
      </c>
      <c r="C519" s="30" t="s">
        <v>727</v>
      </c>
      <c r="D519" s="51" t="s">
        <v>738</v>
      </c>
      <c r="E519" s="23" t="s">
        <v>584</v>
      </c>
      <c r="F519" s="18" t="s">
        <v>501</v>
      </c>
      <c r="G519" s="47" t="s">
        <v>737</v>
      </c>
      <c r="H519" s="25">
        <v>1053500</v>
      </c>
      <c r="I519" s="18">
        <f t="shared" ca="1" si="32"/>
        <v>12</v>
      </c>
      <c r="J519" s="13" t="str">
        <f t="shared" ca="1" si="31"/>
        <v>정상</v>
      </c>
      <c r="N519" s="10" t="s">
        <v>33</v>
      </c>
    </row>
    <row r="520" spans="2:14" ht="16.5" customHeight="1">
      <c r="B520" s="10">
        <f>IF(C520="","",COUNTA($C$2:C520))</f>
        <v>519</v>
      </c>
      <c r="C520" s="30" t="s">
        <v>727</v>
      </c>
      <c r="D520" s="51" t="s">
        <v>738</v>
      </c>
      <c r="E520" s="23" t="s">
        <v>126</v>
      </c>
      <c r="F520" s="18" t="s">
        <v>540</v>
      </c>
      <c r="G520" s="47" t="s">
        <v>737</v>
      </c>
      <c r="H520" s="25">
        <v>1625800</v>
      </c>
      <c r="I520" s="18">
        <f t="shared" ca="1" si="32"/>
        <v>12</v>
      </c>
      <c r="J520" s="13" t="str">
        <f t="shared" ca="1" si="31"/>
        <v>정상</v>
      </c>
      <c r="N520" s="10" t="s">
        <v>33</v>
      </c>
    </row>
    <row r="521" spans="2:14" ht="16.5" customHeight="1">
      <c r="B521" s="10">
        <f>IF(C521="","",COUNTA($C$2:C521))</f>
        <v>520</v>
      </c>
      <c r="C521" s="30" t="s">
        <v>727</v>
      </c>
      <c r="D521" s="51" t="s">
        <v>738</v>
      </c>
      <c r="E521" s="23" t="s">
        <v>725</v>
      </c>
      <c r="F521" s="18" t="s">
        <v>732</v>
      </c>
      <c r="G521" s="47" t="s">
        <v>737</v>
      </c>
      <c r="H521" s="25">
        <v>5198400</v>
      </c>
      <c r="I521" s="18">
        <f t="shared" ca="1" si="32"/>
        <v>3</v>
      </c>
      <c r="J521" s="13" t="str">
        <f t="shared" ca="1" si="31"/>
        <v>정상</v>
      </c>
      <c r="L521" s="44">
        <v>46139</v>
      </c>
      <c r="N521" s="10" t="s">
        <v>33</v>
      </c>
    </row>
    <row r="522" spans="2:14" ht="16.5" customHeight="1">
      <c r="B522" s="10">
        <f>IF(C522="","",COUNTA($C$2:C522))</f>
        <v>521</v>
      </c>
      <c r="C522" s="30" t="s">
        <v>727</v>
      </c>
      <c r="D522" s="51" t="s">
        <v>738</v>
      </c>
      <c r="E522" s="23" t="s">
        <v>726</v>
      </c>
      <c r="F522" s="18" t="s">
        <v>733</v>
      </c>
      <c r="G522" s="47" t="s">
        <v>737</v>
      </c>
      <c r="H522" s="25">
        <v>10059400</v>
      </c>
      <c r="I522" s="18">
        <f t="shared" ca="1" si="32"/>
        <v>12</v>
      </c>
      <c r="J522" s="13" t="str">
        <f t="shared" ca="1" si="31"/>
        <v>정상</v>
      </c>
      <c r="N522" s="10" t="s">
        <v>33</v>
      </c>
    </row>
    <row r="523" spans="2:14" ht="16.5" customHeight="1">
      <c r="B523" s="10">
        <f>IF(C523="","",COUNTA($C$2:C523))</f>
        <v>522</v>
      </c>
      <c r="C523" s="30" t="s">
        <v>727</v>
      </c>
      <c r="D523" s="51" t="s">
        <v>738</v>
      </c>
      <c r="E523" s="23" t="s">
        <v>105</v>
      </c>
      <c r="F523" s="18" t="s">
        <v>657</v>
      </c>
      <c r="G523" s="47" t="s">
        <v>737</v>
      </c>
      <c r="H523" s="25">
        <v>1455500</v>
      </c>
      <c r="I523" s="18">
        <f t="shared" ca="1" si="32"/>
        <v>6</v>
      </c>
      <c r="J523" s="13" t="str">
        <f t="shared" ca="1" si="31"/>
        <v>정상</v>
      </c>
      <c r="L523" s="44">
        <v>46142</v>
      </c>
      <c r="N523" s="10" t="s">
        <v>33</v>
      </c>
    </row>
    <row r="524" spans="2:14" ht="16.5" customHeight="1">
      <c r="B524" s="10">
        <f>IF(C524="","",COUNTA($C$2:C524))</f>
        <v>523</v>
      </c>
      <c r="C524" s="30" t="s">
        <v>727</v>
      </c>
      <c r="D524" s="51" t="s">
        <v>738</v>
      </c>
      <c r="E524" s="23" t="s">
        <v>105</v>
      </c>
      <c r="F524" s="18" t="s">
        <v>657</v>
      </c>
      <c r="G524" s="47" t="s">
        <v>737</v>
      </c>
      <c r="H524" s="25">
        <v>503200</v>
      </c>
      <c r="I524" s="18">
        <f t="shared" ca="1" si="32"/>
        <v>6</v>
      </c>
      <c r="J524" s="13" t="str">
        <f t="shared" ca="1" si="31"/>
        <v>정상</v>
      </c>
      <c r="L524" s="44">
        <v>46142</v>
      </c>
      <c r="N524" s="10" t="s">
        <v>33</v>
      </c>
    </row>
    <row r="525" spans="2:14" ht="16.5" customHeight="1">
      <c r="B525" s="10">
        <f>IF(C525="","",COUNTA($C$2:C525))</f>
        <v>524</v>
      </c>
      <c r="C525" s="30" t="s">
        <v>728</v>
      </c>
      <c r="D525" s="51" t="s">
        <v>738</v>
      </c>
      <c r="E525" s="23" t="s">
        <v>249</v>
      </c>
      <c r="F525" s="18" t="s">
        <v>536</v>
      </c>
      <c r="G525" s="47" t="s">
        <v>737</v>
      </c>
      <c r="H525" s="25">
        <v>13750000</v>
      </c>
      <c r="I525" s="18">
        <f t="shared" ca="1" si="32"/>
        <v>9</v>
      </c>
      <c r="J525" s="13" t="str">
        <f t="shared" ca="1" si="31"/>
        <v>정상</v>
      </c>
      <c r="N525" s="10" t="s">
        <v>33</v>
      </c>
    </row>
    <row r="526" spans="2:14" ht="16.5" customHeight="1">
      <c r="B526" s="10">
        <f>IF(C526="","",COUNTA($C$2:C526))</f>
        <v>525</v>
      </c>
      <c r="C526" s="30" t="s">
        <v>728</v>
      </c>
      <c r="D526" s="51" t="s">
        <v>738</v>
      </c>
      <c r="E526" s="23" t="s">
        <v>62</v>
      </c>
      <c r="F526" s="18" t="s">
        <v>734</v>
      </c>
      <c r="G526" s="47" t="s">
        <v>737</v>
      </c>
      <c r="H526" s="25">
        <v>2192900</v>
      </c>
      <c r="I526" s="18">
        <f t="shared" ca="1" si="32"/>
        <v>9</v>
      </c>
      <c r="J526" s="13" t="str">
        <f t="shared" ca="1" si="31"/>
        <v>정상</v>
      </c>
      <c r="N526" s="10" t="s">
        <v>33</v>
      </c>
    </row>
    <row r="527" spans="2:14" ht="16.5" customHeight="1">
      <c r="B527" s="10">
        <f>IF(C527="","",COUNTA($C$2:C527))</f>
        <v>526</v>
      </c>
      <c r="C527" s="30" t="s">
        <v>728</v>
      </c>
      <c r="D527" s="51" t="s">
        <v>738</v>
      </c>
      <c r="E527" s="23" t="s">
        <v>366</v>
      </c>
      <c r="F527" s="18" t="s">
        <v>735</v>
      </c>
      <c r="G527" s="47" t="s">
        <v>737</v>
      </c>
      <c r="H527" s="25">
        <v>2507500</v>
      </c>
      <c r="I527" s="18">
        <f t="shared" ca="1" si="32"/>
        <v>9</v>
      </c>
      <c r="J527" s="13" t="str">
        <f t="shared" ca="1" si="31"/>
        <v>정상</v>
      </c>
      <c r="N527" s="10" t="s">
        <v>33</v>
      </c>
    </row>
    <row r="528" spans="2:14" ht="16.5" customHeight="1">
      <c r="B528" s="10">
        <f>IF(C528="","",COUNTA($C$2:C528))</f>
        <v>527</v>
      </c>
      <c r="C528" s="30" t="s">
        <v>728</v>
      </c>
      <c r="D528" s="51" t="s">
        <v>738</v>
      </c>
      <c r="E528" s="23" t="s">
        <v>706</v>
      </c>
      <c r="F528" s="18" t="s">
        <v>736</v>
      </c>
      <c r="G528" s="47" t="s">
        <v>737</v>
      </c>
      <c r="H528" s="25">
        <v>2793000</v>
      </c>
      <c r="I528" s="18">
        <f t="shared" ca="1" si="32"/>
        <v>3</v>
      </c>
      <c r="J528" s="13" t="str">
        <f t="shared" ca="1" si="31"/>
        <v>정상</v>
      </c>
      <c r="L528" s="44">
        <v>46142</v>
      </c>
      <c r="N528" s="10" t="s">
        <v>33</v>
      </c>
    </row>
    <row r="529" spans="2:14" ht="16.5" customHeight="1">
      <c r="B529" s="10">
        <f>IF(C529="","",COUNTA($C$2:C529))</f>
        <v>528</v>
      </c>
      <c r="C529" s="30" t="s">
        <v>739</v>
      </c>
      <c r="D529" s="51" t="s">
        <v>638</v>
      </c>
      <c r="E529" s="23" t="s">
        <v>740</v>
      </c>
      <c r="F529" s="23" t="s">
        <v>743</v>
      </c>
      <c r="G529" s="47" t="s">
        <v>177</v>
      </c>
      <c r="H529" s="25">
        <v>232000</v>
      </c>
      <c r="I529" s="18">
        <f t="shared" ca="1" si="32"/>
        <v>1</v>
      </c>
      <c r="J529" s="13" t="str">
        <f t="shared" ca="1" si="31"/>
        <v>정상</v>
      </c>
      <c r="L529" s="44">
        <v>46141</v>
      </c>
      <c r="N529" s="10" t="s">
        <v>33</v>
      </c>
    </row>
    <row r="530" spans="2:14" ht="16.5" customHeight="1">
      <c r="B530" s="10">
        <f>IF(C530="","",COUNTA($C$2:C530))</f>
        <v>529</v>
      </c>
      <c r="C530" s="30" t="s">
        <v>739</v>
      </c>
      <c r="D530" s="51" t="s">
        <v>638</v>
      </c>
      <c r="E530" s="23" t="s">
        <v>579</v>
      </c>
      <c r="F530" s="23" t="s">
        <v>744</v>
      </c>
      <c r="G530" s="47" t="s">
        <v>177</v>
      </c>
      <c r="H530" s="25">
        <v>6454000</v>
      </c>
      <c r="I530" s="18">
        <f t="shared" ca="1" si="32"/>
        <v>0</v>
      </c>
      <c r="J530" s="13" t="str">
        <f t="shared" ca="1" si="31"/>
        <v>정상</v>
      </c>
      <c r="L530" s="44">
        <v>46140</v>
      </c>
      <c r="N530" s="10" t="s">
        <v>33</v>
      </c>
    </row>
    <row r="531" spans="2:14" ht="16.5" customHeight="1">
      <c r="B531" s="10">
        <f>IF(C531="","",COUNTA($C$2:C531))</f>
        <v>530</v>
      </c>
      <c r="C531" s="30" t="s">
        <v>739</v>
      </c>
      <c r="D531" s="51" t="s">
        <v>638</v>
      </c>
      <c r="E531" s="23" t="s">
        <v>179</v>
      </c>
      <c r="F531" s="23" t="s">
        <v>745</v>
      </c>
      <c r="G531" s="47" t="s">
        <v>177</v>
      </c>
      <c r="H531" s="25">
        <v>13014800</v>
      </c>
      <c r="I531" s="18">
        <f t="shared" ca="1" si="32"/>
        <v>8</v>
      </c>
      <c r="J531" s="13" t="str">
        <f t="shared" ca="1" si="31"/>
        <v>정상</v>
      </c>
      <c r="N531" s="10" t="s">
        <v>33</v>
      </c>
    </row>
    <row r="532" spans="2:14" ht="16.5" customHeight="1">
      <c r="B532" s="10">
        <f>IF(C532="","",COUNTA($C$2:C532))</f>
        <v>531</v>
      </c>
      <c r="C532" s="30" t="s">
        <v>739</v>
      </c>
      <c r="D532" s="51" t="s">
        <v>638</v>
      </c>
      <c r="E532" s="23" t="s">
        <v>395</v>
      </c>
      <c r="F532" s="23" t="s">
        <v>741</v>
      </c>
      <c r="G532" s="47" t="s">
        <v>177</v>
      </c>
      <c r="H532" s="25">
        <v>505600</v>
      </c>
      <c r="I532" s="18">
        <f t="shared" ca="1" si="32"/>
        <v>8</v>
      </c>
      <c r="J532" s="13" t="str">
        <f t="shared" ref="J532:J581" ca="1" si="33">IF(I532="","",
 IF(G532="선급금",
   IF(I532&lt;=20,"정상",IF(I532&lt;=90,"관리","장기미수")),
 IF(G532="자재",
   IF(I532&lt;=40,"정상",IF(I532&lt;=90,"관리","장기미수")),
   IF(I532&lt;=30,"정상",IF(I532&lt;=90,"관리","장기미수"))
  )
 )
)</f>
        <v>정상</v>
      </c>
      <c r="N532" s="10" t="s">
        <v>33</v>
      </c>
    </row>
    <row r="533" spans="2:14" ht="16.5" customHeight="1">
      <c r="B533" s="10">
        <f>IF(C533="","",COUNTA($C$2:C533))</f>
        <v>532</v>
      </c>
      <c r="C533" s="30" t="s">
        <v>739</v>
      </c>
      <c r="D533" s="51" t="s">
        <v>638</v>
      </c>
      <c r="E533" s="23" t="s">
        <v>126</v>
      </c>
      <c r="F533" s="23" t="s">
        <v>742</v>
      </c>
      <c r="G533" s="47" t="s">
        <v>177</v>
      </c>
      <c r="H533" s="25">
        <v>3082000</v>
      </c>
      <c r="I533" s="18">
        <f t="shared" ca="1" si="32"/>
        <v>8</v>
      </c>
      <c r="J533" s="13" t="str">
        <f t="shared" ca="1" si="33"/>
        <v>정상</v>
      </c>
      <c r="N533" s="10" t="s">
        <v>33</v>
      </c>
    </row>
    <row r="534" spans="2:14" ht="16.5" customHeight="1">
      <c r="B534" s="10">
        <f>IF(C534="","",COUNTA($C$2:C534))</f>
        <v>533</v>
      </c>
      <c r="C534" s="30" t="s">
        <v>739</v>
      </c>
      <c r="D534" s="51" t="s">
        <v>638</v>
      </c>
      <c r="E534" s="23" t="s">
        <v>126</v>
      </c>
      <c r="F534" s="23" t="s">
        <v>746</v>
      </c>
      <c r="G534" s="47" t="s">
        <v>177</v>
      </c>
      <c r="H534" s="25">
        <v>4096100</v>
      </c>
      <c r="I534" s="18">
        <f t="shared" ca="1" si="32"/>
        <v>8</v>
      </c>
      <c r="J534" s="13" t="str">
        <f t="shared" ca="1" si="33"/>
        <v>정상</v>
      </c>
      <c r="N534" s="10" t="s">
        <v>33</v>
      </c>
    </row>
    <row r="535" spans="2:14" ht="16.5" customHeight="1">
      <c r="B535" s="10">
        <f>IF(C535="","",COUNTA($C$2:C535))</f>
        <v>534</v>
      </c>
      <c r="C535" s="30" t="s">
        <v>728</v>
      </c>
      <c r="D535" s="51" t="s">
        <v>638</v>
      </c>
      <c r="E535" s="23" t="s">
        <v>126</v>
      </c>
      <c r="F535" s="23" t="s">
        <v>540</v>
      </c>
      <c r="G535" s="47" t="s">
        <v>177</v>
      </c>
      <c r="H535" s="4">
        <v>1627500</v>
      </c>
      <c r="I535" s="18">
        <f t="shared" ca="1" si="32"/>
        <v>9</v>
      </c>
      <c r="J535" s="13" t="str">
        <f t="shared" ca="1" si="33"/>
        <v>정상</v>
      </c>
      <c r="N535" s="10" t="s">
        <v>33</v>
      </c>
    </row>
    <row r="536" spans="2:14" ht="16.5" customHeight="1">
      <c r="B536" s="10">
        <f>IF(C536="","",COUNTA($C$2:C536))</f>
        <v>535</v>
      </c>
      <c r="C536" s="30" t="s">
        <v>728</v>
      </c>
      <c r="D536" s="51" t="s">
        <v>638</v>
      </c>
      <c r="E536" s="23" t="s">
        <v>126</v>
      </c>
      <c r="F536" s="23" t="s">
        <v>748</v>
      </c>
      <c r="G536" s="47" t="s">
        <v>177</v>
      </c>
      <c r="H536" s="4">
        <v>660700</v>
      </c>
      <c r="I536" s="18">
        <f t="shared" ca="1" si="32"/>
        <v>9</v>
      </c>
      <c r="J536" s="13" t="str">
        <f t="shared" ca="1" si="33"/>
        <v>정상</v>
      </c>
      <c r="N536" s="10" t="s">
        <v>33</v>
      </c>
    </row>
    <row r="537" spans="2:14" ht="16.5" customHeight="1">
      <c r="B537" s="10">
        <f>IF(C537="","",COUNTA($C$2:C537))</f>
        <v>536</v>
      </c>
      <c r="C537" s="30" t="s">
        <v>728</v>
      </c>
      <c r="D537" s="51" t="s">
        <v>638</v>
      </c>
      <c r="E537" s="23" t="s">
        <v>105</v>
      </c>
      <c r="F537" s="23" t="s">
        <v>749</v>
      </c>
      <c r="G537" s="47" t="s">
        <v>177</v>
      </c>
      <c r="H537" s="4">
        <v>513200</v>
      </c>
      <c r="I537" s="18">
        <f t="shared" ca="1" si="32"/>
        <v>3</v>
      </c>
      <c r="J537" s="13" t="str">
        <f t="shared" ca="1" si="33"/>
        <v>정상</v>
      </c>
      <c r="L537" s="44">
        <v>46142</v>
      </c>
      <c r="N537" s="10" t="s">
        <v>33</v>
      </c>
    </row>
    <row r="538" spans="2:14" ht="16.5" customHeight="1">
      <c r="B538" s="10">
        <f>IF(C538="","",COUNTA($C$2:C538))</f>
        <v>537</v>
      </c>
      <c r="C538" s="30" t="s">
        <v>728</v>
      </c>
      <c r="D538" s="51" t="s">
        <v>638</v>
      </c>
      <c r="E538" s="23" t="s">
        <v>706</v>
      </c>
      <c r="F538" s="23" t="s">
        <v>750</v>
      </c>
      <c r="G538" s="47" t="s">
        <v>177</v>
      </c>
      <c r="H538" s="4">
        <v>12079200</v>
      </c>
      <c r="I538" s="18">
        <f t="shared" ca="1" si="32"/>
        <v>3</v>
      </c>
      <c r="J538" s="13" t="str">
        <f t="shared" ca="1" si="33"/>
        <v>정상</v>
      </c>
      <c r="L538" s="44">
        <v>46142</v>
      </c>
      <c r="N538" s="10" t="s">
        <v>33</v>
      </c>
    </row>
    <row r="539" spans="2:14" ht="16.5" customHeight="1">
      <c r="B539" s="10">
        <f>IF(C539="","",COUNTA($C$2:C539))</f>
        <v>538</v>
      </c>
      <c r="C539" s="30" t="s">
        <v>728</v>
      </c>
      <c r="D539" s="51" t="s">
        <v>638</v>
      </c>
      <c r="E539" s="23" t="s">
        <v>580</v>
      </c>
      <c r="F539" s="23" t="s">
        <v>747</v>
      </c>
      <c r="G539" s="47" t="s">
        <v>177</v>
      </c>
      <c r="H539" s="4">
        <v>9625000</v>
      </c>
      <c r="I539" s="18">
        <f t="shared" ca="1" si="32"/>
        <v>9</v>
      </c>
      <c r="J539" s="13" t="str">
        <f t="shared" ca="1" si="33"/>
        <v>정상</v>
      </c>
      <c r="N539" s="10" t="s">
        <v>33</v>
      </c>
    </row>
    <row r="540" spans="2:14" ht="16.5" customHeight="1">
      <c r="B540" s="10">
        <f>IF(C540="","",COUNTA($C$2:C540))</f>
        <v>539</v>
      </c>
      <c r="C540" s="30" t="s">
        <v>728</v>
      </c>
      <c r="D540" s="51" t="s">
        <v>638</v>
      </c>
      <c r="E540" s="23" t="s">
        <v>606</v>
      </c>
      <c r="F540" s="23" t="s">
        <v>751</v>
      </c>
      <c r="G540" s="47" t="s">
        <v>177</v>
      </c>
      <c r="H540" s="4">
        <v>3462000</v>
      </c>
      <c r="I540" s="18">
        <f t="shared" ca="1" si="32"/>
        <v>0</v>
      </c>
      <c r="J540" s="13" t="str">
        <f t="shared" ca="1" si="33"/>
        <v>정상</v>
      </c>
      <c r="L540" s="44">
        <v>46139</v>
      </c>
      <c r="N540" s="10" t="s">
        <v>33</v>
      </c>
    </row>
    <row r="541" spans="2:14" ht="16.5" customHeight="1">
      <c r="B541" s="10">
        <f>IF(C541="","",COUNTA($C$2:C541))</f>
        <v>540</v>
      </c>
      <c r="C541" s="30" t="s">
        <v>728</v>
      </c>
      <c r="D541" s="51" t="s">
        <v>638</v>
      </c>
      <c r="E541" s="23" t="s">
        <v>507</v>
      </c>
      <c r="F541" s="23" t="s">
        <v>752</v>
      </c>
      <c r="G541" s="47" t="s">
        <v>177</v>
      </c>
      <c r="H541" s="4">
        <v>752000</v>
      </c>
      <c r="I541" s="18">
        <f t="shared" ca="1" si="32"/>
        <v>3</v>
      </c>
      <c r="J541" s="13" t="str">
        <f t="shared" ca="1" si="33"/>
        <v>정상</v>
      </c>
      <c r="L541" s="44">
        <v>46142</v>
      </c>
      <c r="N541" s="10" t="s">
        <v>33</v>
      </c>
    </row>
    <row r="542" spans="2:14" ht="16.5" customHeight="1">
      <c r="B542" s="10">
        <f>IF(C542="","",COUNTA($C$2:C542))</f>
        <v>541</v>
      </c>
      <c r="C542" s="30" t="s">
        <v>728</v>
      </c>
      <c r="D542" s="51" t="s">
        <v>638</v>
      </c>
      <c r="E542" s="23" t="s">
        <v>62</v>
      </c>
      <c r="F542" s="23" t="s">
        <v>753</v>
      </c>
      <c r="G542" s="47" t="s">
        <v>177</v>
      </c>
      <c r="H542" s="4">
        <v>2920800</v>
      </c>
      <c r="I542" s="18">
        <f t="shared" ca="1" si="32"/>
        <v>9</v>
      </c>
      <c r="J542" s="13" t="str">
        <f t="shared" ca="1" si="33"/>
        <v>정상</v>
      </c>
      <c r="N542" s="10" t="s">
        <v>33</v>
      </c>
    </row>
    <row r="543" spans="2:14" ht="16.5" customHeight="1">
      <c r="B543" s="10">
        <f>IF(C543="","",COUNTA($C$2:C543))</f>
        <v>542</v>
      </c>
      <c r="C543" s="30" t="s">
        <v>728</v>
      </c>
      <c r="D543" s="51" t="s">
        <v>757</v>
      </c>
      <c r="E543" s="48" t="s">
        <v>754</v>
      </c>
      <c r="F543" s="48" t="s">
        <v>755</v>
      </c>
      <c r="G543" s="47" t="s">
        <v>756</v>
      </c>
      <c r="H543" s="4">
        <v>24720000</v>
      </c>
      <c r="I543" s="18">
        <f t="shared" ca="1" si="32"/>
        <v>9</v>
      </c>
      <c r="J543" s="13" t="str">
        <f t="shared" ca="1" si="33"/>
        <v>정상</v>
      </c>
      <c r="N543" s="10" t="s">
        <v>33</v>
      </c>
    </row>
    <row r="544" spans="2:14" ht="16.5" customHeight="1">
      <c r="B544" s="10">
        <f>IF(C544="","",COUNTA($C$2:C544))</f>
        <v>543</v>
      </c>
      <c r="C544" s="30" t="s">
        <v>728</v>
      </c>
      <c r="D544" s="51" t="s">
        <v>757</v>
      </c>
      <c r="E544" s="48" t="s">
        <v>758</v>
      </c>
      <c r="F544" s="48" t="s">
        <v>759</v>
      </c>
      <c r="G544" s="47" t="s">
        <v>760</v>
      </c>
      <c r="H544" s="4">
        <v>46100000</v>
      </c>
      <c r="I544" s="18">
        <f t="shared" ca="1" si="32"/>
        <v>9</v>
      </c>
      <c r="J544" s="13" t="str">
        <f t="shared" ca="1" si="33"/>
        <v>정상</v>
      </c>
      <c r="N544" s="10" t="s">
        <v>33</v>
      </c>
    </row>
    <row r="545" spans="2:14" ht="16.5" customHeight="1">
      <c r="B545" s="10">
        <f>IF(C545="","",COUNTA($C$2:C545))</f>
        <v>544</v>
      </c>
      <c r="C545" s="30" t="s">
        <v>728</v>
      </c>
      <c r="D545" s="51" t="s">
        <v>757</v>
      </c>
      <c r="E545" s="48" t="s">
        <v>761</v>
      </c>
      <c r="F545" s="48" t="s">
        <v>762</v>
      </c>
      <c r="G545" s="47" t="s">
        <v>764</v>
      </c>
      <c r="H545" s="4">
        <v>3530000</v>
      </c>
      <c r="I545" s="18">
        <f t="shared" ca="1" si="32"/>
        <v>9</v>
      </c>
      <c r="J545" s="13" t="str">
        <f t="shared" ca="1" si="33"/>
        <v>정상</v>
      </c>
      <c r="N545" s="10" t="s">
        <v>33</v>
      </c>
    </row>
    <row r="546" spans="2:14" ht="16.5" customHeight="1">
      <c r="B546" s="10">
        <f>IF(C546="","",COUNTA($C$2:C546))</f>
        <v>545</v>
      </c>
      <c r="C546" s="30" t="s">
        <v>728</v>
      </c>
      <c r="D546" s="51" t="s">
        <v>757</v>
      </c>
      <c r="E546" s="48" t="s">
        <v>761</v>
      </c>
      <c r="F546" s="48" t="s">
        <v>763</v>
      </c>
      <c r="G546" s="47" t="s">
        <v>764</v>
      </c>
      <c r="H546" s="4">
        <v>10550000</v>
      </c>
      <c r="I546" s="18">
        <f t="shared" ca="1" si="32"/>
        <v>9</v>
      </c>
      <c r="J546" s="13" t="str">
        <f t="shared" ca="1" si="33"/>
        <v>정상</v>
      </c>
      <c r="N546" s="10" t="s">
        <v>33</v>
      </c>
    </row>
    <row r="547" spans="2:14" ht="16.5" customHeight="1">
      <c r="B547" s="10">
        <f>IF(C547="","",COUNTA($C$2:C547))</f>
        <v>546</v>
      </c>
      <c r="C547" s="30" t="s">
        <v>765</v>
      </c>
      <c r="D547" s="51" t="s">
        <v>767</v>
      </c>
      <c r="E547" s="23" t="s">
        <v>83</v>
      </c>
      <c r="F547" s="23" t="s">
        <v>768</v>
      </c>
      <c r="G547" s="47" t="s">
        <v>778</v>
      </c>
      <c r="H547" s="52">
        <v>1466000</v>
      </c>
      <c r="I547" s="18">
        <f t="shared" ca="1" si="32"/>
        <v>7</v>
      </c>
      <c r="J547" s="13" t="str">
        <f t="shared" ca="1" si="33"/>
        <v>정상</v>
      </c>
      <c r="N547" s="10" t="s">
        <v>33</v>
      </c>
    </row>
    <row r="548" spans="2:14" ht="16.5" customHeight="1">
      <c r="B548" s="10">
        <f>IF(C548="","",COUNTA($C$2:C548))</f>
        <v>547</v>
      </c>
      <c r="C548" s="30" t="s">
        <v>765</v>
      </c>
      <c r="D548" s="51" t="s">
        <v>767</v>
      </c>
      <c r="E548" s="23" t="s">
        <v>267</v>
      </c>
      <c r="F548" s="23" t="s">
        <v>769</v>
      </c>
      <c r="G548" s="47" t="s">
        <v>778</v>
      </c>
      <c r="H548" s="52">
        <v>27350000</v>
      </c>
      <c r="I548" s="18">
        <f t="shared" ca="1" si="32"/>
        <v>7</v>
      </c>
      <c r="J548" s="13" t="str">
        <f t="shared" ca="1" si="33"/>
        <v>정상</v>
      </c>
      <c r="N548" s="10" t="s">
        <v>33</v>
      </c>
    </row>
    <row r="549" spans="2:14" ht="16.5" customHeight="1">
      <c r="B549" s="10">
        <f>IF(C549="","",COUNTA($C$2:C549))</f>
        <v>548</v>
      </c>
      <c r="C549" s="30" t="s">
        <v>765</v>
      </c>
      <c r="D549" s="51" t="s">
        <v>767</v>
      </c>
      <c r="E549" s="23" t="s">
        <v>105</v>
      </c>
      <c r="F549" s="23" t="s">
        <v>770</v>
      </c>
      <c r="G549" s="47" t="s">
        <v>778</v>
      </c>
      <c r="H549" s="52">
        <v>141100</v>
      </c>
      <c r="I549" s="18">
        <f t="shared" ca="1" si="32"/>
        <v>7</v>
      </c>
      <c r="J549" s="13" t="str">
        <f t="shared" ca="1" si="33"/>
        <v>정상</v>
      </c>
      <c r="N549" s="10" t="s">
        <v>33</v>
      </c>
    </row>
    <row r="550" spans="2:14" ht="16.5" customHeight="1">
      <c r="B550" s="10">
        <f>IF(C550="","",COUNTA($C$2:C550))</f>
        <v>549</v>
      </c>
      <c r="C550" s="30" t="s">
        <v>765</v>
      </c>
      <c r="D550" s="51" t="s">
        <v>767</v>
      </c>
      <c r="E550" s="23" t="s">
        <v>17</v>
      </c>
      <c r="F550" s="23" t="s">
        <v>771</v>
      </c>
      <c r="G550" s="47" t="s">
        <v>778</v>
      </c>
      <c r="H550" s="52">
        <v>410000</v>
      </c>
      <c r="I550" s="18">
        <f t="shared" ca="1" si="32"/>
        <v>7</v>
      </c>
      <c r="J550" s="13" t="str">
        <f t="shared" ca="1" si="33"/>
        <v>정상</v>
      </c>
      <c r="N550" s="10" t="s">
        <v>33</v>
      </c>
    </row>
    <row r="551" spans="2:14" ht="16.5" customHeight="1">
      <c r="B551" s="10">
        <f>IF(C551="","",COUNTA($C$2:C551))</f>
        <v>550</v>
      </c>
      <c r="C551" s="30" t="s">
        <v>765</v>
      </c>
      <c r="D551" s="51" t="s">
        <v>767</v>
      </c>
      <c r="E551" s="23" t="s">
        <v>218</v>
      </c>
      <c r="F551" s="23" t="s">
        <v>772</v>
      </c>
      <c r="G551" s="47" t="s">
        <v>778</v>
      </c>
      <c r="H551" s="52">
        <v>510000</v>
      </c>
      <c r="I551" s="18">
        <f t="shared" ca="1" si="32"/>
        <v>7</v>
      </c>
      <c r="J551" s="13" t="str">
        <f t="shared" ca="1" si="33"/>
        <v>정상</v>
      </c>
      <c r="N551" s="10" t="s">
        <v>33</v>
      </c>
    </row>
    <row r="552" spans="2:14" ht="16.5" customHeight="1">
      <c r="B552" s="10">
        <f>IF(C552="","",COUNTA($C$2:C552))</f>
        <v>551</v>
      </c>
      <c r="C552" s="30" t="s">
        <v>765</v>
      </c>
      <c r="D552" s="51" t="s">
        <v>767</v>
      </c>
      <c r="E552" s="23" t="s">
        <v>110</v>
      </c>
      <c r="F552" s="23" t="s">
        <v>773</v>
      </c>
      <c r="G552" s="47" t="s">
        <v>778</v>
      </c>
      <c r="H552" s="52">
        <v>1229300</v>
      </c>
      <c r="I552" s="18">
        <f t="shared" ca="1" si="32"/>
        <v>7</v>
      </c>
      <c r="J552" s="13" t="str">
        <f t="shared" ca="1" si="33"/>
        <v>정상</v>
      </c>
      <c r="N552" s="10" t="s">
        <v>33</v>
      </c>
    </row>
    <row r="553" spans="2:14" ht="16.5" customHeight="1">
      <c r="B553" s="10">
        <f>IF(C553="","",COUNTA($C$2:C553))</f>
        <v>552</v>
      </c>
      <c r="C553" s="30" t="s">
        <v>765</v>
      </c>
      <c r="D553" s="51" t="s">
        <v>767</v>
      </c>
      <c r="E553" s="23" t="s">
        <v>434</v>
      </c>
      <c r="F553" s="23" t="s">
        <v>774</v>
      </c>
      <c r="G553" s="47" t="s">
        <v>778</v>
      </c>
      <c r="H553" s="52">
        <v>12067400</v>
      </c>
      <c r="I553" s="18">
        <f t="shared" ca="1" si="32"/>
        <v>7</v>
      </c>
      <c r="J553" s="13" t="str">
        <f t="shared" ca="1" si="33"/>
        <v>정상</v>
      </c>
      <c r="N553" s="10" t="s">
        <v>33</v>
      </c>
    </row>
    <row r="554" spans="2:14" ht="16.5" customHeight="1">
      <c r="B554" s="10">
        <f>IF(C554="","",COUNTA($C$2:C554))</f>
        <v>553</v>
      </c>
      <c r="C554" s="30" t="s">
        <v>766</v>
      </c>
      <c r="D554" s="51" t="s">
        <v>767</v>
      </c>
      <c r="E554" s="23" t="s">
        <v>395</v>
      </c>
      <c r="F554" s="23" t="s">
        <v>775</v>
      </c>
      <c r="G554" s="47" t="s">
        <v>778</v>
      </c>
      <c r="H554" s="52">
        <v>450300</v>
      </c>
      <c r="I554" s="18">
        <f t="shared" ca="1" si="32"/>
        <v>6</v>
      </c>
      <c r="J554" s="13" t="str">
        <f t="shared" ca="1" si="33"/>
        <v>정상</v>
      </c>
      <c r="N554" s="10" t="s">
        <v>33</v>
      </c>
    </row>
    <row r="555" spans="2:14" ht="16.5" customHeight="1">
      <c r="B555" s="10">
        <f>IF(C555="","",COUNTA($C$2:C555))</f>
        <v>554</v>
      </c>
      <c r="C555" s="30" t="s">
        <v>766</v>
      </c>
      <c r="D555" s="51" t="s">
        <v>767</v>
      </c>
      <c r="E555" s="23" t="s">
        <v>507</v>
      </c>
      <c r="F555" s="23" t="s">
        <v>776</v>
      </c>
      <c r="G555" s="47" t="s">
        <v>778</v>
      </c>
      <c r="H555" s="52">
        <v>572800</v>
      </c>
      <c r="I555" s="18">
        <f t="shared" ca="1" si="32"/>
        <v>6</v>
      </c>
      <c r="J555" s="13" t="str">
        <f t="shared" ca="1" si="33"/>
        <v>정상</v>
      </c>
      <c r="N555" s="10" t="s">
        <v>33</v>
      </c>
    </row>
    <row r="556" spans="2:14" ht="16.5" customHeight="1">
      <c r="B556" s="10">
        <f>IF(C556="","",COUNTA($C$2:C556))</f>
        <v>555</v>
      </c>
      <c r="C556" s="30" t="s">
        <v>766</v>
      </c>
      <c r="D556" s="51" t="s">
        <v>767</v>
      </c>
      <c r="E556" s="23" t="s">
        <v>662</v>
      </c>
      <c r="F556" s="23" t="s">
        <v>777</v>
      </c>
      <c r="G556" s="47" t="s">
        <v>778</v>
      </c>
      <c r="H556" s="52">
        <v>5500000</v>
      </c>
      <c r="I556" s="18">
        <f t="shared" ca="1" si="32"/>
        <v>0</v>
      </c>
      <c r="J556" s="13" t="str">
        <f t="shared" ca="1" si="33"/>
        <v>정상</v>
      </c>
      <c r="L556" s="44">
        <v>46142</v>
      </c>
      <c r="N556" s="10" t="s">
        <v>33</v>
      </c>
    </row>
    <row r="557" spans="2:14" ht="16.5" customHeight="1">
      <c r="B557" s="10">
        <f>IF(C557="","",COUNTA($C$2:C557))</f>
        <v>556</v>
      </c>
      <c r="C557" s="53">
        <v>46140</v>
      </c>
      <c r="D557" s="51" t="s">
        <v>779</v>
      </c>
      <c r="E557" s="55" t="s">
        <v>780</v>
      </c>
      <c r="F557" s="54" t="s">
        <v>781</v>
      </c>
      <c r="G557" s="47" t="s">
        <v>782</v>
      </c>
      <c r="H557" s="4">
        <v>467000</v>
      </c>
      <c r="I557" s="18">
        <f t="shared" ca="1" si="32"/>
        <v>2</v>
      </c>
      <c r="J557" s="13" t="str">
        <f t="shared" ca="1" si="33"/>
        <v>정상</v>
      </c>
      <c r="L557" s="44">
        <v>46142</v>
      </c>
      <c r="N557" s="10" t="s">
        <v>33</v>
      </c>
    </row>
    <row r="558" spans="2:14" ht="16.5" customHeight="1">
      <c r="B558" s="10">
        <f>IF(C558="","",COUNTA($C$2:C558))</f>
        <v>557</v>
      </c>
      <c r="C558" s="53">
        <v>46141</v>
      </c>
      <c r="D558" s="51" t="s">
        <v>783</v>
      </c>
      <c r="E558" s="55" t="s">
        <v>794</v>
      </c>
      <c r="F558" s="48" t="s">
        <v>467</v>
      </c>
      <c r="G558" s="47" t="s">
        <v>790</v>
      </c>
      <c r="H558" s="4">
        <v>87705200</v>
      </c>
      <c r="I558" s="18">
        <f t="shared" ca="1" si="32"/>
        <v>7</v>
      </c>
      <c r="J558" s="13" t="str">
        <f t="shared" ca="1" si="33"/>
        <v>정상</v>
      </c>
      <c r="N558" s="10" t="s">
        <v>33</v>
      </c>
    </row>
    <row r="559" spans="2:14" ht="16.5" customHeight="1">
      <c r="B559" s="10">
        <f>IF(C559="","",COUNTA($C$2:C559))</f>
        <v>558</v>
      </c>
      <c r="C559" s="53">
        <v>46141</v>
      </c>
      <c r="D559" s="51" t="s">
        <v>783</v>
      </c>
      <c r="E559" s="48" t="s">
        <v>784</v>
      </c>
      <c r="F559" s="48" t="s">
        <v>787</v>
      </c>
      <c r="G559" s="47" t="s">
        <v>791</v>
      </c>
      <c r="H559" s="4">
        <v>30836400</v>
      </c>
      <c r="I559" s="18">
        <f t="shared" ca="1" si="32"/>
        <v>7</v>
      </c>
      <c r="J559" s="13" t="str">
        <f t="shared" ca="1" si="33"/>
        <v>정상</v>
      </c>
      <c r="N559" s="10" t="s">
        <v>33</v>
      </c>
    </row>
    <row r="560" spans="2:14" ht="16.5" customHeight="1">
      <c r="B560" s="10">
        <f>IF(C560="","",COUNTA($C$2:C560))</f>
        <v>559</v>
      </c>
      <c r="C560" s="53">
        <v>46141</v>
      </c>
      <c r="D560" s="51" t="s">
        <v>783</v>
      </c>
      <c r="E560" s="48" t="s">
        <v>785</v>
      </c>
      <c r="F560" s="48" t="s">
        <v>788</v>
      </c>
      <c r="G560" s="47" t="s">
        <v>792</v>
      </c>
      <c r="H560" s="4">
        <v>11426400</v>
      </c>
      <c r="I560" s="18">
        <f t="shared" ca="1" si="32"/>
        <v>7</v>
      </c>
      <c r="J560" s="13" t="str">
        <f t="shared" ca="1" si="33"/>
        <v>정상</v>
      </c>
      <c r="N560" s="10" t="s">
        <v>33</v>
      </c>
    </row>
    <row r="561" spans="2:14" ht="16.5" customHeight="1">
      <c r="B561" s="10">
        <f>IF(C561="","",COUNTA($C$2:C561))</f>
        <v>560</v>
      </c>
      <c r="C561" s="53">
        <v>46141</v>
      </c>
      <c r="D561" s="51" t="s">
        <v>783</v>
      </c>
      <c r="E561" s="48" t="s">
        <v>786</v>
      </c>
      <c r="F561" s="48" t="s">
        <v>789</v>
      </c>
      <c r="G561" s="47" t="s">
        <v>793</v>
      </c>
      <c r="H561" s="4">
        <v>7962400</v>
      </c>
      <c r="I561" s="18">
        <f t="shared" ca="1" si="32"/>
        <v>1</v>
      </c>
      <c r="J561" s="13" t="str">
        <f t="shared" ca="1" si="33"/>
        <v>정상</v>
      </c>
      <c r="L561" s="44">
        <v>46142</v>
      </c>
      <c r="N561" s="10" t="s">
        <v>33</v>
      </c>
    </row>
    <row r="562" spans="2:14" ht="16.5" customHeight="1">
      <c r="B562" s="10">
        <f>IF(C562="","",COUNTA($C$2:C562))</f>
        <v>561</v>
      </c>
      <c r="C562" s="30" t="s">
        <v>766</v>
      </c>
      <c r="D562" s="51" t="s">
        <v>802</v>
      </c>
      <c r="E562" s="23" t="s">
        <v>39</v>
      </c>
      <c r="F562" s="23" t="s">
        <v>795</v>
      </c>
      <c r="G562" s="47" t="s">
        <v>799</v>
      </c>
      <c r="H562" s="52">
        <v>1797000</v>
      </c>
      <c r="I562" s="18">
        <f t="shared" ca="1" si="32"/>
        <v>6</v>
      </c>
      <c r="J562" s="13" t="str">
        <f t="shared" ca="1" si="33"/>
        <v>정상</v>
      </c>
      <c r="N562" s="10" t="s">
        <v>33</v>
      </c>
    </row>
    <row r="563" spans="2:14" ht="16.5" customHeight="1">
      <c r="B563" s="10">
        <f>IF(C563="","",COUNTA($C$2:C563))</f>
        <v>562</v>
      </c>
      <c r="C563" s="30" t="s">
        <v>766</v>
      </c>
      <c r="D563" s="51" t="s">
        <v>802</v>
      </c>
      <c r="E563" s="23" t="s">
        <v>69</v>
      </c>
      <c r="F563" s="23" t="s">
        <v>796</v>
      </c>
      <c r="G563" s="47" t="s">
        <v>799</v>
      </c>
      <c r="H563" s="52">
        <v>4116100</v>
      </c>
      <c r="I563" s="18">
        <f t="shared" ca="1" si="32"/>
        <v>6</v>
      </c>
      <c r="J563" s="13" t="str">
        <f t="shared" ca="1" si="33"/>
        <v>정상</v>
      </c>
      <c r="N563" s="10" t="s">
        <v>33</v>
      </c>
    </row>
    <row r="564" spans="2:14" ht="16.5" customHeight="1">
      <c r="B564" s="10">
        <f>IF(C564="","",COUNTA($C$2:C564))</f>
        <v>563</v>
      </c>
      <c r="C564" s="30" t="s">
        <v>766</v>
      </c>
      <c r="D564" s="51" t="s">
        <v>802</v>
      </c>
      <c r="E564" s="23" t="s">
        <v>542</v>
      </c>
      <c r="F564" s="23" t="s">
        <v>797</v>
      </c>
      <c r="G564" s="47" t="s">
        <v>799</v>
      </c>
      <c r="H564" s="52">
        <v>1437500</v>
      </c>
      <c r="I564" s="18">
        <f t="shared" ref="I564:I581" ca="1" si="34">IF(C564="","",IF(L564="",TODAY()-C564,L564-C564))</f>
        <v>6</v>
      </c>
      <c r="J564" s="13" t="str">
        <f t="shared" ca="1" si="33"/>
        <v>정상</v>
      </c>
      <c r="N564" s="10" t="s">
        <v>33</v>
      </c>
    </row>
    <row r="565" spans="2:14" ht="16.5" customHeight="1">
      <c r="B565" s="10">
        <f>IF(C565="","",COUNTA($C$2:C565))</f>
        <v>564</v>
      </c>
      <c r="C565" s="30" t="s">
        <v>766</v>
      </c>
      <c r="D565" s="51" t="s">
        <v>802</v>
      </c>
      <c r="E565" s="23" t="s">
        <v>17</v>
      </c>
      <c r="F565" s="23" t="s">
        <v>798</v>
      </c>
      <c r="G565" s="47" t="s">
        <v>799</v>
      </c>
      <c r="H565" s="52">
        <v>410000</v>
      </c>
      <c r="I565" s="18">
        <f t="shared" ca="1" si="34"/>
        <v>6</v>
      </c>
      <c r="J565" s="13" t="str">
        <f t="shared" ca="1" si="33"/>
        <v>정상</v>
      </c>
      <c r="N565" s="10" t="s">
        <v>33</v>
      </c>
    </row>
    <row r="566" spans="2:14" ht="16.5" customHeight="1">
      <c r="B566" s="10">
        <f>IF(C566="","",COUNTA($C$2:C566))</f>
        <v>565</v>
      </c>
      <c r="C566" s="30">
        <v>46142</v>
      </c>
      <c r="D566" s="51" t="s">
        <v>802</v>
      </c>
      <c r="E566" s="48" t="s">
        <v>800</v>
      </c>
      <c r="F566" s="48" t="s">
        <v>801</v>
      </c>
      <c r="G566" s="47" t="s">
        <v>799</v>
      </c>
      <c r="H566" s="52">
        <v>1094000</v>
      </c>
      <c r="I566" s="18">
        <f t="shared" ca="1" si="34"/>
        <v>6</v>
      </c>
      <c r="J566" s="13" t="str">
        <f t="shared" ca="1" si="33"/>
        <v>정상</v>
      </c>
      <c r="N566" s="10" t="s">
        <v>33</v>
      </c>
    </row>
    <row r="567" spans="2:14" ht="16.5" customHeight="1">
      <c r="B567" s="10">
        <f>IF(C567="","",COUNTA($C$2:C567))</f>
        <v>566</v>
      </c>
      <c r="C567" s="30" t="s">
        <v>803</v>
      </c>
      <c r="D567" s="51" t="s">
        <v>802</v>
      </c>
      <c r="E567" s="23" t="s">
        <v>804</v>
      </c>
      <c r="F567" s="23" t="s">
        <v>805</v>
      </c>
      <c r="G567" s="47" t="s">
        <v>799</v>
      </c>
      <c r="H567" s="52">
        <v>3624000</v>
      </c>
      <c r="I567" s="18">
        <f t="shared" ca="1" si="34"/>
        <v>2</v>
      </c>
      <c r="J567" s="13" t="str">
        <f t="shared" ca="1" si="33"/>
        <v>정상</v>
      </c>
      <c r="N567" s="10" t="s">
        <v>33</v>
      </c>
    </row>
    <row r="568" spans="2:14" ht="16.5" customHeight="1">
      <c r="B568" s="10">
        <f>IF(C568="","",COUNTA($C$2:C568))</f>
        <v>567</v>
      </c>
      <c r="C568" s="30" t="s">
        <v>803</v>
      </c>
      <c r="D568" s="51" t="s">
        <v>802</v>
      </c>
      <c r="E568" s="23" t="s">
        <v>266</v>
      </c>
      <c r="F568" s="23" t="s">
        <v>806</v>
      </c>
      <c r="G568" s="47" t="s">
        <v>799</v>
      </c>
      <c r="H568" s="52">
        <v>27500000</v>
      </c>
      <c r="I568" s="18">
        <f t="shared" ca="1" si="34"/>
        <v>2</v>
      </c>
      <c r="J568" s="13" t="str">
        <f t="shared" ca="1" si="33"/>
        <v>정상</v>
      </c>
      <c r="N568" s="10" t="s">
        <v>33</v>
      </c>
    </row>
    <row r="569" spans="2:14" ht="16.5" customHeight="1">
      <c r="B569" s="10">
        <f>IF(C569="","",COUNTA($C$2:C569))</f>
        <v>568</v>
      </c>
      <c r="C569" s="44">
        <v>46142</v>
      </c>
      <c r="D569" s="51" t="s">
        <v>810</v>
      </c>
      <c r="E569" s="48" t="s">
        <v>811</v>
      </c>
      <c r="F569" s="48" t="s">
        <v>807</v>
      </c>
      <c r="G569" s="47" t="s">
        <v>814</v>
      </c>
      <c r="H569" s="4">
        <v>3448000</v>
      </c>
      <c r="I569" s="18">
        <f t="shared" ca="1" si="34"/>
        <v>6</v>
      </c>
      <c r="J569" s="13" t="str">
        <f t="shared" ca="1" si="33"/>
        <v>정상</v>
      </c>
      <c r="N569" s="10" t="s">
        <v>33</v>
      </c>
    </row>
    <row r="570" spans="2:14" ht="16.5" customHeight="1">
      <c r="B570" s="10">
        <f>IF(C570="","",COUNTA($C$2:C570))</f>
        <v>569</v>
      </c>
      <c r="C570" s="44">
        <v>46142</v>
      </c>
      <c r="D570" s="51" t="s">
        <v>810</v>
      </c>
      <c r="E570" s="48" t="s">
        <v>812</v>
      </c>
      <c r="F570" s="48" t="s">
        <v>808</v>
      </c>
      <c r="G570" s="47" t="s">
        <v>815</v>
      </c>
      <c r="H570" s="4">
        <v>18544800</v>
      </c>
      <c r="I570" s="18">
        <f t="shared" ca="1" si="34"/>
        <v>6</v>
      </c>
      <c r="J570" s="13" t="str">
        <f t="shared" ca="1" si="33"/>
        <v>정상</v>
      </c>
      <c r="N570" s="10" t="s">
        <v>33</v>
      </c>
    </row>
    <row r="571" spans="2:14" ht="16.5" customHeight="1">
      <c r="B571" s="10">
        <f>IF(C571="","",COUNTA($C$2:C571))</f>
        <v>570</v>
      </c>
      <c r="C571" s="44">
        <v>46142</v>
      </c>
      <c r="D571" s="51" t="s">
        <v>810</v>
      </c>
      <c r="E571" s="48" t="s">
        <v>813</v>
      </c>
      <c r="F571" s="48" t="s">
        <v>809</v>
      </c>
      <c r="G571" s="47" t="s">
        <v>816</v>
      </c>
      <c r="H571" s="4">
        <v>15813600</v>
      </c>
      <c r="I571" s="18">
        <f t="shared" ca="1" si="34"/>
        <v>6</v>
      </c>
      <c r="J571" s="13" t="str">
        <f t="shared" ca="1" si="33"/>
        <v>정상</v>
      </c>
      <c r="N571" s="10" t="s">
        <v>33</v>
      </c>
    </row>
    <row r="572" spans="2:14" ht="16.5" customHeight="1">
      <c r="B572" s="10">
        <f>IF(C572="","",COUNTA($C$2:C572))</f>
        <v>571</v>
      </c>
      <c r="C572" s="30" t="s">
        <v>766</v>
      </c>
      <c r="D572" s="51" t="s">
        <v>821</v>
      </c>
      <c r="E572" s="23" t="s">
        <v>395</v>
      </c>
      <c r="F572" s="23" t="s">
        <v>817</v>
      </c>
      <c r="G572" s="47" t="s">
        <v>820</v>
      </c>
      <c r="H572" s="52">
        <v>450300</v>
      </c>
      <c r="I572" s="18">
        <f t="shared" ca="1" si="34"/>
        <v>6</v>
      </c>
      <c r="J572" s="13" t="str">
        <f t="shared" ca="1" si="33"/>
        <v>정상</v>
      </c>
      <c r="N572" s="10" t="s">
        <v>33</v>
      </c>
    </row>
    <row r="573" spans="2:14" ht="16.5" customHeight="1">
      <c r="B573" s="10">
        <f>IF(C573="","",COUNTA($C$2:C573))</f>
        <v>572</v>
      </c>
      <c r="C573" s="30" t="s">
        <v>766</v>
      </c>
      <c r="D573" s="51" t="s">
        <v>821</v>
      </c>
      <c r="E573" s="23" t="s">
        <v>507</v>
      </c>
      <c r="F573" s="23" t="s">
        <v>818</v>
      </c>
      <c r="G573" s="47" t="s">
        <v>820</v>
      </c>
      <c r="H573" s="52">
        <v>572800</v>
      </c>
      <c r="I573" s="18">
        <f t="shared" ca="1" si="34"/>
        <v>6</v>
      </c>
      <c r="J573" s="13" t="str">
        <f t="shared" ca="1" si="33"/>
        <v>정상</v>
      </c>
      <c r="N573" s="10" t="s">
        <v>33</v>
      </c>
    </row>
    <row r="574" spans="2:14" ht="16.5" customHeight="1">
      <c r="B574" s="10">
        <f>IF(C574="","",COUNTA($C$2:C574))</f>
        <v>573</v>
      </c>
      <c r="C574" s="30" t="s">
        <v>766</v>
      </c>
      <c r="D574" s="51" t="s">
        <v>821</v>
      </c>
      <c r="E574" s="23" t="s">
        <v>662</v>
      </c>
      <c r="F574" s="23" t="s">
        <v>819</v>
      </c>
      <c r="G574" s="47" t="s">
        <v>820</v>
      </c>
      <c r="H574" s="52">
        <v>5500000</v>
      </c>
      <c r="I574" s="18">
        <f t="shared" ca="1" si="34"/>
        <v>0</v>
      </c>
      <c r="J574" s="13" t="str">
        <f t="shared" ca="1" si="33"/>
        <v>정상</v>
      </c>
      <c r="L574" s="44">
        <v>46142</v>
      </c>
      <c r="N574" s="10" t="s">
        <v>33</v>
      </c>
    </row>
    <row r="575" spans="2:14" ht="16.5" customHeight="1">
      <c r="B575" s="10">
        <f>IF(C575="","",COUNTA($C$2:C575))</f>
        <v>574</v>
      </c>
      <c r="C575" s="30" t="s">
        <v>803</v>
      </c>
      <c r="D575" s="51" t="s">
        <v>821</v>
      </c>
      <c r="E575" s="23" t="s">
        <v>824</v>
      </c>
      <c r="F575" s="23" t="s">
        <v>126</v>
      </c>
      <c r="G575" s="47" t="s">
        <v>820</v>
      </c>
      <c r="H575" s="52">
        <v>260000</v>
      </c>
      <c r="I575" s="18">
        <f t="shared" ca="1" si="34"/>
        <v>2</v>
      </c>
      <c r="J575" s="13" t="str">
        <f t="shared" ca="1" si="33"/>
        <v>정상</v>
      </c>
      <c r="N575" s="10" t="s">
        <v>33</v>
      </c>
    </row>
    <row r="576" spans="2:14" ht="16.5" customHeight="1">
      <c r="B576" s="10">
        <f>IF(C576="","",COUNTA($C$2:C576))</f>
        <v>575</v>
      </c>
      <c r="C576" s="30" t="s">
        <v>803</v>
      </c>
      <c r="D576" s="51" t="s">
        <v>821</v>
      </c>
      <c r="E576" s="23" t="s">
        <v>825</v>
      </c>
      <c r="F576" s="23" t="s">
        <v>822</v>
      </c>
      <c r="G576" s="47" t="s">
        <v>820</v>
      </c>
      <c r="H576" s="52">
        <v>208000</v>
      </c>
      <c r="I576" s="18">
        <f t="shared" ca="1" si="34"/>
        <v>2</v>
      </c>
      <c r="J576" s="13" t="str">
        <f t="shared" ca="1" si="33"/>
        <v>정상</v>
      </c>
      <c r="N576" s="10" t="s">
        <v>33</v>
      </c>
    </row>
    <row r="577" spans="2:14" ht="16.5" customHeight="1">
      <c r="B577" s="10">
        <f>IF(C577="","",COUNTA($C$2:C577))</f>
        <v>576</v>
      </c>
      <c r="C577" s="30" t="s">
        <v>803</v>
      </c>
      <c r="D577" s="51" t="s">
        <v>821</v>
      </c>
      <c r="E577" s="23" t="s">
        <v>826</v>
      </c>
      <c r="F577" s="23" t="s">
        <v>823</v>
      </c>
      <c r="G577" s="47" t="s">
        <v>820</v>
      </c>
      <c r="H577" s="52">
        <v>2128400</v>
      </c>
      <c r="I577" s="18">
        <f t="shared" ca="1" si="34"/>
        <v>2</v>
      </c>
      <c r="J577" s="13" t="str">
        <f t="shared" ca="1" si="33"/>
        <v>정상</v>
      </c>
      <c r="N577" s="10" t="s">
        <v>33</v>
      </c>
    </row>
    <row r="578" spans="2:14" ht="16.5" customHeight="1">
      <c r="B578" s="10">
        <f>IF(C578="","",COUNTA($C$2:C578))</f>
        <v>577</v>
      </c>
      <c r="C578" s="30" t="s">
        <v>803</v>
      </c>
      <c r="D578" s="51" t="s">
        <v>821</v>
      </c>
      <c r="E578" s="23" t="s">
        <v>827</v>
      </c>
      <c r="F578" s="23" t="s">
        <v>81</v>
      </c>
      <c r="G578" s="47" t="s">
        <v>820</v>
      </c>
      <c r="H578" s="52">
        <v>178600</v>
      </c>
      <c r="I578" s="18">
        <f t="shared" ca="1" si="34"/>
        <v>2</v>
      </c>
      <c r="J578" s="13" t="str">
        <f t="shared" ca="1" si="33"/>
        <v>정상</v>
      </c>
      <c r="N578" s="10" t="s">
        <v>33</v>
      </c>
    </row>
    <row r="579" spans="2:14" ht="16.5" customHeight="1">
      <c r="B579" s="10">
        <f>IF(C579="","",COUNTA($C$2:C579))</f>
        <v>578</v>
      </c>
      <c r="C579" s="30" t="s">
        <v>803</v>
      </c>
      <c r="D579" s="51" t="s">
        <v>821</v>
      </c>
      <c r="E579" s="23" t="s">
        <v>828</v>
      </c>
      <c r="F579" s="23" t="s">
        <v>294</v>
      </c>
      <c r="G579" s="47" t="s">
        <v>820</v>
      </c>
      <c r="H579" s="52">
        <v>601600</v>
      </c>
      <c r="I579" s="18">
        <f t="shared" ca="1" si="34"/>
        <v>2</v>
      </c>
      <c r="J579" s="13" t="str">
        <f t="shared" ca="1" si="33"/>
        <v>정상</v>
      </c>
      <c r="N579" s="10" t="s">
        <v>33</v>
      </c>
    </row>
    <row r="580" spans="2:14" ht="16.5" customHeight="1">
      <c r="B580" s="10">
        <f>IF(C580="","",COUNTA($C$2:C580))</f>
        <v>579</v>
      </c>
      <c r="C580" s="30" t="s">
        <v>803</v>
      </c>
      <c r="D580" s="51" t="s">
        <v>821</v>
      </c>
      <c r="E580" s="23" t="s">
        <v>825</v>
      </c>
      <c r="F580" s="23" t="s">
        <v>822</v>
      </c>
      <c r="G580" s="47" t="s">
        <v>820</v>
      </c>
      <c r="H580" s="52">
        <v>675800</v>
      </c>
      <c r="I580" s="18">
        <f t="shared" ca="1" si="34"/>
        <v>2</v>
      </c>
      <c r="J580" s="13" t="str">
        <f t="shared" ca="1" si="33"/>
        <v>정상</v>
      </c>
      <c r="N580" s="10" t="s">
        <v>33</v>
      </c>
    </row>
    <row r="581" spans="2:14" ht="16.5" customHeight="1">
      <c r="B581" s="10">
        <f>IF(C581="","",COUNTA($C$2:C581))</f>
        <v>580</v>
      </c>
      <c r="C581" s="30" t="s">
        <v>803</v>
      </c>
      <c r="D581" s="51" t="s">
        <v>821</v>
      </c>
      <c r="E581" s="23" t="s">
        <v>829</v>
      </c>
      <c r="F581" s="23" t="s">
        <v>726</v>
      </c>
      <c r="G581" s="47" t="s">
        <v>820</v>
      </c>
      <c r="H581" s="52">
        <v>1776900</v>
      </c>
      <c r="I581" s="18">
        <f t="shared" ca="1" si="34"/>
        <v>2</v>
      </c>
      <c r="J581" s="13" t="str">
        <f t="shared" ca="1" si="33"/>
        <v>정상</v>
      </c>
      <c r="N581" s="10" t="s">
        <v>33</v>
      </c>
    </row>
  </sheetData>
  <autoFilter ref="A1:S581"/>
  <phoneticPr fontId="5" type="noConversion"/>
  <conditionalFormatting sqref="E3 F57:F60 E37">
    <cfRule type="expression" dxfId="151" priority="186">
      <formula>$J3="잔금"</formula>
    </cfRule>
  </conditionalFormatting>
  <conditionalFormatting sqref="E8">
    <cfRule type="expression" dxfId="150" priority="185">
      <formula>$J8="잔금"</formula>
    </cfRule>
  </conditionalFormatting>
  <conditionalFormatting sqref="E4">
    <cfRule type="expression" dxfId="149" priority="184">
      <formula>$J4="잔금"</formula>
    </cfRule>
  </conditionalFormatting>
  <conditionalFormatting sqref="E9">
    <cfRule type="expression" dxfId="148" priority="183">
      <formula>$J9="잔금"</formula>
    </cfRule>
  </conditionalFormatting>
  <conditionalFormatting sqref="E41">
    <cfRule type="expression" dxfId="147" priority="178">
      <formula>$J41="잔금"</formula>
    </cfRule>
  </conditionalFormatting>
  <conditionalFormatting sqref="E98:E99 E186:F192 H186:H192 F113 C186:C192 C402:C418">
    <cfRule type="expression" dxfId="146" priority="168">
      <formula>$J98="잔금"</formula>
    </cfRule>
  </conditionalFormatting>
  <conditionalFormatting sqref="F98:F99">
    <cfRule type="expression" dxfId="145" priority="167">
      <formula>$J98="잔금"</formula>
    </cfRule>
  </conditionalFormatting>
  <conditionalFormatting sqref="F104:F105">
    <cfRule type="expression" dxfId="144" priority="165">
      <formula>$J104="잔금"</formula>
    </cfRule>
  </conditionalFormatting>
  <conditionalFormatting sqref="H104:H105">
    <cfRule type="expression" dxfId="143" priority="164">
      <formula>$J104="잔금"</formula>
    </cfRule>
  </conditionalFormatting>
  <conditionalFormatting sqref="E106:E108">
    <cfRule type="expression" dxfId="142" priority="163">
      <formula>$J106="잔금"</formula>
    </cfRule>
  </conditionalFormatting>
  <conditionalFormatting sqref="F106:F108">
    <cfRule type="expression" dxfId="141" priority="162">
      <formula>$J106="잔금"</formula>
    </cfRule>
  </conditionalFormatting>
  <conditionalFormatting sqref="H106:H108">
    <cfRule type="expression" dxfId="140" priority="161">
      <formula>$J106="잔금"</formula>
    </cfRule>
  </conditionalFormatting>
  <conditionalFormatting sqref="E110">
    <cfRule type="expression" dxfId="139" priority="160">
      <formula>$J110="잔금"</formula>
    </cfRule>
  </conditionalFormatting>
  <conditionalFormatting sqref="F110">
    <cfRule type="expression" dxfId="138" priority="159">
      <formula>$J110="잔금"</formula>
    </cfRule>
  </conditionalFormatting>
  <conditionalFormatting sqref="E111:E113">
    <cfRule type="expression" dxfId="137" priority="158">
      <formula>$J111="잔금"</formula>
    </cfRule>
  </conditionalFormatting>
  <conditionalFormatting sqref="F111">
    <cfRule type="expression" dxfId="136" priority="157">
      <formula>$J111="잔금"</formula>
    </cfRule>
  </conditionalFormatting>
  <conditionalFormatting sqref="F112">
    <cfRule type="expression" dxfId="135" priority="156">
      <formula>$J112="잔금"</formula>
    </cfRule>
  </conditionalFormatting>
  <conditionalFormatting sqref="H111:H113">
    <cfRule type="expression" dxfId="134" priority="155">
      <formula>$J111="잔금"</formula>
    </cfRule>
  </conditionalFormatting>
  <conditionalFormatting sqref="C111:C113">
    <cfRule type="expression" dxfId="133" priority="154">
      <formula>$J111="잔금"</formula>
    </cfRule>
  </conditionalFormatting>
  <conditionalFormatting sqref="E117">
    <cfRule type="expression" dxfId="132" priority="153">
      <formula>$J117="잔금"</formula>
    </cfRule>
  </conditionalFormatting>
  <conditionalFormatting sqref="F117">
    <cfRule type="expression" dxfId="131" priority="152">
      <formula>$J117="잔금"</formula>
    </cfRule>
  </conditionalFormatting>
  <conditionalFormatting sqref="F142:F149">
    <cfRule type="expression" dxfId="130" priority="151">
      <formula>$J142="잔금"</formula>
    </cfRule>
  </conditionalFormatting>
  <conditionalFormatting sqref="E142:E149">
    <cfRule type="expression" dxfId="129" priority="150">
      <formula>$J142="잔금"</formula>
    </cfRule>
  </conditionalFormatting>
  <conditionalFormatting sqref="H142:H149">
    <cfRule type="expression" dxfId="128" priority="149">
      <formula>$J142="잔금"</formula>
    </cfRule>
  </conditionalFormatting>
  <conditionalFormatting sqref="E151:E157">
    <cfRule type="expression" dxfId="127" priority="147">
      <formula>$J151="잔금"</formula>
    </cfRule>
  </conditionalFormatting>
  <conditionalFormatting sqref="F151:F157">
    <cfRule type="expression" dxfId="126" priority="146">
      <formula>$J151="잔금"</formula>
    </cfRule>
  </conditionalFormatting>
  <conditionalFormatting sqref="C151:C157">
    <cfRule type="expression" dxfId="125" priority="145">
      <formula>$J151="잔금"</formula>
    </cfRule>
  </conditionalFormatting>
  <conditionalFormatting sqref="H151:H157">
    <cfRule type="expression" dxfId="124" priority="144">
      <formula>$J151="잔금"</formula>
    </cfRule>
  </conditionalFormatting>
  <conditionalFormatting sqref="C158">
    <cfRule type="expression" dxfId="123" priority="143">
      <formula>$I158="잔금"</formula>
    </cfRule>
  </conditionalFormatting>
  <conditionalFormatting sqref="F159:F162">
    <cfRule type="expression" dxfId="122" priority="142">
      <formula>$J159="잔금"</formula>
    </cfRule>
  </conditionalFormatting>
  <conditionalFormatting sqref="E159:E162">
    <cfRule type="expression" dxfId="121" priority="141">
      <formula>$J159="잔금"</formula>
    </cfRule>
  </conditionalFormatting>
  <conditionalFormatting sqref="C159:C165">
    <cfRule type="expression" dxfId="120" priority="140">
      <formula>$J159="잔금"</formula>
    </cfRule>
  </conditionalFormatting>
  <conditionalFormatting sqref="H159:H162">
    <cfRule type="expression" dxfId="119" priority="139">
      <formula>$J159="잔금"</formula>
    </cfRule>
  </conditionalFormatting>
  <conditionalFormatting sqref="F166:F178">
    <cfRule type="expression" dxfId="118" priority="138">
      <formula>$J166="잔금"</formula>
    </cfRule>
  </conditionalFormatting>
  <conditionalFormatting sqref="F179:F185">
    <cfRule type="expression" dxfId="117" priority="137">
      <formula>$J179="잔금"</formula>
    </cfRule>
  </conditionalFormatting>
  <conditionalFormatting sqref="E166:E178">
    <cfRule type="expression" dxfId="116" priority="136">
      <formula>$J166="잔금"</formula>
    </cfRule>
  </conditionalFormatting>
  <conditionalFormatting sqref="E179:E185">
    <cfRule type="expression" dxfId="115" priority="135">
      <formula>$J179="잔금"</formula>
    </cfRule>
  </conditionalFormatting>
  <conditionalFormatting sqref="C179:C185">
    <cfRule type="expression" dxfId="114" priority="133">
      <formula>$J179="잔금"</formula>
    </cfRule>
  </conditionalFormatting>
  <conditionalFormatting sqref="H166:H178">
    <cfRule type="expression" dxfId="113" priority="132">
      <formula>$J166="잔금"</formula>
    </cfRule>
  </conditionalFormatting>
  <conditionalFormatting sqref="H179:H185">
    <cfRule type="expression" dxfId="112" priority="131">
      <formula>$J179="잔금"</formula>
    </cfRule>
  </conditionalFormatting>
  <conditionalFormatting sqref="F194:F200">
    <cfRule type="expression" dxfId="111" priority="126">
      <formula>$J194="잔금"</formula>
    </cfRule>
  </conditionalFormatting>
  <conditionalFormatting sqref="E194:E200">
    <cfRule type="expression" dxfId="110" priority="125">
      <formula>$J194="잔금"</formula>
    </cfRule>
  </conditionalFormatting>
  <conditionalFormatting sqref="C194:C201">
    <cfRule type="expression" dxfId="109" priority="124">
      <formula>$J194="잔금"</formula>
    </cfRule>
  </conditionalFormatting>
  <conditionalFormatting sqref="H194:H200">
    <cfRule type="expression" dxfId="108" priority="123">
      <formula>$J194="잔금"</formula>
    </cfRule>
  </conditionalFormatting>
  <conditionalFormatting sqref="C202:C215">
    <cfRule type="expression" dxfId="107" priority="122">
      <formula>$J202="잔금"</formula>
    </cfRule>
  </conditionalFormatting>
  <conditionalFormatting sqref="F202:F215">
    <cfRule type="expression" dxfId="106" priority="121">
      <formula>$J202="잔금"</formula>
    </cfRule>
  </conditionalFormatting>
  <conditionalFormatting sqref="H202:H215">
    <cfRule type="expression" dxfId="105" priority="120">
      <formula>$J202="잔금"</formula>
    </cfRule>
  </conditionalFormatting>
  <conditionalFormatting sqref="E202:E216">
    <cfRule type="expression" dxfId="104" priority="119">
      <formula>$J202="잔금"</formula>
    </cfRule>
  </conditionalFormatting>
  <conditionalFormatting sqref="C216">
    <cfRule type="expression" dxfId="103" priority="118">
      <formula>$I216="잔금"</formula>
    </cfRule>
  </conditionalFormatting>
  <conditionalFormatting sqref="H216">
    <cfRule type="expression" dxfId="102" priority="113">
      <formula>$I216="잔금"</formula>
    </cfRule>
  </conditionalFormatting>
  <conditionalFormatting sqref="C217">
    <cfRule type="expression" dxfId="101" priority="112">
      <formula>$I217="잔금"</formula>
    </cfRule>
  </conditionalFormatting>
  <conditionalFormatting sqref="C218">
    <cfRule type="expression" dxfId="100" priority="111">
      <formula>$I218="잔금"</formula>
    </cfRule>
  </conditionalFormatting>
  <conditionalFormatting sqref="C219">
    <cfRule type="expression" dxfId="99" priority="110">
      <formula>$I219="잔금"</formula>
    </cfRule>
  </conditionalFormatting>
  <conditionalFormatting sqref="F220:F229">
    <cfRule type="expression" dxfId="98" priority="109">
      <formula>$J220="잔금"</formula>
    </cfRule>
  </conditionalFormatting>
  <conditionalFormatting sqref="F230:F243">
    <cfRule type="expression" dxfId="97" priority="108">
      <formula>$J230="잔금"</formula>
    </cfRule>
  </conditionalFormatting>
  <conditionalFormatting sqref="E220:E229">
    <cfRule type="expression" dxfId="96" priority="107">
      <formula>$J220="잔금"</formula>
    </cfRule>
  </conditionalFormatting>
  <conditionalFormatting sqref="E230:E243">
    <cfRule type="expression" dxfId="95" priority="106">
      <formula>$J230="잔금"</formula>
    </cfRule>
  </conditionalFormatting>
  <conditionalFormatting sqref="H220:H229">
    <cfRule type="expression" dxfId="94" priority="105">
      <formula>$J220="잔금"</formula>
    </cfRule>
  </conditionalFormatting>
  <conditionalFormatting sqref="H230:H243">
    <cfRule type="expression" dxfId="93" priority="104">
      <formula>$J230="잔금"</formula>
    </cfRule>
  </conditionalFormatting>
  <conditionalFormatting sqref="C245">
    <cfRule type="expression" dxfId="92" priority="103">
      <formula>$I245="잔금"</formula>
    </cfRule>
  </conditionalFormatting>
  <conditionalFormatting sqref="C246">
    <cfRule type="expression" dxfId="91" priority="102">
      <formula>$I246="잔금"</formula>
    </cfRule>
  </conditionalFormatting>
  <conditionalFormatting sqref="C247">
    <cfRule type="expression" dxfId="90" priority="101">
      <formula>$I247="잔금"</formula>
    </cfRule>
  </conditionalFormatting>
  <conditionalFormatting sqref="F248:F252">
    <cfRule type="expression" dxfId="89" priority="100">
      <formula>$J248="잔금"</formula>
    </cfRule>
  </conditionalFormatting>
  <conditionalFormatting sqref="E248:E252">
    <cfRule type="expression" dxfId="88" priority="99">
      <formula>$J248="잔금"</formula>
    </cfRule>
  </conditionalFormatting>
  <conditionalFormatting sqref="C248:C252">
    <cfRule type="expression" dxfId="87" priority="98">
      <formula>$J248="잔금"</formula>
    </cfRule>
  </conditionalFormatting>
  <conditionalFormatting sqref="H248:H252">
    <cfRule type="expression" dxfId="86" priority="97">
      <formula>$J248="잔금"</formula>
    </cfRule>
  </conditionalFormatting>
  <conditionalFormatting sqref="C253:C256">
    <cfRule type="expression" dxfId="85" priority="96">
      <formula>$I253="잔금"</formula>
    </cfRule>
  </conditionalFormatting>
  <conditionalFormatting sqref="F257:F266">
    <cfRule type="expression" dxfId="84" priority="95">
      <formula>$J257="잔금"</formula>
    </cfRule>
  </conditionalFormatting>
  <conditionalFormatting sqref="F267:F275">
    <cfRule type="expression" dxfId="83" priority="94">
      <formula>$J267="잔금"</formula>
    </cfRule>
  </conditionalFormatting>
  <conditionalFormatting sqref="C115">
    <cfRule type="expression" dxfId="82" priority="88">
      <formula>$J115="잔금"</formula>
    </cfRule>
  </conditionalFormatting>
  <conditionalFormatting sqref="C114">
    <cfRule type="expression" dxfId="81" priority="89">
      <formula>$J114="잔금"</formula>
    </cfRule>
  </conditionalFormatting>
  <conditionalFormatting sqref="C166">
    <cfRule type="expression" dxfId="80" priority="87">
      <formula>$J166="잔금"</formula>
    </cfRule>
  </conditionalFormatting>
  <conditionalFormatting sqref="C167">
    <cfRule type="expression" dxfId="79" priority="86">
      <formula>$J167="잔금"</formula>
    </cfRule>
  </conditionalFormatting>
  <conditionalFormatting sqref="C168">
    <cfRule type="expression" dxfId="78" priority="85">
      <formula>$J168="잔금"</formula>
    </cfRule>
  </conditionalFormatting>
  <conditionalFormatting sqref="C169">
    <cfRule type="expression" dxfId="77" priority="84">
      <formula>$J169="잔금"</formula>
    </cfRule>
  </conditionalFormatting>
  <conditionalFormatting sqref="C170">
    <cfRule type="expression" dxfId="76" priority="83">
      <formula>$J170="잔금"</formula>
    </cfRule>
  </conditionalFormatting>
  <conditionalFormatting sqref="C171">
    <cfRule type="expression" dxfId="75" priority="82">
      <formula>$J171="잔금"</formula>
    </cfRule>
  </conditionalFormatting>
  <conditionalFormatting sqref="C172">
    <cfRule type="expression" dxfId="74" priority="81">
      <formula>$J172="잔금"</formula>
    </cfRule>
  </conditionalFormatting>
  <conditionalFormatting sqref="C173">
    <cfRule type="expression" dxfId="73" priority="80">
      <formula>$J173="잔금"</formula>
    </cfRule>
  </conditionalFormatting>
  <conditionalFormatting sqref="C174">
    <cfRule type="expression" dxfId="72" priority="78">
      <formula>$J174="잔금"</formula>
    </cfRule>
  </conditionalFormatting>
  <conditionalFormatting sqref="C175">
    <cfRule type="expression" dxfId="71" priority="77">
      <formula>$J175="잔금"</formula>
    </cfRule>
  </conditionalFormatting>
  <conditionalFormatting sqref="C176">
    <cfRule type="expression" dxfId="70" priority="76">
      <formula>$J176="잔금"</formula>
    </cfRule>
  </conditionalFormatting>
  <conditionalFormatting sqref="C177">
    <cfRule type="expression" dxfId="69" priority="75">
      <formula>$J177="잔금"</formula>
    </cfRule>
  </conditionalFormatting>
  <conditionalFormatting sqref="C178">
    <cfRule type="expression" dxfId="68" priority="74">
      <formula>$J178="잔금"</formula>
    </cfRule>
  </conditionalFormatting>
  <conditionalFormatting sqref="H308:H309">
    <cfRule type="expression" dxfId="67" priority="68">
      <formula>$J308="잔금"</formula>
    </cfRule>
  </conditionalFormatting>
  <conditionalFormatting sqref="F289:F302">
    <cfRule type="expression" dxfId="66" priority="73">
      <formula>$J289="잔금"</formula>
    </cfRule>
  </conditionalFormatting>
  <conditionalFormatting sqref="F303:F307">
    <cfRule type="expression" dxfId="65" priority="72">
      <formula>$J303="잔금"</formula>
    </cfRule>
  </conditionalFormatting>
  <conditionalFormatting sqref="F308:F309">
    <cfRule type="expression" dxfId="64" priority="71">
      <formula>$J308="잔금"</formula>
    </cfRule>
  </conditionalFormatting>
  <conditionalFormatting sqref="H289:H302">
    <cfRule type="expression" dxfId="63" priority="70">
      <formula>$J289="잔금"</formula>
    </cfRule>
  </conditionalFormatting>
  <conditionalFormatting sqref="H303:H307">
    <cfRule type="expression" dxfId="62" priority="69">
      <formula>$J303="잔금"</formula>
    </cfRule>
  </conditionalFormatting>
  <conditionalFormatting sqref="H312:H353">
    <cfRule type="expression" dxfId="61" priority="67">
      <formula>$J312="잔금"</formula>
    </cfRule>
  </conditionalFormatting>
  <conditionalFormatting sqref="F434:F441">
    <cfRule type="expression" dxfId="60" priority="63">
      <formula>$J434="잔금"</formula>
    </cfRule>
  </conditionalFormatting>
  <conditionalFormatting sqref="F442:F446">
    <cfRule type="expression" dxfId="59" priority="62">
      <formula>$J442="잔금"</formula>
    </cfRule>
  </conditionalFormatting>
  <conditionalFormatting sqref="E434:E441">
    <cfRule type="expression" dxfId="58" priority="60">
      <formula>$J434="잔금"</formula>
    </cfRule>
  </conditionalFormatting>
  <conditionalFormatting sqref="E442:E446">
    <cfRule type="expression" dxfId="57" priority="59">
      <formula>$J442="잔금"</formula>
    </cfRule>
  </conditionalFormatting>
  <conditionalFormatting sqref="C434:C441">
    <cfRule type="expression" dxfId="56" priority="58">
      <formula>$J434="잔금"</formula>
    </cfRule>
  </conditionalFormatting>
  <conditionalFormatting sqref="C442:C447">
    <cfRule type="expression" dxfId="55" priority="57">
      <formula>$J442="잔금"</formula>
    </cfRule>
  </conditionalFormatting>
  <conditionalFormatting sqref="E448:E470 E472">
    <cfRule type="expression" dxfId="54" priority="56">
      <formula>$J448="잔금"</formula>
    </cfRule>
  </conditionalFormatting>
  <conditionalFormatting sqref="C448:C470">
    <cfRule type="expression" dxfId="53" priority="55">
      <formula>$J448="잔금"</formula>
    </cfRule>
  </conditionalFormatting>
  <conditionalFormatting sqref="E473:E478">
    <cfRule type="expression" dxfId="52" priority="54">
      <formula>$J473="잔금"</formula>
    </cfRule>
  </conditionalFormatting>
  <conditionalFormatting sqref="F473:F478">
    <cfRule type="expression" dxfId="51" priority="53">
      <formula>$J473="잔금"</formula>
    </cfRule>
  </conditionalFormatting>
  <conditionalFormatting sqref="C473:C478">
    <cfRule type="expression" dxfId="50" priority="52">
      <formula>$J473="잔금"</formula>
    </cfRule>
  </conditionalFormatting>
  <conditionalFormatting sqref="C479">
    <cfRule type="expression" dxfId="49" priority="51">
      <formula>$J479="잔금"</formula>
    </cfRule>
  </conditionalFormatting>
  <conditionalFormatting sqref="F480:F514">
    <cfRule type="expression" dxfId="48" priority="50">
      <formula>$J480="잔금"</formula>
    </cfRule>
  </conditionalFormatting>
  <conditionalFormatting sqref="E480:E514">
    <cfRule type="expression" dxfId="47" priority="49">
      <formula>$J480="잔금"</formula>
    </cfRule>
  </conditionalFormatting>
  <conditionalFormatting sqref="C480:C514">
    <cfRule type="expression" dxfId="46" priority="48">
      <formula>$J480="잔금"</formula>
    </cfRule>
  </conditionalFormatting>
  <conditionalFormatting sqref="H480:H511">
    <cfRule type="expression" dxfId="45" priority="47">
      <formula>$J480="잔금"</formula>
    </cfRule>
  </conditionalFormatting>
  <conditionalFormatting sqref="E515:E524">
    <cfRule type="expression" dxfId="44" priority="46">
      <formula>$J515="잔금"</formula>
    </cfRule>
  </conditionalFormatting>
  <conditionalFormatting sqref="E525:E528">
    <cfRule type="expression" dxfId="43" priority="45">
      <formula>$J525="잔금"</formula>
    </cfRule>
  </conditionalFormatting>
  <conditionalFormatting sqref="C515:C524">
    <cfRule type="expression" dxfId="42" priority="44">
      <formula>$J515="잔금"</formula>
    </cfRule>
  </conditionalFormatting>
  <conditionalFormatting sqref="C525:C528">
    <cfRule type="expression" dxfId="41" priority="43">
      <formula>$J525="잔금"</formula>
    </cfRule>
  </conditionalFormatting>
  <conditionalFormatting sqref="H515:H524">
    <cfRule type="expression" dxfId="40" priority="42">
      <formula>$J515="잔금"</formula>
    </cfRule>
  </conditionalFormatting>
  <conditionalFormatting sqref="H525:H528">
    <cfRule type="expression" dxfId="39" priority="41">
      <formula>$J525="잔금"</formula>
    </cfRule>
  </conditionalFormatting>
  <conditionalFormatting sqref="C529:C534">
    <cfRule type="expression" dxfId="38" priority="40">
      <formula>$J529="잔금"</formula>
    </cfRule>
  </conditionalFormatting>
  <conditionalFormatting sqref="E529:E534">
    <cfRule type="expression" dxfId="37" priority="39">
      <formula>$J529="잔금"</formula>
    </cfRule>
  </conditionalFormatting>
  <conditionalFormatting sqref="H529:H534">
    <cfRule type="expression" dxfId="36" priority="38">
      <formula>$J529="잔금"</formula>
    </cfRule>
  </conditionalFormatting>
  <conditionalFormatting sqref="F529:F534">
    <cfRule type="expression" dxfId="35" priority="37">
      <formula>$J529="잔금"</formula>
    </cfRule>
  </conditionalFormatting>
  <conditionalFormatting sqref="C535:C542">
    <cfRule type="expression" dxfId="34" priority="36">
      <formula>$J535="잔금"</formula>
    </cfRule>
  </conditionalFormatting>
  <conditionalFormatting sqref="E535:E546">
    <cfRule type="expression" dxfId="33" priority="35">
      <formula>$J535="잔금"</formula>
    </cfRule>
  </conditionalFormatting>
  <conditionalFormatting sqref="F535:F546">
    <cfRule type="expression" dxfId="32" priority="34">
      <formula>$J535="잔금"</formula>
    </cfRule>
  </conditionalFormatting>
  <conditionalFormatting sqref="C543">
    <cfRule type="expression" dxfId="31" priority="33">
      <formula>$J543="잔금"</formula>
    </cfRule>
  </conditionalFormatting>
  <conditionalFormatting sqref="C544">
    <cfRule type="expression" dxfId="30" priority="32">
      <formula>$J544="잔금"</formula>
    </cfRule>
  </conditionalFormatting>
  <conditionalFormatting sqref="C545">
    <cfRule type="expression" dxfId="29" priority="31">
      <formula>$J545="잔금"</formula>
    </cfRule>
  </conditionalFormatting>
  <conditionalFormatting sqref="C546">
    <cfRule type="expression" dxfId="28" priority="30">
      <formula>$J546="잔금"</formula>
    </cfRule>
  </conditionalFormatting>
  <conditionalFormatting sqref="C547:C553">
    <cfRule type="expression" dxfId="27" priority="29">
      <formula>$J547="잔금"</formula>
    </cfRule>
  </conditionalFormatting>
  <conditionalFormatting sqref="C554:C556">
    <cfRule type="expression" dxfId="26" priority="28">
      <formula>$J554="잔금"</formula>
    </cfRule>
  </conditionalFormatting>
  <conditionalFormatting sqref="E547:E553">
    <cfRule type="expression" dxfId="25" priority="27">
      <formula>$J547="잔금"</formula>
    </cfRule>
  </conditionalFormatting>
  <conditionalFormatting sqref="E554:E556 E559:E561">
    <cfRule type="expression" dxfId="24" priority="26">
      <formula>$J554="잔금"</formula>
    </cfRule>
  </conditionalFormatting>
  <conditionalFormatting sqref="F547:F553">
    <cfRule type="expression" dxfId="23" priority="25">
      <formula>$J547="잔금"</formula>
    </cfRule>
  </conditionalFormatting>
  <conditionalFormatting sqref="F554:F556 F558:F561">
    <cfRule type="expression" dxfId="22" priority="24">
      <formula>$J554="잔금"</formula>
    </cfRule>
  </conditionalFormatting>
  <conditionalFormatting sqref="H547:H553">
    <cfRule type="expression" dxfId="21" priority="23">
      <formula>$J547="잔금"</formula>
    </cfRule>
  </conditionalFormatting>
  <conditionalFormatting sqref="H554:H556">
    <cfRule type="expression" dxfId="20" priority="22">
      <formula>$J554="잔금"</formula>
    </cfRule>
  </conditionalFormatting>
  <conditionalFormatting sqref="C562:C566">
    <cfRule type="expression" dxfId="19" priority="16">
      <formula>$J562="잔금"</formula>
    </cfRule>
  </conditionalFormatting>
  <conditionalFormatting sqref="E562:E566 E569:E571">
    <cfRule type="expression" dxfId="18" priority="15">
      <formula>$J562="잔금"</formula>
    </cfRule>
  </conditionalFormatting>
  <conditionalFormatting sqref="F562:F566 F569:F571">
    <cfRule type="expression" dxfId="17" priority="14">
      <formula>$J562="잔금"</formula>
    </cfRule>
  </conditionalFormatting>
  <conditionalFormatting sqref="H562:H566">
    <cfRule type="expression" dxfId="16" priority="13">
      <formula>$J562="잔금"</formula>
    </cfRule>
  </conditionalFormatting>
  <conditionalFormatting sqref="C567:C568">
    <cfRule type="expression" dxfId="15" priority="12">
      <formula>$J567="잔금"</formula>
    </cfRule>
  </conditionalFormatting>
  <conditionalFormatting sqref="E567:E568">
    <cfRule type="expression" dxfId="14" priority="11">
      <formula>$J567="잔금"</formula>
    </cfRule>
  </conditionalFormatting>
  <conditionalFormatting sqref="H567:H568">
    <cfRule type="expression" dxfId="13" priority="10">
      <formula>$J567="잔금"</formula>
    </cfRule>
  </conditionalFormatting>
  <conditionalFormatting sqref="F567:F568">
    <cfRule type="expression" dxfId="12" priority="9">
      <formula>$J567="잔금"</formula>
    </cfRule>
  </conditionalFormatting>
  <conditionalFormatting sqref="E572:E574">
    <cfRule type="expression" dxfId="10" priority="8">
      <formula>$J572="잔금"</formula>
    </cfRule>
  </conditionalFormatting>
  <conditionalFormatting sqref="C572:C574">
    <cfRule type="expression" dxfId="9" priority="7">
      <formula>$J572="잔금"</formula>
    </cfRule>
  </conditionalFormatting>
  <conditionalFormatting sqref="H572:H574">
    <cfRule type="expression" dxfId="7" priority="6">
      <formula>$J572="잔금"</formula>
    </cfRule>
  </conditionalFormatting>
  <conditionalFormatting sqref="F572:F574">
    <cfRule type="expression" dxfId="6" priority="5">
      <formula>$J572="잔금"</formula>
    </cfRule>
  </conditionalFormatting>
  <conditionalFormatting sqref="F575:F581">
    <cfRule type="expression" dxfId="5" priority="4">
      <formula>$J575="잔금"</formula>
    </cfRule>
  </conditionalFormatting>
  <conditionalFormatting sqref="C575:C581">
    <cfRule type="expression" dxfId="4" priority="3">
      <formula>$J575="잔금"</formula>
    </cfRule>
  </conditionalFormatting>
  <conditionalFormatting sqref="H575:H581">
    <cfRule type="expression" dxfId="2" priority="2">
      <formula>$J575="잔금"</formula>
    </cfRule>
  </conditionalFormatting>
  <conditionalFormatting sqref="E575:E581">
    <cfRule type="expression" dxfId="0" priority="1">
      <formula>$J575="잔금"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581">
      <formula1>"Y,N"</formula1>
    </dataValidation>
    <dataValidation type="list" allowBlank="1" sqref="D2:D433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133</v>
      </c>
    </row>
    <row r="3" spans="2:3" ht="16.5" customHeight="1">
      <c r="B3" s="22" t="s">
        <v>130</v>
      </c>
      <c r="C3" s="17" t="s">
        <v>131</v>
      </c>
    </row>
    <row r="4" spans="2:3" ht="16.5" customHeight="1">
      <c r="B4" s="16" t="s">
        <v>139</v>
      </c>
      <c r="C4" s="16" t="s">
        <v>143</v>
      </c>
    </row>
    <row r="5" spans="2:3" ht="16.5" customHeight="1">
      <c r="B5" s="16" t="s">
        <v>146</v>
      </c>
      <c r="C5" s="16" t="s">
        <v>148</v>
      </c>
    </row>
    <row r="6" spans="2:3" ht="16.5" customHeight="1">
      <c r="B6" s="16" t="s">
        <v>147</v>
      </c>
      <c r="C6" s="16" t="s">
        <v>149</v>
      </c>
    </row>
    <row r="7" spans="2:3" ht="13.5">
      <c r="B7" s="20" t="s">
        <v>140</v>
      </c>
      <c r="C7" s="21" t="s">
        <v>150</v>
      </c>
    </row>
    <row r="8" spans="2:3" ht="16.5" customHeight="1">
      <c r="B8" s="16" t="s">
        <v>141</v>
      </c>
      <c r="C8" s="16" t="s">
        <v>144</v>
      </c>
    </row>
    <row r="9" spans="2:3" ht="16.5" customHeight="1">
      <c r="B9" s="16" t="s">
        <v>142</v>
      </c>
      <c r="C9" s="16" t="s">
        <v>145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2026-05-06T06:54:27Z</dcterms:modified>
</cp:coreProperties>
</file>