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data!$A$1:$S$408</definedName>
    <definedName name="_xlnm._FilterDatabase">data!$A$1:$S$408</definedName>
  </definedNames>
  <calcPr calcId="162913"/>
</workbook>
</file>

<file path=xl/calcChain.xml><?xml version="1.0" encoding="utf-8"?>
<calcChain xmlns="http://schemas.openxmlformats.org/spreadsheetml/2006/main">
  <c r="I93" i="1" l="1"/>
  <c r="I94" i="1"/>
  <c r="D408" i="1" l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D135" i="1"/>
  <c r="B135" i="1"/>
  <c r="I134" i="1"/>
  <c r="D134" i="1"/>
  <c r="B134" i="1"/>
  <c r="I133" i="1"/>
  <c r="D133" i="1"/>
  <c r="B133" i="1"/>
  <c r="I132" i="1"/>
  <c r="D132" i="1"/>
  <c r="B132" i="1"/>
  <c r="I131" i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D110" i="1"/>
  <c r="B110" i="1"/>
  <c r="I109" i="1"/>
  <c r="J109" i="1" s="1"/>
  <c r="D109" i="1"/>
  <c r="B109" i="1"/>
  <c r="I108" i="1"/>
  <c r="J108" i="1" s="1"/>
  <c r="D108" i="1"/>
  <c r="B108" i="1"/>
  <c r="I107" i="1"/>
  <c r="J107" i="1" s="1"/>
  <c r="B107" i="1"/>
  <c r="I106" i="1"/>
  <c r="J106" i="1" s="1"/>
  <c r="B106" i="1"/>
  <c r="I105" i="1"/>
  <c r="J105" i="1" s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D101" i="1"/>
  <c r="B101" i="1"/>
  <c r="I100" i="1"/>
  <c r="J100" i="1" s="1"/>
  <c r="B100" i="1"/>
  <c r="I99" i="1"/>
  <c r="J99" i="1" s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I95" i="1"/>
  <c r="J95" i="1" s="1"/>
  <c r="D95" i="1"/>
  <c r="B95" i="1"/>
  <c r="J94" i="1"/>
  <c r="D94" i="1"/>
  <c r="B94" i="1"/>
  <c r="J93" i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9" i="1"/>
  <c r="J49" i="1" s="1"/>
  <c r="D49" i="1"/>
  <c r="B49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<sst xmlns="http://schemas.openxmlformats.org/spreadsheetml/2006/main" count="610" uniqueCount="185">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</sst>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1" formatCode="_-* #,##0_-;\-* #,##0_-;_-* &quot;-&quot;_-;_-@_-"/>
    <numFmt numFmtId="176" formatCode="_-* #,##0_-;\-* #,##0_-;_-* \-_-;_-@_-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4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</cellXfs>
  <cellStyles count="1">
    <cellStyle name="표준" xfId="0" builtinId="0"/>
  </cellStyles>
  <dxfs count="12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activeCell="M107" sqref="M107"/>
    </sheetView>
  </sheetViews>
  <sheetFormatPr defaultRowHeight="16.5" customHeight="1" x14ac:dyDescent="0.3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 x14ac:dyDescent="0.3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 x14ac:dyDescent="0.3">
      <c r="B2" s="10">
        <v>1</v>
      </c>
      <c r="C2" s="11">
        <v>45797</v>
      </c>
      <c r="D2" s="10" t="str">
        <f t="shared" ref="D2:D55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5" ca="1" si="1">IF(C2="","",IF(L2="",TODAY()-C2,L2-C2))</f>
        <v>269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 x14ac:dyDescent="0.3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119</v>
      </c>
      <c r="J3" s="13" t="str">
        <f t="shared" ref="J3:J58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 x14ac:dyDescent="0.3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99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 x14ac:dyDescent="0.3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 x14ac:dyDescent="0.3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249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 x14ac:dyDescent="0.3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151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 x14ac:dyDescent="0.3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101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 x14ac:dyDescent="0.3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56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 x14ac:dyDescent="0.3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51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 x14ac:dyDescent="0.3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60</v>
      </c>
      <c r="J11" s="13" t="str">
        <f t="shared" ca="1" si="2"/>
        <v>관리</v>
      </c>
      <c r="K11" s="11">
        <v>46066</v>
      </c>
      <c r="L11" s="11"/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 x14ac:dyDescent="0.3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 x14ac:dyDescent="0.3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234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 x14ac:dyDescent="0.3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94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 x14ac:dyDescent="0.3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409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 x14ac:dyDescent="0.3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829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 x14ac:dyDescent="0.3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633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 x14ac:dyDescent="0.3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473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 x14ac:dyDescent="0.3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611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 x14ac:dyDescent="0.3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610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 x14ac:dyDescent="0.3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702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 x14ac:dyDescent="0.3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344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 x14ac:dyDescent="0.3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339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 x14ac:dyDescent="0.3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329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 x14ac:dyDescent="0.3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323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 x14ac:dyDescent="0.3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319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 x14ac:dyDescent="0.3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319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 x14ac:dyDescent="0.3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318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 x14ac:dyDescent="0.3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316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 x14ac:dyDescent="0.3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295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 x14ac:dyDescent="0.3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281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 x14ac:dyDescent="0.3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260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 x14ac:dyDescent="0.3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248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 x14ac:dyDescent="0.3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218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 x14ac:dyDescent="0.3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196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 x14ac:dyDescent="0.3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267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 x14ac:dyDescent="0.3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191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 x14ac:dyDescent="0.3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169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 x14ac:dyDescent="0.3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164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 x14ac:dyDescent="0.3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150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 x14ac:dyDescent="0.3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121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 x14ac:dyDescent="0.3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119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 x14ac:dyDescent="0.3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 x14ac:dyDescent="0.3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108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 x14ac:dyDescent="0.3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102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 x14ac:dyDescent="0.3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99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 x14ac:dyDescent="0.3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98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 x14ac:dyDescent="0.3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95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 x14ac:dyDescent="0.3">
      <c r="B49" s="10">
        <f>IF(C49="","",COUNTA($C$2:C49))</f>
        <v>48</v>
      </c>
      <c r="C49" s="11">
        <v>45993</v>
      </c>
      <c r="D49" s="10" t="str">
        <f t="shared" si="0"/>
        <v>B</v>
      </c>
      <c r="E49" s="6" t="s">
        <v>26</v>
      </c>
      <c r="F49" s="6" t="s">
        <v>164</v>
      </c>
      <c r="G49" s="6" t="s">
        <v>48</v>
      </c>
      <c r="H49" s="4">
        <v>7920000</v>
      </c>
      <c r="I49" s="12">
        <f t="shared" ca="1" si="1"/>
        <v>73</v>
      </c>
      <c r="J49" s="13" t="str">
        <f t="shared" ca="1" si="2"/>
        <v>관리</v>
      </c>
      <c r="K49" s="11">
        <v>46080</v>
      </c>
      <c r="L49" s="11"/>
      <c r="M49" s="10"/>
      <c r="N49" s="10" t="s">
        <v>33</v>
      </c>
      <c r="P49" s="6" t="s">
        <v>81</v>
      </c>
      <c r="Q49" s="11"/>
      <c r="R49" s="11"/>
      <c r="S49" s="10"/>
    </row>
    <row r="50" spans="2:19" s="6" customFormat="1" ht="16.5" customHeight="1" x14ac:dyDescent="0.3">
      <c r="B50" s="10">
        <f>IF(C50="","",COUNTA($C$2:C50))</f>
        <v>49</v>
      </c>
      <c r="C50" s="11">
        <v>45999</v>
      </c>
      <c r="D50" s="10" t="str">
        <f t="shared" si="0"/>
        <v>B</v>
      </c>
      <c r="E50" s="6" t="s">
        <v>82</v>
      </c>
      <c r="F50" s="6" t="s">
        <v>163</v>
      </c>
      <c r="G50" s="6" t="s">
        <v>48</v>
      </c>
      <c r="H50" s="4">
        <v>5253000</v>
      </c>
      <c r="I50" s="12">
        <f t="shared" ca="1" si="1"/>
        <v>67</v>
      </c>
      <c r="J50" s="13" t="str">
        <f t="shared" ca="1" si="2"/>
        <v>관리</v>
      </c>
      <c r="K50" s="11">
        <v>46080</v>
      </c>
      <c r="L50" s="11"/>
      <c r="M50" s="10"/>
      <c r="N50" s="10" t="s">
        <v>33</v>
      </c>
      <c r="Q50" s="11"/>
      <c r="R50" s="11"/>
      <c r="S50" s="10"/>
    </row>
    <row r="51" spans="2:19" s="6" customFormat="1" ht="16.5" customHeight="1" x14ac:dyDescent="0.3">
      <c r="B51" s="10">
        <f>IF(C51="","",COUNTA($C$2:C51))</f>
        <v>50</v>
      </c>
      <c r="C51" s="11">
        <v>46006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1120000</v>
      </c>
      <c r="I51" s="12">
        <f t="shared" ca="1" si="1"/>
        <v>60</v>
      </c>
      <c r="J51" s="13" t="str">
        <f t="shared" ca="1" si="2"/>
        <v>관리</v>
      </c>
      <c r="K51" s="11">
        <v>46080</v>
      </c>
      <c r="L51" s="11"/>
      <c r="M51" s="10"/>
      <c r="N51" s="10" t="s">
        <v>33</v>
      </c>
      <c r="Q51" s="11"/>
      <c r="R51" s="11"/>
      <c r="S51" s="10"/>
    </row>
    <row r="52" spans="2:19" s="6" customFormat="1" ht="16.5" customHeight="1" x14ac:dyDescent="0.3">
      <c r="B52" s="10">
        <f>IF(C52="","",COUNTA($C$2:C52))</f>
        <v>51</v>
      </c>
      <c r="C52" s="11">
        <v>46007</v>
      </c>
      <c r="D52" s="10" t="str">
        <f t="shared" si="0"/>
        <v>B</v>
      </c>
      <c r="E52" s="6" t="s">
        <v>26</v>
      </c>
      <c r="F52" s="6" t="s">
        <v>83</v>
      </c>
      <c r="G52" s="6" t="s">
        <v>48</v>
      </c>
      <c r="H52" s="4">
        <v>1969400</v>
      </c>
      <c r="I52" s="12">
        <f t="shared" ca="1" si="1"/>
        <v>59</v>
      </c>
      <c r="J52" s="13" t="str">
        <f t="shared" ca="1" si="2"/>
        <v>관리</v>
      </c>
      <c r="K52" s="11">
        <v>46080</v>
      </c>
      <c r="L52" s="11"/>
      <c r="M52" s="10"/>
      <c r="N52" s="10" t="s">
        <v>33</v>
      </c>
      <c r="P52" s="6" t="s">
        <v>81</v>
      </c>
      <c r="Q52" s="11"/>
      <c r="R52" s="11"/>
      <c r="S52" s="10"/>
    </row>
    <row r="53" spans="2:19" s="6" customFormat="1" ht="16.5" customHeight="1" x14ac:dyDescent="0.3">
      <c r="B53" s="10">
        <f>IF(C53="","",COUNTA($C$2:C53))</f>
        <v>52</v>
      </c>
      <c r="C53" s="11">
        <v>46008</v>
      </c>
      <c r="D53" s="10" t="str">
        <f t="shared" si="0"/>
        <v>B</v>
      </c>
      <c r="E53" s="6" t="s">
        <v>24</v>
      </c>
      <c r="F53" s="6" t="s">
        <v>161</v>
      </c>
      <c r="G53" s="6" t="s">
        <v>48</v>
      </c>
      <c r="H53" s="4">
        <v>54744000</v>
      </c>
      <c r="I53" s="12">
        <f t="shared" ca="1" si="1"/>
        <v>58</v>
      </c>
      <c r="J53" s="13" t="str">
        <f t="shared" ca="1" si="2"/>
        <v>관리</v>
      </c>
      <c r="K53" s="11"/>
      <c r="L53" s="11"/>
      <c r="M53" s="10"/>
      <c r="N53" s="10" t="s">
        <v>20</v>
      </c>
      <c r="O53" s="6" t="s">
        <v>154</v>
      </c>
      <c r="P53" s="6" t="s">
        <v>155</v>
      </c>
      <c r="Q53" s="11">
        <v>46036</v>
      </c>
      <c r="R53" s="10" t="s">
        <v>59</v>
      </c>
      <c r="S53" s="10"/>
    </row>
    <row r="54" spans="2:19" s="6" customFormat="1" ht="16.5" customHeight="1" x14ac:dyDescent="0.3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84</v>
      </c>
      <c r="F54" s="6" t="s">
        <v>85</v>
      </c>
      <c r="G54" s="6" t="s">
        <v>48</v>
      </c>
      <c r="H54" s="4">
        <v>321000</v>
      </c>
      <c r="I54" s="12">
        <f t="shared" ca="1" si="1"/>
        <v>55</v>
      </c>
      <c r="J54" s="13" t="str">
        <f t="shared" ca="1" si="2"/>
        <v>관리</v>
      </c>
      <c r="K54" s="11"/>
      <c r="L54" s="11">
        <v>46063</v>
      </c>
      <c r="M54" s="10"/>
      <c r="N54" s="10" t="s">
        <v>33</v>
      </c>
      <c r="Q54" s="11"/>
      <c r="R54" s="11"/>
      <c r="S54" s="10"/>
    </row>
    <row r="55" spans="2:19" s="6" customFormat="1" ht="16.5" customHeight="1" x14ac:dyDescent="0.3">
      <c r="B55" s="10">
        <f>IF(C55="","",COUNTA($C$2:C55))</f>
        <v>54</v>
      </c>
      <c r="C55" s="11">
        <v>46013</v>
      </c>
      <c r="D55" s="10" t="str">
        <f t="shared" si="0"/>
        <v>B</v>
      </c>
      <c r="E55" s="6" t="s">
        <v>26</v>
      </c>
      <c r="F55" s="6" t="s">
        <v>162</v>
      </c>
      <c r="G55" s="6" t="s">
        <v>48</v>
      </c>
      <c r="H55" s="4">
        <v>15840000</v>
      </c>
      <c r="I55" s="12">
        <f t="shared" ca="1" si="1"/>
        <v>53</v>
      </c>
      <c r="J55" s="13" t="str">
        <f t="shared" ca="1" si="2"/>
        <v>관리</v>
      </c>
      <c r="K55" s="11">
        <v>46080</v>
      </c>
      <c r="L55" s="11"/>
      <c r="M55" s="10"/>
      <c r="N55" s="10" t="s">
        <v>33</v>
      </c>
      <c r="P55" s="6" t="s">
        <v>81</v>
      </c>
      <c r="Q55" s="11"/>
      <c r="R55" s="11"/>
      <c r="S55" s="10"/>
    </row>
    <row r="56" spans="2:19" s="6" customFormat="1" ht="16.5" customHeight="1" x14ac:dyDescent="0.3">
      <c r="B56" s="10">
        <f>IF(C56="","",COUNTA($C$2:C56))</f>
        <v>55</v>
      </c>
      <c r="C56" s="11">
        <v>45705</v>
      </c>
      <c r="D56" s="10" t="str">
        <f t="shared" ref="D56:D65" si="3">IF(G56="","",IF(OR(G56="선급금",G56="중도금",G56="잔금"),"A",IF(G56="자재","B",IF(G56="특허료","C",""))))</f>
        <v>C</v>
      </c>
      <c r="E56" s="6" t="s">
        <v>46</v>
      </c>
      <c r="F56" s="6" t="s">
        <v>86</v>
      </c>
      <c r="G56" s="6" t="s">
        <v>43</v>
      </c>
      <c r="H56" s="4">
        <v>1632000</v>
      </c>
      <c r="I56" s="12">
        <f t="shared" ref="I56:I65" ca="1" si="4">IF(C56="","",IF(L56="",TODAY()-C56,L56-C56))</f>
        <v>361</v>
      </c>
      <c r="J56" s="13" t="str">
        <f t="shared" ca="1" si="2"/>
        <v>장기미수</v>
      </c>
      <c r="K56" s="11"/>
      <c r="L56" s="11"/>
      <c r="M56" s="10" t="s">
        <v>153</v>
      </c>
      <c r="N56" s="10" t="s">
        <v>20</v>
      </c>
      <c r="O56" s="6" t="s">
        <v>49</v>
      </c>
      <c r="Q56" s="14"/>
      <c r="R56" s="14"/>
      <c r="S56" s="10"/>
    </row>
    <row r="57" spans="2:19" s="6" customFormat="1" ht="16.5" customHeight="1" x14ac:dyDescent="0.3">
      <c r="B57" s="10">
        <f>IF(C57="","",COUNTA($C$2:C57))</f>
        <v>56</v>
      </c>
      <c r="C57" s="11">
        <v>45840</v>
      </c>
      <c r="D57" s="10" t="str">
        <f t="shared" si="3"/>
        <v>C</v>
      </c>
      <c r="E57" s="6" t="s">
        <v>46</v>
      </c>
      <c r="F57" s="6" t="s">
        <v>87</v>
      </c>
      <c r="G57" s="6" t="s">
        <v>43</v>
      </c>
      <c r="H57" s="4">
        <v>5380000</v>
      </c>
      <c r="I57" s="12">
        <f t="shared" ca="1" si="4"/>
        <v>226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 x14ac:dyDescent="0.3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88</v>
      </c>
      <c r="G58" s="6" t="s">
        <v>43</v>
      </c>
      <c r="H58" s="4">
        <v>765000</v>
      </c>
      <c r="I58" s="12">
        <f t="shared" ca="1" si="4"/>
        <v>226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 x14ac:dyDescent="0.3">
      <c r="B59" s="10">
        <f>IF(C59="","",COUNTA($C$2:C59))</f>
        <v>58</v>
      </c>
      <c r="C59" s="11">
        <v>45889</v>
      </c>
      <c r="D59" s="10" t="str">
        <f t="shared" si="3"/>
        <v>C</v>
      </c>
      <c r="E59" s="6" t="s">
        <v>46</v>
      </c>
      <c r="F59" s="6" t="s">
        <v>89</v>
      </c>
      <c r="G59" s="6" t="s">
        <v>43</v>
      </c>
      <c r="H59" s="4">
        <v>2738900</v>
      </c>
      <c r="I59" s="12">
        <f t="shared" ca="1" si="4"/>
        <v>177</v>
      </c>
      <c r="J59" s="13" t="str">
        <f t="shared" ref="J59:J113" ca="1" si="5">IF(I59="","",
 IF(G59="선급금",
   IF(I59&lt;=20,"정상",IF(I59&lt;=90,"관리","장기미수")),
 IF(G59="자재",
   IF(I59&lt;=40,"정상",IF(I59&lt;=90,"관리","장기미수")),
   IF(I59&lt;=30,"정상",IF(I59&lt;=90,"관리","장기미수"))
  )
 )
)</f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 x14ac:dyDescent="0.3">
      <c r="B60" s="10">
        <f>IF(C60="","",COUNTA($C$2:C60))</f>
        <v>59</v>
      </c>
      <c r="C60" s="11">
        <v>46006</v>
      </c>
      <c r="D60" s="10" t="str">
        <f t="shared" si="3"/>
        <v>C</v>
      </c>
      <c r="E60" s="6" t="s">
        <v>62</v>
      </c>
      <c r="F60" s="6" t="s">
        <v>90</v>
      </c>
      <c r="G60" s="6" t="s">
        <v>43</v>
      </c>
      <c r="H60" s="4">
        <v>1648500</v>
      </c>
      <c r="I60" s="12">
        <f t="shared" ca="1" si="4"/>
        <v>60</v>
      </c>
      <c r="J60" s="13" t="str">
        <f t="shared" ca="1" si="5"/>
        <v>관리</v>
      </c>
      <c r="K60" s="11">
        <v>46066</v>
      </c>
      <c r="L60" s="11"/>
      <c r="M60" s="10"/>
      <c r="N60" s="10" t="s">
        <v>33</v>
      </c>
      <c r="Q60" s="14"/>
      <c r="R60" s="14"/>
      <c r="S60" s="10"/>
    </row>
    <row r="61" spans="2:19" s="6" customFormat="1" ht="16.5" customHeight="1" x14ac:dyDescent="0.3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91</v>
      </c>
      <c r="G61" s="6" t="s">
        <v>43</v>
      </c>
      <c r="H61" s="4">
        <v>2625000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/>
      <c r="M61" s="10"/>
      <c r="N61" s="10" t="s">
        <v>33</v>
      </c>
      <c r="Q61" s="14"/>
      <c r="R61" s="14"/>
      <c r="S61" s="10"/>
    </row>
    <row r="62" spans="2:19" s="6" customFormat="1" ht="16.5" customHeight="1" x14ac:dyDescent="0.3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92</v>
      </c>
      <c r="F62" s="6" t="s">
        <v>93</v>
      </c>
      <c r="G62" s="6" t="s">
        <v>43</v>
      </c>
      <c r="H62" s="4">
        <v>495000</v>
      </c>
      <c r="I62" s="12">
        <f t="shared" ca="1" si="4"/>
        <v>60</v>
      </c>
      <c r="J62" s="13" t="str">
        <f t="shared" ca="1" si="5"/>
        <v>관리</v>
      </c>
      <c r="K62" s="11">
        <v>46087</v>
      </c>
      <c r="L62" s="11"/>
      <c r="M62" s="10"/>
      <c r="N62" s="10" t="s">
        <v>33</v>
      </c>
      <c r="Q62" s="14"/>
      <c r="R62" s="14"/>
      <c r="S62" s="10"/>
    </row>
    <row r="63" spans="2:19" s="6" customFormat="1" ht="16.5" customHeight="1" x14ac:dyDescent="0.3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94</v>
      </c>
      <c r="G63" s="6" t="s">
        <v>43</v>
      </c>
      <c r="H63" s="4">
        <v>485000</v>
      </c>
      <c r="I63" s="12">
        <f t="shared" ca="1" si="4"/>
        <v>60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 x14ac:dyDescent="0.3">
      <c r="B64" s="10">
        <f>IF(C64="","",COUNTA($C$2:C64))</f>
        <v>63</v>
      </c>
      <c r="C64" s="11">
        <v>46009</v>
      </c>
      <c r="D64" s="10" t="str">
        <f t="shared" si="3"/>
        <v>C</v>
      </c>
      <c r="E64" s="6" t="s">
        <v>95</v>
      </c>
      <c r="F64" s="6" t="s">
        <v>96</v>
      </c>
      <c r="G64" s="6" t="s">
        <v>43</v>
      </c>
      <c r="H64" s="4">
        <v>662500</v>
      </c>
      <c r="I64" s="12">
        <f t="shared" ca="1" si="4"/>
        <v>55</v>
      </c>
      <c r="J64" s="13" t="str">
        <f t="shared" ca="1" si="5"/>
        <v>관리</v>
      </c>
      <c r="K64" s="11">
        <v>46066</v>
      </c>
      <c r="L64" s="11">
        <v>46064</v>
      </c>
      <c r="M64" s="10"/>
      <c r="N64" s="10" t="s">
        <v>33</v>
      </c>
      <c r="Q64" s="14"/>
      <c r="R64" s="14"/>
      <c r="S64" s="10"/>
    </row>
    <row r="65" spans="2:19" s="6" customFormat="1" ht="16.5" customHeight="1" x14ac:dyDescent="0.3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97</v>
      </c>
      <c r="F65" s="6" t="s">
        <v>98</v>
      </c>
      <c r="G65" s="6" t="s">
        <v>43</v>
      </c>
      <c r="H65" s="4">
        <v>3537700</v>
      </c>
      <c r="I65" s="12">
        <f t="shared" ca="1" si="4"/>
        <v>57</v>
      </c>
      <c r="J65" s="13" t="str">
        <f t="shared" ca="1" si="5"/>
        <v>관리</v>
      </c>
      <c r="K65" s="11">
        <v>46052</v>
      </c>
      <c r="L65" s="11"/>
      <c r="M65" s="10"/>
      <c r="N65" s="10" t="s">
        <v>33</v>
      </c>
      <c r="Q65" s="14"/>
      <c r="R65" s="14"/>
      <c r="S65" s="10"/>
    </row>
    <row r="66" spans="2:19" s="6" customFormat="1" ht="16.5" customHeight="1" x14ac:dyDescent="0.3">
      <c r="B66" s="10">
        <f>IF(C66="","",COUNTA($C$2:C66))</f>
        <v>65</v>
      </c>
      <c r="C66" s="11">
        <v>46027</v>
      </c>
      <c r="D66" s="10" t="str">
        <f t="shared" ref="D66:D75" si="6">IF(G66="","",IF(OR(G66="선급금",G66="중도금",G66="잔금"),"A",IF(G66="자재","B",IF(G66="특허료","C",""))))</f>
        <v>C</v>
      </c>
      <c r="E66" s="6" t="s">
        <v>99</v>
      </c>
      <c r="F66" s="6" t="s">
        <v>100</v>
      </c>
      <c r="G66" s="6" t="s">
        <v>43</v>
      </c>
      <c r="H66" s="4">
        <v>3802500</v>
      </c>
      <c r="I66" s="6">
        <f t="shared" ref="I66:I71" ca="1" si="7">IF(C66="","",IF(L66="",TODAY()-C66,L66-C66))</f>
        <v>39</v>
      </c>
      <c r="J66" s="13" t="str">
        <f t="shared" ca="1" si="5"/>
        <v>관리</v>
      </c>
      <c r="K66" s="11"/>
      <c r="L66" s="11"/>
      <c r="M66" s="10"/>
      <c r="N66" s="10" t="s">
        <v>33</v>
      </c>
      <c r="Q66" s="11"/>
      <c r="R66" s="11"/>
      <c r="S66" s="10"/>
    </row>
    <row r="67" spans="2:19" s="6" customFormat="1" ht="16.5" customHeight="1" x14ac:dyDescent="0.3">
      <c r="B67" s="10">
        <f>IF(C67="","",COUNTA($C$2:C67))</f>
        <v>66</v>
      </c>
      <c r="C67" s="11">
        <v>46028</v>
      </c>
      <c r="D67" s="10" t="str">
        <f t="shared" si="6"/>
        <v>C</v>
      </c>
      <c r="E67" s="6" t="s">
        <v>101</v>
      </c>
      <c r="F67" s="6" t="s">
        <v>102</v>
      </c>
      <c r="G67" s="6" t="s">
        <v>43</v>
      </c>
      <c r="H67" s="4">
        <v>138050</v>
      </c>
      <c r="I67" s="6">
        <f t="shared" ca="1" si="7"/>
        <v>38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 x14ac:dyDescent="0.3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103</v>
      </c>
      <c r="G68" s="6" t="s">
        <v>43</v>
      </c>
      <c r="H68" s="4">
        <v>6675050</v>
      </c>
      <c r="I68" s="6">
        <f t="shared" ca="1" si="7"/>
        <v>38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 x14ac:dyDescent="0.3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104</v>
      </c>
      <c r="F69" s="6" t="s">
        <v>105</v>
      </c>
      <c r="G69" s="6" t="s">
        <v>43</v>
      </c>
      <c r="H69" s="4">
        <v>7500000</v>
      </c>
      <c r="I69" s="6">
        <f t="shared" ca="1" si="7"/>
        <v>38</v>
      </c>
      <c r="J69" s="13" t="str">
        <f t="shared" ca="1" si="5"/>
        <v>관리</v>
      </c>
      <c r="K69" s="11"/>
      <c r="L69" s="11"/>
      <c r="M69" s="10"/>
      <c r="N69" s="10" t="s">
        <v>20</v>
      </c>
      <c r="O69" s="6" t="s">
        <v>28</v>
      </c>
      <c r="Q69" s="11"/>
      <c r="R69" s="11"/>
      <c r="S69" s="10"/>
    </row>
    <row r="70" spans="2:19" s="6" customFormat="1" ht="16.5" customHeight="1" x14ac:dyDescent="0.3">
      <c r="B70" s="10">
        <f>IF(C70="","",COUNTA($C$2:C70))</f>
        <v>69</v>
      </c>
      <c r="C70" s="11">
        <v>46034</v>
      </c>
      <c r="D70" s="10" t="str">
        <f t="shared" si="6"/>
        <v>C</v>
      </c>
      <c r="E70" s="6" t="s">
        <v>106</v>
      </c>
      <c r="F70" s="6" t="s">
        <v>107</v>
      </c>
      <c r="G70" s="6" t="s">
        <v>43</v>
      </c>
      <c r="H70" s="4">
        <v>179500</v>
      </c>
      <c r="I70" s="6">
        <f t="shared" ca="1" si="7"/>
        <v>3</v>
      </c>
      <c r="J70" s="13" t="str">
        <f ca="1">IF(I70="","",
 IF(G70="선급금",
   IF(I70&lt;=20,"정상",IF(I70&lt;=90,"관리","장기미수")),
 IF(G70="자재",
   IF(I70&lt;=40,"정상",IF(I70&lt;=90,"관리","장기미수")),
   IF(I70&lt;=30,"정상",IF(I70&lt;=90,"관리","장기미수"))
  )
 )
)</f>
        <v>정상</v>
      </c>
      <c r="K70" s="11"/>
      <c r="L70" s="11">
        <v>46037</v>
      </c>
      <c r="M70" s="10"/>
      <c r="N70" s="10" t="s">
        <v>33</v>
      </c>
      <c r="Q70" s="11"/>
      <c r="R70" s="11"/>
      <c r="S70" s="10"/>
    </row>
    <row r="71" spans="2:19" s="6" customFormat="1" ht="16.5" customHeight="1" x14ac:dyDescent="0.3">
      <c r="B71" s="10">
        <f>IF(C71="","",COUNTA($C$2:C71))</f>
        <v>70</v>
      </c>
      <c r="C71" s="11">
        <v>46027</v>
      </c>
      <c r="D71" s="10" t="str">
        <f t="shared" si="6"/>
        <v>B</v>
      </c>
      <c r="E71" s="6" t="s">
        <v>24</v>
      </c>
      <c r="F71" s="6" t="s">
        <v>108</v>
      </c>
      <c r="G71" s="6" t="s">
        <v>48</v>
      </c>
      <c r="H71" s="4">
        <v>26182000</v>
      </c>
      <c r="I71" s="6">
        <f t="shared" ca="1" si="7"/>
        <v>39</v>
      </c>
      <c r="J71" s="13" t="str">
        <f t="shared" ca="1" si="5"/>
        <v>정상</v>
      </c>
      <c r="K71" s="11"/>
      <c r="L71" s="11"/>
      <c r="M71" s="10"/>
      <c r="N71" s="10" t="s">
        <v>20</v>
      </c>
      <c r="O71" s="6" t="s">
        <v>154</v>
      </c>
      <c r="P71" s="6" t="s">
        <v>156</v>
      </c>
      <c r="Q71" s="11">
        <v>46036</v>
      </c>
      <c r="R71" s="10" t="s">
        <v>59</v>
      </c>
      <c r="S71" s="10"/>
    </row>
    <row r="72" spans="2:19" s="6" customFormat="1" ht="16.5" customHeight="1" x14ac:dyDescent="0.3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26</v>
      </c>
      <c r="F72" s="6" t="s">
        <v>109</v>
      </c>
      <c r="G72" s="6" t="s">
        <v>48</v>
      </c>
      <c r="H72" s="4">
        <v>1100000</v>
      </c>
      <c r="I72" s="6">
        <f t="shared" ref="I72:I75" ca="1" si="8">IF(C72="","",IF(L72="",TODAY()-C72,L72-C72))</f>
        <v>39</v>
      </c>
      <c r="J72" s="13" t="str">
        <f t="shared" ca="1" si="5"/>
        <v>정상</v>
      </c>
      <c r="K72" s="11">
        <v>46112</v>
      </c>
      <c r="L72" s="11"/>
      <c r="M72" s="10"/>
      <c r="N72" s="10" t="s">
        <v>33</v>
      </c>
      <c r="P72" s="6" t="s">
        <v>81</v>
      </c>
      <c r="Q72" s="11"/>
      <c r="R72" s="11"/>
      <c r="S72" s="10"/>
    </row>
    <row r="73" spans="2:19" s="6" customFormat="1" ht="16.5" customHeight="1" x14ac:dyDescent="0.3">
      <c r="B73" s="10">
        <f>IF(C73="","",COUNTA($C$2:C73))</f>
        <v>72</v>
      </c>
      <c r="C73" s="11">
        <v>46028</v>
      </c>
      <c r="D73" s="10" t="str">
        <f t="shared" si="6"/>
        <v>B</v>
      </c>
      <c r="E73" s="6" t="s">
        <v>24</v>
      </c>
      <c r="F73" s="6" t="s">
        <v>108</v>
      </c>
      <c r="G73" s="6" t="s">
        <v>48</v>
      </c>
      <c r="H73" s="4">
        <v>799000</v>
      </c>
      <c r="I73" s="6">
        <f t="shared" ca="1" si="8"/>
        <v>17</v>
      </c>
      <c r="J73" s="13" t="str">
        <f t="shared" ca="1" si="5"/>
        <v>정상</v>
      </c>
      <c r="K73" s="11"/>
      <c r="L73" s="11">
        <v>46045</v>
      </c>
      <c r="M73" s="10"/>
      <c r="N73" s="10" t="s">
        <v>20</v>
      </c>
      <c r="O73" s="6" t="s">
        <v>154</v>
      </c>
      <c r="P73" s="6" t="s">
        <v>155</v>
      </c>
      <c r="Q73" s="11">
        <v>46036</v>
      </c>
      <c r="R73" s="10" t="s">
        <v>59</v>
      </c>
      <c r="S73" s="10"/>
    </row>
    <row r="74" spans="2:19" s="6" customFormat="1" ht="16.5" customHeight="1" x14ac:dyDescent="0.3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110</v>
      </c>
      <c r="F74" s="6" t="s">
        <v>111</v>
      </c>
      <c r="G74" s="6" t="s">
        <v>48</v>
      </c>
      <c r="H74" s="4">
        <v>3430000</v>
      </c>
      <c r="I74" s="6">
        <f t="shared" ca="1" si="8"/>
        <v>24</v>
      </c>
      <c r="J74" s="13" t="str">
        <f t="shared" ca="1" si="5"/>
        <v>정상</v>
      </c>
      <c r="K74" s="11"/>
      <c r="L74" s="11">
        <v>46052</v>
      </c>
      <c r="M74" s="10"/>
      <c r="N74" s="10" t="s">
        <v>33</v>
      </c>
      <c r="Q74" s="11"/>
      <c r="R74" s="11"/>
      <c r="S74" s="10"/>
    </row>
    <row r="75" spans="2:19" s="6" customFormat="1" ht="16.5" customHeight="1" x14ac:dyDescent="0.3">
      <c r="B75" s="10">
        <f>IF(C75="","",COUNTA($C$2:C75))</f>
        <v>74</v>
      </c>
      <c r="C75" s="11">
        <v>46030</v>
      </c>
      <c r="D75" s="10" t="str">
        <f t="shared" si="6"/>
        <v>B</v>
      </c>
      <c r="E75" s="6" t="s">
        <v>112</v>
      </c>
      <c r="F75" s="6" t="s">
        <v>113</v>
      </c>
      <c r="G75" s="6" t="s">
        <v>48</v>
      </c>
      <c r="H75" s="4">
        <v>528000</v>
      </c>
      <c r="I75" s="6">
        <f t="shared" ca="1" si="8"/>
        <v>36</v>
      </c>
      <c r="J75" s="13" t="str">
        <f t="shared" ca="1" si="5"/>
        <v>정상</v>
      </c>
      <c r="K75" s="11"/>
      <c r="L75" s="11"/>
      <c r="M75" s="10"/>
      <c r="N75" s="10" t="s">
        <v>33</v>
      </c>
      <c r="Q75" s="11"/>
      <c r="R75" s="11"/>
      <c r="S75" s="10"/>
    </row>
    <row r="76" spans="2:19" s="6" customFormat="1" ht="16.5" customHeight="1" x14ac:dyDescent="0.3">
      <c r="B76" s="10">
        <f>IF(C76="","",COUNTA($C$2:C76))</f>
        <v>75</v>
      </c>
      <c r="C76" s="11">
        <v>46034</v>
      </c>
      <c r="D76" s="10" t="str">
        <f t="shared" ref="D76:D139" si="9">IF(G76="","",IF(OR(G76="선급금",G76="중도금",G76="잔금"),"A",IF(G76="자재","B",IF(G76="특허료","C",""))))</f>
        <v>B</v>
      </c>
      <c r="E76" s="6" t="s">
        <v>24</v>
      </c>
      <c r="F76" s="6" t="s">
        <v>108</v>
      </c>
      <c r="G76" s="6" t="s">
        <v>48</v>
      </c>
      <c r="H76" s="4">
        <v>2200000</v>
      </c>
      <c r="I76" s="6">
        <f t="shared" ref="I76:I139" ca="1" si="10">IF(C76="","",IF(L76="",TODAY()-C76,L76-C76))</f>
        <v>11</v>
      </c>
      <c r="J76" s="13" t="str">
        <f t="shared" ca="1" si="5"/>
        <v>정상</v>
      </c>
      <c r="K76" s="11"/>
      <c r="L76" s="11">
        <v>46045</v>
      </c>
      <c r="M76" s="10"/>
      <c r="N76" s="10" t="s">
        <v>20</v>
      </c>
      <c r="O76" s="6" t="s">
        <v>154</v>
      </c>
      <c r="P76" s="6" t="s">
        <v>155</v>
      </c>
      <c r="Q76" s="11">
        <v>46036</v>
      </c>
      <c r="R76" s="10" t="s">
        <v>59</v>
      </c>
      <c r="S76" s="10"/>
    </row>
    <row r="77" spans="2:19" s="6" customFormat="1" ht="16.5" customHeight="1" x14ac:dyDescent="0.3">
      <c r="B77" s="10">
        <f>IF(C77="","",COUNTA($C$2:C77))</f>
        <v>76</v>
      </c>
      <c r="C77" s="11">
        <v>46034</v>
      </c>
      <c r="D77" s="10" t="str">
        <f t="shared" si="9"/>
        <v>B</v>
      </c>
      <c r="E77" s="6" t="s">
        <v>24</v>
      </c>
      <c r="F77" s="6" t="s">
        <v>108</v>
      </c>
      <c r="G77" s="6" t="s">
        <v>48</v>
      </c>
      <c r="H77" s="4">
        <v>580000</v>
      </c>
      <c r="I77" s="6">
        <f t="shared" ca="1" si="10"/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 x14ac:dyDescent="0.3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114</v>
      </c>
      <c r="F78" s="6" t="s">
        <v>115</v>
      </c>
      <c r="G78" s="6" t="s">
        <v>48</v>
      </c>
      <c r="H78" s="4">
        <v>3418000</v>
      </c>
      <c r="I78" s="6">
        <f t="shared" ca="1" si="10"/>
        <v>0</v>
      </c>
      <c r="J78" s="13" t="str">
        <f t="shared" ca="1" si="5"/>
        <v>정상</v>
      </c>
      <c r="K78" s="11"/>
      <c r="L78" s="11">
        <v>46034</v>
      </c>
      <c r="M78" s="10"/>
      <c r="N78" s="10" t="s">
        <v>33</v>
      </c>
      <c r="Q78" s="11"/>
      <c r="R78" s="11"/>
      <c r="S78" s="10"/>
    </row>
    <row r="79" spans="2:19" s="6" customFormat="1" ht="16.5" customHeight="1" x14ac:dyDescent="0.3">
      <c r="B79" s="10">
        <f>IF(C79="","",COUNTA($C$2:C79))</f>
        <v>78</v>
      </c>
      <c r="C79" s="11">
        <v>46036</v>
      </c>
      <c r="D79" s="10" t="str">
        <f t="shared" si="9"/>
        <v>B</v>
      </c>
      <c r="E79" s="6" t="s">
        <v>116</v>
      </c>
      <c r="F79" s="6" t="s">
        <v>117</v>
      </c>
      <c r="G79" s="6" t="s">
        <v>48</v>
      </c>
      <c r="H79" s="4">
        <v>496500</v>
      </c>
      <c r="I79" s="6">
        <f t="shared" ca="1" si="10"/>
        <v>0</v>
      </c>
      <c r="J79" s="13" t="str">
        <f t="shared" ca="1" si="5"/>
        <v>정상</v>
      </c>
      <c r="K79" s="11"/>
      <c r="L79" s="11">
        <v>46036</v>
      </c>
      <c r="M79" s="10"/>
      <c r="N79" s="10" t="s">
        <v>33</v>
      </c>
      <c r="Q79" s="11"/>
      <c r="R79" s="11"/>
      <c r="S79" s="10"/>
    </row>
    <row r="80" spans="2:19" s="6" customFormat="1" ht="16.5" customHeight="1" x14ac:dyDescent="0.3">
      <c r="B80" s="10">
        <f>IF(C80="","",COUNTA($C$2:C80))</f>
        <v>79</v>
      </c>
      <c r="C80" s="11">
        <v>46038</v>
      </c>
      <c r="D80" s="10" t="str">
        <f t="shared" si="9"/>
        <v>B</v>
      </c>
      <c r="E80" s="6" t="s">
        <v>118</v>
      </c>
      <c r="F80" s="6" t="s">
        <v>119</v>
      </c>
      <c r="G80" s="6" t="s">
        <v>48</v>
      </c>
      <c r="H80" s="4">
        <v>280000</v>
      </c>
      <c r="I80" s="6">
        <f t="shared" ca="1" si="10"/>
        <v>28</v>
      </c>
      <c r="J80" s="13" t="str">
        <f t="shared" ca="1" si="5"/>
        <v>정상</v>
      </c>
      <c r="K80" s="11"/>
      <c r="L80" s="11"/>
      <c r="M80" s="10"/>
      <c r="N80" s="10" t="s">
        <v>33</v>
      </c>
      <c r="Q80" s="11"/>
      <c r="R80" s="11"/>
      <c r="S80" s="10"/>
    </row>
    <row r="81" spans="2:19" s="6" customFormat="1" ht="16.5" customHeight="1" x14ac:dyDescent="0.3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120</v>
      </c>
      <c r="F81" s="6" t="s">
        <v>121</v>
      </c>
      <c r="G81" s="6" t="s">
        <v>48</v>
      </c>
      <c r="H81" s="4">
        <v>380000</v>
      </c>
      <c r="I81" s="6">
        <f t="shared" ca="1" si="10"/>
        <v>0</v>
      </c>
      <c r="J81" s="13" t="str">
        <f t="shared" ca="1" si="5"/>
        <v>정상</v>
      </c>
      <c r="K81" s="11"/>
      <c r="L81" s="11">
        <v>46038</v>
      </c>
      <c r="M81" s="10"/>
      <c r="N81" s="10" t="s">
        <v>33</v>
      </c>
      <c r="Q81" s="11"/>
      <c r="R81" s="11"/>
      <c r="S81" s="10"/>
    </row>
    <row r="82" spans="2:19" s="6" customFormat="1" ht="16.5" customHeight="1" x14ac:dyDescent="0.3">
      <c r="B82" s="10">
        <f>IF(C82="","",COUNTA($C$2:C82))</f>
        <v>81</v>
      </c>
      <c r="C82" s="11">
        <v>46042</v>
      </c>
      <c r="D82" s="10" t="str">
        <f t="shared" si="9"/>
        <v>B</v>
      </c>
      <c r="E82" s="6" t="s">
        <v>24</v>
      </c>
      <c r="F82" s="6" t="s">
        <v>108</v>
      </c>
      <c r="G82" s="6" t="s">
        <v>48</v>
      </c>
      <c r="H82" s="4">
        <v>36816000</v>
      </c>
      <c r="I82" s="6">
        <f t="shared" ca="1" si="10"/>
        <v>24</v>
      </c>
      <c r="J82" s="13" t="str">
        <f t="shared" ca="1" si="5"/>
        <v>정상</v>
      </c>
      <c r="K82" s="11"/>
      <c r="L82" s="11"/>
      <c r="M82" s="10"/>
      <c r="N82" s="10" t="s">
        <v>20</v>
      </c>
      <c r="O82" s="6" t="s">
        <v>58</v>
      </c>
      <c r="P82" s="6" t="s">
        <v>155</v>
      </c>
      <c r="Q82" s="11">
        <v>46036</v>
      </c>
      <c r="R82" s="10" t="s">
        <v>59</v>
      </c>
      <c r="S82" s="10"/>
    </row>
    <row r="83" spans="2:19" s="6" customFormat="1" ht="16.5" customHeight="1" x14ac:dyDescent="0.3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7390000</v>
      </c>
      <c r="I83" s="6">
        <f t="shared" ca="1" si="10"/>
        <v>24</v>
      </c>
      <c r="J83" s="13" t="str">
        <f t="shared" ca="1" si="5"/>
        <v>정상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 x14ac:dyDescent="0.3">
      <c r="B84" s="10">
        <f>IF(C84="","",COUNTA($C$2:C84))</f>
        <v>83</v>
      </c>
      <c r="C84" s="11">
        <v>46044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56770000</v>
      </c>
      <c r="I84" s="6">
        <f t="shared" ca="1" si="10"/>
        <v>22</v>
      </c>
      <c r="J84" s="13" t="str">
        <f t="shared" ca="1" si="5"/>
        <v>정상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 x14ac:dyDescent="0.3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122</v>
      </c>
      <c r="F85" s="6" t="s">
        <v>123</v>
      </c>
      <c r="G85" s="6" t="s">
        <v>48</v>
      </c>
      <c r="H85" s="4">
        <v>321000</v>
      </c>
      <c r="I85" s="6">
        <f t="shared" ca="1" si="10"/>
        <v>22</v>
      </c>
      <c r="J85" s="13" t="str">
        <f t="shared" ca="1" si="5"/>
        <v>정상</v>
      </c>
      <c r="K85" s="11"/>
      <c r="L85" s="11"/>
      <c r="M85" s="10"/>
      <c r="N85" s="10" t="s">
        <v>33</v>
      </c>
      <c r="Q85" s="11"/>
      <c r="R85" s="11"/>
      <c r="S85" s="10"/>
    </row>
    <row r="86" spans="2:19" s="6" customFormat="1" ht="16.5" customHeight="1" x14ac:dyDescent="0.3">
      <c r="B86" s="10">
        <f>IF(C86="","",COUNTA($C$2:C86))</f>
        <v>85</v>
      </c>
      <c r="C86" s="11">
        <v>46048</v>
      </c>
      <c r="D86" s="10" t="str">
        <f t="shared" si="9"/>
        <v>B</v>
      </c>
      <c r="E86" s="6" t="s">
        <v>24</v>
      </c>
      <c r="F86" s="6" t="s">
        <v>108</v>
      </c>
      <c r="G86" s="6" t="s">
        <v>48</v>
      </c>
      <c r="H86" s="4">
        <v>4784000</v>
      </c>
      <c r="I86" s="6">
        <f t="shared" ca="1" si="10"/>
        <v>18</v>
      </c>
      <c r="J86" s="13" t="str">
        <f t="shared" ca="1" si="5"/>
        <v>정상</v>
      </c>
      <c r="K86" s="11"/>
      <c r="L86" s="11"/>
      <c r="M86" s="10"/>
      <c r="N86" s="10" t="s">
        <v>20</v>
      </c>
      <c r="O86" s="6" t="s">
        <v>58</v>
      </c>
      <c r="P86" s="6" t="s">
        <v>155</v>
      </c>
      <c r="Q86" s="11">
        <v>46036</v>
      </c>
      <c r="R86" s="10" t="s">
        <v>59</v>
      </c>
      <c r="S86" s="10"/>
    </row>
    <row r="87" spans="2:19" s="6" customFormat="1" ht="16.5" customHeight="1" x14ac:dyDescent="0.3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124</v>
      </c>
      <c r="F87" s="6" t="s">
        <v>125</v>
      </c>
      <c r="G87" s="6" t="s">
        <v>48</v>
      </c>
      <c r="H87" s="4">
        <v>15356500</v>
      </c>
      <c r="I87" s="6">
        <f t="shared" ca="1" si="10"/>
        <v>15</v>
      </c>
      <c r="J87" s="13" t="str">
        <f t="shared" ca="1" si="5"/>
        <v>정상</v>
      </c>
      <c r="K87" s="11"/>
      <c r="L87" s="11">
        <v>46063</v>
      </c>
      <c r="M87" s="10"/>
      <c r="N87" s="10" t="s">
        <v>33</v>
      </c>
      <c r="Q87" s="11"/>
      <c r="R87" s="11"/>
      <c r="S87" s="10"/>
    </row>
    <row r="88" spans="2:19" s="6" customFormat="1" ht="16.5" customHeight="1" x14ac:dyDescent="0.3">
      <c r="B88" s="10">
        <f>IF(C88="","",COUNTA($C$2:C88))</f>
        <v>87</v>
      </c>
      <c r="C88" s="11">
        <v>46051</v>
      </c>
      <c r="D88" s="10" t="str">
        <f t="shared" si="9"/>
        <v>B</v>
      </c>
      <c r="E88" s="6" t="s">
        <v>24</v>
      </c>
      <c r="F88" s="6" t="s">
        <v>108</v>
      </c>
      <c r="G88" s="6" t="s">
        <v>48</v>
      </c>
      <c r="H88" s="4">
        <v>17250000</v>
      </c>
      <c r="I88" s="6">
        <f t="shared" ca="1" si="10"/>
        <v>15</v>
      </c>
      <c r="J88" s="13" t="str">
        <f t="shared" ca="1" si="5"/>
        <v>정상</v>
      </c>
      <c r="K88" s="11"/>
      <c r="L88" s="11"/>
      <c r="M88" s="10"/>
      <c r="N88" s="10" t="s">
        <v>20</v>
      </c>
      <c r="O88" s="6" t="s">
        <v>58</v>
      </c>
      <c r="P88" s="6" t="s">
        <v>155</v>
      </c>
      <c r="Q88" s="11">
        <v>46036</v>
      </c>
      <c r="R88" s="10" t="s">
        <v>59</v>
      </c>
      <c r="S88" s="10"/>
    </row>
    <row r="89" spans="2:19" s="6" customFormat="1" ht="16.5" customHeight="1" x14ac:dyDescent="0.3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5750000</v>
      </c>
      <c r="I89" s="6">
        <f t="shared" ca="1" si="10"/>
        <v>15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 x14ac:dyDescent="0.3">
      <c r="B90" s="10">
        <f>IF(C90="","",COUNTA($C$2:C90))</f>
        <v>89</v>
      </c>
      <c r="C90" s="11">
        <v>46055</v>
      </c>
      <c r="D90" s="10" t="str">
        <f t="shared" si="9"/>
        <v>B</v>
      </c>
      <c r="E90" s="6" t="s">
        <v>126</v>
      </c>
      <c r="F90" s="6" t="s">
        <v>127</v>
      </c>
      <c r="G90" s="6" t="s">
        <v>48</v>
      </c>
      <c r="H90" s="4">
        <v>231000</v>
      </c>
      <c r="I90" s="6">
        <f t="shared" ca="1" si="10"/>
        <v>0</v>
      </c>
      <c r="J90" s="13" t="str">
        <f t="shared" ca="1" si="5"/>
        <v>정상</v>
      </c>
      <c r="K90" s="11"/>
      <c r="L90" s="11">
        <v>46055</v>
      </c>
      <c r="M90" s="10"/>
      <c r="N90" s="10" t="s">
        <v>33</v>
      </c>
      <c r="Q90" s="11"/>
      <c r="R90" s="11"/>
      <c r="S90" s="10"/>
    </row>
    <row r="91" spans="2:19" s="6" customFormat="1" ht="16.5" customHeight="1" x14ac:dyDescent="0.3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128</v>
      </c>
      <c r="F91" s="6" t="s">
        <v>129</v>
      </c>
      <c r="G91" s="6" t="s">
        <v>48</v>
      </c>
      <c r="H91" s="4">
        <v>219000</v>
      </c>
      <c r="I91" s="6">
        <f t="shared" ca="1" si="10"/>
        <v>11</v>
      </c>
      <c r="J91" s="13" t="str">
        <f t="shared" ca="1" si="5"/>
        <v>정상</v>
      </c>
      <c r="K91" s="11"/>
      <c r="L91" s="11"/>
      <c r="M91" s="10"/>
      <c r="N91" s="10" t="s">
        <v>33</v>
      </c>
      <c r="Q91" s="11"/>
      <c r="R91" s="11"/>
      <c r="S91" s="10"/>
    </row>
    <row r="92" spans="2:19" s="6" customFormat="1" ht="16.5" customHeight="1" x14ac:dyDescent="0.3">
      <c r="B92" s="10">
        <f>IF(C92="","",COUNTA($C$2:C92))</f>
        <v>91</v>
      </c>
      <c r="C92" s="11">
        <v>46056</v>
      </c>
      <c r="D92" s="10" t="str">
        <f t="shared" si="9"/>
        <v>B</v>
      </c>
      <c r="E92" s="6" t="s">
        <v>130</v>
      </c>
      <c r="F92" s="6" t="s">
        <v>131</v>
      </c>
      <c r="G92" s="6" t="s">
        <v>48</v>
      </c>
      <c r="H92" s="4">
        <v>432000</v>
      </c>
      <c r="I92" s="6">
        <f t="shared" ca="1" si="10"/>
        <v>1</v>
      </c>
      <c r="J92" s="13" t="str">
        <f t="shared" ca="1" si="5"/>
        <v>정상</v>
      </c>
      <c r="K92" s="11"/>
      <c r="L92" s="11">
        <v>46057</v>
      </c>
      <c r="M92" s="10"/>
      <c r="N92" s="10" t="s">
        <v>33</v>
      </c>
      <c r="Q92" s="11"/>
      <c r="R92" s="11"/>
      <c r="S92" s="10"/>
    </row>
    <row r="93" spans="2:19" s="6" customFormat="1" ht="16.5" customHeight="1" x14ac:dyDescent="0.3">
      <c r="B93" s="10">
        <f>IF(C93="","",COUNTA($C$2:C93))</f>
        <v>92</v>
      </c>
      <c r="C93" s="11">
        <v>46052</v>
      </c>
      <c r="D93" s="10" t="str">
        <f t="shared" si="9"/>
        <v>C</v>
      </c>
      <c r="E93" s="6" t="s">
        <v>136</v>
      </c>
      <c r="F93" s="6" t="s">
        <v>137</v>
      </c>
      <c r="G93" s="6" t="s">
        <v>140</v>
      </c>
      <c r="H93" s="4">
        <v>478000</v>
      </c>
      <c r="I93" s="6">
        <f t="shared" ca="1" si="10"/>
        <v>7</v>
      </c>
      <c r="J93" s="13" t="str">
        <f t="shared" ca="1" si="5"/>
        <v>정상</v>
      </c>
      <c r="K93" s="11"/>
      <c r="L93" s="11">
        <v>46059</v>
      </c>
      <c r="M93" s="10"/>
      <c r="N93" s="10" t="s">
        <v>33</v>
      </c>
      <c r="Q93" s="11"/>
      <c r="R93" s="11"/>
      <c r="S93" s="10"/>
    </row>
    <row r="94" spans="2:19" s="6" customFormat="1" ht="16.5" customHeight="1" x14ac:dyDescent="0.3">
      <c r="B94" s="10">
        <f>IF(C94="","",COUNTA($C$2:C94))</f>
        <v>93</v>
      </c>
      <c r="C94" s="11">
        <v>46058</v>
      </c>
      <c r="D94" s="10" t="str">
        <f t="shared" si="9"/>
        <v>C</v>
      </c>
      <c r="E94" s="6" t="s">
        <v>138</v>
      </c>
      <c r="F94" s="6" t="s">
        <v>139</v>
      </c>
      <c r="G94" s="6" t="s">
        <v>140</v>
      </c>
      <c r="H94" s="4">
        <v>1206700</v>
      </c>
      <c r="I94" s="6">
        <f t="shared" ca="1" si="10"/>
        <v>8</v>
      </c>
      <c r="J94" s="13" t="str">
        <f t="shared" ca="1" si="5"/>
        <v>정상</v>
      </c>
      <c r="K94" s="11"/>
      <c r="L94" s="11"/>
      <c r="M94" s="10"/>
      <c r="N94" s="10" t="s">
        <v>33</v>
      </c>
      <c r="Q94" s="11"/>
      <c r="R94" s="11"/>
      <c r="S94" s="10"/>
    </row>
    <row r="95" spans="2:19" s="6" customFormat="1" ht="16.5" customHeight="1" x14ac:dyDescent="0.3">
      <c r="B95" s="10">
        <f>IF(C95="","",COUNTA($C$2:C95))</f>
        <v>94</v>
      </c>
      <c r="C95" s="11" t="s">
        <v>160</v>
      </c>
      <c r="D95" s="10" t="str">
        <f t="shared" si="9"/>
        <v>B</v>
      </c>
      <c r="E95" s="6" t="s">
        <v>110</v>
      </c>
      <c r="F95" s="6" t="s">
        <v>158</v>
      </c>
      <c r="G95" s="6" t="s">
        <v>48</v>
      </c>
      <c r="H95" s="4">
        <v>2627900</v>
      </c>
      <c r="I95" s="6">
        <f t="shared" ca="1" si="10"/>
        <v>4</v>
      </c>
      <c r="J95" s="13" t="str">
        <f t="shared" ca="1" si="5"/>
        <v>정상</v>
      </c>
      <c r="K95" s="11"/>
      <c r="L95" s="11"/>
      <c r="M95" s="10"/>
      <c r="N95" s="10" t="s">
        <v>33</v>
      </c>
      <c r="Q95" s="11"/>
      <c r="R95" s="11"/>
      <c r="S95" s="10"/>
    </row>
    <row r="96" spans="2:19" s="6" customFormat="1" ht="16.5" customHeight="1" x14ac:dyDescent="0.3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114</v>
      </c>
      <c r="F96" s="6" t="s">
        <v>159</v>
      </c>
      <c r="G96" s="6" t="s">
        <v>48</v>
      </c>
      <c r="H96" s="4">
        <v>1210000</v>
      </c>
      <c r="I96" s="6">
        <f t="shared" ca="1" si="10"/>
        <v>0</v>
      </c>
      <c r="J96" s="13" t="str">
        <f t="shared" ca="1" si="5"/>
        <v>정상</v>
      </c>
      <c r="K96" s="11"/>
      <c r="L96" s="11">
        <v>46062</v>
      </c>
      <c r="M96" s="10"/>
      <c r="N96" s="10" t="s">
        <v>33</v>
      </c>
      <c r="Q96" s="11"/>
      <c r="R96" s="11"/>
      <c r="S96" s="10"/>
    </row>
    <row r="97" spans="2:19" s="6" customFormat="1" ht="16.5" customHeight="1" x14ac:dyDescent="0.3">
      <c r="B97" s="10">
        <f>IF(C97="","",COUNTA($C$2:C97))</f>
        <v>96</v>
      </c>
      <c r="C97" s="11" t="s">
        <v>168</v>
      </c>
      <c r="D97" s="10" t="str">
        <f t="shared" si="9"/>
        <v>B</v>
      </c>
      <c r="E97" s="23" t="s">
        <v>110</v>
      </c>
      <c r="F97" s="23" t="s">
        <v>111</v>
      </c>
      <c r="G97" s="6" t="s">
        <v>48</v>
      </c>
      <c r="H97" s="4">
        <v>216000</v>
      </c>
      <c r="I97" s="6">
        <f t="shared" ca="1" si="10"/>
        <v>3</v>
      </c>
      <c r="J97" s="13" t="str">
        <f t="shared" ca="1" si="5"/>
        <v>정상</v>
      </c>
      <c r="K97" s="11"/>
      <c r="L97" s="11"/>
      <c r="M97" s="10"/>
      <c r="N97" s="10" t="s">
        <v>33</v>
      </c>
      <c r="Q97" s="11"/>
      <c r="R97" s="11"/>
      <c r="S97" s="10"/>
    </row>
    <row r="98" spans="2:19" s="6" customFormat="1" ht="16.5" customHeight="1" x14ac:dyDescent="0.3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166</v>
      </c>
      <c r="F98" s="23" t="s">
        <v>167</v>
      </c>
      <c r="G98" s="6" t="s">
        <v>48</v>
      </c>
      <c r="H98" s="4">
        <v>154300</v>
      </c>
      <c r="I98" s="6">
        <f t="shared" ca="1" si="10"/>
        <v>3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 x14ac:dyDescent="0.3">
      <c r="B99" s="10">
        <f>IF(C99="","",COUNTA($C$2:C99))</f>
        <v>98</v>
      </c>
      <c r="C99" s="11">
        <v>46027</v>
      </c>
      <c r="D99" s="10" t="s">
        <v>172</v>
      </c>
      <c r="E99" s="24" t="s">
        <v>26</v>
      </c>
      <c r="F99" s="24" t="s">
        <v>169</v>
      </c>
      <c r="G99" s="6" t="s">
        <v>173</v>
      </c>
      <c r="H99" s="4">
        <v>16130000</v>
      </c>
      <c r="I99" s="6">
        <f t="shared" ca="1" si="10"/>
        <v>39</v>
      </c>
      <c r="J99" s="13" t="str">
        <f t="shared" ca="1" si="5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 x14ac:dyDescent="0.3">
      <c r="B100" s="10">
        <f>IF(C100="","",COUNTA($C$2:C100))</f>
        <v>99</v>
      </c>
      <c r="C100" s="11">
        <v>46023</v>
      </c>
      <c r="D100" s="10" t="s">
        <v>172</v>
      </c>
      <c r="E100" s="24" t="s">
        <v>170</v>
      </c>
      <c r="F100" s="24" t="s">
        <v>171</v>
      </c>
      <c r="G100" s="6" t="s">
        <v>173</v>
      </c>
      <c r="H100" s="4">
        <v>-883400</v>
      </c>
      <c r="I100" s="6">
        <f t="shared" ca="1" si="10"/>
        <v>29</v>
      </c>
      <c r="J100" s="13" t="str">
        <f t="shared" ca="1" si="5"/>
        <v>정상</v>
      </c>
      <c r="K100" s="11"/>
      <c r="L100" s="11">
        <v>46052</v>
      </c>
      <c r="M100" s="10"/>
      <c r="N100" s="10" t="s">
        <v>33</v>
      </c>
      <c r="Q100" s="11"/>
      <c r="R100" s="11"/>
      <c r="S100" s="10"/>
    </row>
    <row r="101" spans="2:19" s="6" customFormat="1" ht="16.5" customHeight="1" x14ac:dyDescent="0.3">
      <c r="B101" s="10">
        <f>IF(C101="","",COUNTA($C$2:C101))</f>
        <v>100</v>
      </c>
      <c r="C101" s="11">
        <v>46052</v>
      </c>
      <c r="D101" s="10" t="str">
        <f t="shared" si="9"/>
        <v>B</v>
      </c>
      <c r="E101" s="6" t="s">
        <v>174</v>
      </c>
      <c r="F101" s="6" t="s">
        <v>175</v>
      </c>
      <c r="G101" s="6" t="s">
        <v>176</v>
      </c>
      <c r="H101" s="4">
        <v>-3943480</v>
      </c>
      <c r="I101" s="6">
        <f t="shared" ca="1" si="10"/>
        <v>12</v>
      </c>
      <c r="J101" s="13" t="str">
        <f t="shared" ca="1" si="5"/>
        <v>정상</v>
      </c>
      <c r="K101" s="11"/>
      <c r="L101" s="11">
        <v>46064</v>
      </c>
      <c r="M101" s="10"/>
      <c r="N101" s="10" t="s">
        <v>33</v>
      </c>
      <c r="Q101" s="11"/>
      <c r="R101" s="11"/>
      <c r="S101" s="10"/>
    </row>
    <row r="102" spans="2:19" s="6" customFormat="1" ht="16.5" customHeight="1" x14ac:dyDescent="0.3">
      <c r="B102" s="26">
        <f>IF(C102="","",COUNTA($C$2:C102))</f>
        <v>101</v>
      </c>
      <c r="C102" s="27">
        <v>46038</v>
      </c>
      <c r="D102" s="26" t="str">
        <f t="shared" si="9"/>
        <v>A</v>
      </c>
      <c r="E102" s="28" t="s">
        <v>177</v>
      </c>
      <c r="F102" s="28" t="s">
        <v>178</v>
      </c>
      <c r="G102" s="28" t="s">
        <v>179</v>
      </c>
      <c r="H102" s="29">
        <v>59635000</v>
      </c>
      <c r="I102" s="28">
        <f t="shared" ca="1" si="10"/>
        <v>28</v>
      </c>
      <c r="J102" s="30" t="str">
        <f t="shared" ca="1" si="5"/>
        <v>정상</v>
      </c>
      <c r="K102" s="27"/>
      <c r="L102" s="27"/>
      <c r="M102" s="26"/>
      <c r="N102" s="26"/>
      <c r="Q102" s="11"/>
      <c r="R102" s="11"/>
      <c r="S102" s="10"/>
    </row>
    <row r="103" spans="2:19" s="6" customFormat="1" ht="16.5" customHeight="1" x14ac:dyDescent="0.3">
      <c r="B103" s="10">
        <f>IF(C103="","",COUNTA($C$2:C103))</f>
        <v>102</v>
      </c>
      <c r="C103" s="11">
        <v>46064</v>
      </c>
      <c r="D103" s="10" t="str">
        <f t="shared" si="9"/>
        <v>B</v>
      </c>
      <c r="E103" s="6" t="s">
        <v>110</v>
      </c>
      <c r="F103" s="23" t="s">
        <v>158</v>
      </c>
      <c r="G103" s="6" t="s">
        <v>181</v>
      </c>
      <c r="H103" s="25">
        <v>1138000</v>
      </c>
      <c r="I103" s="6">
        <f t="shared" ca="1" si="10"/>
        <v>2</v>
      </c>
      <c r="J103" s="13" t="str">
        <f t="shared" ca="1" si="5"/>
        <v>정상</v>
      </c>
      <c r="K103" s="11"/>
      <c r="L103" s="11"/>
      <c r="M103" s="10"/>
      <c r="N103" s="10"/>
      <c r="Q103" s="11"/>
      <c r="R103" s="11"/>
      <c r="S103" s="10"/>
    </row>
    <row r="104" spans="2:19" s="6" customFormat="1" ht="16.5" customHeight="1" x14ac:dyDescent="0.3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180</v>
      </c>
      <c r="G104" s="6" t="s">
        <v>181</v>
      </c>
      <c r="H104" s="25">
        <v>11632500</v>
      </c>
      <c r="I104" s="6">
        <f t="shared" ca="1" si="10"/>
        <v>2</v>
      </c>
      <c r="J104" s="13" t="str">
        <f t="shared" ca="1" si="5"/>
        <v>정상</v>
      </c>
      <c r="K104" s="11"/>
      <c r="L104" s="11"/>
      <c r="M104" s="10"/>
      <c r="N104" s="10"/>
      <c r="Q104" s="11"/>
      <c r="R104" s="11"/>
      <c r="S104" s="10"/>
    </row>
    <row r="105" spans="2:19" s="6" customFormat="1" ht="16.5" customHeight="1" x14ac:dyDescent="0.3">
      <c r="B105" s="10">
        <f>IF(C105="","",COUNTA($C$2:C105))</f>
        <v>104</v>
      </c>
      <c r="C105" s="11">
        <v>46065</v>
      </c>
      <c r="D105" s="10" t="s">
        <v>182</v>
      </c>
      <c r="E105" s="23" t="s">
        <v>24</v>
      </c>
      <c r="F105" s="23" t="s">
        <v>108</v>
      </c>
      <c r="G105" s="6" t="s">
        <v>181</v>
      </c>
      <c r="H105" s="25">
        <v>7390000</v>
      </c>
      <c r="I105" s="6">
        <f t="shared" ca="1" si="10"/>
        <v>1</v>
      </c>
      <c r="J105" s="13" t="str">
        <f t="shared" ca="1" si="5"/>
        <v>정상</v>
      </c>
      <c r="K105" s="11"/>
      <c r="L105" s="11"/>
      <c r="M105" s="10"/>
      <c r="N105" s="10"/>
      <c r="Q105" s="11"/>
      <c r="R105" s="11"/>
      <c r="S105" s="10"/>
    </row>
    <row r="106" spans="2:19" s="6" customFormat="1" ht="16.5" customHeight="1" x14ac:dyDescent="0.3">
      <c r="B106" s="10">
        <f>IF(C106="","",COUNTA($C$2:C106))</f>
        <v>105</v>
      </c>
      <c r="C106" s="11">
        <v>46065</v>
      </c>
      <c r="D106" s="10" t="s">
        <v>182</v>
      </c>
      <c r="E106" s="23" t="s">
        <v>183</v>
      </c>
      <c r="F106" s="23" t="s">
        <v>184</v>
      </c>
      <c r="G106" s="6" t="s">
        <v>181</v>
      </c>
      <c r="H106" s="25">
        <v>651400</v>
      </c>
      <c r="I106" s="6">
        <f t="shared" ca="1" si="10"/>
        <v>1</v>
      </c>
      <c r="J106" s="13" t="str">
        <f t="shared" ca="1" si="5"/>
        <v>정상</v>
      </c>
      <c r="K106" s="11"/>
      <c r="L106" s="11"/>
      <c r="M106" s="10"/>
      <c r="N106" s="10"/>
      <c r="Q106" s="11"/>
      <c r="R106" s="11"/>
      <c r="S106" s="10"/>
    </row>
    <row r="107" spans="2:19" s="6" customFormat="1" ht="16.5" customHeight="1" x14ac:dyDescent="0.3">
      <c r="B107" s="10">
        <f>IF(C107="","",COUNTA($C$2:C107))</f>
        <v>106</v>
      </c>
      <c r="C107" s="11">
        <v>46065</v>
      </c>
      <c r="D107" s="10" t="s">
        <v>182</v>
      </c>
      <c r="E107" s="23" t="s">
        <v>110</v>
      </c>
      <c r="F107" s="23" t="s">
        <v>158</v>
      </c>
      <c r="G107" s="6" t="s">
        <v>181</v>
      </c>
      <c r="H107" s="25">
        <v>1997773</v>
      </c>
      <c r="I107" s="6">
        <f t="shared" ca="1" si="10"/>
        <v>1</v>
      </c>
      <c r="J107" s="13" t="str">
        <f t="shared" ca="1" si="5"/>
        <v>정상</v>
      </c>
      <c r="K107" s="11"/>
      <c r="L107" s="11"/>
      <c r="M107" s="10"/>
      <c r="N107" s="10"/>
      <c r="Q107" s="11"/>
      <c r="R107" s="11"/>
      <c r="S107" s="10"/>
    </row>
    <row r="108" spans="2:19" s="6" customFormat="1" ht="16.5" customHeight="1" x14ac:dyDescent="0.3">
      <c r="B108" s="10" t="str">
        <f>IF(C108="","",COUNTA($C$2:C108))</f>
        <v/>
      </c>
      <c r="C108" s="11"/>
      <c r="D108" s="10" t="str">
        <f t="shared" si="9"/>
        <v/>
      </c>
      <c r="H108" s="4"/>
      <c r="I108" s="6" t="str">
        <f t="shared" ca="1" si="10"/>
        <v/>
      </c>
      <c r="J108" s="13" t="str">
        <f t="shared" ca="1" si="5"/>
        <v/>
      </c>
      <c r="K108" s="11"/>
      <c r="L108" s="11"/>
      <c r="M108" s="10"/>
      <c r="N108" s="10"/>
      <c r="Q108" s="11"/>
      <c r="R108" s="11"/>
      <c r="S108" s="10"/>
    </row>
    <row r="109" spans="2:19" s="6" customFormat="1" ht="16.5" customHeight="1" x14ac:dyDescent="0.3">
      <c r="B109" s="10" t="str">
        <f>IF(C109="","",COUNTA($C$2:C109))</f>
        <v/>
      </c>
      <c r="C109" s="11"/>
      <c r="D109" s="10" t="str">
        <f t="shared" si="9"/>
        <v/>
      </c>
      <c r="H109" s="4"/>
      <c r="I109" s="6" t="str">
        <f t="shared" ca="1" si="10"/>
        <v/>
      </c>
      <c r="J109" s="13" t="str">
        <f t="shared" ca="1" si="5"/>
        <v/>
      </c>
      <c r="K109" s="11"/>
      <c r="L109" s="11"/>
      <c r="M109" s="10"/>
      <c r="N109" s="10"/>
      <c r="Q109" s="11"/>
      <c r="R109" s="11"/>
      <c r="S109" s="10"/>
    </row>
    <row r="110" spans="2:19" s="6" customFormat="1" ht="16.5" customHeight="1" x14ac:dyDescent="0.3">
      <c r="B110" s="10" t="str">
        <f>IF(C110="","",COUNTA($C$2:C110))</f>
        <v/>
      </c>
      <c r="C110" s="11"/>
      <c r="D110" s="10" t="str">
        <f t="shared" si="9"/>
        <v/>
      </c>
      <c r="H110" s="4"/>
      <c r="I110" s="6" t="str">
        <f t="shared" ca="1" si="10"/>
        <v/>
      </c>
      <c r="J110" s="13" t="str">
        <f t="shared" ca="1" si="5"/>
        <v/>
      </c>
      <c r="K110" s="11"/>
      <c r="L110" s="11"/>
      <c r="M110" s="10"/>
      <c r="N110" s="10"/>
      <c r="Q110" s="11"/>
      <c r="R110" s="11"/>
      <c r="S110" s="10"/>
    </row>
    <row r="111" spans="2:19" s="6" customFormat="1" ht="16.5" customHeight="1" x14ac:dyDescent="0.3">
      <c r="B111" s="10" t="str">
        <f>IF(C111="","",COUNTA($C$2:C111))</f>
        <v/>
      </c>
      <c r="C111" s="11"/>
      <c r="D111" s="10" t="str">
        <f t="shared" si="9"/>
        <v/>
      </c>
      <c r="H111" s="4"/>
      <c r="I111" s="6" t="str">
        <f t="shared" ca="1" si="10"/>
        <v/>
      </c>
      <c r="J111" s="13" t="str">
        <f t="shared" ca="1" si="5"/>
        <v/>
      </c>
      <c r="K111" s="11"/>
      <c r="L111" s="11"/>
      <c r="M111" s="10"/>
      <c r="N111" s="10"/>
      <c r="Q111" s="11"/>
      <c r="R111" s="11"/>
      <c r="S111" s="10"/>
    </row>
    <row r="112" spans="2:19" s="6" customFormat="1" ht="16.5" customHeight="1" x14ac:dyDescent="0.3">
      <c r="B112" s="10" t="str">
        <f>IF(C112="","",COUNTA($C$2:C112))</f>
        <v/>
      </c>
      <c r="C112" s="11"/>
      <c r="D112" s="10" t="str">
        <f t="shared" si="9"/>
        <v/>
      </c>
      <c r="H112" s="4"/>
      <c r="I112" s="6" t="str">
        <f t="shared" ca="1" si="10"/>
        <v/>
      </c>
      <c r="J112" s="13" t="str">
        <f t="shared" ca="1" si="5"/>
        <v/>
      </c>
      <c r="K112" s="11"/>
      <c r="L112" s="11"/>
      <c r="M112" s="10"/>
      <c r="N112" s="10"/>
      <c r="Q112" s="11"/>
      <c r="R112" s="11"/>
      <c r="S112" s="10"/>
    </row>
    <row r="113" spans="2:19" s="6" customFormat="1" ht="16.5" customHeight="1" x14ac:dyDescent="0.3">
      <c r="B113" s="10" t="str">
        <f>IF(C113="","",COUNTA($C$2:C113))</f>
        <v/>
      </c>
      <c r="C113" s="11"/>
      <c r="D113" s="10" t="str">
        <f t="shared" si="9"/>
        <v/>
      </c>
      <c r="H113" s="4"/>
      <c r="I113" s="6" t="str">
        <f t="shared" ca="1" si="10"/>
        <v/>
      </c>
      <c r="J113" s="13" t="str">
        <f t="shared" ca="1" si="5"/>
        <v/>
      </c>
      <c r="K113" s="11"/>
      <c r="L113" s="11"/>
      <c r="M113" s="10"/>
      <c r="N113" s="10"/>
      <c r="Q113" s="11"/>
      <c r="R113" s="11"/>
      <c r="S113" s="10"/>
    </row>
    <row r="114" spans="2:19" s="6" customFormat="1" ht="16.5" customHeight="1" x14ac:dyDescent="0.3">
      <c r="B114" s="10" t="str">
        <f>IF(C114="","",COUNTA($C$2:C114))</f>
        <v/>
      </c>
      <c r="C114" s="11"/>
      <c r="D114" s="10" t="str">
        <f t="shared" si="9"/>
        <v/>
      </c>
      <c r="H114" s="4"/>
      <c r="I114" s="6" t="str">
        <f t="shared" ca="1" si="10"/>
        <v/>
      </c>
      <c r="J114" s="13" t="str">
        <f t="shared" ref="J114:J130" ca="1" si="11">IF(I114="","",
 IF(G114="선급금",
   IF(I114&lt;=20,"정상",IF(I114&lt;=90,"관리","장기미수")),
 IF(G114="자재",
   IF(I114&lt;=40,"정상",IF(I114&lt;=90,"관리","장기미수")),
   IF(I114&lt;=30,"정상",IF(I114&lt;=90,"관리","장기미수"))
  )
 )
)</f>
        <v/>
      </c>
      <c r="K114" s="11"/>
      <c r="L114" s="11"/>
      <c r="M114" s="10"/>
      <c r="N114" s="10"/>
      <c r="Q114" s="11"/>
      <c r="R114" s="11"/>
      <c r="S114" s="10"/>
    </row>
    <row r="115" spans="2:19" s="6" customFormat="1" ht="16.5" customHeight="1" x14ac:dyDescent="0.3">
      <c r="B115" s="10" t="str">
        <f>IF(C115="","",COUNTA($C$2:C115))</f>
        <v/>
      </c>
      <c r="C115" s="11"/>
      <c r="D115" s="10" t="str">
        <f t="shared" si="9"/>
        <v/>
      </c>
      <c r="H115" s="4"/>
      <c r="I115" s="6" t="str">
        <f t="shared" ca="1" si="10"/>
        <v/>
      </c>
      <c r="J115" s="13" t="str">
        <f t="shared" ca="1" si="11"/>
        <v/>
      </c>
      <c r="K115" s="11"/>
      <c r="L115" s="11"/>
      <c r="M115" s="10"/>
      <c r="N115" s="10"/>
      <c r="Q115" s="11"/>
      <c r="R115" s="11"/>
      <c r="S115" s="10"/>
    </row>
    <row r="116" spans="2:19" s="6" customFormat="1" ht="16.5" customHeight="1" x14ac:dyDescent="0.3">
      <c r="B116" s="10" t="str">
        <f>IF(C116="","",COUNTA($C$2:C116))</f>
        <v/>
      </c>
      <c r="C116" s="11"/>
      <c r="D116" s="10" t="str">
        <f t="shared" si="9"/>
        <v/>
      </c>
      <c r="H116" s="4"/>
      <c r="I116" s="6" t="str">
        <f t="shared" ca="1" si="10"/>
        <v/>
      </c>
      <c r="J116" s="13" t="str">
        <f t="shared" ca="1" si="11"/>
        <v/>
      </c>
      <c r="K116" s="11"/>
      <c r="L116" s="11"/>
      <c r="M116" s="10"/>
      <c r="N116" s="10"/>
      <c r="Q116" s="11"/>
      <c r="R116" s="11"/>
      <c r="S116" s="10"/>
    </row>
    <row r="117" spans="2:19" s="6" customFormat="1" ht="16.5" customHeight="1" x14ac:dyDescent="0.3">
      <c r="B117" s="10" t="str">
        <f>IF(C117="","",COUNTA($C$2:C117))</f>
        <v/>
      </c>
      <c r="C117" s="11"/>
      <c r="D117" s="10" t="str">
        <f t="shared" si="9"/>
        <v/>
      </c>
      <c r="H117" s="4"/>
      <c r="I117" s="6" t="str">
        <f t="shared" ca="1" si="10"/>
        <v/>
      </c>
      <c r="J117" s="13" t="str">
        <f t="shared" ca="1" si="11"/>
        <v/>
      </c>
      <c r="K117" s="11"/>
      <c r="L117" s="11"/>
      <c r="M117" s="10"/>
      <c r="N117" s="10"/>
      <c r="Q117" s="11"/>
      <c r="R117" s="11"/>
      <c r="S117" s="10"/>
    </row>
    <row r="118" spans="2:19" s="6" customFormat="1" ht="16.5" customHeight="1" x14ac:dyDescent="0.3">
      <c r="B118" s="10" t="str">
        <f>IF(C118="","",COUNTA($C$2:C118))</f>
        <v/>
      </c>
      <c r="C118" s="11"/>
      <c r="D118" s="10" t="str">
        <f t="shared" si="9"/>
        <v/>
      </c>
      <c r="H118" s="4"/>
      <c r="I118" s="6" t="str">
        <f t="shared" ca="1" si="10"/>
        <v/>
      </c>
      <c r="J118" s="13" t="str">
        <f t="shared" ca="1" si="11"/>
        <v/>
      </c>
      <c r="K118" s="11"/>
      <c r="L118" s="11"/>
      <c r="M118" s="10"/>
      <c r="N118" s="10"/>
      <c r="Q118" s="11"/>
      <c r="R118" s="11"/>
      <c r="S118" s="10"/>
    </row>
    <row r="119" spans="2:19" s="6" customFormat="1" ht="16.5" customHeight="1" x14ac:dyDescent="0.3">
      <c r="B119" s="10" t="str">
        <f>IF(C119="","",COUNTA($C$2:C119))</f>
        <v/>
      </c>
      <c r="C119" s="11"/>
      <c r="D119" s="10" t="str">
        <f t="shared" si="9"/>
        <v/>
      </c>
      <c r="H119" s="4"/>
      <c r="I119" s="6" t="str">
        <f t="shared" ca="1" si="10"/>
        <v/>
      </c>
      <c r="J119" s="13" t="str">
        <f t="shared" ca="1" si="11"/>
        <v/>
      </c>
      <c r="K119" s="11"/>
      <c r="L119" s="11"/>
      <c r="M119" s="10"/>
      <c r="N119" s="10"/>
      <c r="Q119" s="11"/>
      <c r="R119" s="11"/>
      <c r="S119" s="10"/>
    </row>
    <row r="120" spans="2:19" s="6" customFormat="1" ht="16.5" customHeight="1" x14ac:dyDescent="0.3">
      <c r="B120" s="10" t="str">
        <f>IF(C120="","",COUNTA($C$2:C120))</f>
        <v/>
      </c>
      <c r="C120" s="11"/>
      <c r="D120" s="10" t="str">
        <f t="shared" si="9"/>
        <v/>
      </c>
      <c r="H120" s="4"/>
      <c r="I120" s="6" t="str">
        <f t="shared" ca="1" si="10"/>
        <v/>
      </c>
      <c r="J120" s="13" t="str">
        <f t="shared" ca="1" si="11"/>
        <v/>
      </c>
      <c r="K120" s="11"/>
      <c r="L120" s="11"/>
      <c r="M120" s="10"/>
      <c r="N120" s="10"/>
      <c r="Q120" s="11"/>
      <c r="R120" s="11"/>
      <c r="S120" s="10"/>
    </row>
    <row r="121" spans="2:19" s="6" customFormat="1" ht="16.5" customHeight="1" x14ac:dyDescent="0.3">
      <c r="B121" s="10" t="str">
        <f>IF(C121="","",COUNTA($C$2:C121))</f>
        <v/>
      </c>
      <c r="C121" s="11"/>
      <c r="D121" s="10" t="str">
        <f t="shared" si="9"/>
        <v/>
      </c>
      <c r="H121" s="4"/>
      <c r="I121" s="6" t="str">
        <f t="shared" ca="1" si="10"/>
        <v/>
      </c>
      <c r="J121" s="13" t="str">
        <f t="shared" ca="1" si="11"/>
        <v/>
      </c>
      <c r="K121" s="11"/>
      <c r="L121" s="11"/>
      <c r="M121" s="10"/>
      <c r="N121" s="10"/>
      <c r="Q121" s="11"/>
      <c r="R121" s="11"/>
      <c r="S121" s="10"/>
    </row>
    <row r="122" spans="2:19" s="6" customFormat="1" ht="16.5" customHeight="1" x14ac:dyDescent="0.3">
      <c r="B122" s="10" t="str">
        <f>IF(C122="","",COUNTA($C$2:C122))</f>
        <v/>
      </c>
      <c r="C122" s="11"/>
      <c r="D122" s="10" t="str">
        <f t="shared" si="9"/>
        <v/>
      </c>
      <c r="H122" s="4"/>
      <c r="I122" s="6" t="str">
        <f t="shared" ca="1" si="10"/>
        <v/>
      </c>
      <c r="J122" s="13" t="str">
        <f t="shared" ca="1" si="11"/>
        <v/>
      </c>
      <c r="K122" s="11"/>
      <c r="L122" s="11"/>
      <c r="M122" s="10"/>
      <c r="N122" s="10"/>
      <c r="Q122" s="11"/>
      <c r="R122" s="11"/>
      <c r="S122" s="10"/>
    </row>
    <row r="123" spans="2:19" s="6" customFormat="1" ht="16.5" customHeight="1" x14ac:dyDescent="0.3">
      <c r="B123" s="10" t="str">
        <f>IF(C123="","",COUNTA($C$2:C123))</f>
        <v/>
      </c>
      <c r="C123" s="11"/>
      <c r="D123" s="10" t="str">
        <f t="shared" si="9"/>
        <v/>
      </c>
      <c r="H123" s="4"/>
      <c r="I123" s="6" t="str">
        <f t="shared" ca="1" si="10"/>
        <v/>
      </c>
      <c r="J123" s="13" t="str">
        <f t="shared" ca="1" si="11"/>
        <v/>
      </c>
      <c r="K123" s="11"/>
      <c r="L123" s="11"/>
      <c r="M123" s="10"/>
      <c r="N123" s="10"/>
      <c r="Q123" s="11"/>
      <c r="R123" s="11"/>
      <c r="S123" s="10"/>
    </row>
    <row r="124" spans="2:19" s="6" customFormat="1" ht="16.5" customHeight="1" x14ac:dyDescent="0.3">
      <c r="B124" s="10" t="str">
        <f>IF(C124="","",COUNTA($C$2:C124))</f>
        <v/>
      </c>
      <c r="C124" s="11"/>
      <c r="D124" s="10" t="str">
        <f t="shared" si="9"/>
        <v/>
      </c>
      <c r="H124" s="4"/>
      <c r="I124" s="6" t="str">
        <f t="shared" ca="1" si="10"/>
        <v/>
      </c>
      <c r="J124" s="13" t="str">
        <f t="shared" ca="1" si="11"/>
        <v/>
      </c>
      <c r="K124" s="11"/>
      <c r="L124" s="11"/>
      <c r="M124" s="10"/>
      <c r="N124" s="10"/>
      <c r="Q124" s="11"/>
      <c r="R124" s="11"/>
      <c r="S124" s="10"/>
    </row>
    <row r="125" spans="2:19" s="6" customFormat="1" ht="16.5" customHeight="1" x14ac:dyDescent="0.3">
      <c r="B125" s="10" t="str">
        <f>IF(C125="","",COUNTA($C$2:C125))</f>
        <v/>
      </c>
      <c r="C125" s="11"/>
      <c r="D125" s="10" t="str">
        <f t="shared" si="9"/>
        <v/>
      </c>
      <c r="H125" s="4"/>
      <c r="I125" s="6" t="str">
        <f t="shared" ca="1" si="10"/>
        <v/>
      </c>
      <c r="J125" s="13" t="str">
        <f t="shared" ca="1" si="11"/>
        <v/>
      </c>
      <c r="K125" s="11"/>
      <c r="L125" s="11"/>
      <c r="M125" s="10"/>
      <c r="N125" s="10"/>
      <c r="Q125" s="11"/>
      <c r="R125" s="11"/>
      <c r="S125" s="10"/>
    </row>
    <row r="126" spans="2:19" s="6" customFormat="1" ht="16.5" customHeight="1" x14ac:dyDescent="0.3">
      <c r="B126" s="10" t="str">
        <f>IF(C126="","",COUNTA($C$2:C126))</f>
        <v/>
      </c>
      <c r="C126" s="11"/>
      <c r="D126" s="10" t="str">
        <f t="shared" si="9"/>
        <v/>
      </c>
      <c r="H126" s="4"/>
      <c r="I126" s="6" t="str">
        <f t="shared" ca="1" si="10"/>
        <v/>
      </c>
      <c r="J126" s="13" t="str">
        <f t="shared" ca="1" si="11"/>
        <v/>
      </c>
      <c r="K126" s="11"/>
      <c r="L126" s="11"/>
      <c r="M126" s="10"/>
      <c r="N126" s="10"/>
      <c r="Q126" s="11"/>
      <c r="R126" s="11"/>
      <c r="S126" s="10"/>
    </row>
    <row r="127" spans="2:19" s="6" customFormat="1" ht="16.5" customHeight="1" x14ac:dyDescent="0.3">
      <c r="B127" s="10" t="str">
        <f>IF(C127="","",COUNTA($C$2:C127))</f>
        <v/>
      </c>
      <c r="C127" s="11"/>
      <c r="D127" s="10" t="str">
        <f t="shared" si="9"/>
        <v/>
      </c>
      <c r="H127" s="4"/>
      <c r="I127" s="6" t="str">
        <f t="shared" ca="1" si="10"/>
        <v/>
      </c>
      <c r="J127" s="13" t="str">
        <f t="shared" ca="1" si="11"/>
        <v/>
      </c>
      <c r="K127" s="11"/>
      <c r="L127" s="11"/>
      <c r="M127" s="10"/>
      <c r="N127" s="10"/>
      <c r="Q127" s="11"/>
      <c r="R127" s="11"/>
      <c r="S127" s="10"/>
    </row>
    <row r="128" spans="2:19" s="6" customFormat="1" ht="16.5" customHeight="1" x14ac:dyDescent="0.3">
      <c r="B128" s="10" t="str">
        <f>IF(C128="","",COUNTA($C$2:C128))</f>
        <v/>
      </c>
      <c r="C128" s="11"/>
      <c r="D128" s="10" t="str">
        <f t="shared" si="9"/>
        <v/>
      </c>
      <c r="H128" s="4"/>
      <c r="I128" s="6" t="str">
        <f t="shared" ca="1" si="10"/>
        <v/>
      </c>
      <c r="J128" s="13" t="str">
        <f t="shared" ca="1" si="11"/>
        <v/>
      </c>
      <c r="K128" s="11"/>
      <c r="L128" s="11"/>
      <c r="M128" s="10"/>
      <c r="N128" s="10"/>
      <c r="Q128" s="11"/>
      <c r="R128" s="11"/>
      <c r="S128" s="10"/>
    </row>
    <row r="129" spans="2:19" s="6" customFormat="1" ht="16.5" customHeight="1" x14ac:dyDescent="0.3">
      <c r="B129" s="10" t="str">
        <f>IF(C129="","",COUNTA($C$2:C129))</f>
        <v/>
      </c>
      <c r="C129" s="11"/>
      <c r="D129" s="10" t="str">
        <f t="shared" si="9"/>
        <v/>
      </c>
      <c r="H129" s="4"/>
      <c r="I129" s="6" t="str">
        <f t="shared" ca="1" si="10"/>
        <v/>
      </c>
      <c r="J129" s="13" t="str">
        <f t="shared" ca="1" si="11"/>
        <v/>
      </c>
      <c r="K129" s="11"/>
      <c r="L129" s="11"/>
      <c r="M129" s="10"/>
      <c r="N129" s="10"/>
      <c r="Q129" s="11"/>
      <c r="R129" s="11"/>
      <c r="S129" s="10"/>
    </row>
    <row r="130" spans="2:19" s="6" customFormat="1" ht="16.5" customHeight="1" x14ac:dyDescent="0.3">
      <c r="B130" s="10" t="str">
        <f>IF(C130="","",COUNTA($C$2:C130))</f>
        <v/>
      </c>
      <c r="C130" s="11"/>
      <c r="D130" s="10" t="str">
        <f t="shared" si="9"/>
        <v/>
      </c>
      <c r="H130" s="4"/>
      <c r="I130" s="6" t="str">
        <f t="shared" ca="1" si="10"/>
        <v/>
      </c>
      <c r="J130" s="13" t="str">
        <f t="shared" ca="1" si="11"/>
        <v/>
      </c>
      <c r="K130" s="11"/>
      <c r="L130" s="11"/>
      <c r="M130" s="10"/>
      <c r="N130" s="10"/>
      <c r="Q130" s="11"/>
      <c r="R130" s="11"/>
      <c r="S130" s="10"/>
    </row>
    <row r="131" spans="2:19" s="6" customFormat="1" ht="16.5" customHeight="1" x14ac:dyDescent="0.3">
      <c r="B131" s="10" t="str">
        <f>IF(C131="","",COUNTA($C$2:C131))</f>
        <v/>
      </c>
      <c r="C131" s="11"/>
      <c r="D131" s="10" t="str">
        <f t="shared" si="9"/>
        <v/>
      </c>
      <c r="H131" s="4"/>
      <c r="I131" s="6" t="str">
        <f t="shared" ca="1" si="10"/>
        <v/>
      </c>
      <c r="J131" s="13"/>
      <c r="K131" s="11"/>
      <c r="L131" s="11"/>
      <c r="M131" s="10"/>
      <c r="N131" s="10"/>
      <c r="Q131" s="11"/>
      <c r="R131" s="11"/>
      <c r="S131" s="10"/>
    </row>
    <row r="132" spans="2:19" s="6" customFormat="1" ht="16.5" customHeight="1" x14ac:dyDescent="0.3">
      <c r="B132" s="10" t="str">
        <f>IF(C132="","",COUNTA($C$2:C132))</f>
        <v/>
      </c>
      <c r="C132" s="11"/>
      <c r="D132" s="10" t="str">
        <f t="shared" si="9"/>
        <v/>
      </c>
      <c r="H132" s="4"/>
      <c r="I132" s="6" t="str">
        <f t="shared" ca="1" si="10"/>
        <v/>
      </c>
      <c r="J132" s="13"/>
      <c r="K132" s="11"/>
      <c r="L132" s="11"/>
      <c r="M132" s="10"/>
      <c r="N132" s="10"/>
      <c r="Q132" s="11"/>
      <c r="R132" s="11"/>
      <c r="S132" s="10"/>
    </row>
    <row r="133" spans="2:19" s="6" customFormat="1" ht="16.5" customHeight="1" x14ac:dyDescent="0.3">
      <c r="B133" s="10" t="str">
        <f>IF(C133="","",COUNTA($C$2:C133))</f>
        <v/>
      </c>
      <c r="C133" s="11"/>
      <c r="D133" s="10" t="str">
        <f t="shared" si="9"/>
        <v/>
      </c>
      <c r="H133" s="4"/>
      <c r="I133" s="6" t="str">
        <f t="shared" ca="1" si="10"/>
        <v/>
      </c>
      <c r="J133" s="13"/>
      <c r="K133" s="11"/>
      <c r="L133" s="11"/>
      <c r="M133" s="10"/>
      <c r="N133" s="10"/>
      <c r="Q133" s="11"/>
      <c r="R133" s="11"/>
      <c r="S133" s="10"/>
    </row>
    <row r="134" spans="2:19" s="6" customFormat="1" ht="16.5" customHeight="1" x14ac:dyDescent="0.3">
      <c r="B134" s="10" t="str">
        <f>IF(C134="","",COUNTA($C$2:C134))</f>
        <v/>
      </c>
      <c r="C134" s="11"/>
      <c r="D134" s="10" t="str">
        <f t="shared" si="9"/>
        <v/>
      </c>
      <c r="H134" s="4"/>
      <c r="I134" s="6" t="str">
        <f t="shared" ca="1" si="10"/>
        <v/>
      </c>
      <c r="J134" s="13"/>
      <c r="K134" s="11"/>
      <c r="L134" s="11"/>
      <c r="M134" s="10"/>
      <c r="N134" s="10"/>
      <c r="Q134" s="11"/>
      <c r="R134" s="11"/>
      <c r="S134" s="10"/>
    </row>
    <row r="135" spans="2:19" s="6" customFormat="1" ht="16.5" customHeight="1" x14ac:dyDescent="0.3">
      <c r="B135" s="10" t="str">
        <f>IF(C135="","",COUNTA($C$2:C135))</f>
        <v/>
      </c>
      <c r="C135" s="11"/>
      <c r="D135" s="10" t="str">
        <f t="shared" si="9"/>
        <v/>
      </c>
      <c r="H135" s="4"/>
      <c r="I135" s="6" t="str">
        <f t="shared" ca="1" si="10"/>
        <v/>
      </c>
      <c r="J135" s="13"/>
      <c r="K135" s="11"/>
      <c r="L135" s="11"/>
      <c r="M135" s="10"/>
      <c r="N135" s="10"/>
      <c r="Q135" s="11"/>
      <c r="R135" s="11"/>
      <c r="S135" s="10"/>
    </row>
    <row r="136" spans="2:19" s="6" customFormat="1" ht="16.5" customHeight="1" x14ac:dyDescent="0.3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 x14ac:dyDescent="0.3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 x14ac:dyDescent="0.3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 x14ac:dyDescent="0.3">
      <c r="B139" s="10" t="str">
        <f>IF(C139="","",COUNTA($C$2:C139))</f>
        <v/>
      </c>
      <c r="C139" s="11"/>
      <c r="D139" s="10" t="str">
        <f t="shared" si="9"/>
        <v/>
      </c>
      <c r="H139" s="4"/>
      <c r="I139" s="6" t="str">
        <f t="shared" ca="1" si="10"/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 x14ac:dyDescent="0.3">
      <c r="B140" s="10" t="str">
        <f>IF(C140="","",COUNTA($C$2:C140))</f>
        <v/>
      </c>
      <c r="C140" s="11"/>
      <c r="D140" s="10" t="str">
        <f t="shared" ref="D140:D203" si="12">IF(G140="","",IF(OR(G140="선급금",G140="중도금",G140="잔금"),"A",IF(G140="자재","B",IF(G140="특허료","C",""))))</f>
        <v/>
      </c>
      <c r="H140" s="4"/>
      <c r="I140" s="6" t="str">
        <f t="shared" ref="I140:I203" ca="1" si="13">IF(C140="","",IF(L140="",TODAY()-C140,L140-C140))</f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 x14ac:dyDescent="0.3">
      <c r="B141" s="10" t="str">
        <f>IF(C141="","",COUNTA($C$2:C141))</f>
        <v/>
      </c>
      <c r="C141" s="11"/>
      <c r="D141" s="10" t="str">
        <f t="shared" si="12"/>
        <v/>
      </c>
      <c r="H141" s="4"/>
      <c r="I141" s="6" t="str">
        <f t="shared" ca="1" si="13"/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 x14ac:dyDescent="0.3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 x14ac:dyDescent="0.3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 x14ac:dyDescent="0.3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 x14ac:dyDescent="0.3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 x14ac:dyDescent="0.3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 x14ac:dyDescent="0.3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 x14ac:dyDescent="0.3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 x14ac:dyDescent="0.3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 x14ac:dyDescent="0.3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 x14ac:dyDescent="0.3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 x14ac:dyDescent="0.3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 x14ac:dyDescent="0.3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 x14ac:dyDescent="0.3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 x14ac:dyDescent="0.3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 x14ac:dyDescent="0.3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 x14ac:dyDescent="0.3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 x14ac:dyDescent="0.3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 x14ac:dyDescent="0.3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 x14ac:dyDescent="0.3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 x14ac:dyDescent="0.3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 x14ac:dyDescent="0.3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 x14ac:dyDescent="0.3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 x14ac:dyDescent="0.3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 x14ac:dyDescent="0.3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 x14ac:dyDescent="0.3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 x14ac:dyDescent="0.3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 x14ac:dyDescent="0.3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 x14ac:dyDescent="0.3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 x14ac:dyDescent="0.3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 x14ac:dyDescent="0.3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 x14ac:dyDescent="0.3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 x14ac:dyDescent="0.3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 x14ac:dyDescent="0.3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 x14ac:dyDescent="0.3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 x14ac:dyDescent="0.3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 x14ac:dyDescent="0.3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 x14ac:dyDescent="0.3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 x14ac:dyDescent="0.3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 x14ac:dyDescent="0.3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 x14ac:dyDescent="0.3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 x14ac:dyDescent="0.3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 x14ac:dyDescent="0.3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 x14ac:dyDescent="0.3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 x14ac:dyDescent="0.3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 x14ac:dyDescent="0.3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 x14ac:dyDescent="0.3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 x14ac:dyDescent="0.3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 x14ac:dyDescent="0.3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 x14ac:dyDescent="0.3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 x14ac:dyDescent="0.3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 x14ac:dyDescent="0.3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 x14ac:dyDescent="0.3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 x14ac:dyDescent="0.3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 x14ac:dyDescent="0.3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 x14ac:dyDescent="0.3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 x14ac:dyDescent="0.3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 x14ac:dyDescent="0.3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 x14ac:dyDescent="0.3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 x14ac:dyDescent="0.3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 x14ac:dyDescent="0.3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 x14ac:dyDescent="0.3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 x14ac:dyDescent="0.3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 x14ac:dyDescent="0.3">
      <c r="B204" s="10" t="str">
        <f>IF(C204="","",COUNTA($C$2:C204))</f>
        <v/>
      </c>
      <c r="C204" s="11"/>
      <c r="D204" s="10" t="str">
        <f t="shared" ref="D204:D267" si="14">IF(G204="","",IF(OR(G204="선급금",G204="중도금",G204="잔금"),"A",IF(G204="자재","B",IF(G204="특허료","C",""))))</f>
        <v/>
      </c>
      <c r="H204" s="4"/>
      <c r="I204" s="6" t="str">
        <f t="shared" ref="I204:I267" ca="1" si="15">IF(C204="","",IF(L204="",TODAY()-C204,L204-C204))</f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 x14ac:dyDescent="0.3">
      <c r="B205" s="10" t="str">
        <f>IF(C205="","",COUNTA($C$2:C205))</f>
        <v/>
      </c>
      <c r="C205" s="11"/>
      <c r="D205" s="10" t="str">
        <f t="shared" si="14"/>
        <v/>
      </c>
      <c r="H205" s="4"/>
      <c r="I205" s="6" t="str">
        <f t="shared" ca="1" si="15"/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 x14ac:dyDescent="0.3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 x14ac:dyDescent="0.3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 x14ac:dyDescent="0.3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 x14ac:dyDescent="0.3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 x14ac:dyDescent="0.3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 x14ac:dyDescent="0.3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 x14ac:dyDescent="0.3">
      <c r="B212" s="10"/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 x14ac:dyDescent="0.3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 x14ac:dyDescent="0.3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 x14ac:dyDescent="0.3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 x14ac:dyDescent="0.3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 x14ac:dyDescent="0.3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 x14ac:dyDescent="0.3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 x14ac:dyDescent="0.3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 x14ac:dyDescent="0.3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 x14ac:dyDescent="0.3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 x14ac:dyDescent="0.3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 x14ac:dyDescent="0.3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 x14ac:dyDescent="0.3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 x14ac:dyDescent="0.3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 x14ac:dyDescent="0.3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 x14ac:dyDescent="0.3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 x14ac:dyDescent="0.3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 x14ac:dyDescent="0.3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 x14ac:dyDescent="0.3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 x14ac:dyDescent="0.3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 x14ac:dyDescent="0.3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 x14ac:dyDescent="0.3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 x14ac:dyDescent="0.3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 x14ac:dyDescent="0.3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 x14ac:dyDescent="0.3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 x14ac:dyDescent="0.3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 x14ac:dyDescent="0.3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 x14ac:dyDescent="0.3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 x14ac:dyDescent="0.3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 x14ac:dyDescent="0.3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 x14ac:dyDescent="0.3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 x14ac:dyDescent="0.3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 x14ac:dyDescent="0.3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 x14ac:dyDescent="0.3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 x14ac:dyDescent="0.3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 x14ac:dyDescent="0.3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 x14ac:dyDescent="0.3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 x14ac:dyDescent="0.3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 x14ac:dyDescent="0.3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 x14ac:dyDescent="0.3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 x14ac:dyDescent="0.3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 x14ac:dyDescent="0.3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 x14ac:dyDescent="0.3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 x14ac:dyDescent="0.3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 x14ac:dyDescent="0.3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 x14ac:dyDescent="0.3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 x14ac:dyDescent="0.3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 x14ac:dyDescent="0.3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 x14ac:dyDescent="0.3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 x14ac:dyDescent="0.3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 x14ac:dyDescent="0.3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 x14ac:dyDescent="0.3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 x14ac:dyDescent="0.3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 x14ac:dyDescent="0.3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 x14ac:dyDescent="0.3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 x14ac:dyDescent="0.3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 x14ac:dyDescent="0.3">
      <c r="B268" s="10"/>
      <c r="C268" s="11"/>
      <c r="D268" s="10" t="str">
        <f t="shared" ref="D268:D331" si="16">IF(G268="","",IF(OR(G268="선급금",G268="중도금",G268="잔금"),"A",IF(G268="자재","B",IF(G268="특허료","C",""))))</f>
        <v/>
      </c>
      <c r="H268" s="4"/>
      <c r="I268" s="6" t="str">
        <f t="shared" ref="I268:I331" ca="1" si="17">IF(C268="","",IF(L268="",TODAY()-C268,L268-C268))</f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 x14ac:dyDescent="0.3">
      <c r="B269" s="10"/>
      <c r="C269" s="11"/>
      <c r="D269" s="10" t="str">
        <f t="shared" si="16"/>
        <v/>
      </c>
      <c r="H269" s="4"/>
      <c r="I269" s="6" t="str">
        <f t="shared" ca="1" si="17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 x14ac:dyDescent="0.3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 x14ac:dyDescent="0.3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 x14ac:dyDescent="0.3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 x14ac:dyDescent="0.3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 x14ac:dyDescent="0.3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 x14ac:dyDescent="0.3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 x14ac:dyDescent="0.3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 x14ac:dyDescent="0.3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 x14ac:dyDescent="0.3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 x14ac:dyDescent="0.3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 x14ac:dyDescent="0.3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 x14ac:dyDescent="0.3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 x14ac:dyDescent="0.3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 x14ac:dyDescent="0.3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 x14ac:dyDescent="0.3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 x14ac:dyDescent="0.3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 x14ac:dyDescent="0.3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 x14ac:dyDescent="0.3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 x14ac:dyDescent="0.3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 x14ac:dyDescent="0.3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 x14ac:dyDescent="0.3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 x14ac:dyDescent="0.3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 x14ac:dyDescent="0.3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 x14ac:dyDescent="0.3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 x14ac:dyDescent="0.3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 x14ac:dyDescent="0.3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 x14ac:dyDescent="0.3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 x14ac:dyDescent="0.3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 x14ac:dyDescent="0.3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 x14ac:dyDescent="0.3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 x14ac:dyDescent="0.3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 x14ac:dyDescent="0.3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 x14ac:dyDescent="0.3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 x14ac:dyDescent="0.3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 x14ac:dyDescent="0.3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 x14ac:dyDescent="0.3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 x14ac:dyDescent="0.3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 x14ac:dyDescent="0.3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 x14ac:dyDescent="0.3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 x14ac:dyDescent="0.3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 x14ac:dyDescent="0.3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 x14ac:dyDescent="0.3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 x14ac:dyDescent="0.3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 x14ac:dyDescent="0.3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 x14ac:dyDescent="0.3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 x14ac:dyDescent="0.3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 x14ac:dyDescent="0.3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 x14ac:dyDescent="0.3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 x14ac:dyDescent="0.3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 x14ac:dyDescent="0.3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 x14ac:dyDescent="0.3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 x14ac:dyDescent="0.3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 x14ac:dyDescent="0.3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 x14ac:dyDescent="0.3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 x14ac:dyDescent="0.3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 x14ac:dyDescent="0.3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 x14ac:dyDescent="0.3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 x14ac:dyDescent="0.3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 x14ac:dyDescent="0.3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 x14ac:dyDescent="0.3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 x14ac:dyDescent="0.3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 x14ac:dyDescent="0.3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 x14ac:dyDescent="0.3">
      <c r="B332" s="10"/>
      <c r="C332" s="11"/>
      <c r="D332" s="10" t="str">
        <f t="shared" ref="D332:D395" si="18">IF(G332="","",IF(OR(G332="선급금",G332="중도금",G332="잔금"),"A",IF(G332="자재","B",IF(G332="특허료","C",""))))</f>
        <v/>
      </c>
      <c r="H332" s="4"/>
      <c r="I332" s="6" t="str">
        <f t="shared" ref="I332:I395" ca="1" si="19">IF(C332="","",IF(L332="",TODAY()-C332,L332-C332))</f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 x14ac:dyDescent="0.3">
      <c r="B333" s="10"/>
      <c r="C333" s="11"/>
      <c r="D333" s="10" t="str">
        <f t="shared" si="18"/>
        <v/>
      </c>
      <c r="H333" s="4"/>
      <c r="I333" s="6" t="str">
        <f t="shared" ca="1" si="19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 x14ac:dyDescent="0.3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 x14ac:dyDescent="0.3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 x14ac:dyDescent="0.3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 x14ac:dyDescent="0.3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 x14ac:dyDescent="0.3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 x14ac:dyDescent="0.3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 x14ac:dyDescent="0.3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 x14ac:dyDescent="0.3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 x14ac:dyDescent="0.3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 x14ac:dyDescent="0.3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 x14ac:dyDescent="0.3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 x14ac:dyDescent="0.3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 x14ac:dyDescent="0.3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 x14ac:dyDescent="0.3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 x14ac:dyDescent="0.3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 x14ac:dyDescent="0.3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 x14ac:dyDescent="0.3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 x14ac:dyDescent="0.3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 x14ac:dyDescent="0.3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 x14ac:dyDescent="0.3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 x14ac:dyDescent="0.3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 x14ac:dyDescent="0.3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 x14ac:dyDescent="0.3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 x14ac:dyDescent="0.3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 x14ac:dyDescent="0.3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 x14ac:dyDescent="0.3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 x14ac:dyDescent="0.3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 x14ac:dyDescent="0.3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 x14ac:dyDescent="0.3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 x14ac:dyDescent="0.3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 x14ac:dyDescent="0.3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 x14ac:dyDescent="0.3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 x14ac:dyDescent="0.3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 x14ac:dyDescent="0.3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 x14ac:dyDescent="0.3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 x14ac:dyDescent="0.3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 x14ac:dyDescent="0.3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 x14ac:dyDescent="0.3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 x14ac:dyDescent="0.3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 x14ac:dyDescent="0.3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 x14ac:dyDescent="0.3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 x14ac:dyDescent="0.3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 x14ac:dyDescent="0.3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 x14ac:dyDescent="0.3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 x14ac:dyDescent="0.3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 x14ac:dyDescent="0.3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 x14ac:dyDescent="0.3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 x14ac:dyDescent="0.3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 x14ac:dyDescent="0.3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 x14ac:dyDescent="0.3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 x14ac:dyDescent="0.3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 x14ac:dyDescent="0.3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 x14ac:dyDescent="0.3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 x14ac:dyDescent="0.3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 x14ac:dyDescent="0.3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 x14ac:dyDescent="0.3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 x14ac:dyDescent="0.3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 x14ac:dyDescent="0.3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 x14ac:dyDescent="0.3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 x14ac:dyDescent="0.3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 x14ac:dyDescent="0.3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 x14ac:dyDescent="0.3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 x14ac:dyDescent="0.3">
      <c r="B396" s="10"/>
      <c r="C396" s="11"/>
      <c r="D396" s="10" t="str">
        <f t="shared" ref="D396:D408" si="20">IF(G396="","",IF(OR(G396="선급금",G396="중도금",G396="잔금"),"A",IF(G396="자재","B",IF(G396="특허료","C",""))))</f>
        <v/>
      </c>
      <c r="H396" s="4"/>
      <c r="I396" s="6" t="str">
        <f t="shared" ref="I396:I406" ca="1" si="21">IF(C396="","",IF(L396="",TODAY()-C396,L396-C396))</f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 x14ac:dyDescent="0.3">
      <c r="B397" s="10"/>
      <c r="C397" s="11"/>
      <c r="D397" s="10" t="str">
        <f t="shared" si="20"/>
        <v/>
      </c>
      <c r="H397" s="4"/>
      <c r="I397" s="6" t="str">
        <f t="shared" ca="1" si="21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 x14ac:dyDescent="0.3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 x14ac:dyDescent="0.3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 x14ac:dyDescent="0.3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 x14ac:dyDescent="0.3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 x14ac:dyDescent="0.3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 x14ac:dyDescent="0.3">
      <c r="B403" s="10"/>
      <c r="C403" s="11"/>
      <c r="D403" s="1" t="str">
        <f t="shared" si="20"/>
        <v/>
      </c>
      <c r="I403" s="1" t="str">
        <f t="shared" ca="1" si="21"/>
        <v/>
      </c>
      <c r="K403" s="11"/>
      <c r="L403" s="11"/>
      <c r="Q403" s="11"/>
      <c r="R403" s="11"/>
    </row>
    <row r="404" spans="2:19" x14ac:dyDescent="0.3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 x14ac:dyDescent="0.3">
      <c r="B405" s="10"/>
      <c r="C405" s="11"/>
      <c r="D405" s="1" t="str">
        <f t="shared" si="20"/>
        <v/>
      </c>
      <c r="I405" s="1" t="str">
        <f t="shared" ca="1" si="21"/>
        <v/>
      </c>
      <c r="Q405" s="11"/>
      <c r="R405" s="11"/>
    </row>
    <row r="406" spans="2:19" x14ac:dyDescent="0.3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 x14ac:dyDescent="0.3">
      <c r="B407" s="10"/>
      <c r="C407" s="11"/>
      <c r="D407" s="1" t="str">
        <f t="shared" si="20"/>
        <v/>
      </c>
      <c r="Q407" s="11"/>
      <c r="R407" s="11"/>
    </row>
    <row r="408" spans="2:19" x14ac:dyDescent="0.3">
      <c r="B408" s="10"/>
      <c r="C408" s="11"/>
      <c r="D408" s="1" t="str">
        <f t="shared" si="20"/>
        <v/>
      </c>
      <c r="Q408" s="11"/>
      <c r="R408" s="11"/>
    </row>
  </sheetData>
  <autoFilter ref="A1:S408"/>
  <phoneticPr fontId="5" type="noConversion"/>
  <conditionalFormatting sqref="E3 F56:F59">
    <cfRule type="expression" dxfId="11" priority="26">
      <formula>$J3="잔금"</formula>
    </cfRule>
  </conditionalFormatting>
  <conditionalFormatting sqref="E8">
    <cfRule type="expression" dxfId="10" priority="25">
      <formula>$J8="잔금"</formula>
    </cfRule>
  </conditionalFormatting>
  <conditionalFormatting sqref="E4">
    <cfRule type="expression" dxfId="9" priority="24">
      <formula>$J4="잔금"</formula>
    </cfRule>
  </conditionalFormatting>
  <conditionalFormatting sqref="E9">
    <cfRule type="expression" dxfId="8" priority="23">
      <formula>$J9="잔금"</formula>
    </cfRule>
  </conditionalFormatting>
  <conditionalFormatting sqref="E41 E37">
    <cfRule type="expression" dxfId="7" priority="18">
      <formula>$J37="잔금"</formula>
    </cfRule>
  </conditionalFormatting>
  <conditionalFormatting sqref="E97:E98">
    <cfRule type="expression" dxfId="6" priority="8">
      <formula>$J97="잔금"</formula>
    </cfRule>
  </conditionalFormatting>
  <conditionalFormatting sqref="F97:F98">
    <cfRule type="expression" dxfId="5" priority="7">
      <formula>$J97="잔금"</formula>
    </cfRule>
  </conditionalFormatting>
  <conditionalFormatting sqref="F103:F104">
    <cfRule type="expression" dxfId="4" priority="5">
      <formula>$J103="잔금"</formula>
    </cfRule>
  </conditionalFormatting>
  <conditionalFormatting sqref="H103:H104">
    <cfRule type="expression" dxfId="3" priority="4">
      <formula>$J103="잔금"</formula>
    </cfRule>
  </conditionalFormatting>
  <conditionalFormatting sqref="E105:E107">
    <cfRule type="expression" dxfId="2" priority="3">
      <formula>$J105="잔금"</formula>
    </cfRule>
  </conditionalFormatting>
  <conditionalFormatting sqref="F105:F107">
    <cfRule type="expression" dxfId="1" priority="2">
      <formula>$J105="잔금"</formula>
    </cfRule>
  </conditionalFormatting>
  <conditionalFormatting sqref="H105:H107">
    <cfRule type="expression" dxfId="0" priority="1">
      <formula>$J105="잔금"</formula>
    </cfRule>
  </conditionalFormatting>
  <dataValidations count="3">
    <dataValidation type="list" allowBlank="1" sqref="D2:D408">
      <formula1>"A,B,C"</formula1>
    </dataValidation>
    <dataValidation type="list" allowBlank="1" sqref="G2:G70">
      <formula1>"선급금,중도금,잔금,자재,특허료"</formula1>
    </dataValidation>
    <dataValidation type="list" allowBlank="1" sqref="N2:N101">
      <formula1>"Y,N"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 x14ac:dyDescent="0.25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 x14ac:dyDescent="0.25">
      <c r="B2" s="18" t="s">
        <v>135</v>
      </c>
    </row>
    <row r="3" spans="2:3" ht="16.5" customHeight="1" x14ac:dyDescent="0.25">
      <c r="B3" s="22" t="s">
        <v>132</v>
      </c>
      <c r="C3" s="17" t="s">
        <v>133</v>
      </c>
    </row>
    <row r="4" spans="2:3" ht="16.5" customHeight="1" x14ac:dyDescent="0.25">
      <c r="B4" s="16" t="s">
        <v>141</v>
      </c>
      <c r="C4" s="16" t="s">
        <v>145</v>
      </c>
    </row>
    <row r="5" spans="2:3" ht="16.5" customHeight="1" x14ac:dyDescent="0.25">
      <c r="B5" s="16" t="s">
        <v>148</v>
      </c>
      <c r="C5" s="16" t="s">
        <v>150</v>
      </c>
    </row>
    <row r="6" spans="2:3" ht="16.5" customHeight="1" x14ac:dyDescent="0.25">
      <c r="B6" s="16" t="s">
        <v>149</v>
      </c>
      <c r="C6" s="16" t="s">
        <v>151</v>
      </c>
    </row>
    <row r="7" spans="2:3" ht="13.5" x14ac:dyDescent="0.25">
      <c r="B7" s="20" t="s">
        <v>142</v>
      </c>
      <c r="C7" s="21" t="s">
        <v>152</v>
      </c>
    </row>
    <row r="8" spans="2:3" ht="16.5" customHeight="1" x14ac:dyDescent="0.25">
      <c r="B8" s="16" t="s">
        <v>143</v>
      </c>
      <c r="C8" s="16" t="s">
        <v>146</v>
      </c>
    </row>
    <row r="9" spans="2:3" ht="16.5" customHeight="1" x14ac:dyDescent="0.25">
      <c r="B9" s="16" t="s">
        <v>144</v>
      </c>
      <c r="C9" s="16" t="s">
        <v>147</v>
      </c>
    </row>
    <row r="12" spans="2:3" ht="16.5" customHeight="1" x14ac:dyDescent="0.3">
      <c r="B12" s="19"/>
    </row>
    <row r="13" spans="2:3" ht="16.5" customHeight="1" x14ac:dyDescent="0.3">
      <c r="B13"/>
    </row>
    <row r="14" spans="2:3" ht="16.5" customHeight="1" x14ac:dyDescent="0.3">
      <c r="B14" s="19"/>
    </row>
    <row r="15" spans="2:3" ht="16.5" customHeight="1" x14ac:dyDescent="0.3">
      <c r="B15"/>
    </row>
    <row r="16" spans="2:3" ht="16.5" customHeight="1" x14ac:dyDescent="0.3">
      <c r="B16" s="19"/>
    </row>
    <row r="17" spans="2:2" ht="16.5" customHeight="1" x14ac:dyDescent="0.3">
      <c r="B17"/>
    </row>
    <row r="18" spans="2:2" ht="16.5" customHeight="1" x14ac:dyDescent="0.3">
      <c r="B18" s="19"/>
    </row>
    <row r="19" spans="2:2" ht="16.5" customHeight="1" x14ac:dyDescent="0.3">
      <c r="B19"/>
    </row>
    <row r="20" spans="2:2" ht="16.5" customHeight="1" x14ac:dyDescent="0.3">
      <c r="B20" s="19"/>
    </row>
    <row r="21" spans="2:2" ht="16.5" customHeight="1" x14ac:dyDescent="0.3">
      <c r="B21"/>
    </row>
    <row r="22" spans="2:2" ht="16.5" customHeight="1" x14ac:dyDescent="0.3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2026-02-13T00:24:13Z</dcterms:modified>
</cp:coreProperties>
</file>