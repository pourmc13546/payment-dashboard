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data!$A$1:$S$580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I574" i="1" l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B574" i="1"/>
  <c r="B575" i="1"/>
  <c r="B576" i="1"/>
  <c r="B577" i="1"/>
  <c r="B578" i="1"/>
  <c r="B579" i="1"/>
  <c r="B580" i="1"/>
  <c r="B572" i="1"/>
  <c r="B573" i="1"/>
  <c r="I572" i="1"/>
  <c r="J572" i="1" s="1"/>
  <c r="I573" i="1"/>
  <c r="J573" i="1" s="1"/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<sst xmlns="http://schemas.openxmlformats.org/spreadsheetml/2006/main" count="3094" uniqueCount="829">
  <si>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</si>
  <si>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</si>
  <si>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</si>
  <si>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</si>
  <si>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</si>
  <si>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</si>
  <si>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</si>
  <si>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</si>
  <si>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</si>
  <si>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</si>
  <si>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</si>
  <si>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</si>
  <si>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</si>
  <si>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</si>
  <si>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</si>
  <si>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</si>
  <si>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</si>
  <si>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</si>
  <si>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</si>
  <si>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</si>
  <si>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</si>
  <si>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</si>
  <si>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</si>
  <si>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</si>
  <si>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</si>
  <si>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</si>
  <si>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</si>
  <si>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</si>
  <si>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</si>
  <si>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</si>
  <si>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</si>
  <si>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</si>
  <si>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</si>
  <si>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</si>
  <si>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</si>
  <si>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</si>
  <si>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</si>
  <si>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</si>
  <si>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</si>
  <si>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</si>
  <si>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</si>
  <si>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</si>
  <si>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</si>
  <si>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</si>
  <si>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</si>
  <si>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</si>
  <si>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</si>
  <si>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</si>
  <si>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</si>
  <si>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</si>
  <si>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</si>
  <si>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</si>
  <si>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</si>
  <si>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</si>
  <si>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</si>
  <si>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</si>
  <si>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</si>
  <si>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</si>
  <si>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</si>
  <si>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</si>
  <si>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</si>
  <si>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</si>
  <si>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</si>
  <si>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</si>
  <si>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</si>
  <si>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</si>
  <si>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</si>
  <si>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</si>
  <si>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</si>
  <si>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</si>
  <si>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</si>
  <si>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</si>
  <si>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</si>
  <si>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</si>
  <si>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</si>
  <si>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</si>
  <si>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</si>
  <si>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</si>
  <si>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</si>
  <si>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</si>
  <si>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</si>
  <si>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</si>
  <si>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</si>
  <si>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</si>
  <si>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</si>
  <si>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</si>
  <si>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</si>
  <si>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</si>
  <si>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</si>
  <si>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</si>
  <si>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</si>
  <si>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</si>
  <si>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</si>
  <si>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</si>
  <si>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</si>
  <si>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</si>
  <si>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</si>
  <si>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</si>
  <si>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</si>
  <si>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</si>
  <si>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</si>
  <si>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</si>
  <si>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</si>
  <si>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</si>
  <si>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</si>
  <si>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</si>
  <si>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</si>
  <si>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</si>
  <si>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</si>
  <si>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</si>
  <si>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</si>
  <si>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</si>
  <si>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</si>
  <si>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</si>
  <si>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</si>
  <si>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</si>
  <si>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</si>
  <si>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</si>
  <si>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</si>
  <si>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</si>
  <si>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</si>
  <si>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</si>
  <si>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</si>
  <si>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</si>
  <si>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</si>
  <si>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</si>
  <si>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</si>
  <si>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</si>
  <si>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</si>
  <si>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</si>
  <si>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</si>
  <si>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</si>
  <si>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</si>
  <si>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</si>
  <si>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</si>
  <si>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</si>
  <si>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</si>
  <si>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</si>
  <si>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</si>
  <si>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</si>
  <si>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</si>
  <si>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</si>
  <si>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</si>
  <si>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</si>
  <si>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</si>
  <si>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</si>
  <si>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</si>
  <si>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</si>
  <si>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</si>
  <si>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</si>
  <si>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</si>
  <si>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</si>
  <si>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</si>
  <si>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</si>
  <si>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</si>
  <si>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</si>
  <si>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</si>
  <si>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</si>
  <si>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</si>
  <si>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</si>
  <si>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</si>
  <si>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</si>
  <si>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</si>
  <si>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</si>
  <si>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</si>
  <si>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</si>
  <si>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</si>
  <si>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</si>
  <si>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</si>
  <si>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</si>
  <si>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</si>
  <si>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</si>
  <si>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</si>
  <si>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</si>
  <si>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</si>
  <si>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</si>
  <si>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</si>
  <si>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</si>
  <si>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</si>
  <si>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</si>
  <si>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</si>
  <si>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</si>
  <si>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</si>
  <si>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</si>
  <si>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</si>
  <si>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</si>
  <si>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</si>
  <si>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</si>
  <si>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</si>
  <si>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</si>
  <si>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</si>
  <si>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</si>
  <si>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</si>
  <si>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</si>
  <si>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</si>
  <si>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</si>
  <si>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</si>
  <si>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</si>
  <si>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</si>
  <si>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</si>
  <si>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</si>
  <si>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</si>
  <si>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</si>
  <si>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</si>
  <si>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</si>
  <si>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</si>
  <si>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</si>
  <si>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</si>
  <si>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</si>
  <si>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</si>
  <si>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</si>
  <si>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</si>
  <si>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</si>
  <si>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</si>
  <si>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</si>
  <si>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</si>
  <si>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</si>
  <si>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</si>
  <si>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</si>
  <si>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</si>
  <si>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</si>
  <si>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</si>
  <si>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</si>
  <si>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</si>
  <si>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</si>
  <si>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</si>
  <si>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</si>
  <si>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</si>
  <si>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</si>
  <si>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</si>
  <si>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</si>
  <si>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</si>
  <si>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</si>
  <si>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</si>
  <si>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</si>
  <si>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</si>
  <si>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</si>
  <si>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</si>
  <si>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</si>
  <si>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</si>
  <si>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</si>
  <si>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</si>
  <si>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</si>
  <si>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</si>
  <si>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</si>
  <si>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</si>
  <si>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</si>
  <si>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</si>
  <si>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</si>
  <si>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</si>
  <si>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</si>
  <si>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</si>
  <si>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</si>
  <si>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</si>
  <si>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</si>
  <si>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</si>
  <si>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</si>
  <si>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</si>
  <si>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</si>
  <si>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</si>
  <si>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</si>
  <si>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</si>
  <si>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</si>
  <si>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</si>
  <si>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</si>
  <si>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</si>
  <si>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</si>
  <si>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</si>
  <si>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</si>
  <si>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</si>
  <si>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</si>
  <si>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</si>
  <si>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</si>
  <si>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</si>
  <si>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</si>
  <si>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</si>
  <si>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</si>
  <si>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</si>
  <si>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</si>
  <si>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</si>
  <si>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</si>
  <si>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</si>
  <si>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</si>
  <si>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</si>
  <si>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</si>
  <si>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</si>
  <si>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</si>
  <si>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</si>
  <si>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</si>
  <si>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</si>
  <si>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</si>
  <si>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</si>
  <si>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</si>
  <si>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</si>
  <si>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</si>
  <si>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</si>
  <si>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</si>
  <si>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</si>
  <si>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</si>
  <si>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</si>
  <si>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</si>
  <si>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</si>
  <si>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</si>
  <si>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</si>
  <si>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</si>
  <si>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</si>
  <si>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</si>
  <si>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</si>
  <si>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</si>
  <si>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</si>
  <si>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</si>
  <si>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</si>
  <si>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</si>
  <si>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</si>
  <si>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</si>
  <si>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</si>
  <si>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</si>
  <si>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</si>
  <si>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</si>
  <si>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</si>
  <si>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</si>
  <si>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</si>
  <si>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</si>
  <si>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</si>
  <si>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</si>
  <si>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</si>
  <si>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</si>
  <si>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</si>
  <si>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</si>
  <si>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</si>
  <si>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</si>
  <si>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</si>
  <si>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</si>
  <si>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</si>
  <si>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</si>
  <si>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</si>
  <si>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</si>
  <si>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</si>
  <si>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</si>
  <si>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</si>
  <si>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</si>
  <si>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</si>
  <si>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</si>
  <si>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</si>
  <si>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</si>
  <si>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</si>
  <si>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</si>
  <si>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</si>
  <si>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</si>
  <si>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</si>
  <si>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</si>
  <si>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</si>
  <si>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</si>
  <si>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</si>
  <si>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</si>
  <si>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</si>
  <si>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</si>
  <si>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</si>
  <si>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</si>
  <si>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</si>
  <si>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</si>
  <si>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</si>
  <si>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</si>
  <si>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</si>
  <si>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</si>
  <si>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</si>
  <si>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</si>
  <si>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</si>
  <si>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</si>
  <si>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</si>
  <si>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</si>
  <si>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</si>
  <si>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</si>
  <si>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</si>
  <si>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</si>
  <si>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</si>
  <si>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</si>
  <si>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</si>
  <si>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</si>
  <si>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</si>
  <si>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</si>
  <si>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</si>
  <si>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</si>
  <si>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</si>
  <si>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</si>
  <si>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</si>
  <si>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</si>
  <si>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</si>
  <si>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</si>
  <si>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</si>
  <si>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</si>
  <si>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</si>
  <si>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</si>
  <si>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</si>
  <si>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</si>
  <si>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</si>
  <si>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</si>
  <si>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</si>
  <si>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</si>
  <si>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</si>
  <si>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</si>
  <si>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</si>
  <si>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</si>
  <si>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</si>
  <si>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</si>
  <si>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</si>
  <si>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</si>
  <si>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</si>
  <si>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</si>
  <si>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</si>
  <si>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</si>
  <si>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</si>
  <si>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</si>
  <si>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</si>
  <si>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</si>
  <si>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</si>
  <si>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</si>
  <si>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</si>
  <si>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</si>
  <si>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</si>
  <si>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</si>
  <si>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</si>
  <si>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</si>
  <si>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</si>
  <si>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</si>
  <si>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</si>
  <si>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</si>
  <si>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</si>
  <si>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</si>
  <si>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</si>
  <si>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</si>
  <si>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</si>
  <si>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</si>
  <si>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</si>
  <si>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</si>
  <si>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</si>
  <si>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</si>
  <si>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</si>
  <si>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</si>
  <si>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</si>
  <si>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</si>
  <si>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</si>
  <si>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</si>
  <si>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</si>
  <si>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</si>
  <si>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</si>
  <si>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</si>
  <si>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</si>
  <si>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</si>
  <si>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</si>
  <si>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</si>
  <si>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</si>
  <si>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</si>
  <si>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</si>
  <si>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</si>
  <si>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</si>
  <si>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</si>
  <si>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</si>
  <si>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</si>
  <si>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</si>
  <si>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</si>
  <si>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</si>
  <si>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</si>
  <si>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</si>
  <si>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</si>
  <si>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</si>
  <si>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</si>
  <si>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</si>
  <si>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</si>
  <si>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</si>
  <si>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</si>
  <si>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</si>
  <si>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</si>
  <si>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</si>
  <si>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</si>
  <si>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</si>
  <si>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</si>
  <si>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</si>
  <si>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</si>
  <si>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</si>
  <si>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</si>
  <si>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</si>
  <si>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</si>
  <si>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</si>
  <si>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</si>
  <si>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</si>
  <si>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</si>
  <si>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</si>
  <si>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</si>
  <si>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</si>
  <si>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</si>
  <si>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</si>
  <si>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</si>
  <si>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</si>
  <si>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</si>
  <si>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</si>
  <si>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</si>
  <si>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</si>
  <si>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</si>
  <si>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</si>
  <si>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</si>
  <si>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</si>
  <si>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</si>
  <si>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</si>
  <si>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</si>
  <si>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</si>
  <si>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</si>
  <si>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</si>
  <si>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</si>
  <si>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</si>
  <si>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</si>
  <si>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</si>
  <si>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</si>
  <si>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</si>
  <si>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</si>
  <si>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</si>
  <si>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</si>
  <si>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</si>
  <si>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</si>
  <si>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</si>
  <si>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</si>
  <si>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</si>
  <si>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</si>
  <si>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</si>
  <si>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</si>
  <si>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</si>
  <si>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</si>
  <si>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</si>
  <si>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</si>
  <si>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</si>
  <si>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</si>
  <si>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</si>
  <si>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</si>
  <si>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</si>
  <si>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</si>
  <si>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</si>
  <si>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</si>
  <si>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</si>
  <si>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</si>
  <si>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</si>
  <si>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</si>
  <si>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</si>
  <si>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</si>
  <si>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</si>
  <si>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</si>
  <si>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</si>
  <si>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</si>
  <si>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</si>
  <si>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</si>
  <si>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</si>
  <si>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</si>
  <si>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</si>
  <si>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</si>
  <si>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</si>
  <si>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</si>
  <si>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</si>
  <si>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</si>
  <si>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</si>
  <si>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</si>
  <si>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</si>
  <si>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</si>
  <si>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</si>
  <si>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</si>
  <si>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</si>
  <si>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</si>
  <si>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</si>
  <si>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</si>
  <si>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</si>
  <si>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</si>
  <si>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</si>
  <si>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</si>
  <si>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</si>
  <si>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</si>
  <si>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</si>
  <si>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</si>
  <si>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</si>
  <si>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</si>
  <si>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</si>
  <si>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</si>
  <si>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</si>
  <si>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</si>
  <si>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</si>
  <si>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</si>
  <si>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</si>
  <si>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</si>
  <si>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</si>
  <si>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</si>
  <si>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</si>
  <si>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</si>
  <si>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</si>
  <si>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</si>
  <si>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</si>
  <si>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</si>
  <si>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</si>
  <si>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</si>
  <si>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</si>
  <si>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</si>
  <si>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</si>
  <si>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</si>
  <si>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</si>
  <si>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</si>
  <si>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</si>
  <si>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</si>
  <si>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</si>
  <si>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</si>
  <si>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</si>
  <si>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</si>
  <si>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</si>
  <si>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</si>
  <si>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</si>
  <si>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</si>
  <si>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</si>
  <si>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</si>
  <si>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</si>
  <si>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</si>
  <si>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</si>
  <si>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</si>
  <si>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</si>
  <si>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</si>
  <si>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</si>
  <si>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</si>
  <si>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</si>
  <si>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</si>
  <si>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</si>
  <si>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</si>
  <si>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</si>
  <si>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</si>
  <si>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</si>
  <si>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</si>
  <si>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</si>
  <si>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</si>
  <si>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</si>
  <si>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</si>
  <si>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</si>
  <si>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</si>
  <si>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</si>
  <si>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</si>
  <si>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</si>
  <si>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</si>
  <si>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</si>
  <si>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</si>
  <si>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</si>
  <si>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</si>
  <si>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</si>
  <si>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</si>
  <si>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</si>
  <si>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</si>
  <si>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</si>
  <si>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</si>
  <si>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</si>
  <si>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</si>
  <si>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</si>
  <si>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</si>
  <si>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</si>
  <si>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</si>
  <si>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</si>
  <si>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</si>
  <si>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</si>
  <si>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</si>
  <si>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</si>
  <si>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</si>
  <si>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</si>
  <si>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</si>
  <si>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</si>
  <si>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</si>
  <si>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</si>
  <si>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</si>
  <si>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</si>
  <si>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</si>
  <si>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</si>
  <si>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</si>
  <si>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</si>
  <si>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</si>
  <si>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</si>
  <si>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</si>
  <si>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</si>
  <si>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</si>
  <si>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</si>
  <si>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</si>
  <si>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</si>
  <si>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</si>
  <si>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</si>
  <si>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</si>
  <si>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</si>
  <si>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</si>
  <si>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</si>
  <si>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</si>
  <si>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</si>
  <si>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</si>
  <si>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</si>
  <si>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</si>
  <si>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</si>
  <si>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</si>
  <si>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</si>
  <si>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</si>
  <si>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</si>
  <si>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</si>
  <si>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</si>
  <si>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</si>
  <si>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</si>
  <si>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</si>
  <si>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</si>
  <si>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</si>
  <si>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</si>
  <si>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</si>
  <si>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</si>
  <si>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</si>
  <si>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</si>
  <si>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</si>
  <si>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</si>
  <si>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</si>
  <si>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</si>
  <si>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</si>
  <si>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</si>
  <si>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</si>
  <si>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</si>
  <si>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</si>
  <si>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</si>
  <si>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</si>
  <si>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</si>
  <si>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</si>
  <si>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</si>
  <si>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</si>
  <si>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</si>
  <si>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</si>
  <si>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</si>
  <si>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</si>
  <si>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</si>
  <si>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</si>
  <si>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</si>
  <si>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</si>
  <si>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</si>
  <si>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</si>
  <si>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</si>
  <si>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</si>
  <si>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</si>
  <si>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</si>
  <si>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</si>
  <si>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</si>
  <si>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</si>
  <si>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</si>
  <si>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</si>
  <si>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</si>
  <si>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</si>
  <si>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</si>
  <si>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</si>
  <si>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</si>
  <si>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</si>
  <si>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</si>
  <si>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</si>
  <si>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</si>
  <si>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</si>
  <si>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</si>
  <si>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</si>
  <si>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</si>
  <si>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</si>
  <si>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</si>
  <si>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</si>
  <si>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</si>
  <si>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</si>
  <si>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</si>
  <si>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</si>
  <si>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</si>
  <si>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</si>
  <si>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</si>
  <si>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</si>
  <si>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</si>
  <si>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</si>
  <si>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</si>
  <si>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</si>
  <si>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</si>
  <si>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</si>
  <si>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</si>
  <si>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</si>
  <si>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</si>
  <si>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</si>
  <si>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</si>
  <si>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</si>
  <si>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</si>
  <si>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</si>
  <si>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</si>
  <si>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</si>
  <si>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</si>
  <si>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</si>
  <si>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</si>
  <si>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</si>
  <si>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</si>
  <si>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</si>
  <si>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</si>
  <si>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</si>
  <si>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</si>
  <si>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</si>
  <si>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</si>
  <si>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</si>
  <si>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</si>
  <si>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</si>
  <si>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</si>
  <si>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</si>
  <si>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</si>
  <si>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</si>
  <si>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</si>
  <si>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</si>
  <si>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</si>
  <si>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</si>
  <si>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</si>
  <si>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</si>
  <si>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</si>
  <si>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</si>
  <si>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</si>
  <si>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</si>
  <si>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</si>
  <si>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</si>
  <si>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</si>
  <si>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</si>
  <si>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</si>
  <si>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</si>
  <si>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</si>
  <si>
    <t>내서숲속마을주공그린빌4단지</t>
    <phoneticPr fontId="12" type="noConversion"/>
  </si>
  <si>
    <t>삼정그린코아포레스트2단지</t>
    <phoneticPr fontId="12" type="noConversion"/>
  </si>
  <si>
    <t>자재</t>
    <phoneticPr fontId="5" type="noConversion"/>
  </si>
  <si>
    <t>B</t>
    <phoneticPr fontId="5" type="noConversion"/>
  </si>
  <si>
    <t>디오공법(주)</t>
  </si>
  <si>
    <t>초담건설(주)</t>
  </si>
  <si>
    <t>동탄역시범리슈빌</t>
    <phoneticPr fontId="12" type="noConversion"/>
  </si>
  <si>
    <t>여주현대하리</t>
    <phoneticPr fontId="12" type="noConversion"/>
  </si>
  <si>
    <t>대지마을현대홈타운3차</t>
    <phoneticPr fontId="12" type="noConversion"/>
  </si>
  <si>
    <t>연향금호타운</t>
    <phoneticPr fontId="12" type="noConversion"/>
  </si>
  <si>
    <t>창원트리비앙</t>
    <phoneticPr fontId="12" type="noConversion"/>
  </si>
  <si>
    <t>신월금용아파트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</si>
</sst>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4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580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G590" sqref="G590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351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175</v>
      </c>
      <c r="J4" s="13" t="str">
        <f t="shared" ca="1" si="2"/>
        <v>장기미수</v>
      </c>
      <c r="K4" s="11">
        <v>46111</v>
      </c>
      <c r="L4" s="11">
        <v>46142</v>
      </c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331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233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138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133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316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176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491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911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715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555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693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692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784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426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421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411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405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401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401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400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398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377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363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342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330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300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278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349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273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251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246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203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201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190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443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308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308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259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114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115</v>
      </c>
      <c r="J100" s="13" t="str">
        <f t="shared" ca="1" si="11"/>
        <v>장기미수</v>
      </c>
      <c r="K100" s="11"/>
      <c r="L100" s="11">
        <v>46142</v>
      </c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83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82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81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70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64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64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62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62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62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62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61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58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57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57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57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57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57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56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56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56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56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55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55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55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55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54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54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54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54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54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50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50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50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49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49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48</v>
      </c>
      <c r="J230" s="13" t="str">
        <f t="shared" ca="1" si="19"/>
        <v>관리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48</v>
      </c>
      <c r="J233" s="13" t="str">
        <f t="shared" ca="1" si="19"/>
        <v>관리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48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48</v>
      </c>
      <c r="J241" s="13" t="str">
        <f t="shared" ca="1" si="19"/>
        <v>관리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48</v>
      </c>
      <c r="J243" s="13" t="str">
        <f t="shared" ca="1" si="19"/>
        <v>관리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47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47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44</v>
      </c>
      <c r="J257" s="13" t="str">
        <f t="shared" ca="1" si="21"/>
        <v>관리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44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44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43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43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43</v>
      </c>
      <c r="J272" s="13" t="str">
        <f t="shared" ca="1" si="21"/>
        <v>관리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43</v>
      </c>
      <c r="J275" s="13" t="str">
        <f t="shared" ca="1" si="21"/>
        <v>관리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41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42</v>
      </c>
      <c r="J287" s="13" t="str">
        <f t="shared" ca="1" si="23"/>
        <v>관리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42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41</v>
      </c>
      <c r="J293" s="13" t="str">
        <f t="shared" ca="1" si="23"/>
        <v>관리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41</v>
      </c>
      <c r="J294" s="13" t="str">
        <f t="shared" ca="1" si="23"/>
        <v>관리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41</v>
      </c>
      <c r="J295" s="13" t="str">
        <f t="shared" ca="1" si="23"/>
        <v>관리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41</v>
      </c>
      <c r="J296" s="13" t="str">
        <f t="shared" ca="1" si="23"/>
        <v>관리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41</v>
      </c>
      <c r="J302" s="13" t="str">
        <f t="shared" ca="1" si="23"/>
        <v>관리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40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40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40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40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37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33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33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33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33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33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33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33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33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33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33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33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33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33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33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33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33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30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30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30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30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30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30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30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30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30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30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30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30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30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30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33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34</v>
      </c>
      <c r="J362" s="13" t="str">
        <f t="shared" ca="1" si="25"/>
        <v>관리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30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29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28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28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28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28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28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28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28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28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28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27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27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27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27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27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27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26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20</v>
      </c>
      <c r="J395" s="13" t="str">
        <f t="shared" ca="1" si="25"/>
        <v>정상</v>
      </c>
      <c r="K395" s="11"/>
      <c r="L395" s="11">
        <v>46142</v>
      </c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26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26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22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23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23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23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23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23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23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23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23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23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23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23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23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hidden="1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22</v>
      </c>
      <c r="J423" s="13" t="str">
        <f t="shared" ca="1" si="29"/>
        <v>정상</v>
      </c>
      <c r="N423" s="10" t="s">
        <v>33</v>
      </c>
    </row>
    <row r="424" spans="2:18" ht="16.5" hidden="1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22</v>
      </c>
      <c r="J424" s="13" t="str">
        <f t="shared" ca="1" si="29"/>
        <v>정상</v>
      </c>
      <c r="N424" s="10" t="s">
        <v>33</v>
      </c>
    </row>
    <row r="425" spans="2:18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22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hidden="1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hidden="1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22</v>
      </c>
      <c r="J430" s="13" t="str">
        <f t="shared" ca="1" si="29"/>
        <v>정상</v>
      </c>
      <c r="K430" s="44"/>
      <c r="L430" s="44"/>
      <c r="M430" s="42"/>
      <c r="N430" s="10" t="s">
        <v>33</v>
      </c>
      <c r="Q430" s="46"/>
      <c r="R430" s="46"/>
    </row>
    <row r="431" spans="2:18" s="18" customFormat="1" ht="16.5" hidden="1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>
        <v>46146</v>
      </c>
      <c r="M431" s="42"/>
      <c r="N431" s="10" t="s">
        <v>33</v>
      </c>
      <c r="Q431" s="46"/>
      <c r="R431" s="46"/>
    </row>
    <row r="432" spans="2:18" s="18" customFormat="1" ht="16.5" hidden="1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22</v>
      </c>
      <c r="J432" s="13" t="str">
        <f t="shared" ca="1" si="29"/>
        <v>정상</v>
      </c>
      <c r="K432" s="44"/>
      <c r="L432" s="44"/>
      <c r="M432" s="42"/>
      <c r="N432" s="10" t="s">
        <v>33</v>
      </c>
      <c r="Q432" s="46"/>
      <c r="R432" s="46"/>
    </row>
    <row r="433" spans="2:18" s="18" customFormat="1" ht="16.5" hidden="1" customHeight="1">
      <c r="B433" s="10">
        <f>IF(C433="","",COUNTA($C$2:C433))</f>
        <v>432</v>
      </c>
      <c r="C433" s="44" t="s">
        <v>586</v>
      </c>
      <c r="D433" s="42" t="s">
        <v>243</v>
      </c>
      <c r="E433" s="18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22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hidden="1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21</v>
      </c>
      <c r="J434" s="13" t="str">
        <f t="shared" ca="1" si="29"/>
        <v>정상</v>
      </c>
      <c r="N434" s="10" t="s">
        <v>33</v>
      </c>
    </row>
    <row r="435" spans="2:18" ht="16.5" hidden="1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21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hidden="1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21</v>
      </c>
      <c r="J436" s="13" t="str">
        <f t="shared" ca="1" si="29"/>
        <v>정상</v>
      </c>
      <c r="N436" s="10" t="s">
        <v>33</v>
      </c>
    </row>
    <row r="437" spans="2:18" ht="16.5" hidden="1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21</v>
      </c>
      <c r="J437" s="13" t="str">
        <f t="shared" ca="1" si="29"/>
        <v>정상</v>
      </c>
      <c r="N437" s="10" t="s">
        <v>33</v>
      </c>
    </row>
    <row r="438" spans="2:18" ht="16.5" hidden="1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21</v>
      </c>
      <c r="J438" s="13" t="str">
        <f t="shared" ca="1" si="29"/>
        <v>정상</v>
      </c>
      <c r="N438" s="10" t="s">
        <v>33</v>
      </c>
    </row>
    <row r="439" spans="2:18" ht="16.5" hidden="1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21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21</v>
      </c>
      <c r="J441" s="13" t="str">
        <f t="shared" ca="1" si="29"/>
        <v>정상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20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20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20</v>
      </c>
      <c r="J445" s="13" t="str">
        <f t="shared" ca="1" si="29"/>
        <v>정상</v>
      </c>
      <c r="N445" s="10" t="s">
        <v>33</v>
      </c>
    </row>
    <row r="446" spans="2:18" s="18" customFormat="1" ht="16.5" hidden="1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hidden="1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hidden="1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hidden="1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hidden="1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19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hidden="1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19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hidden="1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19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16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16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16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16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16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16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16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16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16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15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15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15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15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15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hidden="1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19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hidden="1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16</v>
      </c>
      <c r="J472" s="13" t="str">
        <f t="shared" ca="1" si="31"/>
        <v>정상</v>
      </c>
      <c r="N472" s="10" t="s">
        <v>33</v>
      </c>
    </row>
    <row r="473" spans="2:18" ht="16.5" hidden="1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hidden="1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15</v>
      </c>
      <c r="J474" s="13" t="str">
        <f t="shared" ca="1" si="31"/>
        <v>정상</v>
      </c>
      <c r="N474" s="10" t="s">
        <v>33</v>
      </c>
    </row>
    <row r="475" spans="2:18" ht="16.5" hidden="1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15</v>
      </c>
      <c r="J475" s="13" t="str">
        <f t="shared" ca="1" si="31"/>
        <v>정상</v>
      </c>
      <c r="N475" s="10" t="s">
        <v>33</v>
      </c>
    </row>
    <row r="476" spans="2:18" ht="16.5" hidden="1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15</v>
      </c>
      <c r="J476" s="13" t="str">
        <f t="shared" ca="1" si="31"/>
        <v>정상</v>
      </c>
      <c r="N476" s="10" t="s">
        <v>33</v>
      </c>
    </row>
    <row r="477" spans="2:18" ht="16.5" hidden="1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15</v>
      </c>
      <c r="J477" s="13" t="str">
        <f t="shared" ca="1" si="31"/>
        <v>정상</v>
      </c>
      <c r="N477" s="10" t="s">
        <v>33</v>
      </c>
    </row>
    <row r="478" spans="2:18" ht="16.5" hidden="1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15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9</v>
      </c>
      <c r="J479" s="13" t="str">
        <f t="shared" ca="1" si="31"/>
        <v>정상</v>
      </c>
      <c r="L479" s="44">
        <v>46142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14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14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14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14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14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14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14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14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14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14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14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14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13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13</v>
      </c>
      <c r="J494" s="13" t="str">
        <f t="shared" ca="1" si="31"/>
        <v>정상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13</v>
      </c>
      <c r="J496" s="13" t="str">
        <f t="shared" ca="1" si="31"/>
        <v>정상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13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13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13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13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13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13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13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13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13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13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13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13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14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14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14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12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12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12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12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12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9</v>
      </c>
      <c r="J525" s="13" t="str">
        <f t="shared" ca="1" si="31"/>
        <v>정상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9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9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8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8</v>
      </c>
      <c r="J532" s="13" t="str">
        <f t="shared" ref="J532:J580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8</v>
      </c>
      <c r="J533" s="13" t="str">
        <f t="shared" ca="1" si="33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8</v>
      </c>
      <c r="J534" s="13" t="str">
        <f t="shared" ca="1" si="33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9</v>
      </c>
      <c r="J535" s="13" t="str">
        <f t="shared" ca="1" si="33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9</v>
      </c>
      <c r="J536" s="13" t="str">
        <f t="shared" ca="1" si="33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9</v>
      </c>
      <c r="J539" s="13" t="str">
        <f t="shared" ca="1" si="33"/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9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9</v>
      </c>
      <c r="J543" s="13" t="str">
        <f t="shared" ca="1" si="33"/>
        <v>정상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9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9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9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7</v>
      </c>
      <c r="J547" s="13" t="str">
        <f t="shared" ca="1" si="33"/>
        <v>정상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7</v>
      </c>
      <c r="J548" s="13" t="str">
        <f t="shared" ca="1" si="33"/>
        <v>정상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7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7</v>
      </c>
      <c r="J550" s="13" t="str">
        <f t="shared" ca="1" si="33"/>
        <v>정상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7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7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7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6</v>
      </c>
      <c r="J554" s="13" t="str">
        <f t="shared" ca="1" si="33"/>
        <v>정상</v>
      </c>
      <c r="N554" s="10" t="s">
        <v>33</v>
      </c>
    </row>
    <row r="555" spans="2:14" ht="16.5" hidden="1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6</v>
      </c>
      <c r="J555" s="13" t="str">
        <f t="shared" ca="1" si="33"/>
        <v>정상</v>
      </c>
      <c r="N555" s="10" t="s">
        <v>33</v>
      </c>
    </row>
    <row r="556" spans="2:14" ht="16.5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hidden="1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hidden="1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7</v>
      </c>
      <c r="J558" s="13" t="str">
        <f t="shared" ca="1" si="33"/>
        <v>정상</v>
      </c>
      <c r="N558" s="10" t="s">
        <v>33</v>
      </c>
    </row>
    <row r="559" spans="2:14" ht="16.5" hidden="1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7</v>
      </c>
      <c r="J559" s="13" t="str">
        <f t="shared" ca="1" si="33"/>
        <v>정상</v>
      </c>
      <c r="N559" s="10" t="s">
        <v>33</v>
      </c>
    </row>
    <row r="560" spans="2:14" ht="16.5" hidden="1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7</v>
      </c>
      <c r="J560" s="13" t="str">
        <f t="shared" ca="1" si="33"/>
        <v>정상</v>
      </c>
      <c r="N560" s="10" t="s">
        <v>33</v>
      </c>
    </row>
    <row r="561" spans="2:14" ht="16.5" hidden="1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hidden="1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6</v>
      </c>
      <c r="J562" s="13" t="str">
        <f t="shared" ca="1" si="33"/>
        <v>정상</v>
      </c>
      <c r="N562" s="10" t="s">
        <v>33</v>
      </c>
    </row>
    <row r="563" spans="2:14" ht="16.5" hidden="1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6</v>
      </c>
      <c r="J563" s="13" t="str">
        <f t="shared" ca="1" si="33"/>
        <v>정상</v>
      </c>
      <c r="N563" s="10" t="s">
        <v>33</v>
      </c>
    </row>
    <row r="564" spans="2:14" ht="16.5" hidden="1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580" ca="1" si="34">IF(C564="","",IF(L564="",TODAY()-C564,L564-C564))</f>
        <v>6</v>
      </c>
      <c r="J564" s="13" t="str">
        <f t="shared" ca="1" si="33"/>
        <v>정상</v>
      </c>
      <c r="N564" s="10" t="s">
        <v>33</v>
      </c>
    </row>
    <row r="565" spans="2:14" ht="16.5" hidden="1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6</v>
      </c>
      <c r="J565" s="13" t="str">
        <f t="shared" ca="1" si="33"/>
        <v>정상</v>
      </c>
      <c r="N565" s="10" t="s">
        <v>33</v>
      </c>
    </row>
    <row r="566" spans="2:14" ht="16.5" hidden="1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6</v>
      </c>
      <c r="J566" s="13" t="str">
        <f t="shared" ca="1" si="33"/>
        <v>정상</v>
      </c>
      <c r="N566" s="10" t="s">
        <v>33</v>
      </c>
    </row>
    <row r="567" spans="2:14" ht="16.5" hidden="1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2</v>
      </c>
      <c r="J567" s="13" t="str">
        <f t="shared" ca="1" si="33"/>
        <v>정상</v>
      </c>
      <c r="N567" s="10" t="s">
        <v>33</v>
      </c>
    </row>
    <row r="568" spans="2:14" ht="16.5" hidden="1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2</v>
      </c>
      <c r="J568" s="13" t="str">
        <f t="shared" ca="1" si="33"/>
        <v>정상</v>
      </c>
      <c r="N568" s="10" t="s">
        <v>33</v>
      </c>
    </row>
    <row r="569" spans="2:14" ht="16.5" hidden="1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6</v>
      </c>
      <c r="J569" s="13" t="str">
        <f t="shared" ca="1" si="33"/>
        <v>정상</v>
      </c>
      <c r="N569" s="10" t="s">
        <v>33</v>
      </c>
    </row>
    <row r="570" spans="2:14" ht="16.5" hidden="1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6</v>
      </c>
      <c r="J570" s="13" t="str">
        <f t="shared" ca="1" si="33"/>
        <v>정상</v>
      </c>
      <c r="N570" s="10" t="s">
        <v>33</v>
      </c>
    </row>
    <row r="571" spans="2:14" ht="16.5" hidden="1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6</v>
      </c>
      <c r="J571" s="13" t="str">
        <f t="shared" ca="1" si="33"/>
        <v>정상</v>
      </c>
      <c r="N571" s="10" t="s">
        <v>33</v>
      </c>
    </row>
    <row r="572" spans="2:14" ht="16.5" hidden="1" customHeight="1">
      <c r="B572" s="10">
        <f>IF(C572="","",COUNTA($C$2:C572))</f>
        <v>571</v>
      </c>
      <c r="C572" s="30" t="s">
        <v>766</v>
      </c>
      <c r="D572" s="51" t="s">
        <v>820</v>
      </c>
      <c r="E572" s="23" t="s">
        <v>395</v>
      </c>
      <c r="F572" s="23" t="s">
        <v>817</v>
      </c>
      <c r="G572" s="47" t="s">
        <v>819</v>
      </c>
      <c r="H572" s="52">
        <v>450300</v>
      </c>
      <c r="I572" s="18">
        <f t="shared" ca="1" si="34"/>
        <v>6</v>
      </c>
      <c r="J572" s="13" t="str">
        <f t="shared" ca="1" si="33"/>
        <v>정상</v>
      </c>
      <c r="N572" s="10" t="s">
        <v>33</v>
      </c>
    </row>
    <row r="573" spans="2:14" ht="16.5" hidden="1" customHeight="1">
      <c r="B573" s="10">
        <f>IF(C573="","",COUNTA($C$2:C573))</f>
        <v>572</v>
      </c>
      <c r="C573" s="30" t="s">
        <v>766</v>
      </c>
      <c r="D573" s="51" t="s">
        <v>820</v>
      </c>
      <c r="E573" s="23" t="s">
        <v>507</v>
      </c>
      <c r="F573" s="23" t="s">
        <v>818</v>
      </c>
      <c r="G573" s="47" t="s">
        <v>819</v>
      </c>
      <c r="H573" s="52">
        <v>572800</v>
      </c>
      <c r="I573" s="18">
        <f t="shared" ca="1" si="34"/>
        <v>6</v>
      </c>
      <c r="J573" s="13" t="str">
        <f t="shared" ca="1" si="33"/>
        <v>정상</v>
      </c>
      <c r="N573" s="10" t="s">
        <v>33</v>
      </c>
    </row>
    <row r="574" spans="2:14" ht="16.5" hidden="1" customHeight="1">
      <c r="B574" s="10">
        <f>IF(C574="","",COUNTA($C$2:C574))</f>
        <v>573</v>
      </c>
      <c r="C574" s="30" t="s">
        <v>803</v>
      </c>
      <c r="D574" s="51" t="s">
        <v>820</v>
      </c>
      <c r="E574" s="23" t="s">
        <v>823</v>
      </c>
      <c r="F574" s="23" t="s">
        <v>126</v>
      </c>
      <c r="G574" s="47" t="s">
        <v>819</v>
      </c>
      <c r="H574" s="52">
        <v>260000</v>
      </c>
      <c r="I574" s="18">
        <f t="shared" ca="1" si="34"/>
        <v>2</v>
      </c>
      <c r="J574" s="13" t="str">
        <f t="shared" ca="1" si="33"/>
        <v>정상</v>
      </c>
      <c r="N574" s="10" t="s">
        <v>33</v>
      </c>
    </row>
    <row r="575" spans="2:14" ht="16.5" hidden="1" customHeight="1">
      <c r="B575" s="10">
        <f>IF(C575="","",COUNTA($C$2:C575))</f>
        <v>574</v>
      </c>
      <c r="C575" s="30" t="s">
        <v>803</v>
      </c>
      <c r="D575" s="51" t="s">
        <v>820</v>
      </c>
      <c r="E575" s="23" t="s">
        <v>824</v>
      </c>
      <c r="F575" s="23" t="s">
        <v>821</v>
      </c>
      <c r="G575" s="47" t="s">
        <v>819</v>
      </c>
      <c r="H575" s="52">
        <v>208000</v>
      </c>
      <c r="I575" s="18">
        <f t="shared" ca="1" si="34"/>
        <v>2</v>
      </c>
      <c r="J575" s="13" t="str">
        <f t="shared" ca="1" si="33"/>
        <v>정상</v>
      </c>
      <c r="N575" s="10" t="s">
        <v>33</v>
      </c>
    </row>
    <row r="576" spans="2:14" ht="16.5" hidden="1" customHeight="1">
      <c r="B576" s="10">
        <f>IF(C576="","",COUNTA($C$2:C576))</f>
        <v>575</v>
      </c>
      <c r="C576" s="30" t="s">
        <v>803</v>
      </c>
      <c r="D576" s="51" t="s">
        <v>820</v>
      </c>
      <c r="E576" s="23" t="s">
        <v>825</v>
      </c>
      <c r="F576" s="23" t="s">
        <v>822</v>
      </c>
      <c r="G576" s="47" t="s">
        <v>819</v>
      </c>
      <c r="H576" s="52">
        <v>2128400</v>
      </c>
      <c r="I576" s="18">
        <f t="shared" ca="1" si="34"/>
        <v>2</v>
      </c>
      <c r="J576" s="13" t="str">
        <f t="shared" ca="1" si="33"/>
        <v>정상</v>
      </c>
      <c r="N576" s="10" t="s">
        <v>33</v>
      </c>
    </row>
    <row r="577" spans="2:14" ht="16.5" hidden="1" customHeight="1">
      <c r="B577" s="10">
        <f>IF(C577="","",COUNTA($C$2:C577))</f>
        <v>576</v>
      </c>
      <c r="C577" s="30" t="s">
        <v>803</v>
      </c>
      <c r="D577" s="51" t="s">
        <v>820</v>
      </c>
      <c r="E577" s="23" t="s">
        <v>826</v>
      </c>
      <c r="F577" s="23" t="s">
        <v>81</v>
      </c>
      <c r="G577" s="47" t="s">
        <v>819</v>
      </c>
      <c r="H577" s="52">
        <v>178600</v>
      </c>
      <c r="I577" s="18">
        <f t="shared" ca="1" si="34"/>
        <v>2</v>
      </c>
      <c r="J577" s="13" t="str">
        <f t="shared" ca="1" si="33"/>
        <v>정상</v>
      </c>
      <c r="N577" s="10" t="s">
        <v>33</v>
      </c>
    </row>
    <row r="578" spans="2:14" ht="16.5" hidden="1" customHeight="1">
      <c r="B578" s="10">
        <f>IF(C578="","",COUNTA($C$2:C578))</f>
        <v>577</v>
      </c>
      <c r="C578" s="30" t="s">
        <v>803</v>
      </c>
      <c r="D578" s="51" t="s">
        <v>820</v>
      </c>
      <c r="E578" s="23" t="s">
        <v>827</v>
      </c>
      <c r="F578" s="23" t="s">
        <v>294</v>
      </c>
      <c r="G578" s="47" t="s">
        <v>819</v>
      </c>
      <c r="H578" s="52">
        <v>601600</v>
      </c>
      <c r="I578" s="18">
        <f t="shared" ca="1" si="34"/>
        <v>2</v>
      </c>
      <c r="J578" s="13" t="str">
        <f t="shared" ca="1" si="33"/>
        <v>정상</v>
      </c>
      <c r="N578" s="10" t="s">
        <v>33</v>
      </c>
    </row>
    <row r="579" spans="2:14" ht="16.5" hidden="1" customHeight="1">
      <c r="B579" s="10">
        <f>IF(C579="","",COUNTA($C$2:C579))</f>
        <v>578</v>
      </c>
      <c r="C579" s="30" t="s">
        <v>803</v>
      </c>
      <c r="D579" s="51" t="s">
        <v>820</v>
      </c>
      <c r="E579" s="23" t="s">
        <v>824</v>
      </c>
      <c r="F579" s="23" t="s">
        <v>821</v>
      </c>
      <c r="G579" s="47" t="s">
        <v>819</v>
      </c>
      <c r="H579" s="52">
        <v>675800</v>
      </c>
      <c r="I579" s="18">
        <f t="shared" ca="1" si="34"/>
        <v>2</v>
      </c>
      <c r="J579" s="13" t="str">
        <f t="shared" ca="1" si="33"/>
        <v>정상</v>
      </c>
      <c r="N579" s="10" t="s">
        <v>33</v>
      </c>
    </row>
    <row r="580" spans="2:14" ht="16.5" hidden="1" customHeight="1">
      <c r="B580" s="10">
        <f>IF(C580="","",COUNTA($C$2:C580))</f>
        <v>579</v>
      </c>
      <c r="C580" s="30" t="s">
        <v>803</v>
      </c>
      <c r="D580" s="51" t="s">
        <v>820</v>
      </c>
      <c r="E580" s="23" t="s">
        <v>828</v>
      </c>
      <c r="F580" s="23" t="s">
        <v>726</v>
      </c>
      <c r="G580" s="47" t="s">
        <v>819</v>
      </c>
      <c r="H580" s="52">
        <v>1776900</v>
      </c>
      <c r="I580" s="18">
        <f t="shared" ca="1" si="34"/>
        <v>2</v>
      </c>
      <c r="J580" s="13" t="str">
        <f t="shared" ca="1" si="33"/>
        <v>정상</v>
      </c>
      <c r="N580" s="10" t="s">
        <v>33</v>
      </c>
    </row>
  </sheetData>
  <autoFilter ref="A1:S580">
    <filterColumn colId="5">
      <filters>
        <filter val="석수두산위브"/>
        <filter val="석수두산위브아파트"/>
      </filters>
    </filterColumn>
  </autoFilter>
  <phoneticPr fontId="5" type="noConversion"/>
  <conditionalFormatting sqref="E3 F57:F60 E37">
    <cfRule type="expression" dxfId="143" priority="186">
      <formula>$J3="잔금"</formula>
    </cfRule>
  </conditionalFormatting>
  <conditionalFormatting sqref="E8">
    <cfRule type="expression" dxfId="142" priority="185">
      <formula>$J8="잔금"</formula>
    </cfRule>
  </conditionalFormatting>
  <conditionalFormatting sqref="E4">
    <cfRule type="expression" dxfId="141" priority="184">
      <formula>$J4="잔금"</formula>
    </cfRule>
  </conditionalFormatting>
  <conditionalFormatting sqref="E9">
    <cfRule type="expression" dxfId="140" priority="183">
      <formula>$J9="잔금"</formula>
    </cfRule>
  </conditionalFormatting>
  <conditionalFormatting sqref="E41">
    <cfRule type="expression" dxfId="139" priority="178">
      <formula>$J41="잔금"</formula>
    </cfRule>
  </conditionalFormatting>
  <conditionalFormatting sqref="E98:E99 E186:F192 H186:H192 F113 C186:C192 C402:C418 C572:C573 H572:H573 E572:F573">
    <cfRule type="expression" dxfId="138" priority="168">
      <formula>$J98="잔금"</formula>
    </cfRule>
  </conditionalFormatting>
  <conditionalFormatting sqref="F98:F99">
    <cfRule type="expression" dxfId="137" priority="167">
      <formula>$J98="잔금"</formula>
    </cfRule>
  </conditionalFormatting>
  <conditionalFormatting sqref="F104:F105">
    <cfRule type="expression" dxfId="136" priority="165">
      <formula>$J104="잔금"</formula>
    </cfRule>
  </conditionalFormatting>
  <conditionalFormatting sqref="H104:H105">
    <cfRule type="expression" dxfId="135" priority="164">
      <formula>$J104="잔금"</formula>
    </cfRule>
  </conditionalFormatting>
  <conditionalFormatting sqref="E106:E108">
    <cfRule type="expression" dxfId="134" priority="163">
      <formula>$J106="잔금"</formula>
    </cfRule>
  </conditionalFormatting>
  <conditionalFormatting sqref="F106:F108">
    <cfRule type="expression" dxfId="133" priority="162">
      <formula>$J106="잔금"</formula>
    </cfRule>
  </conditionalFormatting>
  <conditionalFormatting sqref="H106:H108">
    <cfRule type="expression" dxfId="132" priority="161">
      <formula>$J106="잔금"</formula>
    </cfRule>
  </conditionalFormatting>
  <conditionalFormatting sqref="E110">
    <cfRule type="expression" dxfId="131" priority="160">
      <formula>$J110="잔금"</formula>
    </cfRule>
  </conditionalFormatting>
  <conditionalFormatting sqref="F110">
    <cfRule type="expression" dxfId="130" priority="159">
      <formula>$J110="잔금"</formula>
    </cfRule>
  </conditionalFormatting>
  <conditionalFormatting sqref="E111:E113">
    <cfRule type="expression" dxfId="129" priority="158">
      <formula>$J111="잔금"</formula>
    </cfRule>
  </conditionalFormatting>
  <conditionalFormatting sqref="F111">
    <cfRule type="expression" dxfId="128" priority="157">
      <formula>$J111="잔금"</formula>
    </cfRule>
  </conditionalFormatting>
  <conditionalFormatting sqref="F112">
    <cfRule type="expression" dxfId="127" priority="156">
      <formula>$J112="잔금"</formula>
    </cfRule>
  </conditionalFormatting>
  <conditionalFormatting sqref="H111:H113">
    <cfRule type="expression" dxfId="126" priority="155">
      <formula>$J111="잔금"</formula>
    </cfRule>
  </conditionalFormatting>
  <conditionalFormatting sqref="C111:C113">
    <cfRule type="expression" dxfId="125" priority="154">
      <formula>$J111="잔금"</formula>
    </cfRule>
  </conditionalFormatting>
  <conditionalFormatting sqref="E117">
    <cfRule type="expression" dxfId="124" priority="153">
      <formula>$J117="잔금"</formula>
    </cfRule>
  </conditionalFormatting>
  <conditionalFormatting sqref="F117">
    <cfRule type="expression" dxfId="123" priority="152">
      <formula>$J117="잔금"</formula>
    </cfRule>
  </conditionalFormatting>
  <conditionalFormatting sqref="F142:F149">
    <cfRule type="expression" dxfId="122" priority="151">
      <formula>$J142="잔금"</formula>
    </cfRule>
  </conditionalFormatting>
  <conditionalFormatting sqref="E142:E149">
    <cfRule type="expression" dxfId="121" priority="150">
      <formula>$J142="잔금"</formula>
    </cfRule>
  </conditionalFormatting>
  <conditionalFormatting sqref="H142:H149">
    <cfRule type="expression" dxfId="120" priority="149">
      <formula>$J142="잔금"</formula>
    </cfRule>
  </conditionalFormatting>
  <conditionalFormatting sqref="E151:E157">
    <cfRule type="expression" dxfId="119" priority="147">
      <formula>$J151="잔금"</formula>
    </cfRule>
  </conditionalFormatting>
  <conditionalFormatting sqref="F151:F157">
    <cfRule type="expression" dxfId="118" priority="146">
      <formula>$J151="잔금"</formula>
    </cfRule>
  </conditionalFormatting>
  <conditionalFormatting sqref="C151:C157">
    <cfRule type="expression" dxfId="117" priority="145">
      <formula>$J151="잔금"</formula>
    </cfRule>
  </conditionalFormatting>
  <conditionalFormatting sqref="H151:H157">
    <cfRule type="expression" dxfId="116" priority="144">
      <formula>$J151="잔금"</formula>
    </cfRule>
  </conditionalFormatting>
  <conditionalFormatting sqref="C158">
    <cfRule type="expression" dxfId="115" priority="143">
      <formula>$I158="잔금"</formula>
    </cfRule>
  </conditionalFormatting>
  <conditionalFormatting sqref="F159:F162">
    <cfRule type="expression" dxfId="114" priority="142">
      <formula>$J159="잔금"</formula>
    </cfRule>
  </conditionalFormatting>
  <conditionalFormatting sqref="E159:E162">
    <cfRule type="expression" dxfId="113" priority="141">
      <formula>$J159="잔금"</formula>
    </cfRule>
  </conditionalFormatting>
  <conditionalFormatting sqref="C159:C165">
    <cfRule type="expression" dxfId="112" priority="140">
      <formula>$J159="잔금"</formula>
    </cfRule>
  </conditionalFormatting>
  <conditionalFormatting sqref="H159:H162">
    <cfRule type="expression" dxfId="111" priority="139">
      <formula>$J159="잔금"</formula>
    </cfRule>
  </conditionalFormatting>
  <conditionalFormatting sqref="F166:F178">
    <cfRule type="expression" dxfId="110" priority="138">
      <formula>$J166="잔금"</formula>
    </cfRule>
  </conditionalFormatting>
  <conditionalFormatting sqref="F179:F185">
    <cfRule type="expression" dxfId="109" priority="137">
      <formula>$J179="잔금"</formula>
    </cfRule>
  </conditionalFormatting>
  <conditionalFormatting sqref="E166:E178">
    <cfRule type="expression" dxfId="108" priority="136">
      <formula>$J166="잔금"</formula>
    </cfRule>
  </conditionalFormatting>
  <conditionalFormatting sqref="E179:E185">
    <cfRule type="expression" dxfId="107" priority="135">
      <formula>$J179="잔금"</formula>
    </cfRule>
  </conditionalFormatting>
  <conditionalFormatting sqref="C179:C185">
    <cfRule type="expression" dxfId="106" priority="133">
      <formula>$J179="잔금"</formula>
    </cfRule>
  </conditionalFormatting>
  <conditionalFormatting sqref="H166:H178">
    <cfRule type="expression" dxfId="105" priority="132">
      <formula>$J166="잔금"</formula>
    </cfRule>
  </conditionalFormatting>
  <conditionalFormatting sqref="H179:H185">
    <cfRule type="expression" dxfId="104" priority="131">
      <formula>$J179="잔금"</formula>
    </cfRule>
  </conditionalFormatting>
  <conditionalFormatting sqref="F194:F200">
    <cfRule type="expression" dxfId="103" priority="126">
      <formula>$J194="잔금"</formula>
    </cfRule>
  </conditionalFormatting>
  <conditionalFormatting sqref="E194:E200">
    <cfRule type="expression" dxfId="102" priority="125">
      <formula>$J194="잔금"</formula>
    </cfRule>
  </conditionalFormatting>
  <conditionalFormatting sqref="C194:C201">
    <cfRule type="expression" dxfId="101" priority="124">
      <formula>$J194="잔금"</formula>
    </cfRule>
  </conditionalFormatting>
  <conditionalFormatting sqref="H194:H200">
    <cfRule type="expression" dxfId="100" priority="123">
      <formula>$J194="잔금"</formula>
    </cfRule>
  </conditionalFormatting>
  <conditionalFormatting sqref="C202:C215">
    <cfRule type="expression" dxfId="99" priority="122">
      <formula>$J202="잔금"</formula>
    </cfRule>
  </conditionalFormatting>
  <conditionalFormatting sqref="F202:F215">
    <cfRule type="expression" dxfId="98" priority="121">
      <formula>$J202="잔금"</formula>
    </cfRule>
  </conditionalFormatting>
  <conditionalFormatting sqref="H202:H215">
    <cfRule type="expression" dxfId="97" priority="120">
      <formula>$J202="잔금"</formula>
    </cfRule>
  </conditionalFormatting>
  <conditionalFormatting sqref="E202:E216">
    <cfRule type="expression" dxfId="96" priority="119">
      <formula>$J202="잔금"</formula>
    </cfRule>
  </conditionalFormatting>
  <conditionalFormatting sqref="C216">
    <cfRule type="expression" dxfId="95" priority="118">
      <formula>$I216="잔금"</formula>
    </cfRule>
  </conditionalFormatting>
  <conditionalFormatting sqref="H216">
    <cfRule type="expression" dxfId="94" priority="113">
      <formula>$I216="잔금"</formula>
    </cfRule>
  </conditionalFormatting>
  <conditionalFormatting sqref="C217">
    <cfRule type="expression" dxfId="93" priority="112">
      <formula>$I217="잔금"</formula>
    </cfRule>
  </conditionalFormatting>
  <conditionalFormatting sqref="C218">
    <cfRule type="expression" dxfId="92" priority="111">
      <formula>$I218="잔금"</formula>
    </cfRule>
  </conditionalFormatting>
  <conditionalFormatting sqref="C219">
    <cfRule type="expression" dxfId="91" priority="110">
      <formula>$I219="잔금"</formula>
    </cfRule>
  </conditionalFormatting>
  <conditionalFormatting sqref="F220:F229">
    <cfRule type="expression" dxfId="90" priority="109">
      <formula>$J220="잔금"</formula>
    </cfRule>
  </conditionalFormatting>
  <conditionalFormatting sqref="F230:F243">
    <cfRule type="expression" dxfId="89" priority="108">
      <formula>$J230="잔금"</formula>
    </cfRule>
  </conditionalFormatting>
  <conditionalFormatting sqref="E220:E229">
    <cfRule type="expression" dxfId="88" priority="107">
      <formula>$J220="잔금"</formula>
    </cfRule>
  </conditionalFormatting>
  <conditionalFormatting sqref="E230:E243">
    <cfRule type="expression" dxfId="87" priority="106">
      <formula>$J230="잔금"</formula>
    </cfRule>
  </conditionalFormatting>
  <conditionalFormatting sqref="H220:H229">
    <cfRule type="expression" dxfId="86" priority="105">
      <formula>$J220="잔금"</formula>
    </cfRule>
  </conditionalFormatting>
  <conditionalFormatting sqref="H230:H243">
    <cfRule type="expression" dxfId="85" priority="104">
      <formula>$J230="잔금"</formula>
    </cfRule>
  </conditionalFormatting>
  <conditionalFormatting sqref="C245">
    <cfRule type="expression" dxfId="84" priority="103">
      <formula>$I245="잔금"</formula>
    </cfRule>
  </conditionalFormatting>
  <conditionalFormatting sqref="C246">
    <cfRule type="expression" dxfId="83" priority="102">
      <formula>$I246="잔금"</formula>
    </cfRule>
  </conditionalFormatting>
  <conditionalFormatting sqref="C247">
    <cfRule type="expression" dxfId="82" priority="101">
      <formula>$I247="잔금"</formula>
    </cfRule>
  </conditionalFormatting>
  <conditionalFormatting sqref="F248:F252">
    <cfRule type="expression" dxfId="81" priority="100">
      <formula>$J248="잔금"</formula>
    </cfRule>
  </conditionalFormatting>
  <conditionalFormatting sqref="E248:E252">
    <cfRule type="expression" dxfId="80" priority="99">
      <formula>$J248="잔금"</formula>
    </cfRule>
  </conditionalFormatting>
  <conditionalFormatting sqref="C248:C252">
    <cfRule type="expression" dxfId="79" priority="98">
      <formula>$J248="잔금"</formula>
    </cfRule>
  </conditionalFormatting>
  <conditionalFormatting sqref="H248:H252">
    <cfRule type="expression" dxfId="78" priority="97">
      <formula>$J248="잔금"</formula>
    </cfRule>
  </conditionalFormatting>
  <conditionalFormatting sqref="C253:C256">
    <cfRule type="expression" dxfId="77" priority="96">
      <formula>$I253="잔금"</formula>
    </cfRule>
  </conditionalFormatting>
  <conditionalFormatting sqref="F257:F266">
    <cfRule type="expression" dxfId="76" priority="95">
      <formula>$J257="잔금"</formula>
    </cfRule>
  </conditionalFormatting>
  <conditionalFormatting sqref="F267:F275">
    <cfRule type="expression" dxfId="75" priority="94">
      <formula>$J267="잔금"</formula>
    </cfRule>
  </conditionalFormatting>
  <conditionalFormatting sqref="C115">
    <cfRule type="expression" dxfId="74" priority="88">
      <formula>$J115="잔금"</formula>
    </cfRule>
  </conditionalFormatting>
  <conditionalFormatting sqref="C114">
    <cfRule type="expression" dxfId="73" priority="89">
      <formula>$J114="잔금"</formula>
    </cfRule>
  </conditionalFormatting>
  <conditionalFormatting sqref="C166">
    <cfRule type="expression" dxfId="72" priority="87">
      <formula>$J166="잔금"</formula>
    </cfRule>
  </conditionalFormatting>
  <conditionalFormatting sqref="C167">
    <cfRule type="expression" dxfId="71" priority="86">
      <formula>$J167="잔금"</formula>
    </cfRule>
  </conditionalFormatting>
  <conditionalFormatting sqref="C168">
    <cfRule type="expression" dxfId="70" priority="85">
      <formula>$J168="잔금"</formula>
    </cfRule>
  </conditionalFormatting>
  <conditionalFormatting sqref="C169">
    <cfRule type="expression" dxfId="69" priority="84">
      <formula>$J169="잔금"</formula>
    </cfRule>
  </conditionalFormatting>
  <conditionalFormatting sqref="C170">
    <cfRule type="expression" dxfId="68" priority="83">
      <formula>$J170="잔금"</formula>
    </cfRule>
  </conditionalFormatting>
  <conditionalFormatting sqref="C171">
    <cfRule type="expression" dxfId="67" priority="82">
      <formula>$J171="잔금"</formula>
    </cfRule>
  </conditionalFormatting>
  <conditionalFormatting sqref="C172">
    <cfRule type="expression" dxfId="66" priority="81">
      <formula>$J172="잔금"</formula>
    </cfRule>
  </conditionalFormatting>
  <conditionalFormatting sqref="C173">
    <cfRule type="expression" dxfId="65" priority="80">
      <formula>$J173="잔금"</formula>
    </cfRule>
  </conditionalFormatting>
  <conditionalFormatting sqref="C174">
    <cfRule type="expression" dxfId="64" priority="78">
      <formula>$J174="잔금"</formula>
    </cfRule>
  </conditionalFormatting>
  <conditionalFormatting sqref="C175">
    <cfRule type="expression" dxfId="63" priority="77">
      <formula>$J175="잔금"</formula>
    </cfRule>
  </conditionalFormatting>
  <conditionalFormatting sqref="C176">
    <cfRule type="expression" dxfId="62" priority="76">
      <formula>$J176="잔금"</formula>
    </cfRule>
  </conditionalFormatting>
  <conditionalFormatting sqref="C177">
    <cfRule type="expression" dxfId="61" priority="75">
      <formula>$J177="잔금"</formula>
    </cfRule>
  </conditionalFormatting>
  <conditionalFormatting sqref="C178">
    <cfRule type="expression" dxfId="60" priority="74">
      <formula>$J178="잔금"</formula>
    </cfRule>
  </conditionalFormatting>
  <conditionalFormatting sqref="H308:H309">
    <cfRule type="expression" dxfId="59" priority="68">
      <formula>$J308="잔금"</formula>
    </cfRule>
  </conditionalFormatting>
  <conditionalFormatting sqref="F289:F302">
    <cfRule type="expression" dxfId="58" priority="73">
      <formula>$J289="잔금"</formula>
    </cfRule>
  </conditionalFormatting>
  <conditionalFormatting sqref="F303:F307">
    <cfRule type="expression" dxfId="57" priority="72">
      <formula>$J303="잔금"</formula>
    </cfRule>
  </conditionalFormatting>
  <conditionalFormatting sqref="F308:F309">
    <cfRule type="expression" dxfId="56" priority="71">
      <formula>$J308="잔금"</formula>
    </cfRule>
  </conditionalFormatting>
  <conditionalFormatting sqref="H289:H302">
    <cfRule type="expression" dxfId="55" priority="70">
      <formula>$J289="잔금"</formula>
    </cfRule>
  </conditionalFormatting>
  <conditionalFormatting sqref="H303:H307">
    <cfRule type="expression" dxfId="54" priority="69">
      <formula>$J303="잔금"</formula>
    </cfRule>
  </conditionalFormatting>
  <conditionalFormatting sqref="H312:H353">
    <cfRule type="expression" dxfId="53" priority="67">
      <formula>$J312="잔금"</formula>
    </cfRule>
  </conditionalFormatting>
  <conditionalFormatting sqref="F434:F441">
    <cfRule type="expression" dxfId="52" priority="63">
      <formula>$J434="잔금"</formula>
    </cfRule>
  </conditionalFormatting>
  <conditionalFormatting sqref="F442:F446">
    <cfRule type="expression" dxfId="51" priority="62">
      <formula>$J442="잔금"</formula>
    </cfRule>
  </conditionalFormatting>
  <conditionalFormatting sqref="E434:E441">
    <cfRule type="expression" dxfId="50" priority="60">
      <formula>$J434="잔금"</formula>
    </cfRule>
  </conditionalFormatting>
  <conditionalFormatting sqref="E442:E446">
    <cfRule type="expression" dxfId="49" priority="59">
      <formula>$J442="잔금"</formula>
    </cfRule>
  </conditionalFormatting>
  <conditionalFormatting sqref="C434:C441">
    <cfRule type="expression" dxfId="48" priority="58">
      <formula>$J434="잔금"</formula>
    </cfRule>
  </conditionalFormatting>
  <conditionalFormatting sqref="C442:C447">
    <cfRule type="expression" dxfId="47" priority="57">
      <formula>$J442="잔금"</formula>
    </cfRule>
  </conditionalFormatting>
  <conditionalFormatting sqref="E448:E470 E472">
    <cfRule type="expression" dxfId="46" priority="56">
      <formula>$J448="잔금"</formula>
    </cfRule>
  </conditionalFormatting>
  <conditionalFormatting sqref="C448:C470">
    <cfRule type="expression" dxfId="45" priority="55">
      <formula>$J448="잔금"</formula>
    </cfRule>
  </conditionalFormatting>
  <conditionalFormatting sqref="E473:E478">
    <cfRule type="expression" dxfId="44" priority="54">
      <formula>$J473="잔금"</formula>
    </cfRule>
  </conditionalFormatting>
  <conditionalFormatting sqref="F473:F478">
    <cfRule type="expression" dxfId="43" priority="53">
      <formula>$J473="잔금"</formula>
    </cfRule>
  </conditionalFormatting>
  <conditionalFormatting sqref="C473:C478">
    <cfRule type="expression" dxfId="42" priority="52">
      <formula>$J473="잔금"</formula>
    </cfRule>
  </conditionalFormatting>
  <conditionalFormatting sqref="C479">
    <cfRule type="expression" dxfId="41" priority="51">
      <formula>$J479="잔금"</formula>
    </cfRule>
  </conditionalFormatting>
  <conditionalFormatting sqref="F480:F514">
    <cfRule type="expression" dxfId="40" priority="50">
      <formula>$J480="잔금"</formula>
    </cfRule>
  </conditionalFormatting>
  <conditionalFormatting sqref="E480:E514">
    <cfRule type="expression" dxfId="39" priority="49">
      <formula>$J480="잔금"</formula>
    </cfRule>
  </conditionalFormatting>
  <conditionalFormatting sqref="C480:C514">
    <cfRule type="expression" dxfId="38" priority="48">
      <formula>$J480="잔금"</formula>
    </cfRule>
  </conditionalFormatting>
  <conditionalFormatting sqref="H480:H511">
    <cfRule type="expression" dxfId="37" priority="47">
      <formula>$J480="잔금"</formula>
    </cfRule>
  </conditionalFormatting>
  <conditionalFormatting sqref="E515:E524">
    <cfRule type="expression" dxfId="36" priority="46">
      <formula>$J515="잔금"</formula>
    </cfRule>
  </conditionalFormatting>
  <conditionalFormatting sqref="E525:E528">
    <cfRule type="expression" dxfId="35" priority="45">
      <formula>$J525="잔금"</formula>
    </cfRule>
  </conditionalFormatting>
  <conditionalFormatting sqref="C515:C524">
    <cfRule type="expression" dxfId="34" priority="44">
      <formula>$J515="잔금"</formula>
    </cfRule>
  </conditionalFormatting>
  <conditionalFormatting sqref="C525:C528">
    <cfRule type="expression" dxfId="33" priority="43">
      <formula>$J525="잔금"</formula>
    </cfRule>
  </conditionalFormatting>
  <conditionalFormatting sqref="H515:H524">
    <cfRule type="expression" dxfId="32" priority="42">
      <formula>$J515="잔금"</formula>
    </cfRule>
  </conditionalFormatting>
  <conditionalFormatting sqref="H525:H528">
    <cfRule type="expression" dxfId="31" priority="41">
      <formula>$J525="잔금"</formula>
    </cfRule>
  </conditionalFormatting>
  <conditionalFormatting sqref="C529:C534">
    <cfRule type="expression" dxfId="30" priority="40">
      <formula>$J529="잔금"</formula>
    </cfRule>
  </conditionalFormatting>
  <conditionalFormatting sqref="E529:E534">
    <cfRule type="expression" dxfId="29" priority="39">
      <formula>$J529="잔금"</formula>
    </cfRule>
  </conditionalFormatting>
  <conditionalFormatting sqref="H529:H534">
    <cfRule type="expression" dxfId="28" priority="38">
      <formula>$J529="잔금"</formula>
    </cfRule>
  </conditionalFormatting>
  <conditionalFormatting sqref="F529:F534">
    <cfRule type="expression" dxfId="27" priority="37">
      <formula>$J529="잔금"</formula>
    </cfRule>
  </conditionalFormatting>
  <conditionalFormatting sqref="C535:C542">
    <cfRule type="expression" dxfId="26" priority="36">
      <formula>$J535="잔금"</formula>
    </cfRule>
  </conditionalFormatting>
  <conditionalFormatting sqref="E535:E546">
    <cfRule type="expression" dxfId="25" priority="35">
      <formula>$J535="잔금"</formula>
    </cfRule>
  </conditionalFormatting>
  <conditionalFormatting sqref="F535:F546">
    <cfRule type="expression" dxfId="24" priority="34">
      <formula>$J535="잔금"</formula>
    </cfRule>
  </conditionalFormatting>
  <conditionalFormatting sqref="C543">
    <cfRule type="expression" dxfId="23" priority="33">
      <formula>$J543="잔금"</formula>
    </cfRule>
  </conditionalFormatting>
  <conditionalFormatting sqref="C544">
    <cfRule type="expression" dxfId="22" priority="32">
      <formula>$J544="잔금"</formula>
    </cfRule>
  </conditionalFormatting>
  <conditionalFormatting sqref="C545">
    <cfRule type="expression" dxfId="21" priority="31">
      <formula>$J545="잔금"</formula>
    </cfRule>
  </conditionalFormatting>
  <conditionalFormatting sqref="C546">
    <cfRule type="expression" dxfId="20" priority="30">
      <formula>$J546="잔금"</formula>
    </cfRule>
  </conditionalFormatting>
  <conditionalFormatting sqref="C547:C553">
    <cfRule type="expression" dxfId="19" priority="29">
      <formula>$J547="잔금"</formula>
    </cfRule>
  </conditionalFormatting>
  <conditionalFormatting sqref="C554:C556">
    <cfRule type="expression" dxfId="18" priority="28">
      <formula>$J554="잔금"</formula>
    </cfRule>
  </conditionalFormatting>
  <conditionalFormatting sqref="E547:E553">
    <cfRule type="expression" dxfId="17" priority="27">
      <formula>$J547="잔금"</formula>
    </cfRule>
  </conditionalFormatting>
  <conditionalFormatting sqref="E554:E556 E559:E561">
    <cfRule type="expression" dxfId="16" priority="26">
      <formula>$J554="잔금"</formula>
    </cfRule>
  </conditionalFormatting>
  <conditionalFormatting sqref="F547:F553">
    <cfRule type="expression" dxfId="15" priority="25">
      <formula>$J547="잔금"</formula>
    </cfRule>
  </conditionalFormatting>
  <conditionalFormatting sqref="F554:F556 F558:F561">
    <cfRule type="expression" dxfId="14" priority="24">
      <formula>$J554="잔금"</formula>
    </cfRule>
  </conditionalFormatting>
  <conditionalFormatting sqref="H547:H553">
    <cfRule type="expression" dxfId="13" priority="23">
      <formula>$J547="잔금"</formula>
    </cfRule>
  </conditionalFormatting>
  <conditionalFormatting sqref="H554:H556">
    <cfRule type="expression" dxfId="12" priority="22">
      <formula>$J554="잔금"</formula>
    </cfRule>
  </conditionalFormatting>
  <conditionalFormatting sqref="C562:C566">
    <cfRule type="expression" dxfId="11" priority="16">
      <formula>$J562="잔금"</formula>
    </cfRule>
  </conditionalFormatting>
  <conditionalFormatting sqref="E562:E566 E569:E571">
    <cfRule type="expression" dxfId="10" priority="15">
      <formula>$J562="잔금"</formula>
    </cfRule>
  </conditionalFormatting>
  <conditionalFormatting sqref="F562:F566 F569:F571">
    <cfRule type="expression" dxfId="9" priority="14">
      <formula>$J562="잔금"</formula>
    </cfRule>
  </conditionalFormatting>
  <conditionalFormatting sqref="H562:H566">
    <cfRule type="expression" dxfId="8" priority="13">
      <formula>$J562="잔금"</formula>
    </cfRule>
  </conditionalFormatting>
  <conditionalFormatting sqref="C567:C568">
    <cfRule type="expression" dxfId="7" priority="12">
      <formula>$J567="잔금"</formula>
    </cfRule>
  </conditionalFormatting>
  <conditionalFormatting sqref="E567:E568">
    <cfRule type="expression" dxfId="6" priority="11">
      <formula>$J567="잔금"</formula>
    </cfRule>
  </conditionalFormatting>
  <conditionalFormatting sqref="H567:H568">
    <cfRule type="expression" dxfId="5" priority="10">
      <formula>$J567="잔금"</formula>
    </cfRule>
  </conditionalFormatting>
  <conditionalFormatting sqref="F567:F568">
    <cfRule type="expression" dxfId="4" priority="9">
      <formula>$J567="잔금"</formula>
    </cfRule>
  </conditionalFormatting>
  <conditionalFormatting sqref="F574:F580">
    <cfRule type="expression" dxfId="3" priority="4">
      <formula>$J574="잔금"</formula>
    </cfRule>
  </conditionalFormatting>
  <conditionalFormatting sqref="C574:C580">
    <cfRule type="expression" dxfId="2" priority="3">
      <formula>$J574="잔금"</formula>
    </cfRule>
  </conditionalFormatting>
  <conditionalFormatting sqref="H574:H580">
    <cfRule type="expression" dxfId="1" priority="2">
      <formula>$J574="잔금"</formula>
    </cfRule>
  </conditionalFormatting>
  <conditionalFormatting sqref="E574:E580">
    <cfRule type="expression" dxfId="0" priority="1">
      <formula>$J574="잔금"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80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2026-05-06T09:09:56Z</dcterms:modified>
</cp:coreProperties>
</file>