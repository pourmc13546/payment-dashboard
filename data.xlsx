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<sst xmlns="http://schemas.openxmlformats.org/spreadsheetml/2006/main" count="644" uniqueCount="197">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</sst>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1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</cellXfs>
  <cellStyles count="11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표준" xfId="0" builtinId="0"/>
    <cellStyle name="표준 118 2 7 16" xfId="5"/>
    <cellStyle name="표준 125" xfId="6"/>
    <cellStyle name="표준 2" xfId="7"/>
    <cellStyle name="표준 3" xfId="1"/>
  </cellStyles>
  <dxfs count="20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93" activePane="bottomRight" state="frozen"/>
      <selection pane="topRight"/>
      <selection pane="bottomLeft"/>
      <selection pane="bottomRight" activeCell="O116" sqref="O11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279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129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109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259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66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61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70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419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839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349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339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329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329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179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160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129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112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109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108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105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83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77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70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69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68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63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371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236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236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187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60</v>
      </c>
      <c r="J60" s="13" t="str">
        <f t="shared" ca="1" si="5"/>
        <v>관리</v>
      </c>
      <c r="K60" s="11">
        <v>46066</v>
      </c>
      <c r="L60" s="11">
        <v>46066</v>
      </c>
      <c r="M60" s="10"/>
      <c r="N60" s="10" t="s">
        <v>33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70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70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67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49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48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48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45</v>
      </c>
      <c r="J69" s="13" t="str">
        <f t="shared" ca="1" si="5"/>
        <v>관리</v>
      </c>
      <c r="K69" s="11"/>
      <c r="L69" s="11">
        <v>46073</v>
      </c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49</v>
      </c>
      <c r="J71" s="13" t="str">
        <f t="shared" ca="1" si="5"/>
        <v>관리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49</v>
      </c>
      <c r="J72" s="13" t="str">
        <f t="shared" ca="1" si="5"/>
        <v>관리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46</v>
      </c>
      <c r="J75" s="13" t="str">
        <f t="shared" ca="1" si="5"/>
        <v>관리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38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34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34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32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32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28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25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25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21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18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14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13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13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49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26">
        <f>IF(C102="","",COUNTA($C$2:C102))</f>
        <v>101</v>
      </c>
      <c r="C102" s="27">
        <v>46038</v>
      </c>
      <c r="D102" s="26" t="str">
        <f t="shared" si="9"/>
        <v>A</v>
      </c>
      <c r="E102" s="28" t="s">
        <v>177</v>
      </c>
      <c r="F102" s="28" t="s">
        <v>178</v>
      </c>
      <c r="G102" s="28" t="s">
        <v>179</v>
      </c>
      <c r="H102" s="29">
        <v>59635000</v>
      </c>
      <c r="I102" s="28">
        <f t="shared" ca="1" si="10"/>
        <v>28</v>
      </c>
      <c r="J102" s="30" t="str">
        <f t="shared" ca="1" si="5"/>
        <v>정상</v>
      </c>
      <c r="K102" s="27"/>
      <c r="L102" s="27">
        <v>46066</v>
      </c>
      <c r="M102" s="26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46064</v>
      </c>
      <c r="D103" s="10" t="str">
        <f t="shared" si="9"/>
        <v>B</v>
      </c>
      <c r="E103" s="6" t="s">
        <v>110</v>
      </c>
      <c r="F103" s="23" t="s">
        <v>158</v>
      </c>
      <c r="G103" s="6" t="s">
        <v>181</v>
      </c>
      <c r="H103" s="25">
        <v>1138000</v>
      </c>
      <c r="I103" s="6">
        <f t="shared" ca="1" si="10"/>
        <v>12</v>
      </c>
      <c r="J103" s="13" t="str">
        <f t="shared" ca="1" si="5"/>
        <v>정상</v>
      </c>
      <c r="K103" s="11"/>
      <c r="L103" s="11"/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180</v>
      </c>
      <c r="G104" s="6" t="s">
        <v>181</v>
      </c>
      <c r="H104" s="25">
        <v>11632500</v>
      </c>
      <c r="I104" s="6">
        <f t="shared" ca="1" si="10"/>
        <v>12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46065</v>
      </c>
      <c r="D105" s="10" t="s">
        <v>182</v>
      </c>
      <c r="E105" s="23" t="s">
        <v>24</v>
      </c>
      <c r="F105" s="23" t="s">
        <v>108</v>
      </c>
      <c r="G105" s="6" t="s">
        <v>181</v>
      </c>
      <c r="H105" s="25">
        <v>7390000</v>
      </c>
      <c r="I105" s="6">
        <f t="shared" ca="1" si="10"/>
        <v>11</v>
      </c>
      <c r="J105" s="13" t="str">
        <f t="shared" ca="1" si="5"/>
        <v>정상</v>
      </c>
      <c r="K105" s="11"/>
      <c r="L105" s="11"/>
      <c r="M105" s="10"/>
      <c r="N105" s="10" t="s">
        <v>20</v>
      </c>
      <c r="P105" s="6" t="s">
        <v>155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183</v>
      </c>
      <c r="F106" s="23" t="s">
        <v>184</v>
      </c>
      <c r="G106" s="6" t="s">
        <v>181</v>
      </c>
      <c r="H106" s="25">
        <v>651400</v>
      </c>
      <c r="I106" s="6">
        <f t="shared" ca="1" si="10"/>
        <v>11</v>
      </c>
      <c r="J106" s="13" t="str">
        <f t="shared" ca="1" si="5"/>
        <v>정상</v>
      </c>
      <c r="K106" s="11"/>
      <c r="L106" s="11"/>
      <c r="M106" s="10"/>
      <c r="N106" s="10" t="s">
        <v>33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110</v>
      </c>
      <c r="F107" s="23" t="s">
        <v>158</v>
      </c>
      <c r="G107" s="6" t="s">
        <v>181</v>
      </c>
      <c r="H107" s="25">
        <v>1997773</v>
      </c>
      <c r="I107" s="6">
        <f t="shared" ca="1" si="10"/>
        <v>11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46066</v>
      </c>
      <c r="D108" s="10" t="s">
        <v>185</v>
      </c>
      <c r="E108" s="32" t="s">
        <v>187</v>
      </c>
      <c r="F108" s="31" t="s">
        <v>186</v>
      </c>
      <c r="G108" s="6" t="s">
        <v>188</v>
      </c>
      <c r="H108" s="33">
        <v>11000000</v>
      </c>
      <c r="I108" s="6">
        <f t="shared" ca="1" si="10"/>
        <v>10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46067</v>
      </c>
      <c r="D109" s="10" t="s">
        <v>182</v>
      </c>
      <c r="E109" s="23" t="s">
        <v>24</v>
      </c>
      <c r="F109" s="23" t="s">
        <v>108</v>
      </c>
      <c r="G109" s="6" t="s">
        <v>189</v>
      </c>
      <c r="H109" s="34">
        <v>35304000</v>
      </c>
      <c r="I109" s="6">
        <f t="shared" ca="1" si="10"/>
        <v>9</v>
      </c>
      <c r="J109" s="13" t="str">
        <f t="shared" ca="1" si="5"/>
        <v>정상</v>
      </c>
      <c r="K109" s="11"/>
      <c r="L109" s="11"/>
      <c r="M109" s="10"/>
      <c r="N109" s="10" t="s">
        <v>20</v>
      </c>
      <c r="P109" s="6" t="s">
        <v>155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35" t="s">
        <v>195</v>
      </c>
      <c r="D110" s="10" t="str">
        <f t="shared" si="9"/>
        <v>B</v>
      </c>
      <c r="E110" s="23" t="s">
        <v>190</v>
      </c>
      <c r="F110" s="23" t="s">
        <v>192</v>
      </c>
      <c r="G110" s="6" t="s">
        <v>176</v>
      </c>
      <c r="H110" s="25">
        <v>5436700</v>
      </c>
      <c r="I110" s="6">
        <f t="shared" ca="1" si="10"/>
        <v>0</v>
      </c>
      <c r="J110" s="13" t="str">
        <f t="shared" ca="1" si="5"/>
        <v>정상</v>
      </c>
      <c r="K110" s="11"/>
      <c r="L110" s="11">
        <v>46073</v>
      </c>
      <c r="M110" s="10"/>
      <c r="N110" s="10" t="s">
        <v>33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23" t="s">
        <v>24</v>
      </c>
      <c r="F111" s="23" t="s">
        <v>193</v>
      </c>
      <c r="G111" s="6" t="s">
        <v>176</v>
      </c>
      <c r="H111" s="25">
        <v>37600000</v>
      </c>
      <c r="I111" s="6">
        <f t="shared" ca="1" si="10"/>
        <v>3</v>
      </c>
      <c r="J111" s="13" t="str">
        <f t="shared" ca="1" si="5"/>
        <v>정상</v>
      </c>
      <c r="K111" s="11"/>
      <c r="L111" s="11"/>
      <c r="M111" s="10"/>
      <c r="N111" s="10" t="s">
        <v>20</v>
      </c>
      <c r="P111" s="6" t="s">
        <v>155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196</v>
      </c>
      <c r="D112" s="10" t="str">
        <f t="shared" si="9"/>
        <v>B</v>
      </c>
      <c r="E112" s="23" t="s">
        <v>191</v>
      </c>
      <c r="F112" s="23" t="s">
        <v>194</v>
      </c>
      <c r="G112" s="6" t="s">
        <v>176</v>
      </c>
      <c r="H112" s="25">
        <v>2706000</v>
      </c>
      <c r="I112" s="6">
        <f t="shared" ca="1" si="10"/>
        <v>0</v>
      </c>
      <c r="J112" s="13" t="str">
        <f t="shared" ca="1" si="5"/>
        <v>정상</v>
      </c>
      <c r="K112" s="11"/>
      <c r="L112" s="11"/>
      <c r="M112" s="10"/>
      <c r="N112" s="10" t="s">
        <v>33</v>
      </c>
      <c r="Q112" s="11"/>
      <c r="R112" s="11"/>
      <c r="S112" s="10"/>
    </row>
    <row r="113" spans="2:19" s="6" customFormat="1" ht="16.5" customHeight="1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19" priority="33">
      <formula>$J3="잔금"</formula>
    </cfRule>
  </conditionalFormatting>
  <conditionalFormatting sqref="E8">
    <cfRule type="expression" dxfId="18" priority="32">
      <formula>$J8="잔금"</formula>
    </cfRule>
  </conditionalFormatting>
  <conditionalFormatting sqref="E4">
    <cfRule type="expression" dxfId="17" priority="31">
      <formula>$J4="잔금"</formula>
    </cfRule>
  </conditionalFormatting>
  <conditionalFormatting sqref="E9">
    <cfRule type="expression" dxfId="16" priority="30">
      <formula>$J9="잔금"</formula>
    </cfRule>
  </conditionalFormatting>
  <conditionalFormatting sqref="E41 E37">
    <cfRule type="expression" dxfId="15" priority="25">
      <formula>$J37="잔금"</formula>
    </cfRule>
  </conditionalFormatting>
  <conditionalFormatting sqref="E97:E98">
    <cfRule type="expression" dxfId="14" priority="15">
      <formula>$J97="잔금"</formula>
    </cfRule>
  </conditionalFormatting>
  <conditionalFormatting sqref="F97:F98">
    <cfRule type="expression" dxfId="13" priority="14">
      <formula>$J97="잔금"</formula>
    </cfRule>
  </conditionalFormatting>
  <conditionalFormatting sqref="F103:F104">
    <cfRule type="expression" dxfId="12" priority="12">
      <formula>$J103="잔금"</formula>
    </cfRule>
  </conditionalFormatting>
  <conditionalFormatting sqref="H103:H104">
    <cfRule type="expression" dxfId="11" priority="11">
      <formula>$J103="잔금"</formula>
    </cfRule>
  </conditionalFormatting>
  <conditionalFormatting sqref="E105:E107">
    <cfRule type="expression" dxfId="10" priority="10">
      <formula>$J105="잔금"</formula>
    </cfRule>
  </conditionalFormatting>
  <conditionalFormatting sqref="F105:F107">
    <cfRule type="expression" dxfId="9" priority="9">
      <formula>$J105="잔금"</formula>
    </cfRule>
  </conditionalFormatting>
  <conditionalFormatting sqref="H105:H107">
    <cfRule type="expression" dxfId="8" priority="8">
      <formula>$J105="잔금"</formula>
    </cfRule>
  </conditionalFormatting>
  <conditionalFormatting sqref="E109">
    <cfRule type="expression" dxfId="7" priority="7">
      <formula>$J109="잔금"</formula>
    </cfRule>
  </conditionalFormatting>
  <conditionalFormatting sqref="F109">
    <cfRule type="expression" dxfId="6" priority="6">
      <formula>$J109="잔금"</formula>
    </cfRule>
  </conditionalFormatting>
  <conditionalFormatting sqref="E110:E112">
    <cfRule type="expression" dxfId="5" priority="5">
      <formula>$J110="잔금"</formula>
    </cfRule>
  </conditionalFormatting>
  <conditionalFormatting sqref="F110 F112">
    <cfRule type="expression" dxfId="4" priority="4">
      <formula>$J110="잔금"</formula>
    </cfRule>
  </conditionalFormatting>
  <conditionalFormatting sqref="F111">
    <cfRule type="expression" dxfId="3" priority="3">
      <formula>$J111="잔금"</formula>
    </cfRule>
  </conditionalFormatting>
  <conditionalFormatting sqref="H110:H112">
    <cfRule type="expression" dxfId="1" priority="2">
      <formula>$J110="잔금"</formula>
    </cfRule>
  </conditionalFormatting>
  <conditionalFormatting sqref="C110:C112">
    <cfRule type="expression" dxfId="0" priority="1">
      <formula>$J110="잔금"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12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2026-02-23T02:10:21Z</dcterms:modified>
</cp:coreProperties>
</file>