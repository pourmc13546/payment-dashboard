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data!$A$1:$S$409</definedName>
    <definedName name="_xlnm._FilterDatabase">data!$A$1:$S$409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9" i="1" l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B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<sst xmlns="http://schemas.openxmlformats.org/spreadsheetml/2006/main" count="686" uniqueCount="208">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</sst>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1" formatCode="_-* #,##0_-;\-* #,##0_-;_-* &quot;-&quot;_-;_-@_-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4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</cellXfs>
  <cellStyles count="14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표준" xfId="0" builtinId="0"/>
    <cellStyle name="표준 118 2 7 16" xfId="5"/>
    <cellStyle name="표준 125" xfId="6"/>
    <cellStyle name="표준 2" xfId="7"/>
    <cellStyle name="표준 3" xfId="1"/>
  </cellStyles>
  <dxfs count="2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98" activePane="bottomRight" state="frozen"/>
      <selection pane="topRight"/>
      <selection pane="bottomLeft"/>
      <selection pane="bottomRight" activeCell="F123" sqref="F12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283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133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113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263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165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115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70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65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248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108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423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843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647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487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625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624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716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358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353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343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337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333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333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332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330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309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295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274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262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232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210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281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205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183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178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164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135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133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122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116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113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112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109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-265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/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72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/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375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240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240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191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74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74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71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53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52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52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53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53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50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42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38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38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36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36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32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29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29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25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18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17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17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53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16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16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15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15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15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14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13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7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4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4</v>
      </c>
      <c r="J115" s="13" t="str">
        <f t="shared" ref="J115:J131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3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/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48">
        <v>46080</v>
      </c>
      <c r="D121" s="10" t="str">
        <f t="shared" si="9"/>
        <v>B</v>
      </c>
      <c r="E121" s="46" t="s">
        <v>203</v>
      </c>
      <c r="F121" s="45" t="s">
        <v>204</v>
      </c>
      <c r="G121" s="6" t="s">
        <v>176</v>
      </c>
      <c r="H121" s="47">
        <v>13858000</v>
      </c>
      <c r="I121" s="6">
        <f t="shared" ca="1" si="10"/>
        <v>0</v>
      </c>
      <c r="J121" s="13" t="str">
        <f t="shared" ca="1" si="11"/>
        <v>정상</v>
      </c>
      <c r="K121" s="11"/>
      <c r="L121" s="11"/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 t="str">
        <f t="shared" ca="1" si="11"/>
        <v/>
      </c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9"/>
        <v/>
      </c>
      <c r="H140" s="4"/>
      <c r="I140" s="6" t="str">
        <f t="shared" ca="1" si="10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ref="D141:D204" si="12">IF(G141="","",IF(OR(G141="선급금",G141="중도금",G141="잔금"),"A",IF(G141="자재","B",IF(G141="특허료","C",""))))</f>
        <v/>
      </c>
      <c r="H141" s="4"/>
      <c r="I141" s="6" t="str">
        <f t="shared" ref="I141:I204" ca="1" si="13">IF(C141="","",IF(L141="",TODAY()-C141,L141-C141))</f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2"/>
        <v/>
      </c>
      <c r="H204" s="4"/>
      <c r="I204" s="6" t="str">
        <f t="shared" ca="1" si="13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ref="D205:D268" si="14">IF(G205="","",IF(OR(G205="선급금",G205="중도금",G205="잔금"),"A",IF(G205="자재","B",IF(G205="특허료","C",""))))</f>
        <v/>
      </c>
      <c r="H205" s="4"/>
      <c r="I205" s="6" t="str">
        <f t="shared" ref="I205:I268" ca="1" si="15">IF(C205="","",IF(L205="",TODAY()-C205,L205-C205))</f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 t="str">
        <f>IF(C212="","",COUNTA($C$2:C212))</f>
        <v/>
      </c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4"/>
        <v/>
      </c>
      <c r="H268" s="4"/>
      <c r="I268" s="6" t="str">
        <f t="shared" ca="1" si="15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ref="D269:D332" si="16">IF(G269="","",IF(OR(G269="선급금",G269="중도금",G269="잔금"),"A",IF(G269="자재","B",IF(G269="특허료","C",""))))</f>
        <v/>
      </c>
      <c r="H269" s="4"/>
      <c r="I269" s="6" t="str">
        <f t="shared" ref="I269:I332" ca="1" si="17">IF(C269="","",IF(L269="",TODAY()-C269,L269-C269))</f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6"/>
        <v/>
      </c>
      <c r="H332" s="4"/>
      <c r="I332" s="6" t="str">
        <f t="shared" ca="1" si="17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ref="D333:D396" si="18">IF(G333="","",IF(OR(G333="선급금",G333="중도금",G333="잔금"),"A",IF(G333="자재","B",IF(G333="특허료","C",""))))</f>
        <v/>
      </c>
      <c r="H333" s="4"/>
      <c r="I333" s="6" t="str">
        <f t="shared" ref="I333:I396" ca="1" si="19">IF(C333="","",IF(L333="",TODAY()-C333,L333-C333))</f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18"/>
        <v/>
      </c>
      <c r="H396" s="4"/>
      <c r="I396" s="6" t="str">
        <f t="shared" ca="1" si="19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ref="D397:D409" si="20">IF(G397="","",IF(OR(G397="선급금",G397="중도금",G397="잔금"),"A",IF(G397="자재","B",IF(G397="특허료","C",""))))</f>
        <v/>
      </c>
      <c r="H397" s="4"/>
      <c r="I397" s="6" t="str">
        <f t="shared" ref="I397:I407" ca="1" si="21">IF(C397="","",IF(L397="",TODAY()-C397,L397-C397))</f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s="6" customFormat="1" ht="16.5" customHeight="1">
      <c r="B403" s="10"/>
      <c r="C403" s="11"/>
      <c r="D403" s="10" t="str">
        <f t="shared" si="20"/>
        <v/>
      </c>
      <c r="H403" s="4"/>
      <c r="I403" s="6" t="str">
        <f t="shared" ca="1" si="21"/>
        <v/>
      </c>
      <c r="J403" s="13"/>
      <c r="K403" s="11"/>
      <c r="L403" s="11"/>
      <c r="M403" s="10"/>
      <c r="N403" s="10"/>
      <c r="Q403" s="11"/>
      <c r="R403" s="11"/>
      <c r="S403" s="10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K405" s="11"/>
      <c r="L405" s="11"/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I407" s="1" t="str">
        <f t="shared" ca="1" si="21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>
      <c r="B409" s="10"/>
      <c r="C409" s="11"/>
      <c r="D409" s="1" t="str">
        <f t="shared" si="20"/>
        <v/>
      </c>
      <c r="Q409" s="11"/>
      <c r="R409" s="11"/>
    </row>
  </sheetData>
  <autoFilter ref="A1:S409"/>
  <phoneticPr fontId="5" type="noConversion"/>
  <conditionalFormatting sqref="E3 F57:F60">
    <cfRule type="expression" dxfId="20" priority="35">
      <formula>$J3="잔금"</formula>
    </cfRule>
  </conditionalFormatting>
  <conditionalFormatting sqref="E8">
    <cfRule type="expression" dxfId="19" priority="34">
      <formula>$J8="잔금"</formula>
    </cfRule>
  </conditionalFormatting>
  <conditionalFormatting sqref="E4">
    <cfRule type="expression" dxfId="18" priority="33">
      <formula>$J4="잔금"</formula>
    </cfRule>
  </conditionalFormatting>
  <conditionalFormatting sqref="E9">
    <cfRule type="expression" dxfId="17" priority="32">
      <formula>$J9="잔금"</formula>
    </cfRule>
  </conditionalFormatting>
  <conditionalFormatting sqref="E41 E37">
    <cfRule type="expression" dxfId="16" priority="27">
      <formula>$J37="잔금"</formula>
    </cfRule>
  </conditionalFormatting>
  <conditionalFormatting sqref="E98:E99">
    <cfRule type="expression" dxfId="15" priority="17">
      <formula>$J98="잔금"</formula>
    </cfRule>
  </conditionalFormatting>
  <conditionalFormatting sqref="F98:F99">
    <cfRule type="expression" dxfId="14" priority="16">
      <formula>$J98="잔금"</formula>
    </cfRule>
  </conditionalFormatting>
  <conditionalFormatting sqref="F104:F105">
    <cfRule type="expression" dxfId="13" priority="14">
      <formula>$J104="잔금"</formula>
    </cfRule>
  </conditionalFormatting>
  <conditionalFormatting sqref="H104:H105">
    <cfRule type="expression" dxfId="12" priority="13">
      <formula>$J104="잔금"</formula>
    </cfRule>
  </conditionalFormatting>
  <conditionalFormatting sqref="E106:E108">
    <cfRule type="expression" dxfId="11" priority="12">
      <formula>$J106="잔금"</formula>
    </cfRule>
  </conditionalFormatting>
  <conditionalFormatting sqref="F106:F108">
    <cfRule type="expression" dxfId="10" priority="11">
      <formula>$J106="잔금"</formula>
    </cfRule>
  </conditionalFormatting>
  <conditionalFormatting sqref="H106:H108">
    <cfRule type="expression" dxfId="9" priority="10">
      <formula>$J106="잔금"</formula>
    </cfRule>
  </conditionalFormatting>
  <conditionalFormatting sqref="E110">
    <cfRule type="expression" dxfId="8" priority="9">
      <formula>$J110="잔금"</formula>
    </cfRule>
  </conditionalFormatting>
  <conditionalFormatting sqref="F110">
    <cfRule type="expression" dxfId="7" priority="8">
      <formula>$J110="잔금"</formula>
    </cfRule>
  </conditionalFormatting>
  <conditionalFormatting sqref="E111:E113">
    <cfRule type="expression" dxfId="6" priority="7">
      <formula>$J111="잔금"</formula>
    </cfRule>
  </conditionalFormatting>
  <conditionalFormatting sqref="F111 F113">
    <cfRule type="expression" dxfId="5" priority="6">
      <formula>$J111="잔금"</formula>
    </cfRule>
  </conditionalFormatting>
  <conditionalFormatting sqref="F112">
    <cfRule type="expression" dxfId="4" priority="5">
      <formula>$J112="잔금"</formula>
    </cfRule>
  </conditionalFormatting>
  <conditionalFormatting sqref="H111:H113">
    <cfRule type="expression" dxfId="3" priority="4">
      <formula>$J111="잔금"</formula>
    </cfRule>
  </conditionalFormatting>
  <conditionalFormatting sqref="C111:C113">
    <cfRule type="expression" dxfId="2" priority="3">
      <formula>$J111="잔금"</formula>
    </cfRule>
  </conditionalFormatting>
  <conditionalFormatting sqref="E117">
    <cfRule type="expression" dxfId="1" priority="2">
      <formula>$J117="잔금"</formula>
    </cfRule>
  </conditionalFormatting>
  <conditionalFormatting sqref="F117">
    <cfRule type="expression" dxfId="0" priority="1">
      <formula>$J117="잔금"</formula>
    </cfRule>
  </conditionalFormatting>
  <dataValidations count="3">
    <dataValidation type="list" allowBlank="1" sqref="D2:D409">
      <formula1>"A,B,C"</formula1>
    </dataValidation>
    <dataValidation type="list" allowBlank="1" sqref="G2:G71">
      <formula1>"선급금,중도금,잔금,자재,특허료"</formula1>
    </dataValidation>
    <dataValidation type="list" allowBlank="1" sqref="N2:N118 N120:N12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2026-02-27T02:43:42Z</dcterms:modified>
</cp:coreProperties>
</file>