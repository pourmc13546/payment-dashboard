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<sst xmlns="http://schemas.openxmlformats.org/spreadsheetml/2006/main" count="1464" uniqueCount="443">
  <si>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</si>
  <si>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</si>
  <si>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</si>
  <si>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</si>
  <si>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</si>
  <si>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</si>
  <si>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</si>
  <si>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</si>
  <si>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</si>
  <si>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</si>
  <si>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</si>
  <si>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</si>
  <si>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</si>
  <si>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</si>
  <si>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</si>
  <si>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</si>
  <si>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</si>
  <si>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</si>
  <si>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</si>
  <si>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</si>
  <si>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</si>
  <si>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</si>
  <si>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</si>
  <si>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</si>
  <si>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</si>
  <si>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</si>
  <si>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</si>
  <si>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</si>
  <si>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</si>
  <si>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</si>
  <si>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</si>
  <si>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</si>
  <si>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</si>
  <si>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</si>
  <si>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</si>
  <si>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</si>
  <si>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</si>
  <si>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</si>
  <si>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</si>
  <si>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</si>
  <si>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</si>
  <si>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</si>
  <si>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</si>
  <si>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</si>
  <si>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</si>
  <si>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</si>
  <si>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</si>
  <si>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</si>
  <si>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</si>
  <si>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</si>
  <si>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</si>
  <si>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</si>
  <si>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</si>
  <si>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</si>
  <si>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</si>
  <si>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</si>
  <si>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</si>
  <si>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</si>
  <si>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</si>
  <si>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</si>
  <si>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</si>
  <si>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</si>
  <si>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</si>
  <si>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</si>
  <si>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</si>
  <si>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</si>
  <si>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</si>
  <si>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</si>
  <si>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</si>
  <si>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</si>
  <si>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</si>
  <si>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</si>
  <si>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</si>
  <si>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</si>
  <si>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</si>
  <si>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</si>
  <si>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</si>
  <si>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</si>
  <si>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</si>
  <si>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</si>
  <si>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</si>
  <si>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</si>
  <si>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</si>
  <si>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</si>
  <si>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</si>
  <si>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</si>
  <si>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</si>
  <si>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</si>
  <si>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</si>
  <si>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</si>
  <si>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</si>
  <si>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</si>
  <si>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</si>
  <si>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</si>
  <si>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</si>
  <si>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</si>
  <si>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</si>
  <si>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</si>
  <si>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</si>
  <si>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</si>
  <si>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</si>
  <si>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</si>
  <si>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</si>
  <si>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</si>
  <si>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</si>
  <si>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</si>
  <si>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</si>
  <si>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</si>
  <si>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</si>
  <si>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</si>
  <si>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</si>
  <si>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</si>
  <si>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</si>
  <si>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</si>
  <si>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</si>
  <si>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</si>
  <si>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</si>
  <si>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</si>
  <si>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</si>
  <si>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</si>
  <si>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</si>
  <si>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</si>
  <si>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</si>
  <si>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</si>
  <si>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</si>
  <si>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</si>
  <si>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</si>
  <si>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</si>
  <si>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</si>
  <si>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</si>
  <si>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</si>
  <si>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</si>
  <si>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</si>
  <si>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</si>
  <si>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</si>
  <si>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</si>
  <si>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</si>
  <si>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</si>
  <si>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</si>
  <si>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</si>
  <si>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</si>
  <si>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</si>
  <si>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</si>
  <si>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</si>
  <si>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</si>
  <si>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</si>
  <si>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</si>
  <si>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</si>
  <si>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</si>
  <si>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</si>
  <si>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</si>
  <si>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</si>
  <si>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</si>
  <si>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</si>
  <si>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</si>
  <si>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</si>
  <si>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</si>
  <si>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</si>
  <si>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</si>
  <si>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</si>
  <si>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</si>
  <si>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</si>
  <si>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</si>
  <si>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</si>
  <si>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</si>
  <si>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</si>
  <si>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</si>
  <si>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</si>
  <si>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</si>
  <si>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</si>
  <si>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</si>
  <si>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</si>
  <si>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</si>
  <si>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</si>
  <si>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</si>
  <si>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</si>
  <si>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</si>
  <si>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</si>
  <si>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</si>
  <si>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</si>
  <si>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</si>
  <si>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</si>
  <si>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</si>
  <si>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</si>
  <si>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</si>
  <si>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</si>
  <si>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</si>
  <si>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</si>
  <si>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</si>
  <si>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</si>
  <si>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</si>
  <si>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</si>
  <si>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</si>
  <si>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</si>
  <si>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</si>
  <si>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</si>
  <si>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</si>
  <si>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</si>
  <si>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</si>
  <si>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</si>
  <si>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</si>
  <si>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</si>
  <si>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</si>
  <si>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</si>
  <si>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</si>
  <si>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</si>
  <si>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</si>
  <si>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</si>
  <si>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</si>
  <si>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</si>
  <si>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</si>
  <si>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</si>
  <si>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</si>
  <si>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</si>
  <si>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</si>
  <si>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</si>
  <si>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</si>
  <si>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</si>
  <si>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</si>
  <si>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</si>
  <si>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</si>
  <si>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</si>
  <si>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</si>
  <si>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</si>
  <si>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</si>
  <si>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</si>
  <si>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</si>
  <si>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</si>
  <si>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</si>
  <si>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</si>
  <si>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</si>
  <si>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</si>
  <si>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</si>
  <si>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</si>
  <si>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</si>
  <si>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</si>
  <si>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</si>
  <si>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</si>
  <si>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</si>
  <si>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</si>
  <si>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</si>
  <si>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</si>
  <si>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</si>
  <si>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</si>
  <si>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</si>
  <si>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</si>
  <si>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</si>
  <si>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</si>
  <si>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</si>
  <si>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</si>
  <si>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</si>
  <si>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</si>
  <si>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</si>
  <si>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</si>
  <si>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</si>
  <si>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</si>
  <si>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</si>
  <si>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</si>
  <si>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</si>
  <si>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</si>
  <si>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</si>
  <si>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</si>
  <si>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</si>
  <si>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</si>
  <si>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</si>
  <si>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</si>
  <si>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</si>
  <si>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</si>
  <si>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</si>
  <si>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</si>
  <si>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</si>
  <si>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</si>
  <si>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</si>
  <si>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</si>
  <si>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</si>
  <si>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</si>
  <si>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</si>
  <si>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</si>
  <si>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</si>
  <si>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</si>
  <si>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</si>
  <si>
    <t>2026-03-10</t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</si>
  <si>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</si>
  <si>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</si>
  <si>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</si>
  <si>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</si>
  <si>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</si>
  <si>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2026-03-11</t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</si>
  <si>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</si>
  <si>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</si>
  <si>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</si>
  <si>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</si>
  <si>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</si>
  <si>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</si>
  <si>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</si>
  <si>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</si>
  <si>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</si>
  <si>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</si>
  <si>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</si>
  <si>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</si>
  <si>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</si>
  <si>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</si>
  <si>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</si>
  <si>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</si>
  <si>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</si>
  <si>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</si>
  <si>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</si>
  <si>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</si>
  <si>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</si>
  <si>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</si>
  <si>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</si>
  <si>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</si>
  <si>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</si>
  <si>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</si>
  <si>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</si>
  <si>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</si>
  <si>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</si>
  <si>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</si>
  <si>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2026-03-12</t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</si>
  <si>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</si>
  <si>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</si>
  <si>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</si>
  <si>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</si>
  <si>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</si>
  <si>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</si>
  <si>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</si>
  <si>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</si>
  <si>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</si>
  <si>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</si>
  <si>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</si>
  <si>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</si>
  <si>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</si>
  <si>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2026-03-13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</si>
  <si>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</si>
  <si>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</si>
  <si>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</si>
  <si>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</si>
  <si>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2026-03-17</t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</si>
  <si>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</si>
  <si>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</si>
  <si>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</si>
  <si>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</si>
  <si>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</si>
  <si>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</si>
  <si>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</si>
  <si>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</si>
  <si>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</si>
  <si>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</si>
  <si>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</si>
  <si>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</si>
  <si>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</si>
  <si>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</si>
  <si>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</si>
  <si>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</si>
  <si>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</si>
  <si>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</si>
  <si>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</si>
  <si>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</si>
  <si>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</si>
  <si>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</si>
  <si>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</si>
  <si>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</si>
  <si>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</si>
  <si>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</si>
  <si>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</si>
  <si>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</si>
  <si>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</si>
  <si>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</si>
  <si>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</si>
  <si>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</si>
  <si>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</si>
  <si>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</si>
  <si>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</si>
  <si>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</si>
  <si>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</si>
  <si>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</si>
  <si>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</si>
  <si>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</si>
  <si>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</si>
  <si>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</si>
  <si>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</si>
  <si>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</si>
  <si>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</si>
  <si>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</si>
  <si>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</si>
  <si>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2026-03-18</t>
  </si>
  <si>
    <t>2026-03-19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</si>
  <si>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</si>
  <si>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</si>
  <si>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</si>
  <si>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</si>
  <si>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</si>
  <si>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</si>
  <si>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</si>
  <si>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</si>
  <si>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</si>
  <si>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</si>
  <si>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</si>
  <si>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</si>
  <si>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</si>
  <si>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</si>
  <si>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</si>
  <si>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</si>
  <si>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</si>
  <si>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2026-03-20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</si>
  <si>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</si>
  <si>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</si>
  <si>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</si>
  <si>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</si>
  <si>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</si>
  <si>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</si>
  <si>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</si>
  <si>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</si>
  <si>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</si>
  <si>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</si>
  <si>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2026-03-23</t>
  </si>
  <si>
    <t>2026-03-24</t>
  </si>
  <si>
    <t>호연상사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</si>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</sst>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 applyAlignme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74"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S409"/>
  <sheetViews>
    <sheetView tabSelected="1" zoomScaleNormal="100" workbookViewId="0">
      <pane xSplit="5" ySplit="1" topLeftCell="F103" activePane="bottomRight" state="frozen"/>
      <selection pane="topRight"/>
      <selection pane="bottomLeft"/>
      <selection pane="bottomRight" activeCell="L246" sqref="L246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309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>
        <v>46092</v>
      </c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139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289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191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141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96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91</v>
      </c>
      <c r="J10" s="13" t="str">
        <f t="shared" ca="1" si="2"/>
        <v>장기미수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274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134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hidden="1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449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hidden="1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869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hidden="1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673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hidden="1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513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hidden="1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651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hidden="1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650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hidden="1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742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hidden="1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384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hidden="1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379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hidden="1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369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hidden="1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363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hidden="1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359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hidden="1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359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hidden="1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358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hidden="1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356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hidden="1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335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hidden="1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321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hidden="1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300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hidden="1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288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hidden="1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258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hidden="1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236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hidden="1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307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hidden="1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231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hidden="1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209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hidden="1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204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hidden="1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189</v>
      </c>
      <c r="J40" s="13" t="str">
        <f t="shared" ca="1" si="2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hidden="1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161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hidden="1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159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hidden="1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hidden="1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148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hidden="1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hidden="1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hidden="1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137</v>
      </c>
      <c r="J47" s="13" t="str">
        <f t="shared" ca="1" si="2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hidden="1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134</v>
      </c>
      <c r="J48" s="13" t="str">
        <f t="shared" ca="1" si="2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hidden="1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>
        <v>46091</v>
      </c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hidden="1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hidden="1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hidden="1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hidden="1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hidden="1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84</v>
      </c>
      <c r="J54" s="13" t="str">
        <f t="shared" ca="1" si="2"/>
        <v>관리</v>
      </c>
      <c r="K54" s="11"/>
      <c r="L54" s="11">
        <v>46092</v>
      </c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hidden="1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hidden="1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hidden="1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401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hidden="1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266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hidden="1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266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hidden="1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217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hidden="1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hidden="1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hidden="1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hidden="1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hidden="1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hidden="1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97</v>
      </c>
      <c r="J66" s="13" t="str">
        <f t="shared" ca="1" si="5"/>
        <v>장기미수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hidden="1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79</v>
      </c>
      <c r="J67" s="13" t="str">
        <f t="shared" ca="1" si="5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hidden="1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hidden="1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hidden="1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hidden="1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hidden="1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65</v>
      </c>
      <c r="J72" s="13" t="str">
        <f t="shared" ca="1" si="5"/>
        <v>관리</v>
      </c>
      <c r="K72" s="11"/>
      <c r="L72" s="11">
        <v>46092</v>
      </c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hidden="1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79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hidden="1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hidden="1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hidden="1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76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hidden="1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40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hidden="1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hidden="1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hidden="1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hidden="1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68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hidden="1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hidden="1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64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hidden="1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50</v>
      </c>
      <c r="J84" s="13" t="str">
        <f t="shared" ca="1" si="5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hidden="1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62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hidden="1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62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hidden="1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58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hidden="1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hidden="1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55</v>
      </c>
      <c r="J89" s="13" t="str">
        <f t="shared" ca="1" si="5"/>
        <v>관리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hidden="1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55</v>
      </c>
      <c r="J90" s="13" t="str">
        <f t="shared" ca="1" si="5"/>
        <v>관리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hidden="1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hidden="1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51</v>
      </c>
      <c r="J92" s="13" t="str">
        <f t="shared" ca="1" si="5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hidden="1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hidden="1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hidden="1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hidden="1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44</v>
      </c>
      <c r="J96" s="13" t="str">
        <f t="shared" ca="1" si="5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hidden="1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hidden="1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43</v>
      </c>
      <c r="J98" s="13" t="str">
        <f t="shared" ca="1" si="5"/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hidden="1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43</v>
      </c>
      <c r="J99" s="13" t="str">
        <f t="shared" ca="1" si="5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hidden="1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79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hidden="1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hidden="1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hidden="1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42</v>
      </c>
      <c r="J104" s="13" t="str">
        <f t="shared" ca="1" si="5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hidden="1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42</v>
      </c>
      <c r="J105" s="13" t="str">
        <f t="shared" ca="1" si="5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hidden="1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41</v>
      </c>
      <c r="J106" s="13" t="str">
        <f t="shared" ca="1" si="5"/>
        <v>관리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hidden="1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hidden="1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41</v>
      </c>
      <c r="J108" s="13" t="str">
        <f t="shared" ca="1" si="5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hidden="1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40</v>
      </c>
      <c r="J109" s="13" t="str">
        <f t="shared" ca="1" si="5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hidden="1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39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hidden="1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hidden="1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33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hidden="1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hidden="1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30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hidden="1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30</v>
      </c>
      <c r="J115" s="13" t="str">
        <f t="shared" ref="J115:J179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hidden="1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hidden="1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29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hidden="1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hidden="1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28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hidden="1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hidden="1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hidden="1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26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hidden="1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26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hidden="1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hidden="1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26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hidden="1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26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hidden="1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22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hidden="1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22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hidden="1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22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hidden="1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hidden="1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hidden="1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hidden="1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22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hidden="1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22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hidden="1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22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11171400</v>
      </c>
      <c r="I138" s="6">
        <f t="shared" ca="1" si="10"/>
        <v>13</v>
      </c>
      <c r="J138" s="13" t="str">
        <f t="shared" ca="1" si="11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441</v>
      </c>
      <c r="F139" s="62" t="s">
        <v>440</v>
      </c>
      <c r="G139" s="6" t="s">
        <v>442</v>
      </c>
      <c r="H139" s="61">
        <v>11115400</v>
      </c>
      <c r="I139" s="6">
        <f t="shared" ca="1" si="10"/>
        <v>21</v>
      </c>
      <c r="J139" s="13" t="str">
        <f t="shared" ca="1" si="11"/>
        <v>관리</v>
      </c>
      <c r="K139" s="11"/>
      <c r="L139" s="11"/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46085</v>
      </c>
      <c r="D140" s="10" t="str">
        <f t="shared" si="9"/>
        <v>A</v>
      </c>
      <c r="E140" s="57" t="s">
        <v>239</v>
      </c>
      <c r="F140" s="6" t="s">
        <v>241</v>
      </c>
      <c r="G140" s="6" t="s">
        <v>237</v>
      </c>
      <c r="H140" s="59">
        <v>9772000</v>
      </c>
      <c r="I140" s="6">
        <f t="shared" ca="1" si="10"/>
        <v>0</v>
      </c>
      <c r="J140" s="13" t="str">
        <f t="shared" ca="1" si="11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ref="D141:D203" si="12">IF(G141="","",IF(OR(G141="선급금",G141="중도금",G141="잔금"),"A",IF(G141="자재","B",IF(G141="특허료","C",""))))</f>
        <v>A</v>
      </c>
      <c r="E141" s="57" t="s">
        <v>239</v>
      </c>
      <c r="F141" s="57" t="s">
        <v>236</v>
      </c>
      <c r="G141" s="6" t="s">
        <v>240</v>
      </c>
      <c r="H141" s="61">
        <v>19544000</v>
      </c>
      <c r="I141" s="6">
        <f t="shared" ref="I141:I203" ca="1" si="13">IF(C141="","",IF(L141="",TODAY()-C141,L141-C141))</f>
        <v>4</v>
      </c>
      <c r="J141" s="13" t="str">
        <f t="shared" ca="1" si="11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tr">
        <f t="shared" si="12"/>
        <v>A</v>
      </c>
      <c r="E142" s="6" t="s">
        <v>244</v>
      </c>
      <c r="F142" s="6" t="s">
        <v>242</v>
      </c>
      <c r="G142" s="6" t="s">
        <v>243</v>
      </c>
      <c r="H142" s="60">
        <v>30186600</v>
      </c>
      <c r="I142" s="6">
        <f t="shared" ca="1" si="13"/>
        <v>20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hidden="1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203</v>
      </c>
      <c r="F143" s="23" t="s">
        <v>204</v>
      </c>
      <c r="G143" s="6" t="s">
        <v>250</v>
      </c>
      <c r="H143" s="25">
        <v>577500</v>
      </c>
      <c r="I143" s="6">
        <f t="shared" ca="1" si="13"/>
        <v>20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hidden="1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215</v>
      </c>
      <c r="F144" s="23" t="s">
        <v>210</v>
      </c>
      <c r="G144" s="6" t="s">
        <v>250</v>
      </c>
      <c r="H144" s="25">
        <v>226000</v>
      </c>
      <c r="I144" s="6">
        <f t="shared" ca="1" si="13"/>
        <v>20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hidden="1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26</v>
      </c>
      <c r="F145" s="23" t="s">
        <v>258</v>
      </c>
      <c r="G145" s="6" t="s">
        <v>250</v>
      </c>
      <c r="H145" s="25">
        <v>237000</v>
      </c>
      <c r="I145" s="6">
        <f t="shared" ca="1" si="13"/>
        <v>20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hidden="1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248</v>
      </c>
      <c r="F146" s="23" t="s">
        <v>245</v>
      </c>
      <c r="G146" s="6" t="s">
        <v>250</v>
      </c>
      <c r="H146" s="25">
        <v>167500</v>
      </c>
      <c r="I146" s="6">
        <f t="shared" ca="1" si="13"/>
        <v>20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hidden="1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128</v>
      </c>
      <c r="F147" s="23" t="s">
        <v>246</v>
      </c>
      <c r="G147" s="6" t="s">
        <v>250</v>
      </c>
      <c r="H147" s="25">
        <v>3179600</v>
      </c>
      <c r="I147" s="6">
        <f t="shared" ca="1" si="13"/>
        <v>20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hidden="1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5500000</v>
      </c>
      <c r="I148" s="6">
        <f t="shared" ca="1" si="13"/>
        <v>20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hidden="1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219</v>
      </c>
      <c r="G149" s="6" t="s">
        <v>250</v>
      </c>
      <c r="H149" s="25">
        <v>1801000</v>
      </c>
      <c r="I149" s="6">
        <f t="shared" ca="1" si="13"/>
        <v>20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hidden="1" customHeight="1">
      <c r="B150" s="10">
        <f>IF(C150="","",COUNTA($C$2:C150))</f>
        <v>149</v>
      </c>
      <c r="C150" s="58">
        <v>46086</v>
      </c>
      <c r="D150" s="10" t="s">
        <v>249</v>
      </c>
      <c r="E150" s="23" t="s">
        <v>227</v>
      </c>
      <c r="F150" s="23" t="s">
        <v>247</v>
      </c>
      <c r="G150" s="6" t="s">
        <v>250</v>
      </c>
      <c r="H150" s="25">
        <v>6400500</v>
      </c>
      <c r="I150" s="6">
        <f ca="1">IF(C150="","",IF(L150="",TODAY()-C150,L150-C150))</f>
        <v>20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58">
        <v>46087</v>
      </c>
      <c r="D151" s="10" t="s">
        <v>253</v>
      </c>
      <c r="E151" s="6" t="s">
        <v>257</v>
      </c>
      <c r="F151" s="6" t="s">
        <v>256</v>
      </c>
      <c r="G151" s="6" t="s">
        <v>237</v>
      </c>
      <c r="H151" s="4">
        <v>5358400</v>
      </c>
      <c r="I151" s="6">
        <f ca="1">IF(C151="","",IF(L151="",TODAY()-C151,L151-C151))</f>
        <v>19</v>
      </c>
      <c r="J151" s="13" t="str">
        <f t="shared" ca="1" si="11"/>
        <v>정상</v>
      </c>
      <c r="K151" s="11"/>
      <c r="L151" s="11"/>
      <c r="M151" s="10"/>
      <c r="N151" s="10" t="s">
        <v>33</v>
      </c>
      <c r="Q151" s="11"/>
      <c r="R151" s="11"/>
      <c r="S151" s="10"/>
    </row>
    <row r="152" spans="2:19" s="6" customFormat="1" ht="16.5" hidden="1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126</v>
      </c>
      <c r="F152" s="23" t="s">
        <v>260</v>
      </c>
      <c r="G152" s="6" t="s">
        <v>266</v>
      </c>
      <c r="H152" s="25">
        <v>753000</v>
      </c>
      <c r="I152" s="6">
        <f t="shared" ca="1" si="13"/>
        <v>0</v>
      </c>
      <c r="J152" s="13" t="str">
        <f t="shared" ca="1" si="11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hidden="1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203</v>
      </c>
      <c r="F153" s="23" t="s">
        <v>261</v>
      </c>
      <c r="G153" s="6" t="s">
        <v>266</v>
      </c>
      <c r="H153" s="25">
        <v>3230000</v>
      </c>
      <c r="I153" s="6">
        <f t="shared" ca="1" si="13"/>
        <v>19</v>
      </c>
      <c r="J153" s="13" t="str">
        <f t="shared" ca="1" si="11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hidden="1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130</v>
      </c>
      <c r="F154" s="23" t="s">
        <v>262</v>
      </c>
      <c r="G154" s="6" t="s">
        <v>266</v>
      </c>
      <c r="H154" s="25">
        <v>5030650</v>
      </c>
      <c r="I154" s="6">
        <f t="shared" ca="1" si="13"/>
        <v>0</v>
      </c>
      <c r="J154" s="13" t="str">
        <f t="shared" ca="1" si="11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hidden="1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259</v>
      </c>
      <c r="F155" s="23" t="s">
        <v>263</v>
      </c>
      <c r="G155" s="6" t="s">
        <v>266</v>
      </c>
      <c r="H155" s="25">
        <v>9140500</v>
      </c>
      <c r="I155" s="6">
        <f t="shared" ca="1" si="13"/>
        <v>10</v>
      </c>
      <c r="J155" s="13" t="str">
        <f t="shared" ca="1" si="11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hidden="1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16695000</v>
      </c>
      <c r="I156" s="6">
        <f t="shared" ca="1" si="13"/>
        <v>19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hidden="1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228</v>
      </c>
      <c r="F157" s="23" t="s">
        <v>222</v>
      </c>
      <c r="G157" s="6" t="s">
        <v>266</v>
      </c>
      <c r="H157" s="25">
        <v>1870000</v>
      </c>
      <c r="I157" s="6">
        <f t="shared" ca="1" si="13"/>
        <v>19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hidden="1" customHeight="1">
      <c r="B158" s="10">
        <f>IF(C158="","",COUNTA($C$2:C158))</f>
        <v>157</v>
      </c>
      <c r="C158" s="35" t="s">
        <v>265</v>
      </c>
      <c r="D158" s="10" t="s">
        <v>182</v>
      </c>
      <c r="E158" s="23" t="s">
        <v>82</v>
      </c>
      <c r="F158" s="23" t="s">
        <v>264</v>
      </c>
      <c r="G158" s="6" t="s">
        <v>266</v>
      </c>
      <c r="H158" s="25">
        <v>12478000</v>
      </c>
      <c r="I158" s="6">
        <f t="shared" ca="1" si="13"/>
        <v>19</v>
      </c>
      <c r="J158" s="13" t="str">
        <f t="shared" ca="1" si="11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63">
        <v>46090</v>
      </c>
      <c r="D159" s="10" t="str">
        <f t="shared" si="12"/>
        <v>A</v>
      </c>
      <c r="E159" s="6" t="s">
        <v>271</v>
      </c>
      <c r="F159" s="6" t="s">
        <v>270</v>
      </c>
      <c r="G159" s="6" t="s">
        <v>272</v>
      </c>
      <c r="H159" s="4">
        <v>29070400</v>
      </c>
      <c r="I159" s="6">
        <f t="shared" ca="1" si="13"/>
        <v>4</v>
      </c>
      <c r="J159" s="13" t="str">
        <f t="shared" ca="1" si="11"/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hidden="1" customHeight="1">
      <c r="B160" s="10">
        <f>IF(C160="","",COUNTA($C$2:C160))</f>
        <v>159</v>
      </c>
      <c r="C160" s="35" t="s">
        <v>279</v>
      </c>
      <c r="D160" s="10" t="str">
        <f t="shared" si="12"/>
        <v>B</v>
      </c>
      <c r="E160" s="23" t="s">
        <v>207</v>
      </c>
      <c r="F160" s="23" t="s">
        <v>273</v>
      </c>
      <c r="G160" s="6" t="s">
        <v>280</v>
      </c>
      <c r="H160" s="25">
        <v>3390000</v>
      </c>
      <c r="I160" s="6">
        <f t="shared" ca="1" si="13"/>
        <v>16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hidden="1" customHeight="1">
      <c r="B161" s="10">
        <f>IF(C161="","",COUNTA($C$2:C161))</f>
        <v>160</v>
      </c>
      <c r="C161" s="35" t="s">
        <v>279</v>
      </c>
      <c r="D161" s="10" t="str">
        <f t="shared" si="12"/>
        <v>B</v>
      </c>
      <c r="E161" s="23" t="s">
        <v>277</v>
      </c>
      <c r="F161" s="23" t="s">
        <v>274</v>
      </c>
      <c r="G161" s="6" t="s">
        <v>280</v>
      </c>
      <c r="H161" s="25">
        <v>9140500</v>
      </c>
      <c r="I161" s="6">
        <f t="shared" ca="1" si="13"/>
        <v>16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hidden="1" customHeight="1">
      <c r="B162" s="10">
        <f>IF(C162="","",COUNTA($C$2:C162))</f>
        <v>161</v>
      </c>
      <c r="C162" s="35" t="s">
        <v>279</v>
      </c>
      <c r="D162" s="10" t="str">
        <f t="shared" si="12"/>
        <v>B</v>
      </c>
      <c r="E162" s="23" t="s">
        <v>215</v>
      </c>
      <c r="F162" s="23" t="s">
        <v>275</v>
      </c>
      <c r="G162" s="6" t="s">
        <v>280</v>
      </c>
      <c r="H162" s="25">
        <v>4719500</v>
      </c>
      <c r="I162" s="6">
        <f t="shared" ca="1" si="13"/>
        <v>16</v>
      </c>
      <c r="J162" s="13" t="str">
        <f t="shared" ca="1" si="11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hidden="1" customHeight="1">
      <c r="B163" s="10">
        <f>IF(C163="","",COUNTA($C$2:C163))</f>
        <v>162</v>
      </c>
      <c r="C163" s="35" t="s">
        <v>279</v>
      </c>
      <c r="D163" s="10" t="str">
        <f t="shared" si="12"/>
        <v>B</v>
      </c>
      <c r="E163" s="23" t="s">
        <v>278</v>
      </c>
      <c r="F163" s="23" t="s">
        <v>276</v>
      </c>
      <c r="G163" s="6" t="s">
        <v>280</v>
      </c>
      <c r="H163" s="25">
        <v>38534600</v>
      </c>
      <c r="I163" s="6">
        <f t="shared" ca="1" si="13"/>
        <v>1</v>
      </c>
      <c r="J163" s="13" t="str">
        <f t="shared" ca="1" si="11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5" t="s">
        <v>281</v>
      </c>
      <c r="D164" s="10" t="s">
        <v>253</v>
      </c>
      <c r="E164" s="6" t="s">
        <v>283</v>
      </c>
      <c r="F164" s="6" t="s">
        <v>282</v>
      </c>
      <c r="G164" s="6" t="s">
        <v>284</v>
      </c>
      <c r="H164" s="4">
        <v>13694000</v>
      </c>
      <c r="I164" s="6">
        <f t="shared" ca="1" si="13"/>
        <v>3</v>
      </c>
      <c r="J164" s="13" t="str">
        <f t="shared" ca="1" si="11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5">
        <v>46091</v>
      </c>
      <c r="D165" s="10" t="str">
        <f t="shared" si="12"/>
        <v>A</v>
      </c>
      <c r="E165" s="6" t="s">
        <v>286</v>
      </c>
      <c r="F165" s="6" t="s">
        <v>285</v>
      </c>
      <c r="G165" s="6" t="s">
        <v>288</v>
      </c>
      <c r="H165" s="4">
        <v>59166000</v>
      </c>
      <c r="I165" s="6">
        <f t="shared" ca="1" si="13"/>
        <v>3</v>
      </c>
      <c r="J165" s="13" t="str">
        <f t="shared" ca="1" si="11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hidden="1" customHeight="1">
      <c r="B166" s="10">
        <f>IF(C166="","",COUNTA($C$2:C166))</f>
        <v>165</v>
      </c>
      <c r="C166" s="35">
        <v>46092</v>
      </c>
      <c r="D166" s="10" t="s">
        <v>185</v>
      </c>
      <c r="E166" s="6" t="s">
        <v>290</v>
      </c>
      <c r="F166" s="6" t="s">
        <v>289</v>
      </c>
      <c r="G166" s="6" t="s">
        <v>173</v>
      </c>
      <c r="H166" s="4">
        <v>4500000</v>
      </c>
      <c r="I166" s="6">
        <f t="shared" ca="1" si="13"/>
        <v>14</v>
      </c>
      <c r="J166" s="13" t="str">
        <f t="shared" ca="1" si="11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hidden="1" customHeight="1">
      <c r="B167" s="10">
        <f>IF(C167="","",COUNTA($C$2:C167))</f>
        <v>166</v>
      </c>
      <c r="C167" s="35" t="s">
        <v>281</v>
      </c>
      <c r="D167" s="10" t="str">
        <f t="shared" si="12"/>
        <v>B</v>
      </c>
      <c r="E167" s="23" t="s">
        <v>227</v>
      </c>
      <c r="F167" s="23" t="s">
        <v>291</v>
      </c>
      <c r="G167" s="6" t="s">
        <v>310</v>
      </c>
      <c r="H167" s="25">
        <v>8400000</v>
      </c>
      <c r="I167" s="6">
        <f t="shared" ca="1" si="13"/>
        <v>15</v>
      </c>
      <c r="J167" s="13" t="str">
        <f t="shared" ca="1" si="11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hidden="1" customHeight="1">
      <c r="B168" s="10">
        <f>IF(C168="","",COUNTA($C$2:C168))</f>
        <v>167</v>
      </c>
      <c r="C168" s="35" t="s">
        <v>281</v>
      </c>
      <c r="D168" s="10" t="str">
        <f t="shared" si="12"/>
        <v>B</v>
      </c>
      <c r="E168" s="23" t="s">
        <v>24</v>
      </c>
      <c r="F168" s="23" t="s">
        <v>193</v>
      </c>
      <c r="G168" s="6" t="s">
        <v>310</v>
      </c>
      <c r="H168" s="25">
        <v>46282000</v>
      </c>
      <c r="I168" s="6">
        <f t="shared" ca="1" si="13"/>
        <v>15</v>
      </c>
      <c r="J168" s="13" t="str">
        <f t="shared" ca="1" si="11"/>
        <v>정상</v>
      </c>
      <c r="K168" s="11"/>
      <c r="L168" s="11"/>
      <c r="M168" s="10"/>
      <c r="N168" s="10" t="s">
        <v>33</v>
      </c>
      <c r="Q168" s="11"/>
      <c r="R168" s="11"/>
      <c r="S168" s="10"/>
    </row>
    <row r="169" spans="2:19" s="6" customFormat="1" ht="16.5" hidden="1" customHeight="1">
      <c r="B169" s="10">
        <f>IF(C169="","",COUNTA($C$2:C169))</f>
        <v>168</v>
      </c>
      <c r="C169" s="35" t="s">
        <v>281</v>
      </c>
      <c r="D169" s="10" t="str">
        <f t="shared" si="12"/>
        <v>B</v>
      </c>
      <c r="E169" s="23" t="s">
        <v>56</v>
      </c>
      <c r="F169" s="23" t="s">
        <v>292</v>
      </c>
      <c r="G169" s="6" t="s">
        <v>310</v>
      </c>
      <c r="H169" s="25">
        <v>1832500</v>
      </c>
      <c r="I169" s="6">
        <f t="shared" ca="1" si="13"/>
        <v>0</v>
      </c>
      <c r="J169" s="13" t="str">
        <f t="shared" ca="1" si="11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hidden="1" customHeight="1">
      <c r="B170" s="10">
        <f>IF(C170="","",COUNTA($C$2:C170))</f>
        <v>169</v>
      </c>
      <c r="C170" s="35" t="s">
        <v>281</v>
      </c>
      <c r="D170" s="10" t="str">
        <f t="shared" si="12"/>
        <v>B</v>
      </c>
      <c r="E170" s="23" t="s">
        <v>122</v>
      </c>
      <c r="F170" s="23" t="s">
        <v>293</v>
      </c>
      <c r="G170" s="6" t="s">
        <v>310</v>
      </c>
      <c r="H170" s="25">
        <v>222000</v>
      </c>
      <c r="I170" s="6">
        <f t="shared" ca="1" si="13"/>
        <v>3</v>
      </c>
      <c r="J170" s="13" t="str">
        <f t="shared" ca="1" si="11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hidden="1" customHeight="1">
      <c r="B171" s="10">
        <f>IF(C171="","",COUNTA($C$2:C171))</f>
        <v>170</v>
      </c>
      <c r="C171" s="35" t="s">
        <v>281</v>
      </c>
      <c r="D171" s="10" t="str">
        <f t="shared" si="12"/>
        <v>B</v>
      </c>
      <c r="E171" s="23" t="s">
        <v>277</v>
      </c>
      <c r="F171" s="23" t="s">
        <v>294</v>
      </c>
      <c r="G171" s="6" t="s">
        <v>310</v>
      </c>
      <c r="H171" s="25">
        <v>14080000</v>
      </c>
      <c r="I171" s="6">
        <f t="shared" ca="1" si="13"/>
        <v>15</v>
      </c>
      <c r="J171" s="13" t="str">
        <f t="shared" ca="1" si="11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hidden="1" customHeight="1">
      <c r="B172" s="10">
        <f>IF(C172="","",COUNTA($C$2:C172))</f>
        <v>171</v>
      </c>
      <c r="C172" s="35" t="s">
        <v>281</v>
      </c>
      <c r="D172" s="10" t="str">
        <f t="shared" si="12"/>
        <v>B</v>
      </c>
      <c r="E172" s="23" t="s">
        <v>259</v>
      </c>
      <c r="F172" s="23" t="s">
        <v>294</v>
      </c>
      <c r="G172" s="6" t="s">
        <v>310</v>
      </c>
      <c r="H172" s="25">
        <v>14080000</v>
      </c>
      <c r="I172" s="6">
        <f t="shared" ca="1" si="13"/>
        <v>6</v>
      </c>
      <c r="J172" s="13" t="str">
        <f t="shared" ca="1" si="11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hidden="1" customHeight="1">
      <c r="B173" s="10">
        <f>IF(C173="","",COUNTA($C$2:C173))</f>
        <v>172</v>
      </c>
      <c r="C173" s="35" t="s">
        <v>281</v>
      </c>
      <c r="D173" s="10" t="str">
        <f t="shared" si="12"/>
        <v>B</v>
      </c>
      <c r="E173" s="23" t="s">
        <v>231</v>
      </c>
      <c r="F173" s="23" t="s">
        <v>295</v>
      </c>
      <c r="G173" s="6" t="s">
        <v>310</v>
      </c>
      <c r="H173" s="25">
        <v>1186600</v>
      </c>
      <c r="I173" s="6">
        <f t="shared" ca="1" si="13"/>
        <v>15</v>
      </c>
      <c r="J173" s="13" t="str">
        <f t="shared" ca="1" si="11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hidden="1" customHeight="1">
      <c r="B174" s="10">
        <f>IF(C174="","",COUNTA($C$2:C174))</f>
        <v>173</v>
      </c>
      <c r="C174" s="35" t="s">
        <v>281</v>
      </c>
      <c r="D174" s="10" t="str">
        <f t="shared" si="12"/>
        <v>B</v>
      </c>
      <c r="E174" s="23" t="s">
        <v>62</v>
      </c>
      <c r="F174" s="23" t="s">
        <v>296</v>
      </c>
      <c r="G174" s="6" t="s">
        <v>310</v>
      </c>
      <c r="H174" s="25">
        <v>270000</v>
      </c>
      <c r="I174" s="6">
        <f t="shared" ca="1" si="13"/>
        <v>15</v>
      </c>
      <c r="J174" s="13" t="str">
        <f t="shared" ca="1" si="11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hidden="1" customHeight="1">
      <c r="B175" s="10">
        <f>IF(C175="","",COUNTA($C$2:C175))</f>
        <v>174</v>
      </c>
      <c r="C175" s="35" t="s">
        <v>281</v>
      </c>
      <c r="D175" s="10" t="str">
        <f t="shared" si="12"/>
        <v>B</v>
      </c>
      <c r="E175" s="23" t="s">
        <v>24</v>
      </c>
      <c r="F175" s="23" t="s">
        <v>297</v>
      </c>
      <c r="G175" s="6" t="s">
        <v>310</v>
      </c>
      <c r="H175" s="25">
        <v>5912000</v>
      </c>
      <c r="I175" s="6">
        <f t="shared" ca="1" si="13"/>
        <v>15</v>
      </c>
      <c r="J175" s="13" t="str">
        <f t="shared" ca="1" si="11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hidden="1" customHeight="1">
      <c r="B176" s="10">
        <f>IF(C176="","",COUNTA($C$2:C176))</f>
        <v>175</v>
      </c>
      <c r="C176" s="35" t="s">
        <v>281</v>
      </c>
      <c r="D176" s="10" t="str">
        <f t="shared" si="12"/>
        <v>B</v>
      </c>
      <c r="E176" s="23" t="s">
        <v>24</v>
      </c>
      <c r="F176" s="23" t="s">
        <v>193</v>
      </c>
      <c r="G176" s="6" t="s">
        <v>310</v>
      </c>
      <c r="H176" s="25">
        <v>4992000</v>
      </c>
      <c r="I176" s="6">
        <f t="shared" ca="1" si="13"/>
        <v>15</v>
      </c>
      <c r="J176" s="13" t="str">
        <f t="shared" ca="1" si="11"/>
        <v>정상</v>
      </c>
      <c r="K176" s="11"/>
      <c r="L176" s="11"/>
      <c r="M176" s="10"/>
      <c r="N176" s="10" t="s">
        <v>33</v>
      </c>
      <c r="Q176" s="11"/>
      <c r="R176" s="11"/>
      <c r="S176" s="10"/>
    </row>
    <row r="177" spans="2:19" s="6" customFormat="1" ht="16.5" hidden="1" customHeight="1">
      <c r="B177" s="10">
        <f>IF(C177="","",COUNTA($C$2:C177))</f>
        <v>176</v>
      </c>
      <c r="C177" s="35" t="s">
        <v>281</v>
      </c>
      <c r="D177" s="10" t="str">
        <f t="shared" si="12"/>
        <v>B</v>
      </c>
      <c r="E177" s="23" t="s">
        <v>130</v>
      </c>
      <c r="F177" s="23" t="s">
        <v>298</v>
      </c>
      <c r="G177" s="6" t="s">
        <v>310</v>
      </c>
      <c r="H177" s="25">
        <v>950350</v>
      </c>
      <c r="I177" s="6">
        <f t="shared" ca="1" si="13"/>
        <v>0</v>
      </c>
      <c r="J177" s="13" t="str">
        <f t="shared" ca="1" si="11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hidden="1" customHeight="1">
      <c r="B178" s="10">
        <f>IF(C178="","",COUNTA($C$2:C178))</f>
        <v>177</v>
      </c>
      <c r="C178" s="35" t="s">
        <v>281</v>
      </c>
      <c r="D178" s="10" t="str">
        <f t="shared" si="12"/>
        <v>B</v>
      </c>
      <c r="E178" s="23" t="s">
        <v>215</v>
      </c>
      <c r="F178" s="23" t="s">
        <v>299</v>
      </c>
      <c r="G178" s="6" t="s">
        <v>310</v>
      </c>
      <c r="H178" s="25">
        <v>770400</v>
      </c>
      <c r="I178" s="6">
        <f t="shared" ca="1" si="13"/>
        <v>15</v>
      </c>
      <c r="J178" s="13" t="str">
        <f t="shared" ca="1" si="11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hidden="1" customHeight="1">
      <c r="B179" s="10">
        <f>IF(C179="","",COUNTA($C$2:C179))</f>
        <v>178</v>
      </c>
      <c r="C179" s="35" t="s">
        <v>281</v>
      </c>
      <c r="D179" s="10" t="str">
        <f t="shared" si="12"/>
        <v>B</v>
      </c>
      <c r="E179" s="23" t="s">
        <v>307</v>
      </c>
      <c r="F179" s="23" t="s">
        <v>300</v>
      </c>
      <c r="G179" s="6" t="s">
        <v>310</v>
      </c>
      <c r="H179" s="25">
        <v>473600</v>
      </c>
      <c r="I179" s="6">
        <f t="shared" ca="1" si="13"/>
        <v>0</v>
      </c>
      <c r="J179" s="13" t="str">
        <f t="shared" ca="1" si="11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hidden="1" customHeight="1">
      <c r="B180" s="10">
        <f>IF(C180="","",COUNTA($C$2:C180))</f>
        <v>179</v>
      </c>
      <c r="C180" s="35" t="s">
        <v>287</v>
      </c>
      <c r="D180" s="10" t="str">
        <f t="shared" si="12"/>
        <v>B</v>
      </c>
      <c r="E180" s="23" t="s">
        <v>308</v>
      </c>
      <c r="F180" s="23" t="s">
        <v>301</v>
      </c>
      <c r="G180" s="6" t="s">
        <v>310</v>
      </c>
      <c r="H180" s="25">
        <v>121500</v>
      </c>
      <c r="I180" s="6">
        <f t="shared" ca="1" si="13"/>
        <v>9</v>
      </c>
      <c r="J180" s="13" t="str">
        <f t="shared" ref="J180:J243" ca="1" si="14">IF(I180="","",
 IF(G180="선급금",
   IF(I180&lt;=20,"정상",IF(I180&lt;=90,"관리","장기미수")),
 IF(G180="자재",
   IF(I180&lt;=40,"정상",IF(I180&lt;=90,"관리","장기미수")),
   IF(I180&lt;=30,"정상",IF(I180&lt;=90,"관리","장기미수"))
  )
 )
)</f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hidden="1" customHeight="1">
      <c r="B181" s="10">
        <f>IF(C181="","",COUNTA($C$2:C181))</f>
        <v>180</v>
      </c>
      <c r="C181" s="35" t="s">
        <v>287</v>
      </c>
      <c r="D181" s="10" t="str">
        <f t="shared" si="12"/>
        <v>B</v>
      </c>
      <c r="E181" s="23" t="s">
        <v>70</v>
      </c>
      <c r="F181" s="23" t="s">
        <v>302</v>
      </c>
      <c r="G181" s="6" t="s">
        <v>310</v>
      </c>
      <c r="H181" s="25">
        <v>16818900</v>
      </c>
      <c r="I181" s="6">
        <f t="shared" ca="1" si="13"/>
        <v>14</v>
      </c>
      <c r="J181" s="13" t="str">
        <f t="shared" ca="1" si="14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hidden="1" customHeight="1">
      <c r="B182" s="10">
        <f>IF(C182="","",COUNTA($C$2:C182))</f>
        <v>181</v>
      </c>
      <c r="C182" s="35" t="s">
        <v>287</v>
      </c>
      <c r="D182" s="10" t="str">
        <f t="shared" si="12"/>
        <v>B</v>
      </c>
      <c r="E182" s="23" t="s">
        <v>17</v>
      </c>
      <c r="F182" s="23" t="s">
        <v>303</v>
      </c>
      <c r="G182" s="6" t="s">
        <v>310</v>
      </c>
      <c r="H182" s="25">
        <v>294800</v>
      </c>
      <c r="I182" s="6">
        <f t="shared" ca="1" si="13"/>
        <v>9</v>
      </c>
      <c r="J182" s="13" t="str">
        <f t="shared" ca="1" si="14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hidden="1" customHeight="1">
      <c r="B183" s="10">
        <f>IF(C183="","",COUNTA($C$2:C183))</f>
        <v>182</v>
      </c>
      <c r="C183" s="35" t="s">
        <v>287</v>
      </c>
      <c r="D183" s="10" t="str">
        <f t="shared" si="12"/>
        <v>B</v>
      </c>
      <c r="E183" s="23" t="s">
        <v>118</v>
      </c>
      <c r="F183" s="23" t="s">
        <v>304</v>
      </c>
      <c r="G183" s="6" t="s">
        <v>310</v>
      </c>
      <c r="H183" s="25">
        <v>321000</v>
      </c>
      <c r="I183" s="6">
        <f t="shared" ca="1" si="13"/>
        <v>14</v>
      </c>
      <c r="J183" s="13" t="str">
        <f t="shared" ca="1" si="14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hidden="1" customHeight="1">
      <c r="B184" s="10">
        <f>IF(C184="","",COUNTA($C$2:C184))</f>
        <v>183</v>
      </c>
      <c r="C184" s="35" t="s">
        <v>287</v>
      </c>
      <c r="D184" s="10" t="str">
        <f t="shared" si="12"/>
        <v>B</v>
      </c>
      <c r="E184" s="23" t="s">
        <v>309</v>
      </c>
      <c r="F184" s="23" t="s">
        <v>305</v>
      </c>
      <c r="G184" s="6" t="s">
        <v>310</v>
      </c>
      <c r="H184" s="25">
        <v>1275400</v>
      </c>
      <c r="I184" s="6">
        <f t="shared" ca="1" si="13"/>
        <v>14</v>
      </c>
      <c r="J184" s="13" t="str">
        <f t="shared" ca="1" si="14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hidden="1" customHeight="1">
      <c r="B185" s="10">
        <f>IF(C185="","",COUNTA($C$2:C185))</f>
        <v>184</v>
      </c>
      <c r="C185" s="35" t="s">
        <v>287</v>
      </c>
      <c r="D185" s="10" t="str">
        <f t="shared" si="12"/>
        <v>B</v>
      </c>
      <c r="E185" s="23" t="s">
        <v>24</v>
      </c>
      <c r="F185" s="23" t="s">
        <v>193</v>
      </c>
      <c r="G185" s="6" t="s">
        <v>310</v>
      </c>
      <c r="H185" s="25">
        <v>11000000</v>
      </c>
      <c r="I185" s="6">
        <f t="shared" ca="1" si="13"/>
        <v>14</v>
      </c>
      <c r="J185" s="13" t="str">
        <f t="shared" ca="1" si="14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hidden="1" customHeight="1">
      <c r="B186" s="10">
        <f>IF(C186="","",COUNTA($C$2:C186))</f>
        <v>185</v>
      </c>
      <c r="C186" s="35" t="s">
        <v>287</v>
      </c>
      <c r="D186" s="10" t="str">
        <f t="shared" si="12"/>
        <v>B</v>
      </c>
      <c r="E186" s="23" t="s">
        <v>26</v>
      </c>
      <c r="F186" s="23" t="s">
        <v>306</v>
      </c>
      <c r="G186" s="6" t="s">
        <v>310</v>
      </c>
      <c r="H186" s="25">
        <v>5475500</v>
      </c>
      <c r="I186" s="6">
        <f t="shared" ca="1" si="13"/>
        <v>14</v>
      </c>
      <c r="J186" s="13" t="str">
        <f t="shared" ca="1" si="14"/>
        <v>정상</v>
      </c>
      <c r="K186" s="11"/>
      <c r="L186" s="11"/>
      <c r="M186" s="10"/>
      <c r="N186" s="10" t="s">
        <v>33</v>
      </c>
      <c r="Q186" s="11"/>
      <c r="R186" s="11"/>
      <c r="S186" s="10"/>
    </row>
    <row r="187" spans="2:19" s="6" customFormat="1" ht="16.5" hidden="1" customHeight="1">
      <c r="B187" s="10">
        <f>IF(C187="","",COUNTA($C$2:C187))</f>
        <v>186</v>
      </c>
      <c r="C187" s="35">
        <v>46093</v>
      </c>
      <c r="D187" s="10" t="str">
        <f t="shared" si="12"/>
        <v>B</v>
      </c>
      <c r="E187" s="23" t="s">
        <v>307</v>
      </c>
      <c r="F187" s="23" t="s">
        <v>311</v>
      </c>
      <c r="G187" s="6" t="s">
        <v>319</v>
      </c>
      <c r="H187" s="25">
        <v>312000</v>
      </c>
      <c r="I187" s="6">
        <f t="shared" ca="1" si="13"/>
        <v>0</v>
      </c>
      <c r="J187" s="13" t="str">
        <f t="shared" ca="1" si="14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hidden="1" customHeight="1">
      <c r="B188" s="10">
        <f>IF(C188="","",COUNTA($C$2:C188))</f>
        <v>187</v>
      </c>
      <c r="C188" s="35" t="s">
        <v>318</v>
      </c>
      <c r="D188" s="10" t="str">
        <f t="shared" si="12"/>
        <v>B</v>
      </c>
      <c r="E188" s="23" t="s">
        <v>30</v>
      </c>
      <c r="F188" s="23" t="s">
        <v>312</v>
      </c>
      <c r="G188" s="6" t="s">
        <v>319</v>
      </c>
      <c r="H188" s="25">
        <v>1000500</v>
      </c>
      <c r="I188" s="6">
        <f t="shared" ca="1" si="13"/>
        <v>13</v>
      </c>
      <c r="J188" s="13" t="str">
        <f t="shared" ca="1" si="14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hidden="1" customHeight="1">
      <c r="B189" s="10">
        <f>IF(C189="","",COUNTA($C$2:C189))</f>
        <v>188</v>
      </c>
      <c r="C189" s="35" t="s">
        <v>318</v>
      </c>
      <c r="D189" s="10" t="str">
        <f t="shared" si="12"/>
        <v>B</v>
      </c>
      <c r="E189" s="23" t="s">
        <v>203</v>
      </c>
      <c r="F189" s="23" t="s">
        <v>316</v>
      </c>
      <c r="G189" s="6" t="s">
        <v>319</v>
      </c>
      <c r="H189" s="25">
        <v>5775000</v>
      </c>
      <c r="I189" s="6">
        <f t="shared" ca="1" si="13"/>
        <v>13</v>
      </c>
      <c r="J189" s="13" t="str">
        <f t="shared" ca="1" si="14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hidden="1" customHeight="1">
      <c r="B190" s="10">
        <f>IF(C190="","",COUNTA($C$2:C190))</f>
        <v>189</v>
      </c>
      <c r="C190" s="35" t="s">
        <v>318</v>
      </c>
      <c r="D190" s="10" t="str">
        <f t="shared" si="12"/>
        <v>B</v>
      </c>
      <c r="E190" s="23" t="s">
        <v>207</v>
      </c>
      <c r="F190" s="23" t="s">
        <v>313</v>
      </c>
      <c r="G190" s="6" t="s">
        <v>319</v>
      </c>
      <c r="H190" s="25">
        <v>1190000</v>
      </c>
      <c r="I190" s="6">
        <f t="shared" ca="1" si="13"/>
        <v>13</v>
      </c>
      <c r="J190" s="13" t="str">
        <f t="shared" ca="1" si="14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hidden="1" customHeight="1">
      <c r="B191" s="10">
        <f>IF(C191="","",COUNTA($C$2:C191))</f>
        <v>190</v>
      </c>
      <c r="C191" s="35" t="s">
        <v>318</v>
      </c>
      <c r="D191" s="10" t="str">
        <f t="shared" si="12"/>
        <v>B</v>
      </c>
      <c r="E191" s="23" t="s">
        <v>101</v>
      </c>
      <c r="F191" s="23" t="s">
        <v>317</v>
      </c>
      <c r="G191" s="6" t="s">
        <v>319</v>
      </c>
      <c r="H191" s="25">
        <v>11147800</v>
      </c>
      <c r="I191" s="6">
        <f t="shared" ca="1" si="13"/>
        <v>13</v>
      </c>
      <c r="J191" s="13" t="str">
        <f t="shared" ca="1" si="14"/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hidden="1" customHeight="1">
      <c r="B192" s="10">
        <f>IF(C192="","",COUNTA($C$2:C192))</f>
        <v>191</v>
      </c>
      <c r="C192" s="35" t="s">
        <v>318</v>
      </c>
      <c r="D192" s="10" t="str">
        <f t="shared" si="12"/>
        <v>B</v>
      </c>
      <c r="E192" s="23" t="s">
        <v>227</v>
      </c>
      <c r="F192" s="23" t="s">
        <v>314</v>
      </c>
      <c r="G192" s="6" t="s">
        <v>319</v>
      </c>
      <c r="H192" s="25">
        <v>2613000</v>
      </c>
      <c r="I192" s="6">
        <f t="shared" ca="1" si="13"/>
        <v>13</v>
      </c>
      <c r="J192" s="13" t="str">
        <f t="shared" ca="1" si="14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hidden="1" customHeight="1">
      <c r="B193" s="10">
        <f>IF(C193="","",COUNTA($C$2:C193))</f>
        <v>192</v>
      </c>
      <c r="C193" s="35" t="s">
        <v>318</v>
      </c>
      <c r="D193" s="10" t="str">
        <f t="shared" si="12"/>
        <v>B</v>
      </c>
      <c r="E193" s="23" t="s">
        <v>112</v>
      </c>
      <c r="F193" s="23" t="s">
        <v>315</v>
      </c>
      <c r="G193" s="6" t="s">
        <v>319</v>
      </c>
      <c r="H193" s="25">
        <v>7339000</v>
      </c>
      <c r="I193" s="6">
        <f t="shared" ca="1" si="13"/>
        <v>13</v>
      </c>
      <c r="J193" s="13" t="str">
        <f t="shared" ca="1" si="14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hidden="1" customHeight="1">
      <c r="B194" s="10">
        <f>IF(C194="","",COUNTA($C$2:C194))</f>
        <v>193</v>
      </c>
      <c r="C194" s="11">
        <v>46094</v>
      </c>
      <c r="D194" s="10" t="str">
        <f t="shared" si="12"/>
        <v>C</v>
      </c>
      <c r="E194" s="6" t="s">
        <v>320</v>
      </c>
      <c r="F194" s="6" t="s">
        <v>321</v>
      </c>
      <c r="G194" s="6" t="s">
        <v>322</v>
      </c>
      <c r="H194" s="4">
        <v>1291250</v>
      </c>
      <c r="I194" s="6">
        <f t="shared" ca="1" si="13"/>
        <v>12</v>
      </c>
      <c r="J194" s="13" t="str">
        <f t="shared" ca="1" si="14"/>
        <v>정상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hidden="1" customHeight="1">
      <c r="B195" s="10">
        <f>IF(C195="","",COUNTA($C$2:C195))</f>
        <v>194</v>
      </c>
      <c r="C195" s="35" t="s">
        <v>332</v>
      </c>
      <c r="D195" s="10" t="str">
        <f t="shared" si="12"/>
        <v>B</v>
      </c>
      <c r="E195" s="23" t="s">
        <v>330</v>
      </c>
      <c r="F195" s="23" t="s">
        <v>323</v>
      </c>
      <c r="G195" s="6" t="s">
        <v>333</v>
      </c>
      <c r="H195" s="25">
        <v>500500</v>
      </c>
      <c r="I195" s="6">
        <f t="shared" ca="1" si="13"/>
        <v>12</v>
      </c>
      <c r="J195" s="13" t="str">
        <f t="shared" ca="1" si="14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hidden="1" customHeight="1">
      <c r="B196" s="10">
        <f>IF(C196="","",COUNTA($C$2:C196))</f>
        <v>195</v>
      </c>
      <c r="C196" s="35" t="s">
        <v>332</v>
      </c>
      <c r="D196" s="10" t="str">
        <f t="shared" si="12"/>
        <v>B</v>
      </c>
      <c r="E196" s="23" t="s">
        <v>24</v>
      </c>
      <c r="F196" s="23" t="s">
        <v>324</v>
      </c>
      <c r="G196" s="6" t="s">
        <v>333</v>
      </c>
      <c r="H196" s="25">
        <v>3448000</v>
      </c>
      <c r="I196" s="6">
        <f t="shared" ca="1" si="13"/>
        <v>12</v>
      </c>
      <c r="J196" s="13" t="str">
        <f t="shared" ca="1" si="14"/>
        <v>정상</v>
      </c>
      <c r="K196" s="11"/>
      <c r="L196" s="11"/>
      <c r="M196" s="10"/>
      <c r="N196" s="10" t="s">
        <v>33</v>
      </c>
      <c r="Q196" s="11"/>
      <c r="R196" s="11"/>
      <c r="S196" s="10"/>
    </row>
    <row r="197" spans="2:19" s="6" customFormat="1" ht="16.5" hidden="1" customHeight="1">
      <c r="B197" s="10">
        <f>IF(C197="","",COUNTA($C$2:C197))</f>
        <v>196</v>
      </c>
      <c r="C197" s="35" t="s">
        <v>332</v>
      </c>
      <c r="D197" s="10" t="str">
        <f t="shared" si="12"/>
        <v>B</v>
      </c>
      <c r="E197" s="23" t="s">
        <v>24</v>
      </c>
      <c r="F197" s="23" t="s">
        <v>325</v>
      </c>
      <c r="G197" s="6" t="s">
        <v>333</v>
      </c>
      <c r="H197" s="25">
        <v>28750000</v>
      </c>
      <c r="I197" s="6">
        <f t="shared" ca="1" si="13"/>
        <v>12</v>
      </c>
      <c r="J197" s="13" t="str">
        <f t="shared" ca="1" si="14"/>
        <v>정상</v>
      </c>
      <c r="K197" s="11"/>
      <c r="L197" s="11"/>
      <c r="M197" s="10"/>
      <c r="N197" s="10" t="s">
        <v>33</v>
      </c>
      <c r="Q197" s="11"/>
      <c r="R197" s="11"/>
      <c r="S197" s="10"/>
    </row>
    <row r="198" spans="2:19" s="6" customFormat="1" ht="16.5" hidden="1" customHeight="1">
      <c r="B198" s="10">
        <f>IF(C198="","",COUNTA($C$2:C198))</f>
        <v>197</v>
      </c>
      <c r="C198" s="35" t="s">
        <v>332</v>
      </c>
      <c r="D198" s="10" t="str">
        <f t="shared" si="12"/>
        <v>B</v>
      </c>
      <c r="E198" s="23" t="s">
        <v>229</v>
      </c>
      <c r="F198" s="23" t="s">
        <v>326</v>
      </c>
      <c r="G198" s="6" t="s">
        <v>333</v>
      </c>
      <c r="H198" s="25">
        <v>3430000</v>
      </c>
      <c r="I198" s="6">
        <f t="shared" ca="1" si="13"/>
        <v>3</v>
      </c>
      <c r="J198" s="13" t="str">
        <f t="shared" ca="1" si="14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hidden="1" customHeight="1">
      <c r="B199" s="10">
        <f>IF(C199="","",COUNTA($C$2:C199))</f>
        <v>198</v>
      </c>
      <c r="C199" s="35" t="s">
        <v>332</v>
      </c>
      <c r="D199" s="10" t="str">
        <f t="shared" si="12"/>
        <v>B</v>
      </c>
      <c r="E199" s="23" t="s">
        <v>227</v>
      </c>
      <c r="F199" s="23" t="s">
        <v>327</v>
      </c>
      <c r="G199" s="6" t="s">
        <v>333</v>
      </c>
      <c r="H199" s="25">
        <v>14700000</v>
      </c>
      <c r="I199" s="6">
        <f t="shared" ca="1" si="13"/>
        <v>12</v>
      </c>
      <c r="J199" s="13" t="str">
        <f t="shared" ca="1" si="14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hidden="1" customHeight="1">
      <c r="B200" s="10">
        <f>IF(C200="","",COUNTA($C$2:C200))</f>
        <v>199</v>
      </c>
      <c r="C200" s="35" t="s">
        <v>332</v>
      </c>
      <c r="D200" s="10" t="str">
        <f t="shared" si="12"/>
        <v>B</v>
      </c>
      <c r="E200" s="23" t="s">
        <v>331</v>
      </c>
      <c r="F200" s="23" t="s">
        <v>328</v>
      </c>
      <c r="G200" s="6" t="s">
        <v>333</v>
      </c>
      <c r="H200" s="25">
        <v>780000</v>
      </c>
      <c r="I200" s="6">
        <f t="shared" ca="1" si="13"/>
        <v>12</v>
      </c>
      <c r="J200" s="13" t="str">
        <f t="shared" ca="1" si="14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hidden="1" customHeight="1">
      <c r="B201" s="10">
        <f>IF(C201="","",COUNTA($C$2:C201))</f>
        <v>200</v>
      </c>
      <c r="C201" s="35" t="s">
        <v>332</v>
      </c>
      <c r="D201" s="10" t="str">
        <f t="shared" si="12"/>
        <v>B</v>
      </c>
      <c r="E201" s="23" t="s">
        <v>39</v>
      </c>
      <c r="F201" s="23" t="s">
        <v>329</v>
      </c>
      <c r="G201" s="6" t="s">
        <v>333</v>
      </c>
      <c r="H201" s="25">
        <v>220100</v>
      </c>
      <c r="I201" s="6">
        <f t="shared" ca="1" si="13"/>
        <v>12</v>
      </c>
      <c r="J201" s="13" t="str">
        <f t="shared" ca="1" si="14"/>
        <v>정상</v>
      </c>
      <c r="K201" s="11"/>
      <c r="L201" s="11"/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5">
        <v>46097</v>
      </c>
      <c r="D202" s="10" t="str">
        <f t="shared" si="12"/>
        <v>A</v>
      </c>
      <c r="E202" s="6" t="s">
        <v>334</v>
      </c>
      <c r="F202" s="6" t="s">
        <v>335</v>
      </c>
      <c r="G202" s="6" t="s">
        <v>336</v>
      </c>
      <c r="H202" s="4">
        <v>22342800</v>
      </c>
      <c r="I202" s="6">
        <f t="shared" ca="1" si="13"/>
        <v>9</v>
      </c>
      <c r="J202" s="13" t="str">
        <f t="shared" ca="1" si="14"/>
        <v>정상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hidden="1" customHeight="1">
      <c r="B203" s="10">
        <f>IF(C203="","",COUNTA($C$2:C203))</f>
        <v>202</v>
      </c>
      <c r="C203" s="35" t="s">
        <v>337</v>
      </c>
      <c r="D203" s="10" t="str">
        <f t="shared" si="12"/>
        <v>B</v>
      </c>
      <c r="E203" s="23" t="s">
        <v>128</v>
      </c>
      <c r="F203" s="23" t="s">
        <v>338</v>
      </c>
      <c r="G203" s="6" t="s">
        <v>351</v>
      </c>
      <c r="H203" s="25">
        <v>19467400</v>
      </c>
      <c r="I203" s="6">
        <f t="shared" ca="1" si="13"/>
        <v>8</v>
      </c>
      <c r="J203" s="13" t="str">
        <f t="shared" ca="1" si="14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hidden="1" customHeight="1">
      <c r="B204" s="10">
        <f>IF(C204="","",COUNTA($C$2:C204))</f>
        <v>203</v>
      </c>
      <c r="C204" s="35" t="s">
        <v>337</v>
      </c>
      <c r="D204" s="10" t="str">
        <f t="shared" ref="D204:D267" si="15">IF(G204="","",IF(OR(G204="선급금",G204="중도금",G204="잔금"),"A",IF(G204="자재","B",IF(G204="특허료","C",""))))</f>
        <v>B</v>
      </c>
      <c r="E204" s="23" t="s">
        <v>128</v>
      </c>
      <c r="F204" s="23" t="s">
        <v>338</v>
      </c>
      <c r="G204" s="6" t="s">
        <v>351</v>
      </c>
      <c r="H204" s="25">
        <v>4765000</v>
      </c>
      <c r="I204" s="6">
        <f t="shared" ref="I204:I267" ca="1" si="16">IF(C204="","",IF(L204="",TODAY()-C204,L204-C204))</f>
        <v>8</v>
      </c>
      <c r="J204" s="13" t="str">
        <f t="shared" ca="1" si="14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hidden="1" customHeight="1">
      <c r="B205" s="10">
        <f>IF(C205="","",COUNTA($C$2:C205))</f>
        <v>204</v>
      </c>
      <c r="C205" s="35" t="s">
        <v>337</v>
      </c>
      <c r="D205" s="10" t="str">
        <f t="shared" si="15"/>
        <v>B</v>
      </c>
      <c r="E205" s="23" t="s">
        <v>231</v>
      </c>
      <c r="F205" s="23" t="s">
        <v>339</v>
      </c>
      <c r="G205" s="6" t="s">
        <v>351</v>
      </c>
      <c r="H205" s="25">
        <v>954500</v>
      </c>
      <c r="I205" s="6">
        <f t="shared" ca="1" si="16"/>
        <v>8</v>
      </c>
      <c r="J205" s="13" t="str">
        <f t="shared" ca="1" si="14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hidden="1" customHeight="1">
      <c r="B206" s="10">
        <f>IF(C206="","",COUNTA($C$2:C206))</f>
        <v>205</v>
      </c>
      <c r="C206" s="35" t="s">
        <v>337</v>
      </c>
      <c r="D206" s="10" t="str">
        <f t="shared" si="15"/>
        <v>B</v>
      </c>
      <c r="E206" s="23" t="s">
        <v>101</v>
      </c>
      <c r="F206" s="23" t="s">
        <v>340</v>
      </c>
      <c r="G206" s="6" t="s">
        <v>351</v>
      </c>
      <c r="H206" s="25">
        <v>9631000</v>
      </c>
      <c r="I206" s="6">
        <f t="shared" ca="1" si="16"/>
        <v>8</v>
      </c>
      <c r="J206" s="13" t="str">
        <f t="shared" ca="1" si="14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hidden="1" customHeight="1">
      <c r="B207" s="10">
        <f>IF(C207="","",COUNTA($C$2:C207))</f>
        <v>206</v>
      </c>
      <c r="C207" s="35" t="s">
        <v>337</v>
      </c>
      <c r="D207" s="10" t="str">
        <f t="shared" si="15"/>
        <v>B</v>
      </c>
      <c r="E207" s="23" t="s">
        <v>30</v>
      </c>
      <c r="F207" s="23" t="s">
        <v>341</v>
      </c>
      <c r="G207" s="6" t="s">
        <v>351</v>
      </c>
      <c r="H207" s="25">
        <v>1745000</v>
      </c>
      <c r="I207" s="6">
        <f t="shared" ca="1" si="16"/>
        <v>8</v>
      </c>
      <c r="J207" s="13" t="str">
        <f t="shared" ca="1" si="14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hidden="1" customHeight="1">
      <c r="B208" s="10">
        <f>IF(C208="","",COUNTA($C$2:C208))</f>
        <v>207</v>
      </c>
      <c r="C208" s="35" t="s">
        <v>337</v>
      </c>
      <c r="D208" s="10" t="str">
        <f t="shared" si="15"/>
        <v>B</v>
      </c>
      <c r="E208" s="23" t="s">
        <v>128</v>
      </c>
      <c r="F208" s="23" t="s">
        <v>342</v>
      </c>
      <c r="G208" s="6" t="s">
        <v>351</v>
      </c>
      <c r="H208" s="25">
        <v>493400</v>
      </c>
      <c r="I208" s="6">
        <f t="shared" ca="1" si="16"/>
        <v>8</v>
      </c>
      <c r="J208" s="13" t="str">
        <f t="shared" ca="1" si="14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hidden="1" customHeight="1">
      <c r="B209" s="10">
        <f>IF(C209="","",COUNTA($C$2:C209))</f>
        <v>208</v>
      </c>
      <c r="C209" s="35" t="s">
        <v>337</v>
      </c>
      <c r="D209" s="10" t="str">
        <f t="shared" si="15"/>
        <v>B</v>
      </c>
      <c r="E209" s="23" t="s">
        <v>128</v>
      </c>
      <c r="F209" s="23" t="s">
        <v>343</v>
      </c>
      <c r="G209" s="6" t="s">
        <v>351</v>
      </c>
      <c r="H209" s="25">
        <v>3568200</v>
      </c>
      <c r="I209" s="6">
        <f t="shared" ca="1" si="16"/>
        <v>8</v>
      </c>
      <c r="J209" s="13" t="str">
        <f t="shared" ca="1" si="14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hidden="1" customHeight="1">
      <c r="B210" s="10">
        <f>IF(C210="","",COUNTA($C$2:C210))</f>
        <v>209</v>
      </c>
      <c r="C210" s="35" t="s">
        <v>337</v>
      </c>
      <c r="D210" s="10" t="str">
        <f t="shared" si="15"/>
        <v>B</v>
      </c>
      <c r="E210" s="23" t="s">
        <v>128</v>
      </c>
      <c r="F210" s="23" t="s">
        <v>343</v>
      </c>
      <c r="G210" s="6" t="s">
        <v>351</v>
      </c>
      <c r="H210" s="25">
        <v>4110300</v>
      </c>
      <c r="I210" s="6">
        <f t="shared" ca="1" si="16"/>
        <v>8</v>
      </c>
      <c r="J210" s="13" t="str">
        <f t="shared" ca="1" si="14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hidden="1" customHeight="1">
      <c r="B211" s="10">
        <f>IF(C211="","",COUNTA($C$2:C211))</f>
        <v>210</v>
      </c>
      <c r="C211" s="35" t="s">
        <v>337</v>
      </c>
      <c r="D211" s="10" t="str">
        <f t="shared" si="15"/>
        <v>B</v>
      </c>
      <c r="E211" s="23" t="s">
        <v>166</v>
      </c>
      <c r="F211" s="23" t="s">
        <v>344</v>
      </c>
      <c r="G211" s="6" t="s">
        <v>351</v>
      </c>
      <c r="H211" s="25">
        <v>1318600</v>
      </c>
      <c r="I211" s="6">
        <f t="shared" ca="1" si="16"/>
        <v>7</v>
      </c>
      <c r="J211" s="13" t="str">
        <f t="shared" ca="1" si="14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hidden="1" customHeight="1">
      <c r="B212" s="10">
        <f>IF(C212="","",COUNTA($C$2:C212))</f>
        <v>211</v>
      </c>
      <c r="C212" s="35" t="s">
        <v>337</v>
      </c>
      <c r="D212" s="10" t="str">
        <f t="shared" si="15"/>
        <v>B</v>
      </c>
      <c r="E212" s="23" t="s">
        <v>350</v>
      </c>
      <c r="F212" s="23" t="s">
        <v>345</v>
      </c>
      <c r="G212" s="6" t="s">
        <v>351</v>
      </c>
      <c r="H212" s="25">
        <v>3541500</v>
      </c>
      <c r="I212" s="6">
        <f t="shared" ca="1" si="16"/>
        <v>8</v>
      </c>
      <c r="J212" s="13" t="str">
        <f t="shared" ca="1" si="14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hidden="1" customHeight="1">
      <c r="B213" s="10">
        <f>IF(C213="","",COUNTA($C$2:C213))</f>
        <v>212</v>
      </c>
      <c r="C213" s="35" t="s">
        <v>337</v>
      </c>
      <c r="D213" s="10" t="str">
        <f t="shared" si="15"/>
        <v>B</v>
      </c>
      <c r="E213" s="23" t="s">
        <v>215</v>
      </c>
      <c r="F213" s="23" t="s">
        <v>346</v>
      </c>
      <c r="G213" s="6" t="s">
        <v>351</v>
      </c>
      <c r="H213" s="25">
        <v>3512300</v>
      </c>
      <c r="I213" s="6">
        <f t="shared" ca="1" si="16"/>
        <v>8</v>
      </c>
      <c r="J213" s="13" t="str">
        <f t="shared" ca="1" si="14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hidden="1" customHeight="1">
      <c r="B214" s="10">
        <f>IF(C214="","",COUNTA($C$2:C214))</f>
        <v>213</v>
      </c>
      <c r="C214" s="35" t="s">
        <v>337</v>
      </c>
      <c r="D214" s="10" t="str">
        <f t="shared" si="15"/>
        <v>B</v>
      </c>
      <c r="E214" s="23" t="s">
        <v>259</v>
      </c>
      <c r="F214" s="23" t="s">
        <v>347</v>
      </c>
      <c r="G214" s="6" t="s">
        <v>351</v>
      </c>
      <c r="H214" s="25">
        <v>11000000</v>
      </c>
      <c r="I214" s="6">
        <f t="shared" ca="1" si="16"/>
        <v>8</v>
      </c>
      <c r="J214" s="13" t="str">
        <f t="shared" ca="1" si="14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hidden="1" customHeight="1">
      <c r="B215" s="10">
        <f>IF(C215="","",COUNTA($C$2:C215))</f>
        <v>214</v>
      </c>
      <c r="C215" s="35" t="s">
        <v>337</v>
      </c>
      <c r="D215" s="10" t="str">
        <f t="shared" si="15"/>
        <v>B</v>
      </c>
      <c r="E215" s="23" t="s">
        <v>110</v>
      </c>
      <c r="F215" s="23" t="s">
        <v>348</v>
      </c>
      <c r="G215" s="6" t="s">
        <v>351</v>
      </c>
      <c r="H215" s="25">
        <v>21000000</v>
      </c>
      <c r="I215" s="6">
        <f t="shared" ca="1" si="16"/>
        <v>8</v>
      </c>
      <c r="J215" s="13" t="str">
        <f t="shared" ca="1" si="14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hidden="1" customHeight="1">
      <c r="B216" s="10">
        <f>IF(C216="","",COUNTA($C$2:C216))</f>
        <v>215</v>
      </c>
      <c r="C216" s="35" t="s">
        <v>337</v>
      </c>
      <c r="D216" s="10" t="str">
        <f t="shared" si="15"/>
        <v>B</v>
      </c>
      <c r="E216" s="23" t="s">
        <v>118</v>
      </c>
      <c r="F216" s="23" t="s">
        <v>349</v>
      </c>
      <c r="G216" s="6" t="s">
        <v>351</v>
      </c>
      <c r="H216" s="25">
        <v>806000</v>
      </c>
      <c r="I216" s="6">
        <f t="shared" ca="1" si="16"/>
        <v>8</v>
      </c>
      <c r="J216" s="13" t="str">
        <f t="shared" ca="1" si="14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63">
        <v>46099</v>
      </c>
      <c r="D217" s="10" t="str">
        <f t="shared" si="15"/>
        <v>A</v>
      </c>
      <c r="E217" s="23" t="s">
        <v>353</v>
      </c>
      <c r="F217" s="65" t="s">
        <v>352</v>
      </c>
      <c r="G217" s="6" t="s">
        <v>354</v>
      </c>
      <c r="H217" s="64">
        <v>4354200</v>
      </c>
      <c r="I217" s="6">
        <f t="shared" ca="1" si="16"/>
        <v>7</v>
      </c>
      <c r="J217" s="13" t="str">
        <f t="shared" ca="1" si="14"/>
        <v>정상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63">
        <v>46099</v>
      </c>
      <c r="D218" s="10" t="str">
        <f t="shared" si="15"/>
        <v>A</v>
      </c>
      <c r="E218" s="6" t="s">
        <v>118</v>
      </c>
      <c r="F218" s="6" t="s">
        <v>355</v>
      </c>
      <c r="G218" s="6" t="s">
        <v>354</v>
      </c>
      <c r="H218" s="4">
        <v>28530900</v>
      </c>
      <c r="I218" s="6">
        <f t="shared" ca="1" si="16"/>
        <v>7</v>
      </c>
      <c r="J218" s="13" t="str">
        <f t="shared" ca="1" si="14"/>
        <v>정상</v>
      </c>
      <c r="K218" s="11"/>
      <c r="L218" s="11"/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63">
        <v>46099</v>
      </c>
      <c r="D219" s="10" t="str">
        <f t="shared" si="15"/>
        <v>A</v>
      </c>
      <c r="E219" s="6" t="s">
        <v>358</v>
      </c>
      <c r="F219" s="6" t="s">
        <v>356</v>
      </c>
      <c r="G219" s="6" t="s">
        <v>354</v>
      </c>
      <c r="H219" s="4">
        <v>26089600</v>
      </c>
      <c r="I219" s="6">
        <f t="shared" ca="1" si="16"/>
        <v>0</v>
      </c>
      <c r="J219" s="13" t="str">
        <f t="shared" ca="1" si="14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63">
        <v>46099</v>
      </c>
      <c r="D220" s="10" t="str">
        <f t="shared" si="15"/>
        <v>A</v>
      </c>
      <c r="E220" s="6" t="s">
        <v>359</v>
      </c>
      <c r="F220" s="6" t="s">
        <v>357</v>
      </c>
      <c r="G220" s="6" t="s">
        <v>354</v>
      </c>
      <c r="H220" s="4">
        <v>27749100</v>
      </c>
      <c r="I220" s="6">
        <f t="shared" ca="1" si="16"/>
        <v>7</v>
      </c>
      <c r="J220" s="13" t="str">
        <f t="shared" ca="1" si="14"/>
        <v>정상</v>
      </c>
      <c r="K220" s="11"/>
      <c r="L220" s="11"/>
      <c r="M220" s="10"/>
      <c r="N220" s="10" t="s">
        <v>33</v>
      </c>
      <c r="Q220" s="11"/>
      <c r="R220" s="11"/>
      <c r="S220" s="10"/>
    </row>
    <row r="221" spans="2:19" s="6" customFormat="1" ht="16.5" hidden="1" customHeight="1">
      <c r="B221" s="10">
        <f>IF(C221="","",COUNTA($C$2:C221))</f>
        <v>220</v>
      </c>
      <c r="C221" s="11" t="s">
        <v>385</v>
      </c>
      <c r="D221" s="10" t="str">
        <f t="shared" si="15"/>
        <v>B</v>
      </c>
      <c r="E221" s="23" t="s">
        <v>56</v>
      </c>
      <c r="F221" s="23" t="s">
        <v>360</v>
      </c>
      <c r="G221" s="6" t="s">
        <v>387</v>
      </c>
      <c r="H221" s="25">
        <v>1842500</v>
      </c>
      <c r="I221" s="6">
        <f t="shared" ca="1" si="16"/>
        <v>1</v>
      </c>
      <c r="J221" s="13" t="str">
        <f t="shared" ca="1" si="14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hidden="1" customHeight="1">
      <c r="B222" s="10">
        <f>IF(C222="","",COUNTA($C$2:C222))</f>
        <v>221</v>
      </c>
      <c r="C222" s="11" t="s">
        <v>385</v>
      </c>
      <c r="D222" s="10" t="str">
        <f t="shared" si="15"/>
        <v>B</v>
      </c>
      <c r="E222" s="23" t="s">
        <v>128</v>
      </c>
      <c r="F222" s="23" t="s">
        <v>361</v>
      </c>
      <c r="G222" s="6" t="s">
        <v>387</v>
      </c>
      <c r="H222" s="25">
        <v>6583500</v>
      </c>
      <c r="I222" s="6">
        <f t="shared" ca="1" si="16"/>
        <v>7</v>
      </c>
      <c r="J222" s="13" t="str">
        <f t="shared" ca="1" si="14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hidden="1" customHeight="1">
      <c r="B223" s="10">
        <f>IF(C223="","",COUNTA($C$2:C223))</f>
        <v>222</v>
      </c>
      <c r="C223" s="11" t="s">
        <v>385</v>
      </c>
      <c r="D223" s="10" t="str">
        <f t="shared" si="15"/>
        <v>B</v>
      </c>
      <c r="E223" s="23" t="s">
        <v>70</v>
      </c>
      <c r="F223" s="23" t="s">
        <v>362</v>
      </c>
      <c r="G223" s="6" t="s">
        <v>387</v>
      </c>
      <c r="H223" s="25">
        <v>2038700</v>
      </c>
      <c r="I223" s="6">
        <f t="shared" ca="1" si="16"/>
        <v>7</v>
      </c>
      <c r="J223" s="13" t="str">
        <f t="shared" ca="1" si="14"/>
        <v>정상</v>
      </c>
      <c r="K223" s="11"/>
      <c r="L223" s="11"/>
      <c r="M223" s="10"/>
      <c r="N223" s="10" t="s">
        <v>33</v>
      </c>
      <c r="Q223" s="11"/>
      <c r="R223" s="11"/>
      <c r="S223" s="10"/>
    </row>
    <row r="224" spans="2:19" s="6" customFormat="1" ht="16.5" hidden="1" customHeight="1">
      <c r="B224" s="10">
        <f>IF(C224="","",COUNTA($C$2:C224))</f>
        <v>223</v>
      </c>
      <c r="C224" s="11" t="s">
        <v>385</v>
      </c>
      <c r="D224" s="10" t="str">
        <f t="shared" si="15"/>
        <v>B</v>
      </c>
      <c r="E224" s="23" t="s">
        <v>124</v>
      </c>
      <c r="F224" s="23" t="s">
        <v>363</v>
      </c>
      <c r="G224" s="6" t="s">
        <v>387</v>
      </c>
      <c r="H224" s="25">
        <v>4750000</v>
      </c>
      <c r="I224" s="6">
        <f t="shared" ca="1" si="16"/>
        <v>7</v>
      </c>
      <c r="J224" s="13" t="str">
        <f t="shared" ca="1" si="14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hidden="1" customHeight="1">
      <c r="B225" s="10">
        <f>IF(C225="","",COUNTA($C$2:C225))</f>
        <v>224</v>
      </c>
      <c r="C225" s="11" t="s">
        <v>385</v>
      </c>
      <c r="D225" s="10" t="str">
        <f t="shared" si="15"/>
        <v>B</v>
      </c>
      <c r="E225" s="23" t="s">
        <v>128</v>
      </c>
      <c r="F225" s="23" t="s">
        <v>364</v>
      </c>
      <c r="G225" s="6" t="s">
        <v>387</v>
      </c>
      <c r="H225" s="25">
        <v>3572000</v>
      </c>
      <c r="I225" s="6">
        <f t="shared" ca="1" si="16"/>
        <v>7</v>
      </c>
      <c r="J225" s="13" t="str">
        <f t="shared" ca="1" si="14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hidden="1" customHeight="1">
      <c r="B226" s="10">
        <f>IF(C226="","",COUNTA($C$2:C226))</f>
        <v>225</v>
      </c>
      <c r="C226" s="11" t="s">
        <v>385</v>
      </c>
      <c r="D226" s="10" t="str">
        <f t="shared" si="15"/>
        <v>B</v>
      </c>
      <c r="E226" s="23" t="s">
        <v>24</v>
      </c>
      <c r="F226" s="23" t="s">
        <v>365</v>
      </c>
      <c r="G226" s="6" t="s">
        <v>387</v>
      </c>
      <c r="H226" s="25">
        <v>435000</v>
      </c>
      <c r="I226" s="6">
        <f t="shared" ca="1" si="16"/>
        <v>7</v>
      </c>
      <c r="J226" s="13" t="str">
        <f t="shared" ca="1" si="14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hidden="1" customHeight="1">
      <c r="B227" s="10">
        <f>IF(C227="","",COUNTA($C$2:C227))</f>
        <v>226</v>
      </c>
      <c r="C227" s="11" t="s">
        <v>385</v>
      </c>
      <c r="D227" s="10" t="str">
        <f t="shared" si="15"/>
        <v>B</v>
      </c>
      <c r="E227" s="23" t="s">
        <v>382</v>
      </c>
      <c r="F227" s="23" t="s">
        <v>366</v>
      </c>
      <c r="G227" s="6" t="s">
        <v>387</v>
      </c>
      <c r="H227" s="25">
        <v>637000</v>
      </c>
      <c r="I227" s="6">
        <f t="shared" ca="1" si="16"/>
        <v>7</v>
      </c>
      <c r="J227" s="13" t="str">
        <f t="shared" ca="1" si="14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hidden="1" customHeight="1">
      <c r="B228" s="10">
        <f>IF(C228="","",COUNTA($C$2:C228))</f>
        <v>227</v>
      </c>
      <c r="C228" s="11" t="s">
        <v>385</v>
      </c>
      <c r="D228" s="10" t="str">
        <f t="shared" si="15"/>
        <v>B</v>
      </c>
      <c r="E228" s="23" t="s">
        <v>383</v>
      </c>
      <c r="F228" s="23" t="s">
        <v>367</v>
      </c>
      <c r="G228" s="6" t="s">
        <v>387</v>
      </c>
      <c r="H228" s="25">
        <v>34583000</v>
      </c>
      <c r="I228" s="6">
        <f t="shared" ca="1" si="16"/>
        <v>7</v>
      </c>
      <c r="J228" s="13" t="str">
        <f t="shared" ca="1" si="14"/>
        <v>정상</v>
      </c>
      <c r="K228" s="11"/>
      <c r="L228" s="11"/>
      <c r="M228" s="10"/>
      <c r="N228" s="10" t="s">
        <v>33</v>
      </c>
      <c r="Q228" s="11"/>
      <c r="R228" s="11"/>
      <c r="S228" s="10"/>
    </row>
    <row r="229" spans="2:19" s="6" customFormat="1" ht="16.5" hidden="1" customHeight="1">
      <c r="B229" s="10">
        <f>IF(C229="","",COUNTA($C$2:C229))</f>
        <v>228</v>
      </c>
      <c r="C229" s="11" t="s">
        <v>385</v>
      </c>
      <c r="D229" s="10" t="str">
        <f t="shared" si="15"/>
        <v>B</v>
      </c>
      <c r="E229" s="23" t="s">
        <v>216</v>
      </c>
      <c r="F229" s="23" t="s">
        <v>368</v>
      </c>
      <c r="G229" s="6" t="s">
        <v>387</v>
      </c>
      <c r="H229" s="25">
        <v>6600000</v>
      </c>
      <c r="I229" s="6">
        <f t="shared" ca="1" si="16"/>
        <v>7</v>
      </c>
      <c r="J229" s="13" t="str">
        <f t="shared" ca="1" si="14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hidden="1" customHeight="1">
      <c r="B230" s="10">
        <f>IF(C230="","",COUNTA($C$2:C230))</f>
        <v>229</v>
      </c>
      <c r="C230" s="11" t="s">
        <v>385</v>
      </c>
      <c r="D230" s="10" t="str">
        <f t="shared" si="15"/>
        <v>B</v>
      </c>
      <c r="E230" s="23" t="s">
        <v>230</v>
      </c>
      <c r="F230" s="23" t="s">
        <v>369</v>
      </c>
      <c r="G230" s="6" t="s">
        <v>387</v>
      </c>
      <c r="H230" s="25">
        <v>15802000</v>
      </c>
      <c r="I230" s="6">
        <f t="shared" ca="1" si="16"/>
        <v>7</v>
      </c>
      <c r="J230" s="13" t="str">
        <f t="shared" ca="1" si="14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hidden="1" customHeight="1">
      <c r="B231" s="10">
        <f>IF(C231="","",COUNTA($C$2:C231))</f>
        <v>230</v>
      </c>
      <c r="C231" s="11" t="s">
        <v>386</v>
      </c>
      <c r="D231" s="10" t="str">
        <f t="shared" si="15"/>
        <v>B</v>
      </c>
      <c r="E231" s="23" t="s">
        <v>227</v>
      </c>
      <c r="F231" s="23" t="s">
        <v>370</v>
      </c>
      <c r="G231" s="6" t="s">
        <v>387</v>
      </c>
      <c r="H231" s="25">
        <v>9450000</v>
      </c>
      <c r="I231" s="6">
        <f t="shared" ca="1" si="16"/>
        <v>6</v>
      </c>
      <c r="J231" s="13" t="str">
        <f t="shared" ca="1" si="14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hidden="1" customHeight="1">
      <c r="B232" s="10">
        <f>IF(C232="","",COUNTA($C$2:C232))</f>
        <v>231</v>
      </c>
      <c r="C232" s="11" t="s">
        <v>386</v>
      </c>
      <c r="D232" s="10" t="str">
        <f t="shared" si="15"/>
        <v>B</v>
      </c>
      <c r="E232" s="23" t="s">
        <v>128</v>
      </c>
      <c r="F232" s="23" t="s">
        <v>364</v>
      </c>
      <c r="G232" s="6" t="s">
        <v>387</v>
      </c>
      <c r="H232" s="25">
        <v>521000</v>
      </c>
      <c r="I232" s="6">
        <f t="shared" ca="1" si="16"/>
        <v>6</v>
      </c>
      <c r="J232" s="13" t="str">
        <f t="shared" ca="1" si="14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hidden="1" customHeight="1">
      <c r="B233" s="10">
        <f>IF(C233="","",COUNTA($C$2:C233))</f>
        <v>232</v>
      </c>
      <c r="C233" s="11" t="s">
        <v>386</v>
      </c>
      <c r="D233" s="10" t="str">
        <f t="shared" si="15"/>
        <v>B</v>
      </c>
      <c r="E233" s="23" t="s">
        <v>39</v>
      </c>
      <c r="F233" s="23" t="s">
        <v>371</v>
      </c>
      <c r="G233" s="6" t="s">
        <v>387</v>
      </c>
      <c r="H233" s="25">
        <v>333000</v>
      </c>
      <c r="I233" s="6">
        <f t="shared" ca="1" si="16"/>
        <v>6</v>
      </c>
      <c r="J233" s="13" t="str">
        <f t="shared" ca="1" si="14"/>
        <v>정상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hidden="1" customHeight="1">
      <c r="B234" s="10">
        <f>IF(C234="","",COUNTA($C$2:C234))</f>
        <v>233</v>
      </c>
      <c r="C234" s="11" t="s">
        <v>386</v>
      </c>
      <c r="D234" s="10" t="str">
        <f t="shared" si="15"/>
        <v>B</v>
      </c>
      <c r="E234" s="23" t="s">
        <v>82</v>
      </c>
      <c r="F234" s="23" t="s">
        <v>372</v>
      </c>
      <c r="G234" s="6" t="s">
        <v>387</v>
      </c>
      <c r="H234" s="25">
        <v>2835000</v>
      </c>
      <c r="I234" s="6">
        <f t="shared" ca="1" si="16"/>
        <v>6</v>
      </c>
      <c r="J234" s="13" t="str">
        <f t="shared" ca="1" si="14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hidden="1" customHeight="1">
      <c r="B235" s="10">
        <f>IF(C235="","",COUNTA($C$2:C235))</f>
        <v>234</v>
      </c>
      <c r="C235" s="11" t="s">
        <v>386</v>
      </c>
      <c r="D235" s="10" t="str">
        <f t="shared" si="15"/>
        <v>B</v>
      </c>
      <c r="E235" s="23" t="s">
        <v>130</v>
      </c>
      <c r="F235" s="23" t="s">
        <v>373</v>
      </c>
      <c r="G235" s="6" t="s">
        <v>387</v>
      </c>
      <c r="H235" s="25">
        <v>351900</v>
      </c>
      <c r="I235" s="6">
        <f t="shared" ca="1" si="16"/>
        <v>0</v>
      </c>
      <c r="J235" s="13" t="str">
        <f t="shared" ca="1" si="14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hidden="1" customHeight="1">
      <c r="B236" s="10">
        <f>IF(C236="","",COUNTA($C$2:C236))</f>
        <v>235</v>
      </c>
      <c r="C236" s="11" t="s">
        <v>386</v>
      </c>
      <c r="D236" s="10" t="str">
        <f t="shared" si="15"/>
        <v>B</v>
      </c>
      <c r="E236" s="23" t="s">
        <v>17</v>
      </c>
      <c r="F236" s="23" t="s">
        <v>374</v>
      </c>
      <c r="G236" s="6" t="s">
        <v>387</v>
      </c>
      <c r="H236" s="25">
        <v>839000</v>
      </c>
      <c r="I236" s="6">
        <f t="shared" ca="1" si="16"/>
        <v>6</v>
      </c>
      <c r="J236" s="13" t="str">
        <f t="shared" ca="1" si="14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hidden="1" customHeight="1">
      <c r="B237" s="10">
        <f>IF(C237="","",COUNTA($C$2:C237))</f>
        <v>236</v>
      </c>
      <c r="C237" s="11" t="s">
        <v>386</v>
      </c>
      <c r="D237" s="10" t="str">
        <f t="shared" si="15"/>
        <v>B</v>
      </c>
      <c r="E237" s="23" t="s">
        <v>384</v>
      </c>
      <c r="F237" s="23" t="s">
        <v>375</v>
      </c>
      <c r="G237" s="6" t="s">
        <v>387</v>
      </c>
      <c r="H237" s="25">
        <v>1507200</v>
      </c>
      <c r="I237" s="6">
        <f t="shared" ca="1" si="16"/>
        <v>6</v>
      </c>
      <c r="J237" s="13" t="str">
        <f t="shared" ca="1" si="14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hidden="1" customHeight="1">
      <c r="B238" s="10">
        <f>IF(C238="","",COUNTA($C$2:C238))</f>
        <v>237</v>
      </c>
      <c r="C238" s="11" t="s">
        <v>386</v>
      </c>
      <c r="D238" s="10" t="str">
        <f t="shared" si="15"/>
        <v>B</v>
      </c>
      <c r="E238" s="23" t="s">
        <v>228</v>
      </c>
      <c r="F238" s="23" t="s">
        <v>376</v>
      </c>
      <c r="G238" s="6" t="s">
        <v>387</v>
      </c>
      <c r="H238" s="25">
        <v>585000</v>
      </c>
      <c r="I238" s="6">
        <f t="shared" ca="1" si="16"/>
        <v>6</v>
      </c>
      <c r="J238" s="13" t="str">
        <f t="shared" ca="1" si="14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hidden="1" customHeight="1">
      <c r="B239" s="10">
        <f>IF(C239="","",COUNTA($C$2:C239))</f>
        <v>238</v>
      </c>
      <c r="C239" s="11" t="s">
        <v>386</v>
      </c>
      <c r="D239" s="10" t="str">
        <f t="shared" si="15"/>
        <v>B</v>
      </c>
      <c r="E239" s="23" t="s">
        <v>230</v>
      </c>
      <c r="F239" s="23" t="s">
        <v>369</v>
      </c>
      <c r="G239" s="6" t="s">
        <v>387</v>
      </c>
      <c r="H239" s="25">
        <v>615000</v>
      </c>
      <c r="I239" s="6">
        <f t="shared" ca="1" si="16"/>
        <v>6</v>
      </c>
      <c r="J239" s="13" t="str">
        <f t="shared" ca="1" si="14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hidden="1" customHeight="1">
      <c r="B240" s="10">
        <f>IF(C240="","",COUNTA($C$2:C240))</f>
        <v>239</v>
      </c>
      <c r="C240" s="11" t="s">
        <v>386</v>
      </c>
      <c r="D240" s="10" t="str">
        <f t="shared" si="15"/>
        <v>B</v>
      </c>
      <c r="E240" s="23" t="s">
        <v>228</v>
      </c>
      <c r="F240" s="23" t="s">
        <v>377</v>
      </c>
      <c r="G240" s="6" t="s">
        <v>387</v>
      </c>
      <c r="H240" s="25">
        <v>44793500</v>
      </c>
      <c r="I240" s="6">
        <f t="shared" ca="1" si="16"/>
        <v>6</v>
      </c>
      <c r="J240" s="13" t="str">
        <f t="shared" ca="1" si="14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hidden="1" customHeight="1">
      <c r="B241" s="10">
        <f>IF(C241="","",COUNTA($C$2:C241))</f>
        <v>240</v>
      </c>
      <c r="C241" s="11" t="s">
        <v>386</v>
      </c>
      <c r="D241" s="10" t="str">
        <f t="shared" si="15"/>
        <v>B</v>
      </c>
      <c r="E241" s="23" t="s">
        <v>39</v>
      </c>
      <c r="F241" s="23" t="s">
        <v>378</v>
      </c>
      <c r="G241" s="6" t="s">
        <v>387</v>
      </c>
      <c r="H241" s="25">
        <v>602300</v>
      </c>
      <c r="I241" s="6">
        <f t="shared" ca="1" si="16"/>
        <v>6</v>
      </c>
      <c r="J241" s="13" t="str">
        <f t="shared" ca="1" si="14"/>
        <v>정상</v>
      </c>
      <c r="K241" s="11"/>
      <c r="L241" s="11"/>
      <c r="M241" s="10"/>
      <c r="N241" s="10" t="s">
        <v>33</v>
      </c>
      <c r="Q241" s="11"/>
      <c r="R241" s="11"/>
      <c r="S241" s="10"/>
    </row>
    <row r="242" spans="2:19" s="6" customFormat="1" ht="16.5" hidden="1" customHeight="1">
      <c r="B242" s="10">
        <f>IF(C242="","",COUNTA($C$2:C242))</f>
        <v>241</v>
      </c>
      <c r="C242" s="11" t="s">
        <v>386</v>
      </c>
      <c r="D242" s="10" t="str">
        <f t="shared" si="15"/>
        <v>B</v>
      </c>
      <c r="E242" s="23" t="s">
        <v>227</v>
      </c>
      <c r="F242" s="23" t="s">
        <v>379</v>
      </c>
      <c r="G242" s="6" t="s">
        <v>387</v>
      </c>
      <c r="H242" s="25">
        <v>1180000</v>
      </c>
      <c r="I242" s="6">
        <f t="shared" ca="1" si="16"/>
        <v>6</v>
      </c>
      <c r="J242" s="13" t="str">
        <f t="shared" ca="1" si="14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hidden="1" customHeight="1">
      <c r="B243" s="10">
        <f>IF(C243="","",COUNTA($C$2:C243))</f>
        <v>242</v>
      </c>
      <c r="C243" s="11" t="s">
        <v>386</v>
      </c>
      <c r="D243" s="10" t="str">
        <f t="shared" si="15"/>
        <v>B</v>
      </c>
      <c r="E243" s="23" t="s">
        <v>350</v>
      </c>
      <c r="F243" s="23" t="s">
        <v>380</v>
      </c>
      <c r="G243" s="6" t="s">
        <v>387</v>
      </c>
      <c r="H243" s="25">
        <v>3300000</v>
      </c>
      <c r="I243" s="6">
        <f t="shared" ca="1" si="16"/>
        <v>6</v>
      </c>
      <c r="J243" s="13" t="str">
        <f t="shared" ca="1" si="14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hidden="1" customHeight="1">
      <c r="B244" s="10">
        <f>IF(C244="","",COUNTA($C$2:C244))</f>
        <v>243</v>
      </c>
      <c r="C244" s="11" t="s">
        <v>386</v>
      </c>
      <c r="D244" s="10" t="str">
        <f t="shared" si="15"/>
        <v>B</v>
      </c>
      <c r="E244" s="23" t="s">
        <v>227</v>
      </c>
      <c r="F244" s="23" t="s">
        <v>381</v>
      </c>
      <c r="G244" s="6" t="s">
        <v>387</v>
      </c>
      <c r="H244" s="25">
        <v>1548500</v>
      </c>
      <c r="I244" s="6">
        <f t="shared" ca="1" si="16"/>
        <v>6</v>
      </c>
      <c r="J244" s="13" t="str">
        <f t="shared" ref="J244:J276" ca="1" si="17">IF(I244="","",
 IF(G244="선급금",
   IF(I244&lt;=20,"정상",IF(I244&lt;=90,"관리","장기미수")),
 IF(G244="자재",
   IF(I244&lt;=40,"정상",IF(I244&lt;=90,"관리","장기미수")),
   IF(I244&lt;=30,"정상",IF(I244&lt;=90,"관리","장기미수"))
  )
 )
)</f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253</v>
      </c>
      <c r="E245" s="6" t="s">
        <v>389</v>
      </c>
      <c r="F245" s="6" t="s">
        <v>388</v>
      </c>
      <c r="G245" s="6" t="s">
        <v>396</v>
      </c>
      <c r="H245" s="4">
        <v>10716800</v>
      </c>
      <c r="I245" s="6">
        <f t="shared" ca="1" si="16"/>
        <v>5</v>
      </c>
      <c r="J245" s="13" t="str">
        <f t="shared" ca="1" si="17"/>
        <v>정상</v>
      </c>
      <c r="K245" s="11"/>
      <c r="L245" s="11"/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63">
        <v>46101</v>
      </c>
      <c r="D246" s="10" t="s">
        <v>253</v>
      </c>
      <c r="E246" s="6" t="s">
        <v>393</v>
      </c>
      <c r="F246" s="6" t="s">
        <v>390</v>
      </c>
      <c r="G246" s="6" t="s">
        <v>243</v>
      </c>
      <c r="H246" s="4">
        <v>9029600</v>
      </c>
      <c r="I246" s="6">
        <f t="shared" ca="1" si="16"/>
        <v>5</v>
      </c>
      <c r="J246" s="13" t="str">
        <f t="shared" ca="1" si="17"/>
        <v>정상</v>
      </c>
      <c r="K246" s="11"/>
      <c r="L246" s="11"/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63">
        <v>46101</v>
      </c>
      <c r="D247" s="10" t="s">
        <v>253</v>
      </c>
      <c r="E247" s="6" t="s">
        <v>394</v>
      </c>
      <c r="F247" s="6" t="s">
        <v>391</v>
      </c>
      <c r="G247" s="6" t="s">
        <v>243</v>
      </c>
      <c r="H247" s="4">
        <v>6484400</v>
      </c>
      <c r="I247" s="6">
        <f t="shared" ca="1" si="16"/>
        <v>5</v>
      </c>
      <c r="J247" s="13" t="str">
        <f t="shared" ca="1" si="17"/>
        <v>정상</v>
      </c>
      <c r="K247" s="11"/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63">
        <v>46101</v>
      </c>
      <c r="D248" s="10" t="s">
        <v>253</v>
      </c>
      <c r="E248" s="6" t="s">
        <v>395</v>
      </c>
      <c r="F248" s="6" t="s">
        <v>392</v>
      </c>
      <c r="G248" s="6" t="s">
        <v>243</v>
      </c>
      <c r="H248" s="4">
        <v>52857300</v>
      </c>
      <c r="I248" s="6">
        <f t="shared" ca="1" si="16"/>
        <v>5</v>
      </c>
      <c r="J248" s="13" t="str">
        <f t="shared" ca="1" si="17"/>
        <v>정상</v>
      </c>
      <c r="K248" s="11"/>
      <c r="L248" s="11"/>
      <c r="M248" s="10"/>
      <c r="N248" s="10" t="s">
        <v>33</v>
      </c>
      <c r="Q248" s="11"/>
      <c r="R248" s="11"/>
      <c r="S248" s="10"/>
    </row>
    <row r="249" spans="2:19" s="6" customFormat="1" ht="16.5" hidden="1" customHeight="1">
      <c r="B249" s="10">
        <f>IF(C249="","",COUNTA($C$2:C249))</f>
        <v>248</v>
      </c>
      <c r="C249" s="35" t="s">
        <v>404</v>
      </c>
      <c r="D249" s="10" t="s">
        <v>182</v>
      </c>
      <c r="E249" s="23" t="s">
        <v>402</v>
      </c>
      <c r="F249" s="23" t="s">
        <v>397</v>
      </c>
      <c r="G249" s="6" t="s">
        <v>405</v>
      </c>
      <c r="H249" s="25">
        <v>114000</v>
      </c>
      <c r="I249" s="6">
        <f t="shared" ca="1" si="16"/>
        <v>5</v>
      </c>
      <c r="J249" s="13" t="str">
        <f t="shared" ca="1" si="17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hidden="1" customHeight="1">
      <c r="B250" s="10">
        <f>IF(C250="","",COUNTA($C$2:C250))</f>
        <v>249</v>
      </c>
      <c r="C250" s="35" t="s">
        <v>404</v>
      </c>
      <c r="D250" s="10" t="s">
        <v>182</v>
      </c>
      <c r="E250" s="23" t="s">
        <v>24</v>
      </c>
      <c r="F250" s="23" t="s">
        <v>398</v>
      </c>
      <c r="G250" s="6" t="s">
        <v>405</v>
      </c>
      <c r="H250" s="25">
        <v>9563000</v>
      </c>
      <c r="I250" s="6">
        <f t="shared" ca="1" si="16"/>
        <v>5</v>
      </c>
      <c r="J250" s="13" t="str">
        <f t="shared" ca="1" si="17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hidden="1" customHeight="1">
      <c r="B251" s="10">
        <f>IF(C251="","",COUNTA($C$2:C251))</f>
        <v>250</v>
      </c>
      <c r="C251" s="35" t="s">
        <v>404</v>
      </c>
      <c r="D251" s="10" t="s">
        <v>182</v>
      </c>
      <c r="E251" s="23" t="s">
        <v>101</v>
      </c>
      <c r="F251" s="23" t="s">
        <v>399</v>
      </c>
      <c r="G251" s="6" t="s">
        <v>405</v>
      </c>
      <c r="H251" s="25">
        <v>2270000</v>
      </c>
      <c r="I251" s="6">
        <f t="shared" ca="1" si="16"/>
        <v>5</v>
      </c>
      <c r="J251" s="13" t="str">
        <f t="shared" ca="1" si="17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hidden="1" customHeight="1">
      <c r="B252" s="10">
        <f>IF(C252="","",COUNTA($C$2:C252))</f>
        <v>251</v>
      </c>
      <c r="C252" s="35" t="s">
        <v>404</v>
      </c>
      <c r="D252" s="10" t="s">
        <v>182</v>
      </c>
      <c r="E252" s="23" t="s">
        <v>403</v>
      </c>
      <c r="F252" s="23" t="s">
        <v>400</v>
      </c>
      <c r="G252" s="6" t="s">
        <v>405</v>
      </c>
      <c r="H252" s="25">
        <v>121500</v>
      </c>
      <c r="I252" s="6">
        <f t="shared" ca="1" si="16"/>
        <v>0</v>
      </c>
      <c r="J252" s="13" t="str">
        <f t="shared" ca="1" si="17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hidden="1" customHeight="1">
      <c r="B253" s="10">
        <f>IF(C253="","",COUNTA($C$2:C253))</f>
        <v>252</v>
      </c>
      <c r="C253" s="35" t="s">
        <v>404</v>
      </c>
      <c r="D253" s="10" t="s">
        <v>182</v>
      </c>
      <c r="E253" s="23" t="s">
        <v>124</v>
      </c>
      <c r="F253" s="23" t="s">
        <v>401</v>
      </c>
      <c r="G253" s="6" t="s">
        <v>405</v>
      </c>
      <c r="H253" s="25">
        <v>658000</v>
      </c>
      <c r="I253" s="6">
        <f t="shared" ca="1" si="16"/>
        <v>5</v>
      </c>
      <c r="J253" s="13" t="str">
        <f t="shared" ca="1" si="17"/>
        <v>정상</v>
      </c>
      <c r="K253" s="11"/>
      <c r="L253" s="11"/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63">
        <v>46104</v>
      </c>
      <c r="D254" s="10" t="s">
        <v>253</v>
      </c>
      <c r="E254" s="6" t="s">
        <v>407</v>
      </c>
      <c r="F254" s="6" t="s">
        <v>406</v>
      </c>
      <c r="G254" s="6" t="s">
        <v>240</v>
      </c>
      <c r="H254" s="4">
        <v>23835400</v>
      </c>
      <c r="I254" s="6">
        <f t="shared" ca="1" si="16"/>
        <v>2</v>
      </c>
      <c r="J254" s="13" t="str">
        <f t="shared" ca="1" si="17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63">
        <v>46104</v>
      </c>
      <c r="D255" s="10" t="s">
        <v>253</v>
      </c>
      <c r="E255" s="6" t="s">
        <v>409</v>
      </c>
      <c r="F255" s="6" t="s">
        <v>408</v>
      </c>
      <c r="G255" s="6" t="s">
        <v>240</v>
      </c>
      <c r="H255" s="4">
        <v>8708400</v>
      </c>
      <c r="I255" s="6">
        <f t="shared" ca="1" si="16"/>
        <v>2</v>
      </c>
      <c r="J255" s="13" t="str">
        <f t="shared" ca="1" si="17"/>
        <v>정상</v>
      </c>
      <c r="K255" s="11"/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63">
        <v>46105</v>
      </c>
      <c r="D256" s="10" t="str">
        <f t="shared" si="15"/>
        <v>A</v>
      </c>
      <c r="E256" s="6" t="s">
        <v>413</v>
      </c>
      <c r="F256" s="6" t="s">
        <v>410</v>
      </c>
      <c r="G256" s="6" t="s">
        <v>237</v>
      </c>
      <c r="H256" s="4">
        <v>8559000</v>
      </c>
      <c r="I256" s="6">
        <f t="shared" ca="1" si="16"/>
        <v>1</v>
      </c>
      <c r="J256" s="13" t="str">
        <f t="shared" ca="1" si="17"/>
        <v>정상</v>
      </c>
      <c r="K256" s="11"/>
      <c r="L256" s="11"/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63">
        <v>46105</v>
      </c>
      <c r="D257" s="10" t="str">
        <f t="shared" si="15"/>
        <v>A</v>
      </c>
      <c r="E257" s="6" t="s">
        <v>414</v>
      </c>
      <c r="F257" s="6" t="s">
        <v>411</v>
      </c>
      <c r="G257" s="6" t="s">
        <v>412</v>
      </c>
      <c r="H257" s="4">
        <v>3281000</v>
      </c>
      <c r="I257" s="6">
        <f t="shared" ca="1" si="16"/>
        <v>1</v>
      </c>
      <c r="J257" s="13" t="str">
        <f t="shared" ca="1" si="17"/>
        <v>정상</v>
      </c>
      <c r="K257" s="11"/>
      <c r="L257" s="11"/>
      <c r="M257" s="10"/>
      <c r="N257" s="10" t="s">
        <v>33</v>
      </c>
      <c r="Q257" s="11"/>
      <c r="R257" s="11"/>
      <c r="S257" s="10"/>
    </row>
    <row r="258" spans="2:19" s="6" customFormat="1" ht="16.5" hidden="1" customHeight="1">
      <c r="B258" s="10">
        <f>IF(C258="","",COUNTA($C$2:C258))</f>
        <v>257</v>
      </c>
      <c r="C258" s="11" t="s">
        <v>415</v>
      </c>
      <c r="D258" s="10" t="str">
        <f t="shared" si="15"/>
        <v>B</v>
      </c>
      <c r="E258" s="6" t="s">
        <v>227</v>
      </c>
      <c r="F258" s="23" t="s">
        <v>420</v>
      </c>
      <c r="G258" s="6" t="s">
        <v>439</v>
      </c>
      <c r="H258" s="4">
        <v>4290000</v>
      </c>
      <c r="I258" s="6">
        <f t="shared" ca="1" si="16"/>
        <v>2</v>
      </c>
      <c r="J258" s="13" t="str">
        <f t="shared" ca="1" si="17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hidden="1" customHeight="1">
      <c r="B259" s="10">
        <f>IF(C259="","",COUNTA($C$2:C259))</f>
        <v>258</v>
      </c>
      <c r="C259" s="11" t="s">
        <v>415</v>
      </c>
      <c r="D259" s="10" t="str">
        <f t="shared" si="15"/>
        <v>B</v>
      </c>
      <c r="E259" s="6" t="s">
        <v>417</v>
      </c>
      <c r="F259" s="23" t="s">
        <v>421</v>
      </c>
      <c r="G259" s="6" t="s">
        <v>439</v>
      </c>
      <c r="H259" s="4">
        <v>8800000</v>
      </c>
      <c r="I259" s="6">
        <f t="shared" ca="1" si="16"/>
        <v>2</v>
      </c>
      <c r="J259" s="13" t="str">
        <f t="shared" ca="1" si="17"/>
        <v>정상</v>
      </c>
      <c r="K259" s="11"/>
      <c r="L259" s="11"/>
      <c r="M259" s="10"/>
      <c r="N259" s="10" t="s">
        <v>33</v>
      </c>
      <c r="Q259" s="11"/>
      <c r="R259" s="11"/>
      <c r="S259" s="10"/>
    </row>
    <row r="260" spans="2:19" s="6" customFormat="1" ht="16.5" hidden="1" customHeight="1">
      <c r="B260" s="10">
        <f>IF(C260="","",COUNTA($C$2:C260))</f>
        <v>259</v>
      </c>
      <c r="C260" s="11" t="s">
        <v>415</v>
      </c>
      <c r="D260" s="10" t="str">
        <f t="shared" si="15"/>
        <v>B</v>
      </c>
      <c r="E260" s="6" t="s">
        <v>26</v>
      </c>
      <c r="F260" s="23" t="s">
        <v>422</v>
      </c>
      <c r="G260" s="6" t="s">
        <v>439</v>
      </c>
      <c r="H260" s="4">
        <v>465000</v>
      </c>
      <c r="I260" s="6">
        <f t="shared" ca="1" si="16"/>
        <v>2</v>
      </c>
      <c r="J260" s="13" t="str">
        <f t="shared" ca="1" si="17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hidden="1" customHeight="1">
      <c r="B261" s="10">
        <f>IF(C261="","",COUNTA($C$2:C261))</f>
        <v>260</v>
      </c>
      <c r="C261" s="11" t="s">
        <v>415</v>
      </c>
      <c r="D261" s="10" t="str">
        <f t="shared" si="15"/>
        <v>B</v>
      </c>
      <c r="E261" s="6" t="s">
        <v>128</v>
      </c>
      <c r="F261" s="23" t="s">
        <v>423</v>
      </c>
      <c r="G261" s="6" t="s">
        <v>439</v>
      </c>
      <c r="H261" s="4">
        <v>5765500</v>
      </c>
      <c r="I261" s="6">
        <f t="shared" ca="1" si="16"/>
        <v>2</v>
      </c>
      <c r="J261" s="13" t="str">
        <f t="shared" ca="1" si="17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hidden="1" customHeight="1">
      <c r="B262" s="10">
        <f>IF(C262="","",COUNTA($C$2:C262))</f>
        <v>261</v>
      </c>
      <c r="C262" s="11" t="s">
        <v>415</v>
      </c>
      <c r="D262" s="10" t="str">
        <f t="shared" si="15"/>
        <v>B</v>
      </c>
      <c r="E262" s="6" t="s">
        <v>122</v>
      </c>
      <c r="F262" s="23" t="s">
        <v>424</v>
      </c>
      <c r="G262" s="6" t="s">
        <v>439</v>
      </c>
      <c r="H262" s="4">
        <v>222000</v>
      </c>
      <c r="I262" s="6">
        <f t="shared" ca="1" si="16"/>
        <v>2</v>
      </c>
      <c r="J262" s="13" t="str">
        <f t="shared" ca="1" si="17"/>
        <v>정상</v>
      </c>
      <c r="K262" s="11"/>
      <c r="L262" s="11"/>
      <c r="M262" s="10"/>
      <c r="N262" s="10" t="s">
        <v>33</v>
      </c>
      <c r="Q262" s="11"/>
      <c r="R262" s="11"/>
      <c r="S262" s="10"/>
    </row>
    <row r="263" spans="2:19" s="6" customFormat="1" ht="16.5" hidden="1" customHeight="1">
      <c r="B263" s="10">
        <f>IF(C263="","",COUNTA($C$2:C263))</f>
        <v>262</v>
      </c>
      <c r="C263" s="11" t="s">
        <v>415</v>
      </c>
      <c r="D263" s="10" t="str">
        <f t="shared" si="15"/>
        <v>B</v>
      </c>
      <c r="E263" s="6" t="s">
        <v>215</v>
      </c>
      <c r="F263" s="23" t="s">
        <v>425</v>
      </c>
      <c r="G263" s="6" t="s">
        <v>439</v>
      </c>
      <c r="H263" s="4">
        <v>1866000</v>
      </c>
      <c r="I263" s="6">
        <f t="shared" ca="1" si="16"/>
        <v>2</v>
      </c>
      <c r="J263" s="13" t="str">
        <f t="shared" ca="1" si="17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hidden="1" customHeight="1">
      <c r="B264" s="10">
        <f>IF(C264="","",COUNTA($C$2:C264))</f>
        <v>263</v>
      </c>
      <c r="C264" s="11" t="s">
        <v>415</v>
      </c>
      <c r="D264" s="10" t="str">
        <f t="shared" si="15"/>
        <v>B</v>
      </c>
      <c r="E264" s="6" t="s">
        <v>183</v>
      </c>
      <c r="F264" s="23" t="s">
        <v>426</v>
      </c>
      <c r="G264" s="6" t="s">
        <v>439</v>
      </c>
      <c r="H264" s="4">
        <v>798500</v>
      </c>
      <c r="I264" s="6">
        <f t="shared" ca="1" si="16"/>
        <v>2</v>
      </c>
      <c r="J264" s="13" t="str">
        <f t="shared" ca="1" si="17"/>
        <v>정상</v>
      </c>
      <c r="K264" s="11"/>
      <c r="L264" s="11"/>
      <c r="M264" s="10"/>
      <c r="N264" s="10" t="s">
        <v>33</v>
      </c>
      <c r="Q264" s="11"/>
      <c r="R264" s="11"/>
      <c r="S264" s="10"/>
    </row>
    <row r="265" spans="2:19" s="6" customFormat="1" ht="16.5" hidden="1" customHeight="1">
      <c r="B265" s="10">
        <f>IF(C265="","",COUNTA($C$2:C265))</f>
        <v>264</v>
      </c>
      <c r="C265" s="11" t="s">
        <v>415</v>
      </c>
      <c r="D265" s="10" t="str">
        <f t="shared" si="15"/>
        <v>B</v>
      </c>
      <c r="E265" s="6" t="s">
        <v>418</v>
      </c>
      <c r="F265" s="23" t="s">
        <v>427</v>
      </c>
      <c r="G265" s="6" t="s">
        <v>439</v>
      </c>
      <c r="H265" s="4">
        <v>5442500</v>
      </c>
      <c r="I265" s="6">
        <f t="shared" ca="1" si="16"/>
        <v>2</v>
      </c>
      <c r="J265" s="13" t="str">
        <f t="shared" ca="1" si="17"/>
        <v>정상</v>
      </c>
      <c r="K265" s="11"/>
      <c r="L265" s="11"/>
      <c r="M265" s="10"/>
      <c r="N265" s="10" t="s">
        <v>33</v>
      </c>
      <c r="Q265" s="11"/>
      <c r="R265" s="11"/>
      <c r="S265" s="10"/>
    </row>
    <row r="266" spans="2:19" s="6" customFormat="1" ht="16.5" hidden="1" customHeight="1">
      <c r="B266" s="10">
        <f>IF(C266="","",COUNTA($C$2:C266))</f>
        <v>265</v>
      </c>
      <c r="C266" s="11" t="s">
        <v>415</v>
      </c>
      <c r="D266" s="10" t="str">
        <f t="shared" si="15"/>
        <v>B</v>
      </c>
      <c r="E266" s="6" t="s">
        <v>216</v>
      </c>
      <c r="F266" s="23" t="s">
        <v>428</v>
      </c>
      <c r="G266" s="6" t="s">
        <v>439</v>
      </c>
      <c r="H266" s="4">
        <v>2969500</v>
      </c>
      <c r="I266" s="6">
        <f t="shared" ca="1" si="16"/>
        <v>2</v>
      </c>
      <c r="J266" s="13" t="str">
        <f t="shared" ca="1" si="17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hidden="1" customHeight="1">
      <c r="B267" s="10">
        <f>IF(C267="","",COUNTA($C$2:C267))</f>
        <v>266</v>
      </c>
      <c r="C267" s="11" t="s">
        <v>415</v>
      </c>
      <c r="D267" s="10" t="str">
        <f t="shared" si="15"/>
        <v>B</v>
      </c>
      <c r="E267" s="6" t="s">
        <v>203</v>
      </c>
      <c r="F267" s="23" t="s">
        <v>429</v>
      </c>
      <c r="G267" s="6" t="s">
        <v>439</v>
      </c>
      <c r="H267" s="4">
        <v>10451300</v>
      </c>
      <c r="I267" s="6">
        <f t="shared" ca="1" si="16"/>
        <v>2</v>
      </c>
      <c r="J267" s="13" t="str">
        <f t="shared" ca="1" si="17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hidden="1" customHeight="1">
      <c r="B268" s="10">
        <f>IF(C268="","",COUNTA($C$2:C268))</f>
        <v>267</v>
      </c>
      <c r="C268" s="11" t="s">
        <v>415</v>
      </c>
      <c r="D268" s="10" t="str">
        <f t="shared" ref="D268:D331" si="18">IF(G268="","",IF(OR(G268="선급금",G268="중도금",G268="잔금"),"A",IF(G268="자재","B",IF(G268="특허료","C",""))))</f>
        <v>B</v>
      </c>
      <c r="E268" s="6" t="s">
        <v>110</v>
      </c>
      <c r="F268" s="23" t="s">
        <v>430</v>
      </c>
      <c r="G268" s="6" t="s">
        <v>439</v>
      </c>
      <c r="H268" s="4">
        <v>2250000</v>
      </c>
      <c r="I268" s="6">
        <f t="shared" ref="I268:I331" ca="1" si="19">IF(C268="","",IF(L268="",TODAY()-C268,L268-C268))</f>
        <v>2</v>
      </c>
      <c r="J268" s="13" t="str">
        <f t="shared" ca="1" si="17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hidden="1" customHeight="1">
      <c r="B269" s="10">
        <f>IF(C269="","",COUNTA($C$2:C269))</f>
        <v>268</v>
      </c>
      <c r="C269" s="11" t="s">
        <v>416</v>
      </c>
      <c r="D269" s="10" t="str">
        <f t="shared" si="18"/>
        <v>B</v>
      </c>
      <c r="E269" s="6" t="s">
        <v>128</v>
      </c>
      <c r="F269" s="23" t="s">
        <v>431</v>
      </c>
      <c r="G269" s="6" t="s">
        <v>439</v>
      </c>
      <c r="H269" s="4">
        <v>2711000</v>
      </c>
      <c r="I269" s="6">
        <f t="shared" ca="1" si="19"/>
        <v>1</v>
      </c>
      <c r="J269" s="13" t="str">
        <f t="shared" ca="1" si="17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hidden="1" customHeight="1">
      <c r="B270" s="10">
        <f>IF(C270="","",COUNTA($C$2:C270))</f>
        <v>269</v>
      </c>
      <c r="C270" s="11" t="s">
        <v>416</v>
      </c>
      <c r="D270" s="10" t="str">
        <f t="shared" si="18"/>
        <v>B</v>
      </c>
      <c r="E270" s="6" t="s">
        <v>128</v>
      </c>
      <c r="F270" s="23" t="s">
        <v>432</v>
      </c>
      <c r="G270" s="6" t="s">
        <v>439</v>
      </c>
      <c r="H270" s="4">
        <v>10539000</v>
      </c>
      <c r="I270" s="6">
        <f t="shared" ca="1" si="19"/>
        <v>1</v>
      </c>
      <c r="J270" s="13" t="str">
        <f t="shared" ca="1" si="17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hidden="1" customHeight="1">
      <c r="B271" s="10">
        <f>IF(C271="","",COUNTA($C$2:C271))</f>
        <v>270</v>
      </c>
      <c r="C271" s="11" t="s">
        <v>416</v>
      </c>
      <c r="D271" s="10" t="str">
        <f t="shared" si="18"/>
        <v>B</v>
      </c>
      <c r="E271" s="6" t="s">
        <v>419</v>
      </c>
      <c r="F271" s="23" t="s">
        <v>433</v>
      </c>
      <c r="G271" s="6" t="s">
        <v>439</v>
      </c>
      <c r="H271" s="4">
        <v>1021000</v>
      </c>
      <c r="I271" s="6">
        <f t="shared" ca="1" si="19"/>
        <v>1</v>
      </c>
      <c r="J271" s="13" t="str">
        <f t="shared" ca="1" si="17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hidden="1" customHeight="1">
      <c r="B272" s="10">
        <f>IF(C272="","",COUNTA($C$2:C272))</f>
        <v>271</v>
      </c>
      <c r="C272" s="11" t="s">
        <v>416</v>
      </c>
      <c r="D272" s="10" t="str">
        <f t="shared" si="18"/>
        <v>B</v>
      </c>
      <c r="E272" s="6" t="s">
        <v>99</v>
      </c>
      <c r="F272" s="23" t="s">
        <v>434</v>
      </c>
      <c r="G272" s="6" t="s">
        <v>439</v>
      </c>
      <c r="H272" s="4">
        <v>427800</v>
      </c>
      <c r="I272" s="6">
        <f t="shared" ca="1" si="19"/>
        <v>1</v>
      </c>
      <c r="J272" s="13" t="str">
        <f t="shared" ca="1" si="17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hidden="1" customHeight="1">
      <c r="B273" s="10">
        <f>IF(C273="","",COUNTA($C$2:C273))</f>
        <v>272</v>
      </c>
      <c r="C273" s="11" t="s">
        <v>416</v>
      </c>
      <c r="D273" s="10" t="str">
        <f t="shared" si="18"/>
        <v>B</v>
      </c>
      <c r="E273" s="6" t="s">
        <v>227</v>
      </c>
      <c r="F273" s="23" t="s">
        <v>435</v>
      </c>
      <c r="G273" s="6" t="s">
        <v>439</v>
      </c>
      <c r="H273" s="4">
        <v>1180000</v>
      </c>
      <c r="I273" s="6">
        <f t="shared" ca="1" si="19"/>
        <v>1</v>
      </c>
      <c r="J273" s="13" t="str">
        <f t="shared" ca="1" si="17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hidden="1" customHeight="1">
      <c r="B274" s="10">
        <f>IF(C274="","",COUNTA($C$2:C274))</f>
        <v>273</v>
      </c>
      <c r="C274" s="11" t="s">
        <v>416</v>
      </c>
      <c r="D274" s="10" t="str">
        <f t="shared" si="18"/>
        <v>B</v>
      </c>
      <c r="E274" s="6" t="s">
        <v>216</v>
      </c>
      <c r="F274" s="23" t="s">
        <v>436</v>
      </c>
      <c r="G274" s="6" t="s">
        <v>439</v>
      </c>
      <c r="H274" s="4">
        <v>4520000</v>
      </c>
      <c r="I274" s="6">
        <f t="shared" ca="1" si="19"/>
        <v>1</v>
      </c>
      <c r="J274" s="13" t="str">
        <f t="shared" ca="1" si="17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hidden="1" customHeight="1">
      <c r="B275" s="10">
        <f>IF(C275="","",COUNTA($C$2:C275))</f>
        <v>274</v>
      </c>
      <c r="C275" s="11" t="s">
        <v>416</v>
      </c>
      <c r="D275" s="10" t="str">
        <f t="shared" si="18"/>
        <v>B</v>
      </c>
      <c r="E275" s="6" t="s">
        <v>128</v>
      </c>
      <c r="F275" s="23" t="s">
        <v>437</v>
      </c>
      <c r="G275" s="6" t="s">
        <v>439</v>
      </c>
      <c r="H275" s="4">
        <v>157000</v>
      </c>
      <c r="I275" s="6">
        <f t="shared" ca="1" si="19"/>
        <v>1</v>
      </c>
      <c r="J275" s="13" t="str">
        <f t="shared" ca="1" si="17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hidden="1" customHeight="1">
      <c r="B276" s="10">
        <f>IF(C276="","",COUNTA($C$2:C276))</f>
        <v>275</v>
      </c>
      <c r="C276" s="11" t="s">
        <v>416</v>
      </c>
      <c r="D276" s="10" t="str">
        <f t="shared" si="18"/>
        <v>B</v>
      </c>
      <c r="E276" s="6" t="s">
        <v>231</v>
      </c>
      <c r="F276" s="23" t="s">
        <v>438</v>
      </c>
      <c r="G276" s="6" t="s">
        <v>439</v>
      </c>
      <c r="H276" s="4">
        <v>2380000</v>
      </c>
      <c r="I276" s="6">
        <f t="shared" ca="1" si="19"/>
        <v>1</v>
      </c>
      <c r="J276" s="13" t="str">
        <f t="shared" ca="1" si="17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hidden="1" customHeight="1">
      <c r="B277" s="10"/>
      <c r="C277" s="11"/>
      <c r="D277" s="10" t="str">
        <f t="shared" si="18"/>
        <v/>
      </c>
      <c r="H277" s="4"/>
      <c r="I277" s="6" t="str">
        <f t="shared" ca="1" si="19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hidden="1" customHeight="1">
      <c r="B278" s="10"/>
      <c r="C278" s="11"/>
      <c r="D278" s="10" t="str">
        <f t="shared" si="18"/>
        <v/>
      </c>
      <c r="H278" s="4"/>
      <c r="I278" s="6" t="str">
        <f t="shared" ca="1" si="19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hidden="1" customHeight="1">
      <c r="B279" s="10"/>
      <c r="C279" s="11"/>
      <c r="D279" s="10" t="str">
        <f t="shared" si="18"/>
        <v/>
      </c>
      <c r="H279" s="4"/>
      <c r="I279" s="6" t="str">
        <f t="shared" ca="1" si="19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hidden="1" customHeight="1">
      <c r="B280" s="10"/>
      <c r="C280" s="11"/>
      <c r="D280" s="10" t="str">
        <f t="shared" si="18"/>
        <v/>
      </c>
      <c r="H280" s="4"/>
      <c r="I280" s="6" t="str">
        <f t="shared" ca="1" si="19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hidden="1" customHeight="1">
      <c r="B281" s="10"/>
      <c r="C281" s="11"/>
      <c r="D281" s="10" t="str">
        <f t="shared" si="18"/>
        <v/>
      </c>
      <c r="H281" s="4"/>
      <c r="I281" s="6" t="str">
        <f t="shared" ca="1" si="19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hidden="1" customHeight="1">
      <c r="B282" s="10"/>
      <c r="C282" s="11"/>
      <c r="D282" s="10" t="str">
        <f t="shared" si="18"/>
        <v/>
      </c>
      <c r="H282" s="4"/>
      <c r="I282" s="6" t="str">
        <f t="shared" ca="1" si="19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hidden="1" customHeight="1">
      <c r="B283" s="10"/>
      <c r="C283" s="11"/>
      <c r="D283" s="10" t="str">
        <f t="shared" si="18"/>
        <v/>
      </c>
      <c r="H283" s="4"/>
      <c r="I283" s="6" t="str">
        <f t="shared" ca="1" si="19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hidden="1" customHeight="1">
      <c r="B284" s="10"/>
      <c r="C284" s="11"/>
      <c r="D284" s="10" t="str">
        <f t="shared" si="18"/>
        <v/>
      </c>
      <c r="H284" s="4"/>
      <c r="I284" s="6" t="str">
        <f t="shared" ca="1" si="19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hidden="1" customHeight="1">
      <c r="B285" s="10"/>
      <c r="C285" s="11"/>
      <c r="D285" s="10" t="str">
        <f t="shared" si="18"/>
        <v/>
      </c>
      <c r="H285" s="4"/>
      <c r="I285" s="6" t="str">
        <f t="shared" ca="1" si="19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hidden="1" customHeight="1">
      <c r="B286" s="10"/>
      <c r="C286" s="11"/>
      <c r="D286" s="10" t="str">
        <f t="shared" si="18"/>
        <v/>
      </c>
      <c r="H286" s="4"/>
      <c r="I286" s="6" t="str">
        <f t="shared" ca="1" si="19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hidden="1" customHeight="1">
      <c r="B287" s="10"/>
      <c r="C287" s="11"/>
      <c r="D287" s="10" t="str">
        <f t="shared" si="18"/>
        <v/>
      </c>
      <c r="H287" s="4"/>
      <c r="I287" s="6" t="str">
        <f t="shared" ca="1" si="19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hidden="1" customHeight="1">
      <c r="B288" s="10"/>
      <c r="C288" s="11"/>
      <c r="D288" s="10" t="str">
        <f t="shared" si="18"/>
        <v/>
      </c>
      <c r="H288" s="4"/>
      <c r="I288" s="6" t="str">
        <f t="shared" ca="1" si="19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hidden="1" customHeight="1">
      <c r="B289" s="10"/>
      <c r="C289" s="11"/>
      <c r="D289" s="10" t="str">
        <f t="shared" si="18"/>
        <v/>
      </c>
      <c r="H289" s="4"/>
      <c r="I289" s="6" t="str">
        <f t="shared" ca="1" si="19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hidden="1" customHeight="1">
      <c r="B290" s="10"/>
      <c r="C290" s="11"/>
      <c r="D290" s="10" t="str">
        <f t="shared" si="18"/>
        <v/>
      </c>
      <c r="H290" s="4"/>
      <c r="I290" s="6" t="str">
        <f t="shared" ca="1" si="19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hidden="1" customHeight="1">
      <c r="B291" s="10"/>
      <c r="C291" s="11"/>
      <c r="D291" s="10" t="str">
        <f t="shared" si="18"/>
        <v/>
      </c>
      <c r="H291" s="4"/>
      <c r="I291" s="6" t="str">
        <f t="shared" ca="1" si="19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hidden="1" customHeight="1">
      <c r="B292" s="10"/>
      <c r="C292" s="11"/>
      <c r="D292" s="10" t="str">
        <f t="shared" si="18"/>
        <v/>
      </c>
      <c r="H292" s="4"/>
      <c r="I292" s="6" t="str">
        <f t="shared" ca="1" si="19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hidden="1" customHeight="1">
      <c r="B293" s="10"/>
      <c r="C293" s="11"/>
      <c r="D293" s="10" t="str">
        <f t="shared" si="18"/>
        <v/>
      </c>
      <c r="H293" s="4"/>
      <c r="I293" s="6" t="str">
        <f t="shared" ca="1" si="19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hidden="1" customHeight="1">
      <c r="B294" s="10"/>
      <c r="C294" s="11"/>
      <c r="D294" s="10" t="str">
        <f t="shared" si="18"/>
        <v/>
      </c>
      <c r="H294" s="4"/>
      <c r="I294" s="6" t="str">
        <f t="shared" ca="1" si="19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hidden="1" customHeight="1">
      <c r="B295" s="10"/>
      <c r="C295" s="11"/>
      <c r="D295" s="10" t="str">
        <f t="shared" si="18"/>
        <v/>
      </c>
      <c r="H295" s="4"/>
      <c r="I295" s="6" t="str">
        <f t="shared" ca="1" si="19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hidden="1" customHeight="1">
      <c r="B296" s="10"/>
      <c r="C296" s="11"/>
      <c r="D296" s="10" t="str">
        <f t="shared" si="18"/>
        <v/>
      </c>
      <c r="H296" s="4"/>
      <c r="I296" s="6" t="str">
        <f t="shared" ca="1" si="19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hidden="1" customHeight="1">
      <c r="B297" s="10"/>
      <c r="C297" s="11"/>
      <c r="D297" s="10" t="str">
        <f t="shared" si="18"/>
        <v/>
      </c>
      <c r="H297" s="4"/>
      <c r="I297" s="6" t="str">
        <f t="shared" ca="1" si="19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hidden="1" customHeight="1">
      <c r="B298" s="10"/>
      <c r="C298" s="11"/>
      <c r="D298" s="10" t="str">
        <f t="shared" si="18"/>
        <v/>
      </c>
      <c r="H298" s="4"/>
      <c r="I298" s="6" t="str">
        <f t="shared" ca="1" si="19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hidden="1" customHeight="1">
      <c r="B299" s="10"/>
      <c r="C299" s="11"/>
      <c r="D299" s="10" t="str">
        <f t="shared" si="18"/>
        <v/>
      </c>
      <c r="H299" s="4"/>
      <c r="I299" s="6" t="str">
        <f t="shared" ca="1" si="19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hidden="1" customHeight="1">
      <c r="B300" s="10"/>
      <c r="C300" s="11"/>
      <c r="D300" s="10" t="str">
        <f t="shared" si="18"/>
        <v/>
      </c>
      <c r="H300" s="4"/>
      <c r="I300" s="6" t="str">
        <f t="shared" ca="1" si="19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hidden="1" customHeight="1">
      <c r="B301" s="10"/>
      <c r="C301" s="11"/>
      <c r="D301" s="10" t="str">
        <f t="shared" si="18"/>
        <v/>
      </c>
      <c r="H301" s="4"/>
      <c r="I301" s="6" t="str">
        <f t="shared" ca="1" si="19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hidden="1" customHeight="1">
      <c r="B302" s="10"/>
      <c r="C302" s="11"/>
      <c r="D302" s="10" t="str">
        <f t="shared" si="18"/>
        <v/>
      </c>
      <c r="H302" s="4"/>
      <c r="I302" s="6" t="str">
        <f t="shared" ca="1" si="19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hidden="1" customHeight="1">
      <c r="B303" s="10"/>
      <c r="C303" s="11"/>
      <c r="D303" s="10" t="str">
        <f t="shared" si="18"/>
        <v/>
      </c>
      <c r="H303" s="4"/>
      <c r="I303" s="6" t="str">
        <f t="shared" ca="1" si="19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hidden="1" customHeight="1">
      <c r="B304" s="10"/>
      <c r="C304" s="11"/>
      <c r="D304" s="10" t="str">
        <f t="shared" si="18"/>
        <v/>
      </c>
      <c r="H304" s="4"/>
      <c r="I304" s="6" t="str">
        <f t="shared" ca="1" si="19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hidden="1" customHeight="1">
      <c r="B305" s="10"/>
      <c r="C305" s="11"/>
      <c r="D305" s="10" t="str">
        <f t="shared" si="18"/>
        <v/>
      </c>
      <c r="H305" s="4"/>
      <c r="I305" s="6" t="str">
        <f t="shared" ca="1" si="19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hidden="1" customHeight="1">
      <c r="B306" s="10"/>
      <c r="C306" s="11"/>
      <c r="D306" s="10" t="str">
        <f t="shared" si="18"/>
        <v/>
      </c>
      <c r="H306" s="4"/>
      <c r="I306" s="6" t="str">
        <f t="shared" ca="1" si="19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hidden="1" customHeight="1">
      <c r="B307" s="10"/>
      <c r="C307" s="11"/>
      <c r="D307" s="10" t="str">
        <f t="shared" si="18"/>
        <v/>
      </c>
      <c r="H307" s="4"/>
      <c r="I307" s="6" t="str">
        <f t="shared" ca="1" si="19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hidden="1" customHeight="1">
      <c r="B308" s="10"/>
      <c r="C308" s="11"/>
      <c r="D308" s="10" t="str">
        <f t="shared" si="18"/>
        <v/>
      </c>
      <c r="H308" s="4"/>
      <c r="I308" s="6" t="str">
        <f t="shared" ca="1" si="19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hidden="1" customHeight="1">
      <c r="B309" s="10"/>
      <c r="C309" s="11"/>
      <c r="D309" s="10" t="str">
        <f t="shared" si="18"/>
        <v/>
      </c>
      <c r="H309" s="4"/>
      <c r="I309" s="6" t="str">
        <f t="shared" ca="1" si="19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hidden="1" customHeight="1">
      <c r="B310" s="10"/>
      <c r="C310" s="11"/>
      <c r="D310" s="10" t="str">
        <f t="shared" si="18"/>
        <v/>
      </c>
      <c r="H310" s="4"/>
      <c r="I310" s="6" t="str">
        <f t="shared" ca="1" si="19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hidden="1" customHeight="1">
      <c r="B311" s="10"/>
      <c r="C311" s="11"/>
      <c r="D311" s="10" t="str">
        <f t="shared" si="18"/>
        <v/>
      </c>
      <c r="H311" s="4"/>
      <c r="I311" s="6" t="str">
        <f t="shared" ca="1" si="19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hidden="1" customHeight="1">
      <c r="B312" s="10"/>
      <c r="C312" s="11"/>
      <c r="D312" s="10" t="str">
        <f t="shared" si="18"/>
        <v/>
      </c>
      <c r="H312" s="4"/>
      <c r="I312" s="6" t="str">
        <f t="shared" ca="1" si="19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hidden="1" customHeight="1">
      <c r="B313" s="10"/>
      <c r="C313" s="11"/>
      <c r="D313" s="10" t="str">
        <f t="shared" si="18"/>
        <v/>
      </c>
      <c r="H313" s="4"/>
      <c r="I313" s="6" t="str">
        <f t="shared" ca="1" si="19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hidden="1" customHeight="1">
      <c r="B314" s="10"/>
      <c r="C314" s="11"/>
      <c r="D314" s="10" t="str">
        <f t="shared" si="18"/>
        <v/>
      </c>
      <c r="H314" s="4"/>
      <c r="I314" s="6" t="str">
        <f t="shared" ca="1" si="19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hidden="1" customHeight="1">
      <c r="B315" s="10"/>
      <c r="C315" s="11"/>
      <c r="D315" s="10" t="str">
        <f t="shared" si="18"/>
        <v/>
      </c>
      <c r="H315" s="4"/>
      <c r="I315" s="6" t="str">
        <f t="shared" ca="1" si="19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hidden="1" customHeight="1">
      <c r="B316" s="10"/>
      <c r="C316" s="11"/>
      <c r="D316" s="10" t="str">
        <f t="shared" si="18"/>
        <v/>
      </c>
      <c r="H316" s="4"/>
      <c r="I316" s="6" t="str">
        <f t="shared" ca="1" si="19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hidden="1" customHeight="1">
      <c r="B317" s="10"/>
      <c r="C317" s="11"/>
      <c r="D317" s="10" t="str">
        <f t="shared" si="18"/>
        <v/>
      </c>
      <c r="H317" s="4"/>
      <c r="I317" s="6" t="str">
        <f t="shared" ca="1" si="19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hidden="1" customHeight="1">
      <c r="B318" s="10"/>
      <c r="C318" s="11"/>
      <c r="D318" s="10" t="str">
        <f t="shared" si="18"/>
        <v/>
      </c>
      <c r="H318" s="4"/>
      <c r="I318" s="6" t="str">
        <f t="shared" ca="1" si="19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hidden="1" customHeight="1">
      <c r="B319" s="10"/>
      <c r="C319" s="11"/>
      <c r="D319" s="10" t="str">
        <f t="shared" si="18"/>
        <v/>
      </c>
      <c r="H319" s="4"/>
      <c r="I319" s="6" t="str">
        <f t="shared" ca="1" si="19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hidden="1" customHeight="1">
      <c r="B320" s="10"/>
      <c r="C320" s="11"/>
      <c r="D320" s="10" t="str">
        <f t="shared" si="18"/>
        <v/>
      </c>
      <c r="H320" s="4"/>
      <c r="I320" s="6" t="str">
        <f t="shared" ca="1" si="19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hidden="1" customHeight="1">
      <c r="B321" s="10"/>
      <c r="C321" s="11"/>
      <c r="D321" s="10" t="str">
        <f t="shared" si="18"/>
        <v/>
      </c>
      <c r="H321" s="4"/>
      <c r="I321" s="6" t="str">
        <f t="shared" ca="1" si="19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hidden="1" customHeight="1">
      <c r="B322" s="10"/>
      <c r="C322" s="11"/>
      <c r="D322" s="10" t="str">
        <f t="shared" si="18"/>
        <v/>
      </c>
      <c r="H322" s="4"/>
      <c r="I322" s="6" t="str">
        <f t="shared" ca="1" si="19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hidden="1" customHeight="1">
      <c r="B323" s="10"/>
      <c r="C323" s="11"/>
      <c r="D323" s="10" t="str">
        <f t="shared" si="18"/>
        <v/>
      </c>
      <c r="H323" s="4"/>
      <c r="I323" s="6" t="str">
        <f t="shared" ca="1" si="19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hidden="1" customHeight="1">
      <c r="B324" s="10"/>
      <c r="C324" s="11"/>
      <c r="D324" s="10" t="str">
        <f t="shared" si="18"/>
        <v/>
      </c>
      <c r="H324" s="4"/>
      <c r="I324" s="6" t="str">
        <f t="shared" ca="1" si="19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hidden="1" customHeight="1">
      <c r="B325" s="10"/>
      <c r="C325" s="11"/>
      <c r="D325" s="10" t="str">
        <f t="shared" si="18"/>
        <v/>
      </c>
      <c r="H325" s="4"/>
      <c r="I325" s="6" t="str">
        <f t="shared" ca="1" si="19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hidden="1" customHeight="1">
      <c r="B326" s="10"/>
      <c r="C326" s="11"/>
      <c r="D326" s="10" t="str">
        <f t="shared" si="18"/>
        <v/>
      </c>
      <c r="H326" s="4"/>
      <c r="I326" s="6" t="str">
        <f t="shared" ca="1" si="19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hidden="1" customHeight="1">
      <c r="B327" s="10"/>
      <c r="C327" s="11"/>
      <c r="D327" s="10" t="str">
        <f t="shared" si="18"/>
        <v/>
      </c>
      <c r="H327" s="4"/>
      <c r="I327" s="6" t="str">
        <f t="shared" ca="1" si="19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hidden="1" customHeight="1">
      <c r="B328" s="10"/>
      <c r="C328" s="11"/>
      <c r="D328" s="10" t="str">
        <f t="shared" si="18"/>
        <v/>
      </c>
      <c r="H328" s="4"/>
      <c r="I328" s="6" t="str">
        <f t="shared" ca="1" si="19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hidden="1" customHeight="1">
      <c r="B329" s="10"/>
      <c r="C329" s="11"/>
      <c r="D329" s="10" t="str">
        <f t="shared" si="18"/>
        <v/>
      </c>
      <c r="H329" s="4"/>
      <c r="I329" s="6" t="str">
        <f t="shared" ca="1" si="19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hidden="1" customHeight="1">
      <c r="B330" s="10"/>
      <c r="C330" s="11"/>
      <c r="D330" s="10" t="str">
        <f t="shared" si="18"/>
        <v/>
      </c>
      <c r="H330" s="4"/>
      <c r="I330" s="6" t="str">
        <f t="shared" ca="1" si="19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hidden="1" customHeight="1">
      <c r="B331" s="10"/>
      <c r="C331" s="11"/>
      <c r="D331" s="10" t="str">
        <f t="shared" si="18"/>
        <v/>
      </c>
      <c r="H331" s="4"/>
      <c r="I331" s="6" t="str">
        <f t="shared" ca="1" si="19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hidden="1" customHeight="1">
      <c r="B332" s="10"/>
      <c r="C332" s="11"/>
      <c r="D332" s="10" t="str">
        <f t="shared" ref="D332:D395" si="20">IF(G332="","",IF(OR(G332="선급금",G332="중도금",G332="잔금"),"A",IF(G332="자재","B",IF(G332="특허료","C",""))))</f>
        <v/>
      </c>
      <c r="H332" s="4"/>
      <c r="I332" s="6" t="str">
        <f t="shared" ref="I332:I395" ca="1" si="21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hidden="1" customHeight="1">
      <c r="B333" s="10"/>
      <c r="C333" s="11"/>
      <c r="D333" s="10" t="str">
        <f t="shared" si="20"/>
        <v/>
      </c>
      <c r="H333" s="4"/>
      <c r="I333" s="6" t="str">
        <f t="shared" ca="1" si="21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hidden="1" customHeight="1">
      <c r="B334" s="10"/>
      <c r="C334" s="11"/>
      <c r="D334" s="10" t="str">
        <f t="shared" si="20"/>
        <v/>
      </c>
      <c r="H334" s="4"/>
      <c r="I334" s="6" t="str">
        <f t="shared" ca="1" si="21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hidden="1" customHeight="1">
      <c r="B335" s="10"/>
      <c r="C335" s="11"/>
      <c r="D335" s="10" t="str">
        <f t="shared" si="20"/>
        <v/>
      </c>
      <c r="H335" s="4"/>
      <c r="I335" s="6" t="str">
        <f t="shared" ca="1" si="21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hidden="1" customHeight="1">
      <c r="B336" s="10"/>
      <c r="C336" s="11"/>
      <c r="D336" s="10" t="str">
        <f t="shared" si="20"/>
        <v/>
      </c>
      <c r="H336" s="4"/>
      <c r="I336" s="6" t="str">
        <f t="shared" ca="1" si="21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hidden="1" customHeight="1">
      <c r="B337" s="10"/>
      <c r="C337" s="11"/>
      <c r="D337" s="10" t="str">
        <f t="shared" si="20"/>
        <v/>
      </c>
      <c r="H337" s="4"/>
      <c r="I337" s="6" t="str">
        <f t="shared" ca="1" si="21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hidden="1" customHeight="1">
      <c r="B338" s="10"/>
      <c r="C338" s="11"/>
      <c r="D338" s="10" t="str">
        <f t="shared" si="20"/>
        <v/>
      </c>
      <c r="H338" s="4"/>
      <c r="I338" s="6" t="str">
        <f t="shared" ca="1" si="21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hidden="1" customHeight="1">
      <c r="B339" s="10"/>
      <c r="C339" s="11"/>
      <c r="D339" s="10" t="str">
        <f t="shared" si="20"/>
        <v/>
      </c>
      <c r="H339" s="4"/>
      <c r="I339" s="6" t="str">
        <f t="shared" ca="1" si="21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hidden="1" customHeight="1">
      <c r="B340" s="10"/>
      <c r="C340" s="11"/>
      <c r="D340" s="10" t="str">
        <f t="shared" si="20"/>
        <v/>
      </c>
      <c r="H340" s="4"/>
      <c r="I340" s="6" t="str">
        <f t="shared" ca="1" si="21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hidden="1" customHeight="1">
      <c r="B341" s="10"/>
      <c r="C341" s="11"/>
      <c r="D341" s="10" t="str">
        <f t="shared" si="20"/>
        <v/>
      </c>
      <c r="H341" s="4"/>
      <c r="I341" s="6" t="str">
        <f t="shared" ca="1" si="21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hidden="1" customHeight="1">
      <c r="B342" s="10"/>
      <c r="C342" s="11"/>
      <c r="D342" s="10" t="str">
        <f t="shared" si="20"/>
        <v/>
      </c>
      <c r="H342" s="4"/>
      <c r="I342" s="6" t="str">
        <f t="shared" ca="1" si="21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hidden="1" customHeight="1">
      <c r="B343" s="10"/>
      <c r="C343" s="11"/>
      <c r="D343" s="10" t="str">
        <f t="shared" si="20"/>
        <v/>
      </c>
      <c r="H343" s="4"/>
      <c r="I343" s="6" t="str">
        <f t="shared" ca="1" si="21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hidden="1" customHeight="1">
      <c r="B344" s="10"/>
      <c r="C344" s="11"/>
      <c r="D344" s="10" t="str">
        <f t="shared" si="20"/>
        <v/>
      </c>
      <c r="H344" s="4"/>
      <c r="I344" s="6" t="str">
        <f t="shared" ca="1" si="21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hidden="1" customHeight="1">
      <c r="B345" s="10"/>
      <c r="C345" s="11"/>
      <c r="D345" s="10" t="str">
        <f t="shared" si="20"/>
        <v/>
      </c>
      <c r="H345" s="4"/>
      <c r="I345" s="6" t="str">
        <f t="shared" ca="1" si="21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hidden="1" customHeight="1">
      <c r="B346" s="10"/>
      <c r="C346" s="11"/>
      <c r="D346" s="10" t="str">
        <f t="shared" si="20"/>
        <v/>
      </c>
      <c r="H346" s="4"/>
      <c r="I346" s="6" t="str">
        <f t="shared" ca="1" si="21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hidden="1" customHeight="1">
      <c r="B347" s="10"/>
      <c r="C347" s="11"/>
      <c r="D347" s="10" t="str">
        <f t="shared" si="20"/>
        <v/>
      </c>
      <c r="H347" s="4"/>
      <c r="I347" s="6" t="str">
        <f t="shared" ca="1" si="21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hidden="1" customHeight="1">
      <c r="B348" s="10"/>
      <c r="C348" s="11"/>
      <c r="D348" s="10" t="str">
        <f t="shared" si="20"/>
        <v/>
      </c>
      <c r="H348" s="4"/>
      <c r="I348" s="6" t="str">
        <f t="shared" ca="1" si="21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hidden="1" customHeight="1">
      <c r="B349" s="10"/>
      <c r="C349" s="11"/>
      <c r="D349" s="10" t="str">
        <f t="shared" si="20"/>
        <v/>
      </c>
      <c r="H349" s="4"/>
      <c r="I349" s="6" t="str">
        <f t="shared" ca="1" si="21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hidden="1" customHeight="1">
      <c r="B350" s="10"/>
      <c r="C350" s="11"/>
      <c r="D350" s="10" t="str">
        <f t="shared" si="20"/>
        <v/>
      </c>
      <c r="H350" s="4"/>
      <c r="I350" s="6" t="str">
        <f t="shared" ca="1" si="21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hidden="1" customHeight="1">
      <c r="B351" s="10"/>
      <c r="C351" s="11"/>
      <c r="D351" s="10" t="str">
        <f t="shared" si="20"/>
        <v/>
      </c>
      <c r="H351" s="4"/>
      <c r="I351" s="6" t="str">
        <f t="shared" ca="1" si="21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hidden="1" customHeight="1">
      <c r="B352" s="10"/>
      <c r="C352" s="11"/>
      <c r="D352" s="10" t="str">
        <f t="shared" si="20"/>
        <v/>
      </c>
      <c r="H352" s="4"/>
      <c r="I352" s="6" t="str">
        <f t="shared" ca="1" si="21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hidden="1" customHeight="1">
      <c r="B353" s="10"/>
      <c r="C353" s="11"/>
      <c r="D353" s="10" t="str">
        <f t="shared" si="20"/>
        <v/>
      </c>
      <c r="H353" s="4"/>
      <c r="I353" s="6" t="str">
        <f t="shared" ca="1" si="21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hidden="1" customHeight="1">
      <c r="B354" s="10"/>
      <c r="C354" s="11"/>
      <c r="D354" s="10" t="str">
        <f t="shared" si="20"/>
        <v/>
      </c>
      <c r="H354" s="4"/>
      <c r="I354" s="6" t="str">
        <f t="shared" ca="1" si="21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hidden="1" customHeight="1">
      <c r="B355" s="10"/>
      <c r="C355" s="11"/>
      <c r="D355" s="10" t="str">
        <f t="shared" si="20"/>
        <v/>
      </c>
      <c r="H355" s="4"/>
      <c r="I355" s="6" t="str">
        <f t="shared" ca="1" si="21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hidden="1" customHeight="1">
      <c r="B356" s="10"/>
      <c r="C356" s="11"/>
      <c r="D356" s="10" t="str">
        <f t="shared" si="20"/>
        <v/>
      </c>
      <c r="H356" s="4"/>
      <c r="I356" s="6" t="str">
        <f t="shared" ca="1" si="21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hidden="1" customHeight="1">
      <c r="B357" s="10"/>
      <c r="C357" s="11"/>
      <c r="D357" s="10" t="str">
        <f t="shared" si="20"/>
        <v/>
      </c>
      <c r="H357" s="4"/>
      <c r="I357" s="6" t="str">
        <f t="shared" ca="1" si="21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hidden="1" customHeight="1">
      <c r="B358" s="10"/>
      <c r="C358" s="11"/>
      <c r="D358" s="10" t="str">
        <f t="shared" si="20"/>
        <v/>
      </c>
      <c r="H358" s="4"/>
      <c r="I358" s="6" t="str">
        <f t="shared" ca="1" si="21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hidden="1" customHeight="1">
      <c r="B359" s="10"/>
      <c r="C359" s="11"/>
      <c r="D359" s="10" t="str">
        <f t="shared" si="20"/>
        <v/>
      </c>
      <c r="H359" s="4"/>
      <c r="I359" s="6" t="str">
        <f t="shared" ca="1" si="21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hidden="1" customHeight="1">
      <c r="B360" s="10"/>
      <c r="C360" s="11"/>
      <c r="D360" s="10" t="str">
        <f t="shared" si="20"/>
        <v/>
      </c>
      <c r="H360" s="4"/>
      <c r="I360" s="6" t="str">
        <f t="shared" ca="1" si="21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hidden="1" customHeight="1">
      <c r="B361" s="10"/>
      <c r="C361" s="11"/>
      <c r="D361" s="10" t="str">
        <f t="shared" si="20"/>
        <v/>
      </c>
      <c r="H361" s="4"/>
      <c r="I361" s="6" t="str">
        <f t="shared" ca="1" si="21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hidden="1" customHeight="1">
      <c r="B362" s="10"/>
      <c r="C362" s="11"/>
      <c r="D362" s="10" t="str">
        <f t="shared" si="20"/>
        <v/>
      </c>
      <c r="H362" s="4"/>
      <c r="I362" s="6" t="str">
        <f t="shared" ca="1" si="21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hidden="1" customHeight="1">
      <c r="B363" s="10"/>
      <c r="C363" s="11"/>
      <c r="D363" s="10" t="str">
        <f t="shared" si="20"/>
        <v/>
      </c>
      <c r="H363" s="4"/>
      <c r="I363" s="6" t="str">
        <f t="shared" ca="1" si="21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hidden="1" customHeight="1">
      <c r="B364" s="10"/>
      <c r="C364" s="11"/>
      <c r="D364" s="10" t="str">
        <f t="shared" si="20"/>
        <v/>
      </c>
      <c r="H364" s="4"/>
      <c r="I364" s="6" t="str">
        <f t="shared" ca="1" si="21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hidden="1" customHeight="1">
      <c r="B365" s="10"/>
      <c r="C365" s="11"/>
      <c r="D365" s="10" t="str">
        <f t="shared" si="20"/>
        <v/>
      </c>
      <c r="H365" s="4"/>
      <c r="I365" s="6" t="str">
        <f t="shared" ca="1" si="21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hidden="1" customHeight="1">
      <c r="B366" s="10"/>
      <c r="C366" s="11"/>
      <c r="D366" s="10" t="str">
        <f t="shared" si="20"/>
        <v/>
      </c>
      <c r="H366" s="4"/>
      <c r="I366" s="6" t="str">
        <f t="shared" ca="1" si="21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hidden="1" customHeight="1">
      <c r="B367" s="10"/>
      <c r="C367" s="11"/>
      <c r="D367" s="10" t="str">
        <f t="shared" si="20"/>
        <v/>
      </c>
      <c r="H367" s="4"/>
      <c r="I367" s="6" t="str">
        <f t="shared" ca="1" si="21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hidden="1" customHeight="1">
      <c r="B368" s="10"/>
      <c r="C368" s="11"/>
      <c r="D368" s="10" t="str">
        <f t="shared" si="20"/>
        <v/>
      </c>
      <c r="H368" s="4"/>
      <c r="I368" s="6" t="str">
        <f t="shared" ca="1" si="21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hidden="1" customHeight="1">
      <c r="B369" s="10"/>
      <c r="C369" s="11"/>
      <c r="D369" s="10" t="str">
        <f t="shared" si="20"/>
        <v/>
      </c>
      <c r="H369" s="4"/>
      <c r="I369" s="6" t="str">
        <f t="shared" ca="1" si="21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hidden="1" customHeight="1">
      <c r="B370" s="10"/>
      <c r="C370" s="11"/>
      <c r="D370" s="10" t="str">
        <f t="shared" si="20"/>
        <v/>
      </c>
      <c r="H370" s="4"/>
      <c r="I370" s="6" t="str">
        <f t="shared" ca="1" si="21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hidden="1" customHeight="1">
      <c r="B371" s="10"/>
      <c r="C371" s="11"/>
      <c r="D371" s="10" t="str">
        <f t="shared" si="20"/>
        <v/>
      </c>
      <c r="H371" s="4"/>
      <c r="I371" s="6" t="str">
        <f t="shared" ca="1" si="21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hidden="1" customHeight="1">
      <c r="B372" s="10"/>
      <c r="C372" s="11"/>
      <c r="D372" s="10" t="str">
        <f t="shared" si="20"/>
        <v/>
      </c>
      <c r="H372" s="4"/>
      <c r="I372" s="6" t="str">
        <f t="shared" ca="1" si="21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hidden="1" customHeight="1">
      <c r="B373" s="10"/>
      <c r="C373" s="11"/>
      <c r="D373" s="10" t="str">
        <f t="shared" si="20"/>
        <v/>
      </c>
      <c r="H373" s="4"/>
      <c r="I373" s="6" t="str">
        <f t="shared" ca="1" si="21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hidden="1" customHeight="1">
      <c r="B374" s="10"/>
      <c r="C374" s="11"/>
      <c r="D374" s="10" t="str">
        <f t="shared" si="20"/>
        <v/>
      </c>
      <c r="H374" s="4"/>
      <c r="I374" s="6" t="str">
        <f t="shared" ca="1" si="21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hidden="1" customHeight="1">
      <c r="B375" s="10"/>
      <c r="C375" s="11"/>
      <c r="D375" s="10" t="str">
        <f t="shared" si="20"/>
        <v/>
      </c>
      <c r="H375" s="4"/>
      <c r="I375" s="6" t="str">
        <f t="shared" ca="1" si="21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hidden="1" customHeight="1">
      <c r="B376" s="10"/>
      <c r="C376" s="11"/>
      <c r="D376" s="10" t="str">
        <f t="shared" si="20"/>
        <v/>
      </c>
      <c r="H376" s="4"/>
      <c r="I376" s="6" t="str">
        <f t="shared" ca="1" si="21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hidden="1" customHeight="1">
      <c r="B377" s="10"/>
      <c r="C377" s="11"/>
      <c r="D377" s="10" t="str">
        <f t="shared" si="20"/>
        <v/>
      </c>
      <c r="H377" s="4"/>
      <c r="I377" s="6" t="str">
        <f t="shared" ca="1" si="21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hidden="1" customHeight="1">
      <c r="B378" s="10"/>
      <c r="C378" s="11"/>
      <c r="D378" s="10" t="str">
        <f t="shared" si="20"/>
        <v/>
      </c>
      <c r="H378" s="4"/>
      <c r="I378" s="6" t="str">
        <f t="shared" ca="1" si="21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hidden="1" customHeight="1">
      <c r="B379" s="10"/>
      <c r="C379" s="11"/>
      <c r="D379" s="10" t="str">
        <f t="shared" si="20"/>
        <v/>
      </c>
      <c r="H379" s="4"/>
      <c r="I379" s="6" t="str">
        <f t="shared" ca="1" si="21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hidden="1" customHeight="1">
      <c r="B380" s="10"/>
      <c r="C380" s="11"/>
      <c r="D380" s="10" t="str">
        <f t="shared" si="20"/>
        <v/>
      </c>
      <c r="H380" s="4"/>
      <c r="I380" s="6" t="str">
        <f t="shared" ca="1" si="21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hidden="1" customHeight="1">
      <c r="B381" s="10"/>
      <c r="C381" s="11"/>
      <c r="D381" s="10" t="str">
        <f t="shared" si="20"/>
        <v/>
      </c>
      <c r="H381" s="4"/>
      <c r="I381" s="6" t="str">
        <f t="shared" ca="1" si="21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hidden="1" customHeight="1">
      <c r="B382" s="10"/>
      <c r="C382" s="11"/>
      <c r="D382" s="10" t="str">
        <f t="shared" si="20"/>
        <v/>
      </c>
      <c r="H382" s="4"/>
      <c r="I382" s="6" t="str">
        <f t="shared" ca="1" si="21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hidden="1" customHeight="1">
      <c r="B383" s="10"/>
      <c r="C383" s="11"/>
      <c r="D383" s="10" t="str">
        <f t="shared" si="20"/>
        <v/>
      </c>
      <c r="H383" s="4"/>
      <c r="I383" s="6" t="str">
        <f t="shared" ca="1" si="21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hidden="1" customHeight="1">
      <c r="B384" s="10"/>
      <c r="C384" s="11"/>
      <c r="D384" s="10" t="str">
        <f t="shared" si="20"/>
        <v/>
      </c>
      <c r="H384" s="4"/>
      <c r="I384" s="6" t="str">
        <f t="shared" ca="1" si="21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hidden="1" customHeight="1">
      <c r="B385" s="10"/>
      <c r="C385" s="11"/>
      <c r="D385" s="10" t="str">
        <f t="shared" si="20"/>
        <v/>
      </c>
      <c r="H385" s="4"/>
      <c r="I385" s="6" t="str">
        <f t="shared" ca="1" si="21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hidden="1" customHeight="1">
      <c r="B386" s="10"/>
      <c r="C386" s="11"/>
      <c r="D386" s="10" t="str">
        <f t="shared" si="20"/>
        <v/>
      </c>
      <c r="H386" s="4"/>
      <c r="I386" s="6" t="str">
        <f t="shared" ca="1" si="21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hidden="1" customHeight="1">
      <c r="B387" s="10"/>
      <c r="C387" s="11"/>
      <c r="D387" s="10" t="str">
        <f t="shared" si="20"/>
        <v/>
      </c>
      <c r="H387" s="4"/>
      <c r="I387" s="6" t="str">
        <f t="shared" ca="1" si="21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hidden="1" customHeight="1">
      <c r="B388" s="10"/>
      <c r="C388" s="11"/>
      <c r="D388" s="10" t="str">
        <f t="shared" si="20"/>
        <v/>
      </c>
      <c r="H388" s="4"/>
      <c r="I388" s="6" t="str">
        <f t="shared" ca="1" si="21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hidden="1" customHeight="1">
      <c r="B389" s="10"/>
      <c r="C389" s="11"/>
      <c r="D389" s="10" t="str">
        <f t="shared" si="20"/>
        <v/>
      </c>
      <c r="H389" s="4"/>
      <c r="I389" s="6" t="str">
        <f t="shared" ca="1" si="21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hidden="1" customHeight="1">
      <c r="B390" s="10"/>
      <c r="C390" s="11"/>
      <c r="D390" s="10" t="str">
        <f t="shared" si="20"/>
        <v/>
      </c>
      <c r="H390" s="4"/>
      <c r="I390" s="6" t="str">
        <f t="shared" ca="1" si="21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hidden="1" customHeight="1">
      <c r="B391" s="10"/>
      <c r="C391" s="11"/>
      <c r="D391" s="10" t="str">
        <f t="shared" si="20"/>
        <v/>
      </c>
      <c r="H391" s="4"/>
      <c r="I391" s="6" t="str">
        <f t="shared" ca="1" si="21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hidden="1" customHeight="1">
      <c r="B392" s="10"/>
      <c r="C392" s="11"/>
      <c r="D392" s="10" t="str">
        <f t="shared" si="20"/>
        <v/>
      </c>
      <c r="H392" s="4"/>
      <c r="I392" s="6" t="str">
        <f t="shared" ca="1" si="21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hidden="1" customHeight="1">
      <c r="B393" s="10"/>
      <c r="C393" s="11"/>
      <c r="D393" s="10" t="str">
        <f t="shared" si="20"/>
        <v/>
      </c>
      <c r="H393" s="4"/>
      <c r="I393" s="6" t="str">
        <f t="shared" ca="1" si="21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hidden="1" customHeight="1">
      <c r="B394" s="10"/>
      <c r="C394" s="11"/>
      <c r="D394" s="10" t="str">
        <f t="shared" si="20"/>
        <v/>
      </c>
      <c r="H394" s="4"/>
      <c r="I394" s="6" t="str">
        <f t="shared" ca="1" si="21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hidden="1" customHeight="1">
      <c r="B395" s="10"/>
      <c r="C395" s="11"/>
      <c r="D395" s="10" t="str">
        <f t="shared" si="20"/>
        <v/>
      </c>
      <c r="H395" s="4"/>
      <c r="I395" s="6" t="str">
        <f t="shared" ca="1" si="21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hidden="1" customHeight="1">
      <c r="B396" s="10"/>
      <c r="C396" s="11"/>
      <c r="D396" s="10" t="str">
        <f t="shared" ref="D396:D408" si="22">IF(G396="","",IF(OR(G396="선급금",G396="중도금",G396="잔금"),"A",IF(G396="자재","B",IF(G396="특허료","C",""))))</f>
        <v/>
      </c>
      <c r="H396" s="4"/>
      <c r="I396" s="6" t="str">
        <f t="shared" ref="I396:I406" ca="1" si="23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hidden="1" customHeight="1">
      <c r="B397" s="10"/>
      <c r="C397" s="11"/>
      <c r="D397" s="10" t="str">
        <f t="shared" si="22"/>
        <v/>
      </c>
      <c r="H397" s="4"/>
      <c r="I397" s="6" t="str">
        <f t="shared" ca="1" si="23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hidden="1" customHeight="1">
      <c r="B398" s="10"/>
      <c r="C398" s="11"/>
      <c r="D398" s="10" t="str">
        <f t="shared" si="22"/>
        <v/>
      </c>
      <c r="H398" s="4"/>
      <c r="I398" s="6" t="str">
        <f t="shared" ca="1" si="23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hidden="1" customHeight="1">
      <c r="B399" s="10"/>
      <c r="C399" s="11"/>
      <c r="D399" s="10" t="str">
        <f t="shared" si="22"/>
        <v/>
      </c>
      <c r="H399" s="4"/>
      <c r="I399" s="6" t="str">
        <f t="shared" ca="1" si="23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hidden="1" customHeight="1">
      <c r="B400" s="10"/>
      <c r="C400" s="11"/>
      <c r="D400" s="10" t="str">
        <f t="shared" si="22"/>
        <v/>
      </c>
      <c r="H400" s="4"/>
      <c r="I400" s="6" t="str">
        <f t="shared" ca="1" si="23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hidden="1" customHeight="1">
      <c r="B401" s="10"/>
      <c r="C401" s="11"/>
      <c r="D401" s="10" t="str">
        <f t="shared" si="22"/>
        <v/>
      </c>
      <c r="H401" s="4"/>
      <c r="I401" s="6" t="str">
        <f t="shared" ca="1" si="23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hidden="1" customHeight="1">
      <c r="B402" s="10"/>
      <c r="C402" s="11"/>
      <c r="D402" s="10" t="str">
        <f t="shared" si="22"/>
        <v/>
      </c>
      <c r="H402" s="4"/>
      <c r="I402" s="6" t="str">
        <f t="shared" ca="1" si="23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 hidden="1">
      <c r="B403" s="10"/>
      <c r="C403" s="11"/>
      <c r="D403" s="1" t="str">
        <f t="shared" si="22"/>
        <v/>
      </c>
      <c r="I403" s="1" t="str">
        <f t="shared" ca="1" si="23"/>
        <v/>
      </c>
      <c r="K403" s="11"/>
      <c r="L403" s="11"/>
      <c r="Q403" s="11"/>
      <c r="R403" s="11"/>
    </row>
    <row r="404" spans="2:19" hidden="1">
      <c r="B404" s="10"/>
      <c r="C404" s="11"/>
      <c r="D404" s="1" t="str">
        <f t="shared" si="22"/>
        <v/>
      </c>
      <c r="I404" s="1" t="str">
        <f t="shared" ca="1" si="23"/>
        <v/>
      </c>
      <c r="K404" s="11"/>
      <c r="L404" s="11"/>
      <c r="Q404" s="11"/>
      <c r="R404" s="11"/>
    </row>
    <row r="405" spans="2:19" hidden="1">
      <c r="B405" s="10"/>
      <c r="C405" s="11"/>
      <c r="D405" s="1" t="str">
        <f t="shared" si="22"/>
        <v/>
      </c>
      <c r="I405" s="1" t="str">
        <f t="shared" ca="1" si="23"/>
        <v/>
      </c>
      <c r="Q405" s="11"/>
      <c r="R405" s="11"/>
    </row>
    <row r="406" spans="2:19" hidden="1">
      <c r="B406" s="10"/>
      <c r="C406" s="11"/>
      <c r="D406" s="1" t="str">
        <f t="shared" si="22"/>
        <v/>
      </c>
      <c r="I406" s="1" t="str">
        <f t="shared" ca="1" si="23"/>
        <v/>
      </c>
      <c r="Q406" s="11"/>
      <c r="R406" s="11"/>
    </row>
    <row r="407" spans="2:19" hidden="1">
      <c r="B407" s="10"/>
      <c r="C407" s="11"/>
      <c r="D407" s="1" t="str">
        <f t="shared" si="22"/>
        <v/>
      </c>
      <c r="Q407" s="11"/>
      <c r="R407" s="11"/>
    </row>
    <row r="408" spans="2:19" hidden="1">
      <c r="B408" s="10"/>
      <c r="C408" s="11"/>
      <c r="D408" s="1" t="str">
        <f t="shared" si="22"/>
        <v/>
      </c>
      <c r="Q408" s="11"/>
      <c r="R408" s="11"/>
    </row>
    <row r="409" spans="2:19" ht="16.5" customHeight="1">
      <c r="C409" s="58"/>
      <c r="F409" s="62"/>
    </row>
  </sheetData>
  <autoFilter ref="A1:S408">
    <filterColumn colId="3">
      <filters>
        <filter val="A"/>
      </filters>
    </filterColumn>
  </autoFilter>
  <phoneticPr fontId="5" type="noConversion"/>
  <conditionalFormatting sqref="E3 F57:F60">
    <cfRule type="expression" dxfId="73" priority="93">
      <formula>$J3="잔금"</formula>
    </cfRule>
  </conditionalFormatting>
  <conditionalFormatting sqref="E8">
    <cfRule type="expression" dxfId="72" priority="92">
      <formula>$J8="잔금"</formula>
    </cfRule>
  </conditionalFormatting>
  <conditionalFormatting sqref="E4">
    <cfRule type="expression" dxfId="71" priority="91">
      <formula>$J4="잔금"</formula>
    </cfRule>
  </conditionalFormatting>
  <conditionalFormatting sqref="E9">
    <cfRule type="expression" dxfId="70" priority="90">
      <formula>$J9="잔금"</formula>
    </cfRule>
  </conditionalFormatting>
  <conditionalFormatting sqref="E41 E37">
    <cfRule type="expression" dxfId="69" priority="85">
      <formula>$J37="잔금"</formula>
    </cfRule>
  </conditionalFormatting>
  <conditionalFormatting sqref="E98:E99 E187:F193 H187:H193 C187:C193">
    <cfRule type="expression" dxfId="68" priority="75">
      <formula>$J98="잔금"</formula>
    </cfRule>
  </conditionalFormatting>
  <conditionalFormatting sqref="F98:F99">
    <cfRule type="expression" dxfId="67" priority="74">
      <formula>$J98="잔금"</formula>
    </cfRule>
  </conditionalFormatting>
  <conditionalFormatting sqref="F104:F105">
    <cfRule type="expression" dxfId="66" priority="72">
      <formula>$J104="잔금"</formula>
    </cfRule>
  </conditionalFormatting>
  <conditionalFormatting sqref="H104:H105">
    <cfRule type="expression" dxfId="65" priority="71">
      <formula>$J104="잔금"</formula>
    </cfRule>
  </conditionalFormatting>
  <conditionalFormatting sqref="E106:E108">
    <cfRule type="expression" dxfId="64" priority="70">
      <formula>$J106="잔금"</formula>
    </cfRule>
  </conditionalFormatting>
  <conditionalFormatting sqref="F106:F108">
    <cfRule type="expression" dxfId="63" priority="69">
      <formula>$J106="잔금"</formula>
    </cfRule>
  </conditionalFormatting>
  <conditionalFormatting sqref="H106:H108">
    <cfRule type="expression" dxfId="62" priority="68">
      <formula>$J106="잔금"</formula>
    </cfRule>
  </conditionalFormatting>
  <conditionalFormatting sqref="E110">
    <cfRule type="expression" dxfId="61" priority="67">
      <formula>$J110="잔금"</formula>
    </cfRule>
  </conditionalFormatting>
  <conditionalFormatting sqref="F110">
    <cfRule type="expression" dxfId="60" priority="66">
      <formula>$J110="잔금"</formula>
    </cfRule>
  </conditionalFormatting>
  <conditionalFormatting sqref="E111:E113">
    <cfRule type="expression" dxfId="59" priority="65">
      <formula>$J111="잔금"</formula>
    </cfRule>
  </conditionalFormatting>
  <conditionalFormatting sqref="F111 F113">
    <cfRule type="expression" dxfId="58" priority="64">
      <formula>$J111="잔금"</formula>
    </cfRule>
  </conditionalFormatting>
  <conditionalFormatting sqref="F112">
    <cfRule type="expression" dxfId="57" priority="63">
      <formula>$J112="잔금"</formula>
    </cfRule>
  </conditionalFormatting>
  <conditionalFormatting sqref="H111:H113">
    <cfRule type="expression" dxfId="56" priority="62">
      <formula>$J111="잔금"</formula>
    </cfRule>
  </conditionalFormatting>
  <conditionalFormatting sqref="C111:C113">
    <cfRule type="expression" dxfId="55" priority="61">
      <formula>$J111="잔금"</formula>
    </cfRule>
  </conditionalFormatting>
  <conditionalFormatting sqref="E117">
    <cfRule type="expression" dxfId="54" priority="60">
      <formula>$J117="잔금"</formula>
    </cfRule>
  </conditionalFormatting>
  <conditionalFormatting sqref="F117">
    <cfRule type="expression" dxfId="53" priority="59">
      <formula>$J117="잔금"</formula>
    </cfRule>
  </conditionalFormatting>
  <conditionalFormatting sqref="F143:F150">
    <cfRule type="expression" dxfId="52" priority="58">
      <formula>$J143="잔금"</formula>
    </cfRule>
  </conditionalFormatting>
  <conditionalFormatting sqref="E143:E150">
    <cfRule type="expression" dxfId="51" priority="57">
      <formula>$J143="잔금"</formula>
    </cfRule>
  </conditionalFormatting>
  <conditionalFormatting sqref="H143:H150">
    <cfRule type="expression" dxfId="50" priority="56">
      <formula>$J143="잔금"</formula>
    </cfRule>
  </conditionalFormatting>
  <conditionalFormatting sqref="E152:E158">
    <cfRule type="expression" dxfId="49" priority="54">
      <formula>$J152="잔금"</formula>
    </cfRule>
  </conditionalFormatting>
  <conditionalFormatting sqref="F152:F158">
    <cfRule type="expression" dxfId="48" priority="53">
      <formula>$J152="잔금"</formula>
    </cfRule>
  </conditionalFormatting>
  <conditionalFormatting sqref="C152:C158">
    <cfRule type="expression" dxfId="47" priority="52">
      <formula>$J152="잔금"</formula>
    </cfRule>
  </conditionalFormatting>
  <conditionalFormatting sqref="H152:H158">
    <cfRule type="expression" dxfId="46" priority="51">
      <formula>$J152="잔금"</formula>
    </cfRule>
  </conditionalFormatting>
  <conditionalFormatting sqref="C159">
    <cfRule type="expression" dxfId="45" priority="50">
      <formula>$I159="잔금"</formula>
    </cfRule>
  </conditionalFormatting>
  <conditionalFormatting sqref="F160:F163">
    <cfRule type="expression" dxfId="44" priority="49">
      <formula>$J160="잔금"</formula>
    </cfRule>
  </conditionalFormatting>
  <conditionalFormatting sqref="E160:E163">
    <cfRule type="expression" dxfId="43" priority="48">
      <formula>$J160="잔금"</formula>
    </cfRule>
  </conditionalFormatting>
  <conditionalFormatting sqref="C160:C166">
    <cfRule type="expression" dxfId="42" priority="47">
      <formula>$J160="잔금"</formula>
    </cfRule>
  </conditionalFormatting>
  <conditionalFormatting sqref="H160:H163">
    <cfRule type="expression" dxfId="41" priority="46">
      <formula>$J160="잔금"</formula>
    </cfRule>
  </conditionalFormatting>
  <conditionalFormatting sqref="F167:F179">
    <cfRule type="expression" dxfId="40" priority="45">
      <formula>$J167="잔금"</formula>
    </cfRule>
  </conditionalFormatting>
  <conditionalFormatting sqref="F180:F186">
    <cfRule type="expression" dxfId="39" priority="44">
      <formula>$J180="잔금"</formula>
    </cfRule>
  </conditionalFormatting>
  <conditionalFormatting sqref="E167:E179">
    <cfRule type="expression" dxfId="38" priority="43">
      <formula>$J167="잔금"</formula>
    </cfRule>
  </conditionalFormatting>
  <conditionalFormatting sqref="E180:E186">
    <cfRule type="expression" dxfId="37" priority="42">
      <formula>$J180="잔금"</formula>
    </cfRule>
  </conditionalFormatting>
  <conditionalFormatting sqref="C167:C179">
    <cfRule type="expression" dxfId="36" priority="41">
      <formula>$J167="잔금"</formula>
    </cfRule>
  </conditionalFormatting>
  <conditionalFormatting sqref="C180:C186">
    <cfRule type="expression" dxfId="35" priority="40">
      <formula>$J180="잔금"</formula>
    </cfRule>
  </conditionalFormatting>
  <conditionalFormatting sqref="H167:H179">
    <cfRule type="expression" dxfId="34" priority="39">
      <formula>$J167="잔금"</formula>
    </cfRule>
  </conditionalFormatting>
  <conditionalFormatting sqref="H180:H186">
    <cfRule type="expression" dxfId="33" priority="38">
      <formula>$J180="잔금"</formula>
    </cfRule>
  </conditionalFormatting>
  <conditionalFormatting sqref="F195:F201">
    <cfRule type="expression" dxfId="32" priority="33">
      <formula>$J195="잔금"</formula>
    </cfRule>
  </conditionalFormatting>
  <conditionalFormatting sqref="E195:E201">
    <cfRule type="expression" dxfId="31" priority="32">
      <formula>$J195="잔금"</formula>
    </cfRule>
  </conditionalFormatting>
  <conditionalFormatting sqref="C195:C202">
    <cfRule type="expression" dxfId="30" priority="31">
      <formula>$J195="잔금"</formula>
    </cfRule>
  </conditionalFormatting>
  <conditionalFormatting sqref="H195:H201">
    <cfRule type="expression" dxfId="29" priority="30">
      <formula>$J195="잔금"</formula>
    </cfRule>
  </conditionalFormatting>
  <conditionalFormatting sqref="C203:C216">
    <cfRule type="expression" dxfId="28" priority="29">
      <formula>$J203="잔금"</formula>
    </cfRule>
  </conditionalFormatting>
  <conditionalFormatting sqref="F203:F216">
    <cfRule type="expression" dxfId="27" priority="28">
      <formula>$J203="잔금"</formula>
    </cfRule>
  </conditionalFormatting>
  <conditionalFormatting sqref="H203:H216">
    <cfRule type="expression" dxfId="26" priority="27">
      <formula>$J203="잔금"</formula>
    </cfRule>
  </conditionalFormatting>
  <conditionalFormatting sqref="E203:E217">
    <cfRule type="expression" dxfId="25" priority="26">
      <formula>$J203="잔금"</formula>
    </cfRule>
  </conditionalFormatting>
  <conditionalFormatting sqref="C217">
    <cfRule type="expression" dxfId="24" priority="25">
      <formula>$I217="잔금"</formula>
    </cfRule>
  </conditionalFormatting>
  <conditionalFormatting sqref="H217">
    <cfRule type="expression" dxfId="23" priority="20">
      <formula>$I217="잔금"</formula>
    </cfRule>
  </conditionalFormatting>
  <conditionalFormatting sqref="C218">
    <cfRule type="expression" dxfId="22" priority="19">
      <formula>$I218="잔금"</formula>
    </cfRule>
  </conditionalFormatting>
  <conditionalFormatting sqref="C219">
    <cfRule type="expression" dxfId="21" priority="18">
      <formula>$I219="잔금"</formula>
    </cfRule>
  </conditionalFormatting>
  <conditionalFormatting sqref="C220">
    <cfRule type="expression" dxfId="20" priority="17">
      <formula>$I220="잔금"</formula>
    </cfRule>
  </conditionalFormatting>
  <conditionalFormatting sqref="F221:F230">
    <cfRule type="expression" dxfId="19" priority="16">
      <formula>$J221="잔금"</formula>
    </cfRule>
  </conditionalFormatting>
  <conditionalFormatting sqref="F231:F244">
    <cfRule type="expression" dxfId="18" priority="15">
      <formula>$J231="잔금"</formula>
    </cfRule>
  </conditionalFormatting>
  <conditionalFormatting sqref="E221:E230">
    <cfRule type="expression" dxfId="17" priority="14">
      <formula>$J221="잔금"</formula>
    </cfRule>
  </conditionalFormatting>
  <conditionalFormatting sqref="E231:E244">
    <cfRule type="expression" dxfId="16" priority="13">
      <formula>$J231="잔금"</formula>
    </cfRule>
  </conditionalFormatting>
  <conditionalFormatting sqref="H221:H230">
    <cfRule type="expression" dxfId="15" priority="12">
      <formula>$J221="잔금"</formula>
    </cfRule>
  </conditionalFormatting>
  <conditionalFormatting sqref="H231:H244">
    <cfRule type="expression" dxfId="14" priority="11">
      <formula>$J231="잔금"</formula>
    </cfRule>
  </conditionalFormatting>
  <conditionalFormatting sqref="C246">
    <cfRule type="expression" dxfId="13" priority="10">
      <formula>$I246="잔금"</formula>
    </cfRule>
  </conditionalFormatting>
  <conditionalFormatting sqref="C247">
    <cfRule type="expression" dxfId="12" priority="9">
      <formula>$I247="잔금"</formula>
    </cfRule>
  </conditionalFormatting>
  <conditionalFormatting sqref="C248">
    <cfRule type="expression" dxfId="11" priority="8">
      <formula>$I248="잔금"</formula>
    </cfRule>
  </conditionalFormatting>
  <conditionalFormatting sqref="F249:F253">
    <cfRule type="expression" dxfId="10" priority="7">
      <formula>$J249="잔금"</formula>
    </cfRule>
  </conditionalFormatting>
  <conditionalFormatting sqref="E249:E253">
    <cfRule type="expression" dxfId="9" priority="6">
      <formula>$J249="잔금"</formula>
    </cfRule>
  </conditionalFormatting>
  <conditionalFormatting sqref="C249:C253">
    <cfRule type="expression" dxfId="8" priority="5">
      <formula>$J249="잔금"</formula>
    </cfRule>
  </conditionalFormatting>
  <conditionalFormatting sqref="H249:H253">
    <cfRule type="expression" dxfId="7" priority="4">
      <formula>$J249="잔금"</formula>
    </cfRule>
  </conditionalFormatting>
  <conditionalFormatting sqref="C254:C257">
    <cfRule type="expression" dxfId="6" priority="3">
      <formula>$I254="잔금"</formula>
    </cfRule>
  </conditionalFormatting>
  <conditionalFormatting sqref="F258:F267">
    <cfRule type="expression" dxfId="5" priority="2">
      <formula>$J258="잔금"</formula>
    </cfRule>
  </conditionalFormatting>
  <conditionalFormatting sqref="F268:F276">
    <cfRule type="expression" dxfId="4" priority="1">
      <formula>$J268="잔금"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276">
      <formula1>"Y,N"</formula1>
    </dataValidation>
    <dataValidation type="list" allowBlank="1" sqref="D2:D408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2026-03-25T05:06:47Z</dcterms:modified>
</cp:coreProperties>
</file>