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<sst xmlns="http://schemas.openxmlformats.org/spreadsheetml/2006/main" count="1053" uniqueCount="321">
  <si>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</si>
  <si>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</si>
  <si>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</si>
  <si>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</si>
  <si>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</si>
  <si>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</si>
  <si>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</si>
  <si>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</si>
  <si>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</si>
  <si>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</si>
  <si>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</si>
  <si>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</si>
  <si>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</si>
  <si>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</si>
  <si>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</si>
  <si>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</si>
  <si>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</si>
  <si>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</si>
  <si>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</si>
  <si>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</si>
  <si>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</si>
  <si>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</si>
  <si>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</si>
  <si>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</si>
  <si>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</si>
  <si>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</si>
  <si>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</si>
  <si>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</si>
  <si>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</si>
  <si>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</si>
  <si>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</si>
  <si>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</si>
  <si>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</si>
  <si>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</si>
  <si>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</si>
  <si>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</si>
  <si>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</si>
  <si>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</si>
  <si>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</si>
  <si>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</si>
  <si>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</si>
  <si>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</si>
  <si>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</si>
  <si>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</si>
  <si>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</si>
  <si>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</si>
  <si>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</si>
  <si>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</si>
  <si>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</si>
  <si>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</si>
  <si>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</si>
  <si>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</si>
  <si>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</si>
  <si>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</si>
  <si>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</si>
  <si>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</si>
  <si>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</si>
  <si>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</si>
  <si>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</si>
  <si>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</si>
  <si>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</si>
  <si>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</si>
  <si>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</si>
  <si>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</si>
  <si>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</si>
  <si>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</si>
  <si>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</si>
  <si>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</si>
  <si>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</si>
  <si>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</si>
  <si>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</si>
  <si>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</si>
  <si>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</si>
  <si>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</si>
  <si>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</si>
  <si>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</si>
  <si>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</si>
  <si>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</si>
  <si>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</si>
  <si>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</si>
  <si>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</si>
  <si>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</si>
  <si>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</si>
  <si>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</si>
  <si>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</si>
  <si>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</si>
  <si>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</si>
  <si>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</si>
  <si>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</si>
  <si>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</si>
  <si>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</si>
  <si>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</si>
  <si>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</si>
  <si>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</si>
  <si>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</si>
  <si>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</si>
  <si>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</si>
  <si>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</si>
  <si>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</si>
  <si>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</si>
  <si>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</si>
  <si>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</si>
  <si>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</si>
  <si>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</si>
  <si>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</si>
  <si>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</si>
  <si>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</si>
  <si>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</si>
  <si>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</si>
  <si>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</si>
  <si>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</si>
  <si>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</si>
  <si>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</si>
  <si>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</si>
  <si>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</si>
  <si>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</si>
  <si>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</si>
  <si>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</si>
  <si>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</si>
  <si>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</si>
  <si>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</si>
  <si>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</si>
  <si>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</si>
  <si>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</si>
  <si>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</si>
  <si>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</si>
  <si>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</si>
  <si>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</si>
  <si>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</si>
  <si>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</si>
  <si>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</si>
  <si>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</si>
  <si>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</si>
  <si>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</si>
  <si>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</si>
  <si>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</si>
  <si>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</si>
  <si>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</si>
  <si>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</si>
  <si>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</si>
  <si>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</si>
  <si>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</si>
  <si>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</si>
  <si>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</si>
  <si>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</si>
  <si>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</si>
  <si>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</si>
  <si>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</si>
  <si>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</si>
  <si>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</si>
  <si>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</si>
  <si>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</si>
  <si>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</si>
  <si>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</si>
  <si>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</si>
  <si>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</si>
  <si>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</si>
  <si>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</si>
  <si>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</si>
  <si>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</si>
  <si>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</si>
  <si>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</si>
  <si>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</si>
  <si>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</si>
  <si>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</si>
  <si>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</si>
  <si>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</si>
  <si>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</si>
  <si>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</si>
  <si>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</si>
  <si>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</si>
  <si>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</si>
  <si>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</si>
  <si>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</si>
  <si>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</si>
  <si>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</si>
  <si>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</si>
  <si>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</si>
  <si>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</si>
  <si>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</si>
  <si>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</si>
  <si>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</si>
  <si>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</si>
  <si>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</si>
  <si>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</si>
  <si>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</si>
  <si>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</si>
  <si>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</si>
  <si>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</si>
  <si>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</si>
  <si>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</si>
  <si>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</si>
  <si>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</si>
  <si>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</si>
  <si>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</si>
  <si>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</si>
  <si>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</si>
  <si>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</si>
  <si>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</si>
  <si>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</si>
  <si>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</si>
  <si>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</si>
  <si>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</si>
  <si>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</si>
  <si>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</si>
  <si>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</si>
  <si>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</si>
  <si>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</si>
  <si>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</si>
  <si>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</si>
  <si>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</si>
  <si>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</si>
  <si>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</si>
  <si>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</si>
  <si>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</si>
  <si>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</si>
  <si>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</si>
  <si>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</si>
  <si>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</si>
  <si>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</si>
  <si>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</si>
  <si>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</si>
  <si>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</si>
  <si>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</si>
  <si>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</si>
  <si>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</si>
  <si>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</si>
  <si>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</si>
  <si>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</si>
  <si>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</si>
  <si>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</si>
  <si>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</si>
  <si>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</si>
  <si>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</si>
  <si>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</si>
  <si>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</si>
  <si>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</si>
  <si>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</si>
  <si>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</si>
  <si>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</si>
  <si>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</si>
  <si>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</si>
  <si>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</si>
  <si>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</si>
  <si>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</si>
  <si>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</si>
  <si>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</si>
  <si>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</si>
  <si>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</si>
  <si>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</si>
  <si>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</si>
  <si>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</si>
  <si>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</si>
  <si>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</si>
  <si>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</si>
  <si>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</si>
  <si>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</si>
  <si>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</si>
  <si>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</si>
  <si>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</si>
  <si>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</si>
  <si>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</si>
  <si>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</si>
  <si>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</si>
  <si>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</si>
  <si>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</si>
  <si>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</si>
  <si>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</si>
  <si>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</si>
  <si>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</si>
  <si>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</si>
  <si>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</si>
  <si>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</si>
  <si>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</si>
  <si>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</si>
  <si>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</si>
  <si>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</si>
  <si>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</si>
  <si>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</si>
  <si>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</si>
  <si>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</si>
  <si>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</si>
  <si>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</si>
  <si>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</si>
  <si>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</si>
  <si>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</si>
  <si>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</si>
  <si>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</si>
  <si>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</si>
  <si>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</si>
  <si>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</si>
  <si>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</si>
  <si>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</si>
  <si>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</si>
  <si>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</si>
  <si>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</si>
  <si>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</si>
  <si>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</si>
  <si>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</si>
  <si>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</si>
  <si>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</si>
  <si>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</si>
  <si>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</si>
  <si>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</si>
  <si>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</si>
  <si>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</si>
  <si>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</si>
  <si>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</si>
  <si>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</si>
  <si>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</si>
  <si>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</si>
  <si>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</si>
  <si>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</si>
  <si>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</si>
  <si>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</si>
  <si>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</si>
  <si>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궁전빌라파트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</si>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</sst>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45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123" activePane="bottomRight" state="frozen"/>
      <selection pane="topRight"/>
      <selection pane="bottomLeft"/>
      <selection pane="bottomRight" activeCell="M135" sqref="M135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182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132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87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82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265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125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664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504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642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641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733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375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354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349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347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326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312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291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279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249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227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298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222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195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152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139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129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126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392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257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257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208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88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70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67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59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55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53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53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49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46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46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42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35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34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34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33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33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32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32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31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24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21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21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20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19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17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17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17</v>
      </c>
      <c r="J124" s="13" t="str">
        <f t="shared" ca="1" si="11"/>
        <v>정상</v>
      </c>
      <c r="K124" s="11"/>
      <c r="L124" s="11"/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17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17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13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13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13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13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13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13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12</v>
      </c>
      <c r="J138" s="13" t="str">
        <f t="shared" ca="1" si="11"/>
        <v>정상</v>
      </c>
      <c r="K138" s="11"/>
      <c r="L138" s="11"/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3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3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11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11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11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11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11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11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11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11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11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10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10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/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10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10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10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7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7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7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5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6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6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6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6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6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6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6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6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5</v>
      </c>
      <c r="J179" s="13" t="str">
        <f t="shared" ref="J179:J193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/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5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5</v>
      </c>
      <c r="J181" s="13" t="str">
        <f t="shared" ca="1" si="14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5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5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5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5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320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319</v>
      </c>
      <c r="D187" s="10" t="str">
        <f t="shared" si="12"/>
        <v>B</v>
      </c>
      <c r="E187" s="23" t="s">
        <v>283</v>
      </c>
      <c r="F187" s="23" t="s">
        <v>316</v>
      </c>
      <c r="G187" s="6" t="s">
        <v>320</v>
      </c>
      <c r="H187" s="25">
        <v>500500</v>
      </c>
      <c r="I187" s="6">
        <f t="shared" ca="1" si="13"/>
        <v>4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319</v>
      </c>
      <c r="D188" s="10" t="str">
        <f t="shared" si="12"/>
        <v>B</v>
      </c>
      <c r="E188" s="23" t="s">
        <v>30</v>
      </c>
      <c r="F188" s="23" t="s">
        <v>312</v>
      </c>
      <c r="G188" s="6" t="s">
        <v>320</v>
      </c>
      <c r="H188" s="25">
        <v>1000500</v>
      </c>
      <c r="I188" s="6">
        <f t="shared" ca="1" si="13"/>
        <v>4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319</v>
      </c>
      <c r="D189" s="10" t="str">
        <f t="shared" si="12"/>
        <v>B</v>
      </c>
      <c r="E189" s="23" t="s">
        <v>203</v>
      </c>
      <c r="F189" s="23" t="s">
        <v>317</v>
      </c>
      <c r="G189" s="6" t="s">
        <v>320</v>
      </c>
      <c r="H189" s="25">
        <v>5775000</v>
      </c>
      <c r="I189" s="6">
        <f t="shared" ca="1" si="13"/>
        <v>4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319</v>
      </c>
      <c r="D190" s="10" t="str">
        <f t="shared" si="12"/>
        <v>B</v>
      </c>
      <c r="E190" s="23" t="s">
        <v>207</v>
      </c>
      <c r="F190" s="23" t="s">
        <v>313</v>
      </c>
      <c r="G190" s="6" t="s">
        <v>320</v>
      </c>
      <c r="H190" s="25">
        <v>1190000</v>
      </c>
      <c r="I190" s="6">
        <f t="shared" ca="1" si="13"/>
        <v>4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319</v>
      </c>
      <c r="D191" s="10" t="str">
        <f t="shared" si="12"/>
        <v>B</v>
      </c>
      <c r="E191" s="23" t="s">
        <v>101</v>
      </c>
      <c r="F191" s="23" t="s">
        <v>318</v>
      </c>
      <c r="G191" s="6" t="s">
        <v>320</v>
      </c>
      <c r="H191" s="25">
        <v>11147800</v>
      </c>
      <c r="I191" s="6">
        <f t="shared" ca="1" si="13"/>
        <v>4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319</v>
      </c>
      <c r="D192" s="10" t="str">
        <f t="shared" si="12"/>
        <v>B</v>
      </c>
      <c r="E192" s="23" t="s">
        <v>227</v>
      </c>
      <c r="F192" s="23" t="s">
        <v>314</v>
      </c>
      <c r="G192" s="6" t="s">
        <v>320</v>
      </c>
      <c r="H192" s="25">
        <v>2613000</v>
      </c>
      <c r="I192" s="6">
        <f t="shared" ca="1" si="13"/>
        <v>4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5" t="s">
        <v>319</v>
      </c>
      <c r="D193" s="10" t="str">
        <f t="shared" si="12"/>
        <v>B</v>
      </c>
      <c r="E193" s="23" t="s">
        <v>112</v>
      </c>
      <c r="F193" s="23" t="s">
        <v>315</v>
      </c>
      <c r="G193" s="6" t="s">
        <v>320</v>
      </c>
      <c r="H193" s="25">
        <v>7339000</v>
      </c>
      <c r="I193" s="6">
        <f t="shared" ca="1" si="13"/>
        <v>4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ref="D204:D267" si="15">IF(G204="","",IF(OR(G204="선급금",G204="중도금",G204="잔금"),"A",IF(G204="자재","B",IF(G204="특허료","C",""))))</f>
        <v/>
      </c>
      <c r="H204" s="4"/>
      <c r="I204" s="6" t="str">
        <f t="shared" ref="I204:I267" ca="1" si="16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si="15"/>
        <v/>
      </c>
      <c r="H205" s="4"/>
      <c r="I205" s="6" t="str">
        <f t="shared" ca="1" si="16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5"/>
        <v/>
      </c>
      <c r="H206" s="4"/>
      <c r="I206" s="6" t="str">
        <f t="shared" ca="1" si="16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5"/>
        <v/>
      </c>
      <c r="H207" s="4"/>
      <c r="I207" s="6" t="str">
        <f t="shared" ca="1" si="16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5"/>
        <v/>
      </c>
      <c r="H208" s="4"/>
      <c r="I208" s="6" t="str">
        <f t="shared" ca="1" si="16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5"/>
        <v/>
      </c>
      <c r="H209" s="4"/>
      <c r="I209" s="6" t="str">
        <f t="shared" ca="1" si="16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5"/>
        <v/>
      </c>
      <c r="H210" s="4"/>
      <c r="I210" s="6" t="str">
        <f t="shared" ca="1" si="16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5"/>
        <v/>
      </c>
      <c r="H211" s="4"/>
      <c r="I211" s="6" t="str">
        <f t="shared" ca="1" si="16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/>
      <c r="C212" s="11"/>
      <c r="D212" s="10" t="str">
        <f t="shared" si="15"/>
        <v/>
      </c>
      <c r="H212" s="4"/>
      <c r="I212" s="6" t="str">
        <f t="shared" ca="1" si="16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5"/>
        <v/>
      </c>
      <c r="H213" s="4"/>
      <c r="I213" s="6" t="str">
        <f t="shared" ca="1" si="16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5"/>
        <v/>
      </c>
      <c r="H214" s="4"/>
      <c r="I214" s="6" t="str">
        <f t="shared" ca="1" si="16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5"/>
        <v/>
      </c>
      <c r="H215" s="4"/>
      <c r="I215" s="6" t="str">
        <f t="shared" ca="1" si="16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5"/>
        <v/>
      </c>
      <c r="H216" s="4"/>
      <c r="I216" s="6" t="str">
        <f t="shared" ca="1" si="16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5"/>
        <v/>
      </c>
      <c r="H217" s="4"/>
      <c r="I217" s="6" t="str">
        <f t="shared" ca="1" si="16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5"/>
        <v/>
      </c>
      <c r="H218" s="4"/>
      <c r="I218" s="6" t="str">
        <f t="shared" ca="1" si="16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5"/>
        <v/>
      </c>
      <c r="H219" s="4"/>
      <c r="I219" s="6" t="str">
        <f t="shared" ca="1" si="16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5"/>
        <v/>
      </c>
      <c r="H220" s="4"/>
      <c r="I220" s="6" t="str">
        <f t="shared" ca="1" si="16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5"/>
        <v/>
      </c>
      <c r="H221" s="4"/>
      <c r="I221" s="6" t="str">
        <f t="shared" ca="1" si="16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5"/>
        <v/>
      </c>
      <c r="H222" s="4"/>
      <c r="I222" s="6" t="str">
        <f t="shared" ca="1" si="16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5"/>
        <v/>
      </c>
      <c r="H223" s="4"/>
      <c r="I223" s="6" t="str">
        <f t="shared" ca="1" si="16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5"/>
        <v/>
      </c>
      <c r="H224" s="4"/>
      <c r="I224" s="6" t="str">
        <f t="shared" ca="1" si="16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5"/>
        <v/>
      </c>
      <c r="H225" s="4"/>
      <c r="I225" s="6" t="str">
        <f t="shared" ca="1" si="16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5"/>
        <v/>
      </c>
      <c r="H226" s="4"/>
      <c r="I226" s="6" t="str">
        <f t="shared" ca="1" si="16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5"/>
        <v/>
      </c>
      <c r="H227" s="4"/>
      <c r="I227" s="6" t="str">
        <f t="shared" ca="1" si="16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5"/>
        <v/>
      </c>
      <c r="H228" s="4"/>
      <c r="I228" s="6" t="str">
        <f t="shared" ca="1" si="16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5"/>
        <v/>
      </c>
      <c r="H229" s="4"/>
      <c r="I229" s="6" t="str">
        <f t="shared" ca="1" si="16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5"/>
        <v/>
      </c>
      <c r="H230" s="4"/>
      <c r="I230" s="6" t="str">
        <f t="shared" ca="1" si="16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5"/>
        <v/>
      </c>
      <c r="H231" s="4"/>
      <c r="I231" s="6" t="str">
        <f t="shared" ca="1" si="16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5"/>
        <v/>
      </c>
      <c r="H232" s="4"/>
      <c r="I232" s="6" t="str">
        <f t="shared" ca="1" si="16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5"/>
        <v/>
      </c>
      <c r="H233" s="4"/>
      <c r="I233" s="6" t="str">
        <f t="shared" ca="1" si="16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5"/>
        <v/>
      </c>
      <c r="H234" s="4"/>
      <c r="I234" s="6" t="str">
        <f t="shared" ca="1" si="16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5"/>
        <v/>
      </c>
      <c r="H235" s="4"/>
      <c r="I235" s="6" t="str">
        <f t="shared" ca="1" si="16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5"/>
        <v/>
      </c>
      <c r="H236" s="4"/>
      <c r="I236" s="6" t="str">
        <f t="shared" ca="1" si="16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5"/>
        <v/>
      </c>
      <c r="H237" s="4"/>
      <c r="I237" s="6" t="str">
        <f t="shared" ca="1" si="16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5"/>
        <v/>
      </c>
      <c r="H238" s="4"/>
      <c r="I238" s="6" t="str">
        <f t="shared" ca="1" si="16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5"/>
        <v/>
      </c>
      <c r="H239" s="4"/>
      <c r="I239" s="6" t="str">
        <f t="shared" ca="1" si="16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5"/>
        <v/>
      </c>
      <c r="H240" s="4"/>
      <c r="I240" s="6" t="str">
        <f t="shared" ca="1" si="16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5"/>
        <v/>
      </c>
      <c r="H241" s="4"/>
      <c r="I241" s="6" t="str">
        <f t="shared" ca="1" si="16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5"/>
        <v/>
      </c>
      <c r="H242" s="4"/>
      <c r="I242" s="6" t="str">
        <f t="shared" ca="1" si="16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5"/>
        <v/>
      </c>
      <c r="H243" s="4"/>
      <c r="I243" s="6" t="str">
        <f t="shared" ca="1" si="16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5"/>
        <v/>
      </c>
      <c r="H244" s="4"/>
      <c r="I244" s="6" t="str">
        <f t="shared" ca="1" si="16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5"/>
        <v/>
      </c>
      <c r="H245" s="4"/>
      <c r="I245" s="6" t="str">
        <f t="shared" ca="1" si="16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5"/>
        <v/>
      </c>
      <c r="H246" s="4"/>
      <c r="I246" s="6" t="str">
        <f t="shared" ca="1" si="16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5"/>
        <v/>
      </c>
      <c r="H247" s="4"/>
      <c r="I247" s="6" t="str">
        <f t="shared" ca="1" si="16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5"/>
        <v/>
      </c>
      <c r="H248" s="4"/>
      <c r="I248" s="6" t="str">
        <f t="shared" ca="1" si="16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5"/>
        <v/>
      </c>
      <c r="H249" s="4"/>
      <c r="I249" s="6" t="str">
        <f t="shared" ca="1" si="16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5"/>
        <v/>
      </c>
      <c r="H250" s="4"/>
      <c r="I250" s="6" t="str">
        <f t="shared" ca="1" si="16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5"/>
        <v/>
      </c>
      <c r="H251" s="4"/>
      <c r="I251" s="6" t="str">
        <f t="shared" ca="1" si="16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5"/>
        <v/>
      </c>
      <c r="H252" s="4"/>
      <c r="I252" s="6" t="str">
        <f t="shared" ca="1" si="16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5"/>
        <v/>
      </c>
      <c r="H267" s="4"/>
      <c r="I267" s="6" t="str">
        <f t="shared" ca="1" si="16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ref="D268:D331" si="17">IF(G268="","",IF(OR(G268="선급금",G268="중도금",G268="잔금"),"A",IF(G268="자재","B",IF(G268="특허료","C",""))))</f>
        <v/>
      </c>
      <c r="H268" s="4"/>
      <c r="I268" s="6" t="str">
        <f t="shared" ref="I268:I331" ca="1" si="18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7"/>
        <v/>
      </c>
      <c r="H269" s="4"/>
      <c r="I269" s="6" t="str">
        <f t="shared" ca="1" si="18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7"/>
        <v/>
      </c>
      <c r="H270" s="4"/>
      <c r="I270" s="6" t="str">
        <f t="shared" ca="1" si="18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7"/>
        <v/>
      </c>
      <c r="H271" s="4"/>
      <c r="I271" s="6" t="str">
        <f t="shared" ca="1" si="18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7"/>
        <v/>
      </c>
      <c r="H272" s="4"/>
      <c r="I272" s="6" t="str">
        <f t="shared" ca="1" si="18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7"/>
        <v/>
      </c>
      <c r="H273" s="4"/>
      <c r="I273" s="6" t="str">
        <f t="shared" ca="1" si="18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7"/>
        <v/>
      </c>
      <c r="H274" s="4"/>
      <c r="I274" s="6" t="str">
        <f t="shared" ca="1" si="18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7"/>
        <v/>
      </c>
      <c r="H275" s="4"/>
      <c r="I275" s="6" t="str">
        <f t="shared" ca="1" si="18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7"/>
        <v/>
      </c>
      <c r="H276" s="4"/>
      <c r="I276" s="6" t="str">
        <f t="shared" ca="1" si="18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7"/>
        <v/>
      </c>
      <c r="H277" s="4"/>
      <c r="I277" s="6" t="str">
        <f t="shared" ca="1" si="18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7"/>
        <v/>
      </c>
      <c r="H278" s="4"/>
      <c r="I278" s="6" t="str">
        <f t="shared" ca="1" si="18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7"/>
        <v/>
      </c>
      <c r="H279" s="4"/>
      <c r="I279" s="6" t="str">
        <f t="shared" ca="1" si="18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7"/>
        <v/>
      </c>
      <c r="H280" s="4"/>
      <c r="I280" s="6" t="str">
        <f t="shared" ca="1" si="18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7"/>
        <v/>
      </c>
      <c r="H281" s="4"/>
      <c r="I281" s="6" t="str">
        <f t="shared" ca="1" si="18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7"/>
        <v/>
      </c>
      <c r="H282" s="4"/>
      <c r="I282" s="6" t="str">
        <f t="shared" ca="1" si="18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7"/>
        <v/>
      </c>
      <c r="H283" s="4"/>
      <c r="I283" s="6" t="str">
        <f t="shared" ca="1" si="18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7"/>
        <v/>
      </c>
      <c r="H284" s="4"/>
      <c r="I284" s="6" t="str">
        <f t="shared" ca="1" si="18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7"/>
        <v/>
      </c>
      <c r="H285" s="4"/>
      <c r="I285" s="6" t="str">
        <f t="shared" ca="1" si="18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7"/>
        <v/>
      </c>
      <c r="H286" s="4"/>
      <c r="I286" s="6" t="str">
        <f t="shared" ca="1" si="18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7"/>
        <v/>
      </c>
      <c r="H287" s="4"/>
      <c r="I287" s="6" t="str">
        <f t="shared" ca="1" si="18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7"/>
        <v/>
      </c>
      <c r="H288" s="4"/>
      <c r="I288" s="6" t="str">
        <f t="shared" ca="1" si="18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7"/>
        <v/>
      </c>
      <c r="H289" s="4"/>
      <c r="I289" s="6" t="str">
        <f t="shared" ca="1" si="18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7"/>
        <v/>
      </c>
      <c r="H290" s="4"/>
      <c r="I290" s="6" t="str">
        <f t="shared" ca="1" si="18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7"/>
        <v/>
      </c>
      <c r="H291" s="4"/>
      <c r="I291" s="6" t="str">
        <f t="shared" ca="1" si="18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7"/>
        <v/>
      </c>
      <c r="H292" s="4"/>
      <c r="I292" s="6" t="str">
        <f t="shared" ca="1" si="18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7"/>
        <v/>
      </c>
      <c r="H293" s="4"/>
      <c r="I293" s="6" t="str">
        <f t="shared" ca="1" si="18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7"/>
        <v/>
      </c>
      <c r="H294" s="4"/>
      <c r="I294" s="6" t="str">
        <f t="shared" ca="1" si="18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7"/>
        <v/>
      </c>
      <c r="H295" s="4"/>
      <c r="I295" s="6" t="str">
        <f t="shared" ca="1" si="18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7"/>
        <v/>
      </c>
      <c r="H296" s="4"/>
      <c r="I296" s="6" t="str">
        <f t="shared" ca="1" si="18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7"/>
        <v/>
      </c>
      <c r="H297" s="4"/>
      <c r="I297" s="6" t="str">
        <f t="shared" ca="1" si="18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7"/>
        <v/>
      </c>
      <c r="H298" s="4"/>
      <c r="I298" s="6" t="str">
        <f t="shared" ca="1" si="18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7"/>
        <v/>
      </c>
      <c r="H299" s="4"/>
      <c r="I299" s="6" t="str">
        <f t="shared" ca="1" si="18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7"/>
        <v/>
      </c>
      <c r="H300" s="4"/>
      <c r="I300" s="6" t="str">
        <f t="shared" ca="1" si="18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7"/>
        <v/>
      </c>
      <c r="H301" s="4"/>
      <c r="I301" s="6" t="str">
        <f t="shared" ca="1" si="18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7"/>
        <v/>
      </c>
      <c r="H302" s="4"/>
      <c r="I302" s="6" t="str">
        <f t="shared" ca="1" si="18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7"/>
        <v/>
      </c>
      <c r="H303" s="4"/>
      <c r="I303" s="6" t="str">
        <f t="shared" ca="1" si="18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7"/>
        <v/>
      </c>
      <c r="H304" s="4"/>
      <c r="I304" s="6" t="str">
        <f t="shared" ca="1" si="18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7"/>
        <v/>
      </c>
      <c r="H305" s="4"/>
      <c r="I305" s="6" t="str">
        <f t="shared" ca="1" si="18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7"/>
        <v/>
      </c>
      <c r="H306" s="4"/>
      <c r="I306" s="6" t="str">
        <f t="shared" ca="1" si="18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7"/>
        <v/>
      </c>
      <c r="H307" s="4"/>
      <c r="I307" s="6" t="str">
        <f t="shared" ca="1" si="18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7"/>
        <v/>
      </c>
      <c r="H308" s="4"/>
      <c r="I308" s="6" t="str">
        <f t="shared" ca="1" si="18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7"/>
        <v/>
      </c>
      <c r="H309" s="4"/>
      <c r="I309" s="6" t="str">
        <f t="shared" ca="1" si="18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7"/>
        <v/>
      </c>
      <c r="H310" s="4"/>
      <c r="I310" s="6" t="str">
        <f t="shared" ca="1" si="18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7"/>
        <v/>
      </c>
      <c r="H311" s="4"/>
      <c r="I311" s="6" t="str">
        <f t="shared" ca="1" si="18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7"/>
        <v/>
      </c>
      <c r="H312" s="4"/>
      <c r="I312" s="6" t="str">
        <f t="shared" ca="1" si="18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7"/>
        <v/>
      </c>
      <c r="H313" s="4"/>
      <c r="I313" s="6" t="str">
        <f t="shared" ca="1" si="18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7"/>
        <v/>
      </c>
      <c r="H314" s="4"/>
      <c r="I314" s="6" t="str">
        <f t="shared" ca="1" si="18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7"/>
        <v/>
      </c>
      <c r="H315" s="4"/>
      <c r="I315" s="6" t="str">
        <f t="shared" ca="1" si="18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7"/>
        <v/>
      </c>
      <c r="H316" s="4"/>
      <c r="I316" s="6" t="str">
        <f t="shared" ca="1" si="18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7"/>
        <v/>
      </c>
      <c r="H317" s="4"/>
      <c r="I317" s="6" t="str">
        <f t="shared" ca="1" si="18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7"/>
        <v/>
      </c>
      <c r="H318" s="4"/>
      <c r="I318" s="6" t="str">
        <f t="shared" ca="1" si="18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7"/>
        <v/>
      </c>
      <c r="H319" s="4"/>
      <c r="I319" s="6" t="str">
        <f t="shared" ca="1" si="18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7"/>
        <v/>
      </c>
      <c r="H320" s="4"/>
      <c r="I320" s="6" t="str">
        <f t="shared" ca="1" si="18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7"/>
        <v/>
      </c>
      <c r="H321" s="4"/>
      <c r="I321" s="6" t="str">
        <f t="shared" ca="1" si="18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7"/>
        <v/>
      </c>
      <c r="H322" s="4"/>
      <c r="I322" s="6" t="str">
        <f t="shared" ca="1" si="18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7"/>
        <v/>
      </c>
      <c r="H323" s="4"/>
      <c r="I323" s="6" t="str">
        <f t="shared" ca="1" si="18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7"/>
        <v/>
      </c>
      <c r="H324" s="4"/>
      <c r="I324" s="6" t="str">
        <f t="shared" ca="1" si="18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7"/>
        <v/>
      </c>
      <c r="H325" s="4"/>
      <c r="I325" s="6" t="str">
        <f t="shared" ca="1" si="18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7"/>
        <v/>
      </c>
      <c r="H326" s="4"/>
      <c r="I326" s="6" t="str">
        <f t="shared" ca="1" si="18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7"/>
        <v/>
      </c>
      <c r="H327" s="4"/>
      <c r="I327" s="6" t="str">
        <f t="shared" ca="1" si="18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7"/>
        <v/>
      </c>
      <c r="H328" s="4"/>
      <c r="I328" s="6" t="str">
        <f t="shared" ca="1" si="18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7"/>
        <v/>
      </c>
      <c r="H329" s="4"/>
      <c r="I329" s="6" t="str">
        <f t="shared" ca="1" si="18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7"/>
        <v/>
      </c>
      <c r="H330" s="4"/>
      <c r="I330" s="6" t="str">
        <f t="shared" ca="1" si="18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7"/>
        <v/>
      </c>
      <c r="H331" s="4"/>
      <c r="I331" s="6" t="str">
        <f t="shared" ca="1" si="18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ref="D332:D395" si="19">IF(G332="","",IF(OR(G332="선급금",G332="중도금",G332="잔금"),"A",IF(G332="자재","B",IF(G332="특허료","C",""))))</f>
        <v/>
      </c>
      <c r="H332" s="4"/>
      <c r="I332" s="6" t="str">
        <f t="shared" ref="I332:I395" ca="1" si="20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19"/>
        <v/>
      </c>
      <c r="H333" s="4"/>
      <c r="I333" s="6" t="str">
        <f t="shared" ca="1" si="20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9"/>
        <v/>
      </c>
      <c r="H334" s="4"/>
      <c r="I334" s="6" t="str">
        <f t="shared" ca="1" si="20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9"/>
        <v/>
      </c>
      <c r="H335" s="4"/>
      <c r="I335" s="6" t="str">
        <f t="shared" ca="1" si="20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9"/>
        <v/>
      </c>
      <c r="H336" s="4"/>
      <c r="I336" s="6" t="str">
        <f t="shared" ca="1" si="20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9"/>
        <v/>
      </c>
      <c r="H337" s="4"/>
      <c r="I337" s="6" t="str">
        <f t="shared" ca="1" si="20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9"/>
        <v/>
      </c>
      <c r="H338" s="4"/>
      <c r="I338" s="6" t="str">
        <f t="shared" ca="1" si="20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9"/>
        <v/>
      </c>
      <c r="H339" s="4"/>
      <c r="I339" s="6" t="str">
        <f t="shared" ca="1" si="20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9"/>
        <v/>
      </c>
      <c r="H340" s="4"/>
      <c r="I340" s="6" t="str">
        <f t="shared" ca="1" si="20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9"/>
        <v/>
      </c>
      <c r="H341" s="4"/>
      <c r="I341" s="6" t="str">
        <f t="shared" ca="1" si="20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9"/>
        <v/>
      </c>
      <c r="H342" s="4"/>
      <c r="I342" s="6" t="str">
        <f t="shared" ca="1" si="20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9"/>
        <v/>
      </c>
      <c r="H343" s="4"/>
      <c r="I343" s="6" t="str">
        <f t="shared" ca="1" si="20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9"/>
        <v/>
      </c>
      <c r="H344" s="4"/>
      <c r="I344" s="6" t="str">
        <f t="shared" ca="1" si="20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9"/>
        <v/>
      </c>
      <c r="H345" s="4"/>
      <c r="I345" s="6" t="str">
        <f t="shared" ca="1" si="20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9"/>
        <v/>
      </c>
      <c r="H346" s="4"/>
      <c r="I346" s="6" t="str">
        <f t="shared" ca="1" si="20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9"/>
        <v/>
      </c>
      <c r="H347" s="4"/>
      <c r="I347" s="6" t="str">
        <f t="shared" ca="1" si="20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9"/>
        <v/>
      </c>
      <c r="H348" s="4"/>
      <c r="I348" s="6" t="str">
        <f t="shared" ca="1" si="20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9"/>
        <v/>
      </c>
      <c r="H349" s="4"/>
      <c r="I349" s="6" t="str">
        <f t="shared" ca="1" si="20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9"/>
        <v/>
      </c>
      <c r="H350" s="4"/>
      <c r="I350" s="6" t="str">
        <f t="shared" ca="1" si="20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9"/>
        <v/>
      </c>
      <c r="H351" s="4"/>
      <c r="I351" s="6" t="str">
        <f t="shared" ca="1" si="20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9"/>
        <v/>
      </c>
      <c r="H352" s="4"/>
      <c r="I352" s="6" t="str">
        <f t="shared" ca="1" si="20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9"/>
        <v/>
      </c>
      <c r="H353" s="4"/>
      <c r="I353" s="6" t="str">
        <f t="shared" ca="1" si="20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9"/>
        <v/>
      </c>
      <c r="H354" s="4"/>
      <c r="I354" s="6" t="str">
        <f t="shared" ca="1" si="20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9"/>
        <v/>
      </c>
      <c r="H355" s="4"/>
      <c r="I355" s="6" t="str">
        <f t="shared" ca="1" si="20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9"/>
        <v/>
      </c>
      <c r="H356" s="4"/>
      <c r="I356" s="6" t="str">
        <f t="shared" ca="1" si="20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9"/>
        <v/>
      </c>
      <c r="H357" s="4"/>
      <c r="I357" s="6" t="str">
        <f t="shared" ca="1" si="20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9"/>
        <v/>
      </c>
      <c r="H358" s="4"/>
      <c r="I358" s="6" t="str">
        <f t="shared" ca="1" si="20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9"/>
        <v/>
      </c>
      <c r="H359" s="4"/>
      <c r="I359" s="6" t="str">
        <f t="shared" ca="1" si="20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9"/>
        <v/>
      </c>
      <c r="H360" s="4"/>
      <c r="I360" s="6" t="str">
        <f t="shared" ca="1" si="20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9"/>
        <v/>
      </c>
      <c r="H361" s="4"/>
      <c r="I361" s="6" t="str">
        <f t="shared" ca="1" si="20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9"/>
        <v/>
      </c>
      <c r="H362" s="4"/>
      <c r="I362" s="6" t="str">
        <f t="shared" ca="1" si="20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9"/>
        <v/>
      </c>
      <c r="H363" s="4"/>
      <c r="I363" s="6" t="str">
        <f t="shared" ca="1" si="20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9"/>
        <v/>
      </c>
      <c r="H364" s="4"/>
      <c r="I364" s="6" t="str">
        <f t="shared" ca="1" si="20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9"/>
        <v/>
      </c>
      <c r="H365" s="4"/>
      <c r="I365" s="6" t="str">
        <f t="shared" ca="1" si="20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9"/>
        <v/>
      </c>
      <c r="H366" s="4"/>
      <c r="I366" s="6" t="str">
        <f t="shared" ca="1" si="20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9"/>
        <v/>
      </c>
      <c r="H367" s="4"/>
      <c r="I367" s="6" t="str">
        <f t="shared" ca="1" si="20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9"/>
        <v/>
      </c>
      <c r="H368" s="4"/>
      <c r="I368" s="6" t="str">
        <f t="shared" ca="1" si="20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9"/>
        <v/>
      </c>
      <c r="H369" s="4"/>
      <c r="I369" s="6" t="str">
        <f t="shared" ca="1" si="20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9"/>
        <v/>
      </c>
      <c r="H370" s="4"/>
      <c r="I370" s="6" t="str">
        <f t="shared" ca="1" si="20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9"/>
        <v/>
      </c>
      <c r="H371" s="4"/>
      <c r="I371" s="6" t="str">
        <f t="shared" ca="1" si="20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9"/>
        <v/>
      </c>
      <c r="H372" s="4"/>
      <c r="I372" s="6" t="str">
        <f t="shared" ca="1" si="20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9"/>
        <v/>
      </c>
      <c r="H373" s="4"/>
      <c r="I373" s="6" t="str">
        <f t="shared" ca="1" si="20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9"/>
        <v/>
      </c>
      <c r="H374" s="4"/>
      <c r="I374" s="6" t="str">
        <f t="shared" ca="1" si="20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9"/>
        <v/>
      </c>
      <c r="H375" s="4"/>
      <c r="I375" s="6" t="str">
        <f t="shared" ca="1" si="20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9"/>
        <v/>
      </c>
      <c r="H376" s="4"/>
      <c r="I376" s="6" t="str">
        <f t="shared" ca="1" si="20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9"/>
        <v/>
      </c>
      <c r="H377" s="4"/>
      <c r="I377" s="6" t="str">
        <f t="shared" ca="1" si="20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9"/>
        <v/>
      </c>
      <c r="H378" s="4"/>
      <c r="I378" s="6" t="str">
        <f t="shared" ca="1" si="20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9"/>
        <v/>
      </c>
      <c r="H379" s="4"/>
      <c r="I379" s="6" t="str">
        <f t="shared" ca="1" si="20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9"/>
        <v/>
      </c>
      <c r="H380" s="4"/>
      <c r="I380" s="6" t="str">
        <f t="shared" ca="1" si="20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9"/>
        <v/>
      </c>
      <c r="H381" s="4"/>
      <c r="I381" s="6" t="str">
        <f t="shared" ca="1" si="20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9"/>
        <v/>
      </c>
      <c r="H382" s="4"/>
      <c r="I382" s="6" t="str">
        <f t="shared" ca="1" si="20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9"/>
        <v/>
      </c>
      <c r="H383" s="4"/>
      <c r="I383" s="6" t="str">
        <f t="shared" ca="1" si="20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9"/>
        <v/>
      </c>
      <c r="H384" s="4"/>
      <c r="I384" s="6" t="str">
        <f t="shared" ca="1" si="20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9"/>
        <v/>
      </c>
      <c r="H385" s="4"/>
      <c r="I385" s="6" t="str">
        <f t="shared" ca="1" si="20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9"/>
        <v/>
      </c>
      <c r="H386" s="4"/>
      <c r="I386" s="6" t="str">
        <f t="shared" ca="1" si="20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9"/>
        <v/>
      </c>
      <c r="H387" s="4"/>
      <c r="I387" s="6" t="str">
        <f t="shared" ca="1" si="20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9"/>
        <v/>
      </c>
      <c r="H388" s="4"/>
      <c r="I388" s="6" t="str">
        <f t="shared" ca="1" si="20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9"/>
        <v/>
      </c>
      <c r="H389" s="4"/>
      <c r="I389" s="6" t="str">
        <f t="shared" ca="1" si="20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9"/>
        <v/>
      </c>
      <c r="H390" s="4"/>
      <c r="I390" s="6" t="str">
        <f t="shared" ca="1" si="20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9"/>
        <v/>
      </c>
      <c r="H391" s="4"/>
      <c r="I391" s="6" t="str">
        <f t="shared" ca="1" si="20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9"/>
        <v/>
      </c>
      <c r="H392" s="4"/>
      <c r="I392" s="6" t="str">
        <f t="shared" ca="1" si="20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9"/>
        <v/>
      </c>
      <c r="H393" s="4"/>
      <c r="I393" s="6" t="str">
        <f t="shared" ca="1" si="20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9"/>
        <v/>
      </c>
      <c r="H394" s="4"/>
      <c r="I394" s="6" t="str">
        <f t="shared" ca="1" si="20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9"/>
        <v/>
      </c>
      <c r="H395" s="4"/>
      <c r="I395" s="6" t="str">
        <f t="shared" ca="1" si="20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ref="D396:D408" si="21">IF(G396="","",IF(OR(G396="선급금",G396="중도금",G396="잔금"),"A",IF(G396="자재","B",IF(G396="특허료","C",""))))</f>
        <v/>
      </c>
      <c r="H396" s="4"/>
      <c r="I396" s="6" t="str">
        <f t="shared" ref="I396:I406" ca="1" si="22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1"/>
        <v/>
      </c>
      <c r="H397" s="4"/>
      <c r="I397" s="6" t="str">
        <f t="shared" ca="1" si="22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1"/>
        <v/>
      </c>
      <c r="H398" s="4"/>
      <c r="I398" s="6" t="str">
        <f t="shared" ca="1" si="22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1"/>
        <v/>
      </c>
      <c r="H399" s="4"/>
      <c r="I399" s="6" t="str">
        <f t="shared" ca="1" si="22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1"/>
        <v/>
      </c>
      <c r="H400" s="4"/>
      <c r="I400" s="6" t="str">
        <f t="shared" ca="1" si="22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1"/>
        <v/>
      </c>
      <c r="H401" s="4"/>
      <c r="I401" s="6" t="str">
        <f t="shared" ca="1" si="22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1"/>
        <v/>
      </c>
      <c r="H402" s="4"/>
      <c r="I402" s="6" t="str">
        <f t="shared" ca="1" si="22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>
      <c r="B403" s="10"/>
      <c r="C403" s="11"/>
      <c r="D403" s="1" t="str">
        <f t="shared" si="21"/>
        <v/>
      </c>
      <c r="I403" s="1" t="str">
        <f t="shared" ca="1" si="22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1"/>
        <v/>
      </c>
      <c r="I404" s="1" t="str">
        <f t="shared" ca="1" si="22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1"/>
        <v/>
      </c>
      <c r="I405" s="1" t="str">
        <f t="shared" ca="1" si="22"/>
        <v/>
      </c>
      <c r="Q405" s="11"/>
      <c r="R405" s="11"/>
    </row>
    <row r="406" spans="2:19">
      <c r="B406" s="10"/>
      <c r="C406" s="11"/>
      <c r="D406" s="1" t="str">
        <f t="shared" si="21"/>
        <v/>
      </c>
      <c r="I406" s="1" t="str">
        <f t="shared" ca="1" si="22"/>
        <v/>
      </c>
      <c r="Q406" s="11"/>
      <c r="R406" s="11"/>
    </row>
    <row r="407" spans="2:19">
      <c r="B407" s="10"/>
      <c r="C407" s="11"/>
      <c r="D407" s="1" t="str">
        <f t="shared" si="21"/>
        <v/>
      </c>
      <c r="Q407" s="11"/>
      <c r="R407" s="11"/>
    </row>
    <row r="408" spans="2:19">
      <c r="B408" s="10"/>
      <c r="C408" s="11"/>
      <c r="D408" s="1" t="str">
        <f t="shared" si="21"/>
        <v/>
      </c>
      <c r="Q408" s="11"/>
      <c r="R408" s="11"/>
    </row>
    <row r="409" spans="2:19" ht="16.5" customHeight="1">
      <c r="C409" s="58"/>
      <c r="F409" s="62"/>
    </row>
  </sheetData>
  <autoFilter ref="A1:S408"/>
  <phoneticPr fontId="5" type="noConversion"/>
  <conditionalFormatting sqref="E3 F57:F60">
    <cfRule type="expression" dxfId="44" priority="60">
      <formula>$J3="잔금"</formula>
    </cfRule>
  </conditionalFormatting>
  <conditionalFormatting sqref="E8">
    <cfRule type="expression" dxfId="43" priority="59">
      <formula>$J8="잔금"</formula>
    </cfRule>
  </conditionalFormatting>
  <conditionalFormatting sqref="E4">
    <cfRule type="expression" dxfId="42" priority="58">
      <formula>$J4="잔금"</formula>
    </cfRule>
  </conditionalFormatting>
  <conditionalFormatting sqref="E9">
    <cfRule type="expression" dxfId="41" priority="57">
      <formula>$J9="잔금"</formula>
    </cfRule>
  </conditionalFormatting>
  <conditionalFormatting sqref="E41 E37">
    <cfRule type="expression" dxfId="40" priority="52">
      <formula>$J37="잔금"</formula>
    </cfRule>
  </conditionalFormatting>
  <conditionalFormatting sqref="E98:E99">
    <cfRule type="expression" dxfId="39" priority="42">
      <formula>$J98="잔금"</formula>
    </cfRule>
  </conditionalFormatting>
  <conditionalFormatting sqref="F98:F99">
    <cfRule type="expression" dxfId="38" priority="41">
      <formula>$J98="잔금"</formula>
    </cfRule>
  </conditionalFormatting>
  <conditionalFormatting sqref="F104:F105">
    <cfRule type="expression" dxfId="37" priority="39">
      <formula>$J104="잔금"</formula>
    </cfRule>
  </conditionalFormatting>
  <conditionalFormatting sqref="H104:H105">
    <cfRule type="expression" dxfId="36" priority="38">
      <formula>$J104="잔금"</formula>
    </cfRule>
  </conditionalFormatting>
  <conditionalFormatting sqref="E106:E108">
    <cfRule type="expression" dxfId="35" priority="37">
      <formula>$J106="잔금"</formula>
    </cfRule>
  </conditionalFormatting>
  <conditionalFormatting sqref="F106:F108">
    <cfRule type="expression" dxfId="34" priority="36">
      <formula>$J106="잔금"</formula>
    </cfRule>
  </conditionalFormatting>
  <conditionalFormatting sqref="H106:H108">
    <cfRule type="expression" dxfId="33" priority="35">
      <formula>$J106="잔금"</formula>
    </cfRule>
  </conditionalFormatting>
  <conditionalFormatting sqref="E110">
    <cfRule type="expression" dxfId="32" priority="34">
      <formula>$J110="잔금"</formula>
    </cfRule>
  </conditionalFormatting>
  <conditionalFormatting sqref="F110">
    <cfRule type="expression" dxfId="31" priority="33">
      <formula>$J110="잔금"</formula>
    </cfRule>
  </conditionalFormatting>
  <conditionalFormatting sqref="E111:E113">
    <cfRule type="expression" dxfId="30" priority="32">
      <formula>$J111="잔금"</formula>
    </cfRule>
  </conditionalFormatting>
  <conditionalFormatting sqref="F111 F113">
    <cfRule type="expression" dxfId="29" priority="31">
      <formula>$J111="잔금"</formula>
    </cfRule>
  </conditionalFormatting>
  <conditionalFormatting sqref="F112">
    <cfRule type="expression" dxfId="28" priority="30">
      <formula>$J112="잔금"</formula>
    </cfRule>
  </conditionalFormatting>
  <conditionalFormatting sqref="H111:H113">
    <cfRule type="expression" dxfId="27" priority="29">
      <formula>$J111="잔금"</formula>
    </cfRule>
  </conditionalFormatting>
  <conditionalFormatting sqref="C111:C113">
    <cfRule type="expression" dxfId="26" priority="28">
      <formula>$J111="잔금"</formula>
    </cfRule>
  </conditionalFormatting>
  <conditionalFormatting sqref="E117">
    <cfRule type="expression" dxfId="25" priority="27">
      <formula>$J117="잔금"</formula>
    </cfRule>
  </conditionalFormatting>
  <conditionalFormatting sqref="F117">
    <cfRule type="expression" dxfId="24" priority="26">
      <formula>$J117="잔금"</formula>
    </cfRule>
  </conditionalFormatting>
  <conditionalFormatting sqref="F142:F149">
    <cfRule type="expression" dxfId="23" priority="25">
      <formula>$J142="잔금"</formula>
    </cfRule>
  </conditionalFormatting>
  <conditionalFormatting sqref="E142:E149">
    <cfRule type="expression" dxfId="22" priority="24">
      <formula>$J142="잔금"</formula>
    </cfRule>
  </conditionalFormatting>
  <conditionalFormatting sqref="H142:H149">
    <cfRule type="expression" dxfId="21" priority="23">
      <formula>$J142="잔금"</formula>
    </cfRule>
  </conditionalFormatting>
  <conditionalFormatting sqref="E151:E157">
    <cfRule type="expression" dxfId="20" priority="21">
      <formula>$J151="잔금"</formula>
    </cfRule>
  </conditionalFormatting>
  <conditionalFormatting sqref="F151:F157">
    <cfRule type="expression" dxfId="19" priority="20">
      <formula>$J151="잔금"</formula>
    </cfRule>
  </conditionalFormatting>
  <conditionalFormatting sqref="C151:C157">
    <cfRule type="expression" dxfId="18" priority="19">
      <formula>$J151="잔금"</formula>
    </cfRule>
  </conditionalFormatting>
  <conditionalFormatting sqref="H151:H157">
    <cfRule type="expression" dxfId="17" priority="18">
      <formula>$J151="잔금"</formula>
    </cfRule>
  </conditionalFormatting>
  <conditionalFormatting sqref="C158">
    <cfRule type="expression" dxfId="16" priority="17">
      <formula>$I158="잔금"</formula>
    </cfRule>
  </conditionalFormatting>
  <conditionalFormatting sqref="F159:F162">
    <cfRule type="expression" dxfId="15" priority="16">
      <formula>$J159="잔금"</formula>
    </cfRule>
  </conditionalFormatting>
  <conditionalFormatting sqref="E159:E162">
    <cfRule type="expression" dxfId="14" priority="15">
      <formula>$J159="잔금"</formula>
    </cfRule>
  </conditionalFormatting>
  <conditionalFormatting sqref="C159:C165">
    <cfRule type="expression" dxfId="13" priority="14">
      <formula>$J159="잔금"</formula>
    </cfRule>
  </conditionalFormatting>
  <conditionalFormatting sqref="H159:H162">
    <cfRule type="expression" dxfId="12" priority="13">
      <formula>$J159="잔금"</formula>
    </cfRule>
  </conditionalFormatting>
  <conditionalFormatting sqref="F166:F178">
    <cfRule type="expression" dxfId="11" priority="12">
      <formula>$J166="잔금"</formula>
    </cfRule>
  </conditionalFormatting>
  <conditionalFormatting sqref="F179:F185">
    <cfRule type="expression" dxfId="10" priority="11">
      <formula>$J179="잔금"</formula>
    </cfRule>
  </conditionalFormatting>
  <conditionalFormatting sqref="E166:E178">
    <cfRule type="expression" dxfId="9" priority="10">
      <formula>$J166="잔금"</formula>
    </cfRule>
  </conditionalFormatting>
  <conditionalFormatting sqref="E179:E185">
    <cfRule type="expression" dxfId="8" priority="9">
      <formula>$J179="잔금"</formula>
    </cfRule>
  </conditionalFormatting>
  <conditionalFormatting sqref="C166:C178">
    <cfRule type="expression" dxfId="7" priority="8">
      <formula>$J166="잔금"</formula>
    </cfRule>
  </conditionalFormatting>
  <conditionalFormatting sqref="C179:C185">
    <cfRule type="expression" dxfId="6" priority="7">
      <formula>$J179="잔금"</formula>
    </cfRule>
  </conditionalFormatting>
  <conditionalFormatting sqref="H166:H178">
    <cfRule type="expression" dxfId="5" priority="6">
      <formula>$J166="잔금"</formula>
    </cfRule>
  </conditionalFormatting>
  <conditionalFormatting sqref="H179:H185">
    <cfRule type="expression" dxfId="4" priority="5">
      <formula>$J179="잔금"</formula>
    </cfRule>
  </conditionalFormatting>
  <conditionalFormatting sqref="F186:F193">
    <cfRule type="expression" dxfId="3" priority="4">
      <formula>$J186="잔금"</formula>
    </cfRule>
  </conditionalFormatting>
  <conditionalFormatting sqref="E186:E193">
    <cfRule type="expression" dxfId="2" priority="3">
      <formula>$J186="잔금"</formula>
    </cfRule>
  </conditionalFormatting>
  <conditionalFormatting sqref="H186:H193">
    <cfRule type="expression" dxfId="1" priority="2">
      <formula>$J186="잔금"</formula>
    </cfRule>
  </conditionalFormatting>
  <conditionalFormatting sqref="C186:C193">
    <cfRule type="expression" dxfId="0" priority="1">
      <formula>$J186="잔금"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193">
      <formula1>"Y,N"</formula1>
    </dataValidation>
    <dataValidation type="list" allowBlank="1" sqref="D2:D408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2026-03-16T08:27:35Z</dcterms:modified>
</cp:coreProperties>
</file>