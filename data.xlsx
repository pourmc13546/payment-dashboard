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I93" i="1" l="1"/>
  <c r="I94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D110" i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D101" i="1"/>
  <c r="B101" i="1"/>
  <c r="I100" i="1"/>
  <c r="J100" i="1" s="1"/>
  <c r="B100" i="1"/>
  <c r="I99" i="1"/>
  <c r="J99" i="1" s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I95" i="1"/>
  <c r="J95" i="1" s="1"/>
  <c r="D95" i="1"/>
  <c r="B95" i="1"/>
  <c r="J94" i="1"/>
  <c r="D94" i="1"/>
  <c r="B94" i="1"/>
  <c r="J93" i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9" i="1"/>
  <c r="J49" i="1" s="1"/>
  <c r="D49" i="1"/>
  <c r="B49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<sst xmlns="http://schemas.openxmlformats.org/spreadsheetml/2006/main" count="628" uniqueCount="190">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</sst>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9" formatCode="_-* #,##0_-;\-* #,##0_-;_-* &quot;-&quot;_-;_-@_-"/>
    <numFmt numFmtId="182" formatCode="_(* #,##0_);_(* \(#,##0\);_(* \-_);_(@_)"/>
  </numFmts>
  <fonts count="12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1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82" fontId="8" fillId="0" borderId="0">
      <alignment vertical="center"/>
    </xf>
    <xf numFmtId="182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82" fontId="9" fillId="0" borderId="0"/>
    <xf numFmtId="17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</cellXfs>
  <cellStyles count="11">
    <cellStyle name="Excel Built-in Comma [0]" xfId="8"/>
    <cellStyle name="백분율 2" xfId="2"/>
    <cellStyle name="백분율 3" xfId="10"/>
    <cellStyle name="쉼표 [0] 118 2 7 16" xfId="3"/>
    <cellStyle name="쉼표 [0] 2" xfId="4"/>
    <cellStyle name="쉼표 [0] 3" xfId="9"/>
    <cellStyle name="표준" xfId="0" builtinId="0"/>
    <cellStyle name="표준 118 2 7 16" xfId="5"/>
    <cellStyle name="표준 125" xfId="6"/>
    <cellStyle name="표준 2" xfId="7"/>
    <cellStyle name="표준 3" xfId="1"/>
  </cellStyles>
  <dxfs count="15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77" activePane="bottomRight" state="frozen"/>
      <selection pane="topRight"/>
      <selection pane="bottomLeft"/>
      <selection pane="bottomRight" activeCell="O113" sqref="O113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5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5" ca="1" si="1">IF(C2="","",IF(L2="",TODAY()-C2,L2-C2))</f>
        <v>275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125</v>
      </c>
      <c r="J3" s="13" t="str">
        <f t="shared" ref="J3:J58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105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255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157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107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62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57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66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240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100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415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835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639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479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617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616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708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350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345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335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329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325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325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324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322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301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287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266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254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224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202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273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197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175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170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156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127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125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114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108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105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104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101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45993</v>
      </c>
      <c r="D49" s="10" t="str">
        <f t="shared" si="0"/>
        <v>B</v>
      </c>
      <c r="E49" s="6" t="s">
        <v>26</v>
      </c>
      <c r="F49" s="6" t="s">
        <v>164</v>
      </c>
      <c r="G49" s="6" t="s">
        <v>48</v>
      </c>
      <c r="H49" s="4">
        <v>7920000</v>
      </c>
      <c r="I49" s="12">
        <f t="shared" ca="1" si="1"/>
        <v>79</v>
      </c>
      <c r="J49" s="13" t="str">
        <f t="shared" ca="1" si="2"/>
        <v>관리</v>
      </c>
      <c r="K49" s="11">
        <v>46080</v>
      </c>
      <c r="L49" s="11"/>
      <c r="M49" s="10"/>
      <c r="N49" s="10" t="s">
        <v>33</v>
      </c>
      <c r="P49" s="6" t="s">
        <v>81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45999</v>
      </c>
      <c r="D50" s="10" t="str">
        <f t="shared" si="0"/>
        <v>B</v>
      </c>
      <c r="E50" s="6" t="s">
        <v>82</v>
      </c>
      <c r="F50" s="6" t="s">
        <v>163</v>
      </c>
      <c r="G50" s="6" t="s">
        <v>48</v>
      </c>
      <c r="H50" s="4">
        <v>5253000</v>
      </c>
      <c r="I50" s="12">
        <f t="shared" ca="1" si="1"/>
        <v>73</v>
      </c>
      <c r="J50" s="13" t="str">
        <f t="shared" ca="1" si="2"/>
        <v>관리</v>
      </c>
      <c r="K50" s="11">
        <v>46080</v>
      </c>
      <c r="L50" s="11"/>
      <c r="M50" s="10"/>
      <c r="N50" s="10" t="s">
        <v>33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46006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1120000</v>
      </c>
      <c r="I51" s="12">
        <f t="shared" ca="1" si="1"/>
        <v>66</v>
      </c>
      <c r="J51" s="13" t="str">
        <f t="shared" ca="1" si="2"/>
        <v>관리</v>
      </c>
      <c r="K51" s="11">
        <v>46080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46007</v>
      </c>
      <c r="D52" s="10" t="str">
        <f t="shared" si="0"/>
        <v>B</v>
      </c>
      <c r="E52" s="6" t="s">
        <v>26</v>
      </c>
      <c r="F52" s="6" t="s">
        <v>83</v>
      </c>
      <c r="G52" s="6" t="s">
        <v>48</v>
      </c>
      <c r="H52" s="4">
        <v>1969400</v>
      </c>
      <c r="I52" s="12">
        <f t="shared" ca="1" si="1"/>
        <v>65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P52" s="6" t="s">
        <v>81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46008</v>
      </c>
      <c r="D53" s="10" t="str">
        <f t="shared" si="0"/>
        <v>B</v>
      </c>
      <c r="E53" s="6" t="s">
        <v>24</v>
      </c>
      <c r="F53" s="6" t="s">
        <v>161</v>
      </c>
      <c r="G53" s="6" t="s">
        <v>48</v>
      </c>
      <c r="H53" s="4">
        <v>54744000</v>
      </c>
      <c r="I53" s="12">
        <f t="shared" ca="1" si="1"/>
        <v>64</v>
      </c>
      <c r="J53" s="13" t="str">
        <f t="shared" ca="1" si="2"/>
        <v>관리</v>
      </c>
      <c r="K53" s="11"/>
      <c r="L53" s="11"/>
      <c r="M53" s="10"/>
      <c r="N53" s="10" t="s">
        <v>20</v>
      </c>
      <c r="O53" s="6" t="s">
        <v>154</v>
      </c>
      <c r="P53" s="6" t="s">
        <v>155</v>
      </c>
      <c r="Q53" s="11">
        <v>46036</v>
      </c>
      <c r="R53" s="10" t="s">
        <v>59</v>
      </c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84</v>
      </c>
      <c r="F54" s="6" t="s">
        <v>85</v>
      </c>
      <c r="G54" s="6" t="s">
        <v>48</v>
      </c>
      <c r="H54" s="4">
        <v>321000</v>
      </c>
      <c r="I54" s="12">
        <f t="shared" ca="1" si="1"/>
        <v>55</v>
      </c>
      <c r="J54" s="13" t="str">
        <f t="shared" ca="1" si="2"/>
        <v>관리</v>
      </c>
      <c r="K54" s="11"/>
      <c r="L54" s="11">
        <v>46063</v>
      </c>
      <c r="M54" s="10"/>
      <c r="N54" s="10" t="s">
        <v>33</v>
      </c>
      <c r="Q54" s="11"/>
      <c r="R54" s="11"/>
      <c r="S54" s="10"/>
    </row>
    <row r="55" spans="2:19" s="6" customFormat="1" ht="16.5" customHeight="1">
      <c r="B55" s="10">
        <f>IF(C55="","",COUNTA($C$2:C55))</f>
        <v>54</v>
      </c>
      <c r="C55" s="11">
        <v>46013</v>
      </c>
      <c r="D55" s="10" t="str">
        <f t="shared" si="0"/>
        <v>B</v>
      </c>
      <c r="E55" s="6" t="s">
        <v>26</v>
      </c>
      <c r="F55" s="6" t="s">
        <v>162</v>
      </c>
      <c r="G55" s="6" t="s">
        <v>48</v>
      </c>
      <c r="H55" s="4">
        <v>15840000</v>
      </c>
      <c r="I55" s="12">
        <f t="shared" ca="1" si="1"/>
        <v>59</v>
      </c>
      <c r="J55" s="13" t="str">
        <f t="shared" ca="1" si="2"/>
        <v>관리</v>
      </c>
      <c r="K55" s="11">
        <v>46080</v>
      </c>
      <c r="L55" s="11"/>
      <c r="M55" s="10"/>
      <c r="N55" s="10" t="s">
        <v>33</v>
      </c>
      <c r="P55" s="6" t="s">
        <v>81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45705</v>
      </c>
      <c r="D56" s="10" t="str">
        <f t="shared" ref="D56:D65" si="3">IF(G56="","",IF(OR(G56="선급금",G56="중도금",G56="잔금"),"A",IF(G56="자재","B",IF(G56="특허료","C",""))))</f>
        <v>C</v>
      </c>
      <c r="E56" s="6" t="s">
        <v>46</v>
      </c>
      <c r="F56" s="6" t="s">
        <v>86</v>
      </c>
      <c r="G56" s="6" t="s">
        <v>43</v>
      </c>
      <c r="H56" s="4">
        <v>1632000</v>
      </c>
      <c r="I56" s="12">
        <f t="shared" ref="I56:I65" ca="1" si="4">IF(C56="","",IF(L56="",TODAY()-C56,L56-C56))</f>
        <v>367</v>
      </c>
      <c r="J56" s="13" t="str">
        <f t="shared" ca="1" si="2"/>
        <v>장기미수</v>
      </c>
      <c r="K56" s="11"/>
      <c r="L56" s="11"/>
      <c r="M56" s="10" t="s">
        <v>153</v>
      </c>
      <c r="N56" s="10" t="s">
        <v>20</v>
      </c>
      <c r="O56" s="6" t="s">
        <v>49</v>
      </c>
      <c r="Q56" s="14"/>
      <c r="R56" s="14"/>
      <c r="S56" s="10"/>
    </row>
    <row r="57" spans="2:19" s="6" customFormat="1" ht="16.5" customHeight="1">
      <c r="B57" s="10">
        <f>IF(C57="","",COUNTA($C$2:C57))</f>
        <v>56</v>
      </c>
      <c r="C57" s="11">
        <v>45840</v>
      </c>
      <c r="D57" s="10" t="str">
        <f t="shared" si="3"/>
        <v>C</v>
      </c>
      <c r="E57" s="6" t="s">
        <v>46</v>
      </c>
      <c r="F57" s="6" t="s">
        <v>87</v>
      </c>
      <c r="G57" s="6" t="s">
        <v>43</v>
      </c>
      <c r="H57" s="4">
        <v>5380000</v>
      </c>
      <c r="I57" s="12">
        <f t="shared" ca="1" si="4"/>
        <v>232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88</v>
      </c>
      <c r="G58" s="6" t="s">
        <v>43</v>
      </c>
      <c r="H58" s="4">
        <v>765000</v>
      </c>
      <c r="I58" s="12">
        <f t="shared" ca="1" si="4"/>
        <v>232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45889</v>
      </c>
      <c r="D59" s="10" t="str">
        <f t="shared" si="3"/>
        <v>C</v>
      </c>
      <c r="E59" s="6" t="s">
        <v>46</v>
      </c>
      <c r="F59" s="6" t="s">
        <v>89</v>
      </c>
      <c r="G59" s="6" t="s">
        <v>43</v>
      </c>
      <c r="H59" s="4">
        <v>2738900</v>
      </c>
      <c r="I59" s="12">
        <f t="shared" ca="1" si="4"/>
        <v>183</v>
      </c>
      <c r="J59" s="13" t="str">
        <f t="shared" ref="J59:J113" ca="1" si="5">IF(I59="","",
 IF(G59="선급금",
   IF(I59&lt;=20,"정상",IF(I59&lt;=90,"관리","장기미수")),
 IF(G59="자재",
   IF(I59&lt;=40,"정상",IF(I59&lt;=90,"관리","장기미수")),
   IF(I59&lt;=30,"정상",IF(I59&lt;=90,"관리","장기미수"))
  )
 )
)</f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46006</v>
      </c>
      <c r="D60" s="10" t="str">
        <f t="shared" si="3"/>
        <v>C</v>
      </c>
      <c r="E60" s="6" t="s">
        <v>62</v>
      </c>
      <c r="F60" s="6" t="s">
        <v>90</v>
      </c>
      <c r="G60" s="6" t="s">
        <v>43</v>
      </c>
      <c r="H60" s="4">
        <v>1648500</v>
      </c>
      <c r="I60" s="12">
        <f t="shared" ca="1" si="4"/>
        <v>60</v>
      </c>
      <c r="J60" s="13" t="str">
        <f t="shared" ca="1" si="5"/>
        <v>관리</v>
      </c>
      <c r="K60" s="11">
        <v>46066</v>
      </c>
      <c r="L60" s="11">
        <v>46066</v>
      </c>
      <c r="M60" s="10"/>
      <c r="N60" s="10" t="s">
        <v>33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91</v>
      </c>
      <c r="G61" s="6" t="s">
        <v>43</v>
      </c>
      <c r="H61" s="4">
        <v>2625000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92</v>
      </c>
      <c r="F62" s="6" t="s">
        <v>93</v>
      </c>
      <c r="G62" s="6" t="s">
        <v>43</v>
      </c>
      <c r="H62" s="4">
        <v>495000</v>
      </c>
      <c r="I62" s="12">
        <f t="shared" ca="1" si="4"/>
        <v>66</v>
      </c>
      <c r="J62" s="13" t="str">
        <f t="shared" ca="1" si="5"/>
        <v>관리</v>
      </c>
      <c r="K62" s="11">
        <v>46087</v>
      </c>
      <c r="L62" s="11"/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94</v>
      </c>
      <c r="G63" s="6" t="s">
        <v>43</v>
      </c>
      <c r="H63" s="4">
        <v>485000</v>
      </c>
      <c r="I63" s="12">
        <f t="shared" ca="1" si="4"/>
        <v>66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46009</v>
      </c>
      <c r="D64" s="10" t="str">
        <f t="shared" si="3"/>
        <v>C</v>
      </c>
      <c r="E64" s="6" t="s">
        <v>95</v>
      </c>
      <c r="F64" s="6" t="s">
        <v>96</v>
      </c>
      <c r="G64" s="6" t="s">
        <v>43</v>
      </c>
      <c r="H64" s="4">
        <v>662500</v>
      </c>
      <c r="I64" s="12">
        <f t="shared" ca="1" si="4"/>
        <v>55</v>
      </c>
      <c r="J64" s="13" t="str">
        <f t="shared" ca="1" si="5"/>
        <v>관리</v>
      </c>
      <c r="K64" s="11">
        <v>46066</v>
      </c>
      <c r="L64" s="11">
        <v>46064</v>
      </c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97</v>
      </c>
      <c r="F65" s="6" t="s">
        <v>98</v>
      </c>
      <c r="G65" s="6" t="s">
        <v>43</v>
      </c>
      <c r="H65" s="4">
        <v>3537700</v>
      </c>
      <c r="I65" s="12">
        <f t="shared" ca="1" si="4"/>
        <v>63</v>
      </c>
      <c r="J65" s="13" t="str">
        <f t="shared" ca="1" si="5"/>
        <v>관리</v>
      </c>
      <c r="K65" s="11">
        <v>46052</v>
      </c>
      <c r="L65" s="11"/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46027</v>
      </c>
      <c r="D66" s="10" t="str">
        <f t="shared" ref="D66:D75" si="6">IF(G66="","",IF(OR(G66="선급금",G66="중도금",G66="잔금"),"A",IF(G66="자재","B",IF(G66="특허료","C",""))))</f>
        <v>C</v>
      </c>
      <c r="E66" s="6" t="s">
        <v>99</v>
      </c>
      <c r="F66" s="6" t="s">
        <v>100</v>
      </c>
      <c r="G66" s="6" t="s">
        <v>43</v>
      </c>
      <c r="H66" s="4">
        <v>3802500</v>
      </c>
      <c r="I66" s="6">
        <f t="shared" ref="I66:I71" ca="1" si="7">IF(C66="","",IF(L66="",TODAY()-C66,L66-C66))</f>
        <v>45</v>
      </c>
      <c r="J66" s="13" t="str">
        <f t="shared" ca="1" si="5"/>
        <v>관리</v>
      </c>
      <c r="K66" s="11"/>
      <c r="L66" s="11"/>
      <c r="M66" s="10"/>
      <c r="N66" s="10" t="s">
        <v>33</v>
      </c>
      <c r="Q66" s="11"/>
      <c r="R66" s="11"/>
      <c r="S66" s="10"/>
    </row>
    <row r="67" spans="2:19" s="6" customFormat="1" ht="16.5" customHeight="1">
      <c r="B67" s="10">
        <f>IF(C67="","",COUNTA($C$2:C67))</f>
        <v>66</v>
      </c>
      <c r="C67" s="11">
        <v>46028</v>
      </c>
      <c r="D67" s="10" t="str">
        <f t="shared" si="6"/>
        <v>C</v>
      </c>
      <c r="E67" s="6" t="s">
        <v>101</v>
      </c>
      <c r="F67" s="6" t="s">
        <v>102</v>
      </c>
      <c r="G67" s="6" t="s">
        <v>43</v>
      </c>
      <c r="H67" s="4">
        <v>138050</v>
      </c>
      <c r="I67" s="6">
        <f t="shared" ca="1" si="7"/>
        <v>44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103</v>
      </c>
      <c r="G68" s="6" t="s">
        <v>43</v>
      </c>
      <c r="H68" s="4">
        <v>6675050</v>
      </c>
      <c r="I68" s="6">
        <f t="shared" ca="1" si="7"/>
        <v>44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104</v>
      </c>
      <c r="F69" s="6" t="s">
        <v>105</v>
      </c>
      <c r="G69" s="6" t="s">
        <v>43</v>
      </c>
      <c r="H69" s="4">
        <v>7500000</v>
      </c>
      <c r="I69" s="6">
        <f t="shared" ca="1" si="7"/>
        <v>44</v>
      </c>
      <c r="J69" s="13" t="str">
        <f t="shared" ca="1" si="5"/>
        <v>관리</v>
      </c>
      <c r="K69" s="11"/>
      <c r="L69" s="11"/>
      <c r="M69" s="10"/>
      <c r="N69" s="10" t="s">
        <v>20</v>
      </c>
      <c r="O69" s="6" t="s">
        <v>28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46034</v>
      </c>
      <c r="D70" s="10" t="str">
        <f t="shared" si="6"/>
        <v>C</v>
      </c>
      <c r="E70" s="6" t="s">
        <v>106</v>
      </c>
      <c r="F70" s="6" t="s">
        <v>107</v>
      </c>
      <c r="G70" s="6" t="s">
        <v>43</v>
      </c>
      <c r="H70" s="4">
        <v>179500</v>
      </c>
      <c r="I70" s="6">
        <f t="shared" ca="1" si="7"/>
        <v>3</v>
      </c>
      <c r="J70" s="13" t="str">
        <f ca="1">IF(I70="","",
 IF(G70="선급금",
   IF(I70&lt;=20,"정상",IF(I70&lt;=90,"관리","장기미수")),
 IF(G70="자재",
   IF(I70&lt;=40,"정상",IF(I70&lt;=90,"관리","장기미수")),
   IF(I70&lt;=30,"정상",IF(I70&lt;=90,"관리","장기미수"))
  )
 )
)</f>
        <v>정상</v>
      </c>
      <c r="K70" s="11"/>
      <c r="L70" s="11">
        <v>46037</v>
      </c>
      <c r="M70" s="10"/>
      <c r="N70" s="10" t="s">
        <v>33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46027</v>
      </c>
      <c r="D71" s="10" t="str">
        <f t="shared" si="6"/>
        <v>B</v>
      </c>
      <c r="E71" s="6" t="s">
        <v>24</v>
      </c>
      <c r="F71" s="6" t="s">
        <v>108</v>
      </c>
      <c r="G71" s="6" t="s">
        <v>48</v>
      </c>
      <c r="H71" s="4">
        <v>26182000</v>
      </c>
      <c r="I71" s="6">
        <f t="shared" ca="1" si="7"/>
        <v>45</v>
      </c>
      <c r="J71" s="13" t="str">
        <f t="shared" ca="1" si="5"/>
        <v>관리</v>
      </c>
      <c r="K71" s="11"/>
      <c r="L71" s="11"/>
      <c r="M71" s="10"/>
      <c r="N71" s="10" t="s">
        <v>20</v>
      </c>
      <c r="O71" s="6" t="s">
        <v>154</v>
      </c>
      <c r="P71" s="6" t="s">
        <v>156</v>
      </c>
      <c r="Q71" s="11">
        <v>46036</v>
      </c>
      <c r="R71" s="10" t="s">
        <v>59</v>
      </c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26</v>
      </c>
      <c r="F72" s="6" t="s">
        <v>109</v>
      </c>
      <c r="G72" s="6" t="s">
        <v>48</v>
      </c>
      <c r="H72" s="4">
        <v>1100000</v>
      </c>
      <c r="I72" s="6">
        <f t="shared" ref="I72:I75" ca="1" si="8">IF(C72="","",IF(L72="",TODAY()-C72,L72-C72))</f>
        <v>45</v>
      </c>
      <c r="J72" s="13" t="str">
        <f t="shared" ca="1" si="5"/>
        <v>관리</v>
      </c>
      <c r="K72" s="11">
        <v>46112</v>
      </c>
      <c r="L72" s="11"/>
      <c r="M72" s="10"/>
      <c r="N72" s="10" t="s">
        <v>33</v>
      </c>
      <c r="P72" s="6" t="s">
        <v>81</v>
      </c>
      <c r="Q72" s="11"/>
      <c r="R72" s="11"/>
      <c r="S72" s="10"/>
    </row>
    <row r="73" spans="2:19" s="6" customFormat="1" ht="16.5" customHeight="1">
      <c r="B73" s="10">
        <f>IF(C73="","",COUNTA($C$2:C73))</f>
        <v>72</v>
      </c>
      <c r="C73" s="11">
        <v>46028</v>
      </c>
      <c r="D73" s="10" t="str">
        <f t="shared" si="6"/>
        <v>B</v>
      </c>
      <c r="E73" s="6" t="s">
        <v>24</v>
      </c>
      <c r="F73" s="6" t="s">
        <v>108</v>
      </c>
      <c r="G73" s="6" t="s">
        <v>48</v>
      </c>
      <c r="H73" s="4">
        <v>799000</v>
      </c>
      <c r="I73" s="6">
        <f t="shared" ca="1" si="8"/>
        <v>17</v>
      </c>
      <c r="J73" s="13" t="str">
        <f t="shared" ca="1" si="5"/>
        <v>정상</v>
      </c>
      <c r="K73" s="11"/>
      <c r="L73" s="11">
        <v>46045</v>
      </c>
      <c r="M73" s="10"/>
      <c r="N73" s="10" t="s">
        <v>20</v>
      </c>
      <c r="O73" s="6" t="s">
        <v>154</v>
      </c>
      <c r="P73" s="6" t="s">
        <v>155</v>
      </c>
      <c r="Q73" s="11">
        <v>46036</v>
      </c>
      <c r="R73" s="10" t="s">
        <v>59</v>
      </c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110</v>
      </c>
      <c r="F74" s="6" t="s">
        <v>111</v>
      </c>
      <c r="G74" s="6" t="s">
        <v>48</v>
      </c>
      <c r="H74" s="4">
        <v>3430000</v>
      </c>
      <c r="I74" s="6">
        <f t="shared" ca="1" si="8"/>
        <v>24</v>
      </c>
      <c r="J74" s="13" t="str">
        <f t="shared" ca="1" si="5"/>
        <v>정상</v>
      </c>
      <c r="K74" s="11"/>
      <c r="L74" s="11">
        <v>46052</v>
      </c>
      <c r="M74" s="10"/>
      <c r="N74" s="10" t="s">
        <v>33</v>
      </c>
      <c r="Q74" s="11"/>
      <c r="R74" s="11"/>
      <c r="S74" s="10"/>
    </row>
    <row r="75" spans="2:19" s="6" customFormat="1" ht="16.5" customHeight="1">
      <c r="B75" s="10">
        <f>IF(C75="","",COUNTA($C$2:C75))</f>
        <v>74</v>
      </c>
      <c r="C75" s="11">
        <v>46030</v>
      </c>
      <c r="D75" s="10" t="str">
        <f t="shared" si="6"/>
        <v>B</v>
      </c>
      <c r="E75" s="6" t="s">
        <v>112</v>
      </c>
      <c r="F75" s="6" t="s">
        <v>113</v>
      </c>
      <c r="G75" s="6" t="s">
        <v>48</v>
      </c>
      <c r="H75" s="4">
        <v>528000</v>
      </c>
      <c r="I75" s="6">
        <f t="shared" ca="1" si="8"/>
        <v>42</v>
      </c>
      <c r="J75" s="13" t="str">
        <f t="shared" ca="1" si="5"/>
        <v>관리</v>
      </c>
      <c r="K75" s="11"/>
      <c r="L75" s="11"/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46034</v>
      </c>
      <c r="D76" s="10" t="str">
        <f t="shared" ref="D76:D139" si="9">IF(G76="","",IF(OR(G76="선급금",G76="중도금",G76="잔금"),"A",IF(G76="자재","B",IF(G76="특허료","C",""))))</f>
        <v>B</v>
      </c>
      <c r="E76" s="6" t="s">
        <v>24</v>
      </c>
      <c r="F76" s="6" t="s">
        <v>108</v>
      </c>
      <c r="G76" s="6" t="s">
        <v>48</v>
      </c>
      <c r="H76" s="4">
        <v>2200000</v>
      </c>
      <c r="I76" s="6">
        <f t="shared" ref="I76:I139" ca="1" si="10">IF(C76="","",IF(L76="",TODAY()-C76,L76-C76))</f>
        <v>11</v>
      </c>
      <c r="J76" s="13" t="str">
        <f t="shared" ca="1" si="5"/>
        <v>정상</v>
      </c>
      <c r="K76" s="11"/>
      <c r="L76" s="11">
        <v>46045</v>
      </c>
      <c r="M76" s="10"/>
      <c r="N76" s="10" t="s">
        <v>20</v>
      </c>
      <c r="O76" s="6" t="s">
        <v>154</v>
      </c>
      <c r="P76" s="6" t="s">
        <v>155</v>
      </c>
      <c r="Q76" s="11">
        <v>46036</v>
      </c>
      <c r="R76" s="10" t="s">
        <v>59</v>
      </c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si="9"/>
        <v>B</v>
      </c>
      <c r="E77" s="6" t="s">
        <v>24</v>
      </c>
      <c r="F77" s="6" t="s">
        <v>108</v>
      </c>
      <c r="G77" s="6" t="s">
        <v>48</v>
      </c>
      <c r="H77" s="4">
        <v>580000</v>
      </c>
      <c r="I77" s="6">
        <f t="shared" ca="1" si="10"/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114</v>
      </c>
      <c r="F78" s="6" t="s">
        <v>115</v>
      </c>
      <c r="G78" s="6" t="s">
        <v>48</v>
      </c>
      <c r="H78" s="4">
        <v>3418000</v>
      </c>
      <c r="I78" s="6">
        <f t="shared" ca="1" si="10"/>
        <v>0</v>
      </c>
      <c r="J78" s="13" t="str">
        <f t="shared" ca="1" si="5"/>
        <v>정상</v>
      </c>
      <c r="K78" s="11"/>
      <c r="L78" s="11">
        <v>46034</v>
      </c>
      <c r="M78" s="10"/>
      <c r="N78" s="10" t="s">
        <v>33</v>
      </c>
      <c r="Q78" s="11"/>
      <c r="R78" s="11"/>
      <c r="S78" s="10"/>
    </row>
    <row r="79" spans="2:19" s="6" customFormat="1" ht="16.5" customHeight="1">
      <c r="B79" s="10">
        <f>IF(C79="","",COUNTA($C$2:C79))</f>
        <v>78</v>
      </c>
      <c r="C79" s="11">
        <v>46036</v>
      </c>
      <c r="D79" s="10" t="str">
        <f t="shared" si="9"/>
        <v>B</v>
      </c>
      <c r="E79" s="6" t="s">
        <v>116</v>
      </c>
      <c r="F79" s="6" t="s">
        <v>117</v>
      </c>
      <c r="G79" s="6" t="s">
        <v>48</v>
      </c>
      <c r="H79" s="4">
        <v>496500</v>
      </c>
      <c r="I79" s="6">
        <f t="shared" ca="1" si="10"/>
        <v>0</v>
      </c>
      <c r="J79" s="13" t="str">
        <f t="shared" ca="1" si="5"/>
        <v>정상</v>
      </c>
      <c r="K79" s="11"/>
      <c r="L79" s="11">
        <v>46036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46038</v>
      </c>
      <c r="D80" s="10" t="str">
        <f t="shared" si="9"/>
        <v>B</v>
      </c>
      <c r="E80" s="6" t="s">
        <v>118</v>
      </c>
      <c r="F80" s="6" t="s">
        <v>119</v>
      </c>
      <c r="G80" s="6" t="s">
        <v>48</v>
      </c>
      <c r="H80" s="4">
        <v>280000</v>
      </c>
      <c r="I80" s="6">
        <f t="shared" ca="1" si="10"/>
        <v>34</v>
      </c>
      <c r="J80" s="13" t="str">
        <f t="shared" ca="1" si="5"/>
        <v>정상</v>
      </c>
      <c r="K80" s="11"/>
      <c r="L80" s="11"/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120</v>
      </c>
      <c r="F81" s="6" t="s">
        <v>121</v>
      </c>
      <c r="G81" s="6" t="s">
        <v>48</v>
      </c>
      <c r="H81" s="4">
        <v>380000</v>
      </c>
      <c r="I81" s="6">
        <f t="shared" ca="1" si="10"/>
        <v>0</v>
      </c>
      <c r="J81" s="13" t="str">
        <f t="shared" ca="1" si="5"/>
        <v>정상</v>
      </c>
      <c r="K81" s="11"/>
      <c r="L81" s="11">
        <v>46038</v>
      </c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46042</v>
      </c>
      <c r="D82" s="10" t="str">
        <f t="shared" si="9"/>
        <v>B</v>
      </c>
      <c r="E82" s="6" t="s">
        <v>24</v>
      </c>
      <c r="F82" s="6" t="s">
        <v>108</v>
      </c>
      <c r="G82" s="6" t="s">
        <v>48</v>
      </c>
      <c r="H82" s="4">
        <v>36816000</v>
      </c>
      <c r="I82" s="6">
        <f t="shared" ca="1" si="10"/>
        <v>30</v>
      </c>
      <c r="J82" s="13" t="str">
        <f t="shared" ca="1" si="5"/>
        <v>정상</v>
      </c>
      <c r="K82" s="11"/>
      <c r="L82" s="11"/>
      <c r="M82" s="10"/>
      <c r="N82" s="10" t="s">
        <v>20</v>
      </c>
      <c r="O82" s="6" t="s">
        <v>58</v>
      </c>
      <c r="P82" s="6" t="s">
        <v>155</v>
      </c>
      <c r="Q82" s="11">
        <v>46036</v>
      </c>
      <c r="R82" s="10" t="s">
        <v>59</v>
      </c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7390000</v>
      </c>
      <c r="I83" s="6">
        <f t="shared" ca="1" si="10"/>
        <v>30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46044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56770000</v>
      </c>
      <c r="I84" s="6">
        <f t="shared" ca="1" si="10"/>
        <v>28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122</v>
      </c>
      <c r="F85" s="6" t="s">
        <v>123</v>
      </c>
      <c r="G85" s="6" t="s">
        <v>48</v>
      </c>
      <c r="H85" s="4">
        <v>321000</v>
      </c>
      <c r="I85" s="6">
        <f t="shared" ca="1" si="10"/>
        <v>28</v>
      </c>
      <c r="J85" s="13" t="str">
        <f t="shared" ca="1" si="5"/>
        <v>정상</v>
      </c>
      <c r="K85" s="11"/>
      <c r="L85" s="11"/>
      <c r="M85" s="10"/>
      <c r="N85" s="10" t="s">
        <v>33</v>
      </c>
      <c r="Q85" s="11"/>
      <c r="R85" s="11"/>
      <c r="S85" s="10"/>
    </row>
    <row r="86" spans="2:19" s="6" customFormat="1" ht="16.5" customHeight="1">
      <c r="B86" s="10">
        <f>IF(C86="","",COUNTA($C$2:C86))</f>
        <v>85</v>
      </c>
      <c r="C86" s="11">
        <v>46048</v>
      </c>
      <c r="D86" s="10" t="str">
        <f t="shared" si="9"/>
        <v>B</v>
      </c>
      <c r="E86" s="6" t="s">
        <v>24</v>
      </c>
      <c r="F86" s="6" t="s">
        <v>108</v>
      </c>
      <c r="G86" s="6" t="s">
        <v>48</v>
      </c>
      <c r="H86" s="4">
        <v>4784000</v>
      </c>
      <c r="I86" s="6">
        <f t="shared" ca="1" si="10"/>
        <v>24</v>
      </c>
      <c r="J86" s="13" t="str">
        <f t="shared" ca="1" si="5"/>
        <v>정상</v>
      </c>
      <c r="K86" s="11"/>
      <c r="L86" s="11"/>
      <c r="M86" s="10"/>
      <c r="N86" s="10" t="s">
        <v>20</v>
      </c>
      <c r="O86" s="6" t="s">
        <v>58</v>
      </c>
      <c r="P86" s="6" t="s">
        <v>155</v>
      </c>
      <c r="Q86" s="11">
        <v>46036</v>
      </c>
      <c r="R86" s="10" t="s">
        <v>59</v>
      </c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124</v>
      </c>
      <c r="F87" s="6" t="s">
        <v>125</v>
      </c>
      <c r="G87" s="6" t="s">
        <v>48</v>
      </c>
      <c r="H87" s="4">
        <v>15356500</v>
      </c>
      <c r="I87" s="6">
        <f t="shared" ca="1" si="10"/>
        <v>15</v>
      </c>
      <c r="J87" s="13" t="str">
        <f t="shared" ca="1" si="5"/>
        <v>정상</v>
      </c>
      <c r="K87" s="11"/>
      <c r="L87" s="11">
        <v>46063</v>
      </c>
      <c r="M87" s="10"/>
      <c r="N87" s="10" t="s">
        <v>33</v>
      </c>
      <c r="Q87" s="11"/>
      <c r="R87" s="11"/>
      <c r="S87" s="10"/>
    </row>
    <row r="88" spans="2:19" s="6" customFormat="1" ht="16.5" customHeight="1">
      <c r="B88" s="10">
        <f>IF(C88="","",COUNTA($C$2:C88))</f>
        <v>87</v>
      </c>
      <c r="C88" s="11">
        <v>46051</v>
      </c>
      <c r="D88" s="10" t="str">
        <f t="shared" si="9"/>
        <v>B</v>
      </c>
      <c r="E88" s="6" t="s">
        <v>24</v>
      </c>
      <c r="F88" s="6" t="s">
        <v>108</v>
      </c>
      <c r="G88" s="6" t="s">
        <v>48</v>
      </c>
      <c r="H88" s="4">
        <v>17250000</v>
      </c>
      <c r="I88" s="6">
        <f t="shared" ca="1" si="10"/>
        <v>21</v>
      </c>
      <c r="J88" s="13" t="str">
        <f t="shared" ca="1" si="5"/>
        <v>정상</v>
      </c>
      <c r="K88" s="11"/>
      <c r="L88" s="11"/>
      <c r="M88" s="10"/>
      <c r="N88" s="10" t="s">
        <v>20</v>
      </c>
      <c r="O88" s="6" t="s">
        <v>58</v>
      </c>
      <c r="P88" s="6" t="s">
        <v>155</v>
      </c>
      <c r="Q88" s="11">
        <v>46036</v>
      </c>
      <c r="R88" s="10" t="s">
        <v>59</v>
      </c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5750000</v>
      </c>
      <c r="I89" s="6">
        <f t="shared" ca="1" si="10"/>
        <v>21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46055</v>
      </c>
      <c r="D90" s="10" t="str">
        <f t="shared" si="9"/>
        <v>B</v>
      </c>
      <c r="E90" s="6" t="s">
        <v>126</v>
      </c>
      <c r="F90" s="6" t="s">
        <v>127</v>
      </c>
      <c r="G90" s="6" t="s">
        <v>48</v>
      </c>
      <c r="H90" s="4">
        <v>231000</v>
      </c>
      <c r="I90" s="6">
        <f t="shared" ca="1" si="10"/>
        <v>0</v>
      </c>
      <c r="J90" s="13" t="str">
        <f t="shared" ca="1" si="5"/>
        <v>정상</v>
      </c>
      <c r="K90" s="11"/>
      <c r="L90" s="11">
        <v>46055</v>
      </c>
      <c r="M90" s="10"/>
      <c r="N90" s="10" t="s">
        <v>33</v>
      </c>
      <c r="Q90" s="11"/>
      <c r="R90" s="11"/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128</v>
      </c>
      <c r="F91" s="6" t="s">
        <v>129</v>
      </c>
      <c r="G91" s="6" t="s">
        <v>48</v>
      </c>
      <c r="H91" s="4">
        <v>219000</v>
      </c>
      <c r="I91" s="6">
        <f t="shared" ca="1" si="10"/>
        <v>17</v>
      </c>
      <c r="J91" s="13" t="str">
        <f t="shared" ca="1" si="5"/>
        <v>정상</v>
      </c>
      <c r="K91" s="11"/>
      <c r="L91" s="11"/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46056</v>
      </c>
      <c r="D92" s="10" t="str">
        <f t="shared" si="9"/>
        <v>B</v>
      </c>
      <c r="E92" s="6" t="s">
        <v>130</v>
      </c>
      <c r="F92" s="6" t="s">
        <v>131</v>
      </c>
      <c r="G92" s="6" t="s">
        <v>48</v>
      </c>
      <c r="H92" s="4">
        <v>432000</v>
      </c>
      <c r="I92" s="6">
        <f t="shared" ca="1" si="10"/>
        <v>1</v>
      </c>
      <c r="J92" s="13" t="str">
        <f t="shared" ca="1" si="5"/>
        <v>정상</v>
      </c>
      <c r="K92" s="11"/>
      <c r="L92" s="11">
        <v>46057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46052</v>
      </c>
      <c r="D93" s="10" t="str">
        <f t="shared" si="9"/>
        <v>C</v>
      </c>
      <c r="E93" s="6" t="s">
        <v>136</v>
      </c>
      <c r="F93" s="6" t="s">
        <v>137</v>
      </c>
      <c r="G93" s="6" t="s">
        <v>140</v>
      </c>
      <c r="H93" s="4">
        <v>478000</v>
      </c>
      <c r="I93" s="6">
        <f t="shared" ca="1" si="10"/>
        <v>7</v>
      </c>
      <c r="J93" s="13" t="str">
        <f t="shared" ca="1" si="5"/>
        <v>정상</v>
      </c>
      <c r="K93" s="11"/>
      <c r="L93" s="11">
        <v>46059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46058</v>
      </c>
      <c r="D94" s="10" t="str">
        <f t="shared" si="9"/>
        <v>C</v>
      </c>
      <c r="E94" s="6" t="s">
        <v>138</v>
      </c>
      <c r="F94" s="6" t="s">
        <v>139</v>
      </c>
      <c r="G94" s="6" t="s">
        <v>140</v>
      </c>
      <c r="H94" s="4">
        <v>1206700</v>
      </c>
      <c r="I94" s="6">
        <f t="shared" ca="1" si="10"/>
        <v>14</v>
      </c>
      <c r="J94" s="13" t="str">
        <f t="shared" ca="1" si="5"/>
        <v>정상</v>
      </c>
      <c r="K94" s="11"/>
      <c r="L94" s="11"/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 t="s">
        <v>160</v>
      </c>
      <c r="D95" s="10" t="str">
        <f t="shared" si="9"/>
        <v>B</v>
      </c>
      <c r="E95" s="6" t="s">
        <v>110</v>
      </c>
      <c r="F95" s="6" t="s">
        <v>158</v>
      </c>
      <c r="G95" s="6" t="s">
        <v>48</v>
      </c>
      <c r="H95" s="4">
        <v>2627900</v>
      </c>
      <c r="I95" s="6">
        <f t="shared" ca="1" si="10"/>
        <v>10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114</v>
      </c>
      <c r="F96" s="6" t="s">
        <v>159</v>
      </c>
      <c r="G96" s="6" t="s">
        <v>48</v>
      </c>
      <c r="H96" s="4">
        <v>1210000</v>
      </c>
      <c r="I96" s="6">
        <f t="shared" ca="1" si="10"/>
        <v>0</v>
      </c>
      <c r="J96" s="13" t="str">
        <f t="shared" ca="1" si="5"/>
        <v>정상</v>
      </c>
      <c r="K96" s="11"/>
      <c r="L96" s="11">
        <v>46062</v>
      </c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168</v>
      </c>
      <c r="D97" s="10" t="str">
        <f t="shared" si="9"/>
        <v>B</v>
      </c>
      <c r="E97" s="23" t="s">
        <v>110</v>
      </c>
      <c r="F97" s="23" t="s">
        <v>111</v>
      </c>
      <c r="G97" s="6" t="s">
        <v>48</v>
      </c>
      <c r="H97" s="4">
        <v>216000</v>
      </c>
      <c r="I97" s="6">
        <f t="shared" ca="1" si="10"/>
        <v>9</v>
      </c>
      <c r="J97" s="13" t="str">
        <f t="shared" ca="1" si="5"/>
        <v>정상</v>
      </c>
      <c r="K97" s="11"/>
      <c r="L97" s="11"/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166</v>
      </c>
      <c r="F98" s="23" t="s">
        <v>167</v>
      </c>
      <c r="G98" s="6" t="s">
        <v>48</v>
      </c>
      <c r="H98" s="4">
        <v>154300</v>
      </c>
      <c r="I98" s="6">
        <f t="shared" ca="1" si="10"/>
        <v>9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46027</v>
      </c>
      <c r="D99" s="10" t="s">
        <v>172</v>
      </c>
      <c r="E99" s="24" t="s">
        <v>26</v>
      </c>
      <c r="F99" s="24" t="s">
        <v>169</v>
      </c>
      <c r="G99" s="6" t="s">
        <v>173</v>
      </c>
      <c r="H99" s="4">
        <v>16130000</v>
      </c>
      <c r="I99" s="6">
        <f t="shared" ca="1" si="10"/>
        <v>45</v>
      </c>
      <c r="J99" s="13" t="str">
        <f t="shared" ca="1" si="5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46023</v>
      </c>
      <c r="D100" s="10" t="s">
        <v>172</v>
      </c>
      <c r="E100" s="24" t="s">
        <v>170</v>
      </c>
      <c r="F100" s="24" t="s">
        <v>171</v>
      </c>
      <c r="G100" s="6" t="s">
        <v>173</v>
      </c>
      <c r="H100" s="4">
        <v>-883400</v>
      </c>
      <c r="I100" s="6">
        <f t="shared" ca="1" si="10"/>
        <v>29</v>
      </c>
      <c r="J100" s="13" t="str">
        <f t="shared" ca="1" si="5"/>
        <v>정상</v>
      </c>
      <c r="K100" s="11"/>
      <c r="L100" s="11">
        <v>46052</v>
      </c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46052</v>
      </c>
      <c r="D101" s="10" t="str">
        <f t="shared" si="9"/>
        <v>B</v>
      </c>
      <c r="E101" s="6" t="s">
        <v>174</v>
      </c>
      <c r="F101" s="6" t="s">
        <v>175</v>
      </c>
      <c r="G101" s="6" t="s">
        <v>176</v>
      </c>
      <c r="H101" s="4">
        <v>-3943480</v>
      </c>
      <c r="I101" s="6">
        <f t="shared" ca="1" si="10"/>
        <v>12</v>
      </c>
      <c r="J101" s="13" t="str">
        <f t="shared" ca="1" si="5"/>
        <v>정상</v>
      </c>
      <c r="K101" s="11"/>
      <c r="L101" s="11">
        <v>46064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26">
        <f>IF(C102="","",COUNTA($C$2:C102))</f>
        <v>101</v>
      </c>
      <c r="C102" s="27">
        <v>46038</v>
      </c>
      <c r="D102" s="26" t="str">
        <f t="shared" si="9"/>
        <v>A</v>
      </c>
      <c r="E102" s="28" t="s">
        <v>177</v>
      </c>
      <c r="F102" s="28" t="s">
        <v>178</v>
      </c>
      <c r="G102" s="28" t="s">
        <v>179</v>
      </c>
      <c r="H102" s="29">
        <v>59635000</v>
      </c>
      <c r="I102" s="28">
        <f t="shared" ca="1" si="10"/>
        <v>28</v>
      </c>
      <c r="J102" s="30" t="str">
        <f t="shared" ca="1" si="5"/>
        <v>정상</v>
      </c>
      <c r="K102" s="27"/>
      <c r="L102" s="27">
        <v>46066</v>
      </c>
      <c r="M102" s="26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46064</v>
      </c>
      <c r="D103" s="10" t="str">
        <f t="shared" si="9"/>
        <v>B</v>
      </c>
      <c r="E103" s="6" t="s">
        <v>110</v>
      </c>
      <c r="F103" s="23" t="s">
        <v>158</v>
      </c>
      <c r="G103" s="6" t="s">
        <v>181</v>
      </c>
      <c r="H103" s="25">
        <v>1138000</v>
      </c>
      <c r="I103" s="6">
        <f t="shared" ca="1" si="10"/>
        <v>8</v>
      </c>
      <c r="J103" s="13" t="str">
        <f t="shared" ca="1" si="5"/>
        <v>정상</v>
      </c>
      <c r="K103" s="11"/>
      <c r="L103" s="11"/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180</v>
      </c>
      <c r="G104" s="6" t="s">
        <v>181</v>
      </c>
      <c r="H104" s="25">
        <v>11632500</v>
      </c>
      <c r="I104" s="6">
        <f t="shared" ca="1" si="10"/>
        <v>8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46065</v>
      </c>
      <c r="D105" s="10" t="s">
        <v>182</v>
      </c>
      <c r="E105" s="23" t="s">
        <v>24</v>
      </c>
      <c r="F105" s="23" t="s">
        <v>108</v>
      </c>
      <c r="G105" s="6" t="s">
        <v>181</v>
      </c>
      <c r="H105" s="25">
        <v>7390000</v>
      </c>
      <c r="I105" s="6">
        <f t="shared" ca="1" si="10"/>
        <v>7</v>
      </c>
      <c r="J105" s="13" t="str">
        <f t="shared" ca="1" si="5"/>
        <v>정상</v>
      </c>
      <c r="K105" s="11"/>
      <c r="L105" s="11"/>
      <c r="M105" s="10"/>
      <c r="N105" s="10" t="s">
        <v>20</v>
      </c>
      <c r="P105" s="6" t="s">
        <v>155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183</v>
      </c>
      <c r="F106" s="23" t="s">
        <v>184</v>
      </c>
      <c r="G106" s="6" t="s">
        <v>181</v>
      </c>
      <c r="H106" s="25">
        <v>651400</v>
      </c>
      <c r="I106" s="6">
        <f t="shared" ca="1" si="10"/>
        <v>7</v>
      </c>
      <c r="J106" s="13" t="str">
        <f t="shared" ca="1" si="5"/>
        <v>정상</v>
      </c>
      <c r="K106" s="11"/>
      <c r="L106" s="11"/>
      <c r="M106" s="10"/>
      <c r="N106" s="10" t="s">
        <v>33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110</v>
      </c>
      <c r="F107" s="23" t="s">
        <v>158</v>
      </c>
      <c r="G107" s="6" t="s">
        <v>181</v>
      </c>
      <c r="H107" s="25">
        <v>1997773</v>
      </c>
      <c r="I107" s="6">
        <f t="shared" ca="1" si="10"/>
        <v>7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46066</v>
      </c>
      <c r="D108" s="10" t="s">
        <v>185</v>
      </c>
      <c r="E108" s="32" t="s">
        <v>187</v>
      </c>
      <c r="F108" s="31" t="s">
        <v>186</v>
      </c>
      <c r="G108" s="6" t="s">
        <v>188</v>
      </c>
      <c r="H108" s="33">
        <v>11000000</v>
      </c>
      <c r="I108" s="6">
        <f t="shared" ca="1" si="10"/>
        <v>6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46067</v>
      </c>
      <c r="D109" s="10" t="s">
        <v>182</v>
      </c>
      <c r="E109" s="23" t="s">
        <v>24</v>
      </c>
      <c r="F109" s="23" t="s">
        <v>108</v>
      </c>
      <c r="G109" s="6" t="s">
        <v>189</v>
      </c>
      <c r="H109" s="34">
        <v>35304000</v>
      </c>
      <c r="I109" s="6">
        <f t="shared" ca="1" si="10"/>
        <v>5</v>
      </c>
      <c r="J109" s="13" t="str">
        <f t="shared" ca="1" si="5"/>
        <v>정상</v>
      </c>
      <c r="K109" s="11"/>
      <c r="L109" s="11"/>
      <c r="M109" s="10"/>
      <c r="N109" s="10" t="s">
        <v>20</v>
      </c>
      <c r="P109" s="6" t="s">
        <v>155</v>
      </c>
      <c r="Q109" s="11"/>
      <c r="R109" s="11"/>
      <c r="S109" s="10"/>
    </row>
    <row r="110" spans="2:19" s="6" customFormat="1" ht="16.5" customHeight="1">
      <c r="B110" s="10" t="str">
        <f>IF(C110="","",COUNTA($C$2:C110))</f>
        <v/>
      </c>
      <c r="C110" s="11"/>
      <c r="D110" s="10" t="str">
        <f t="shared" si="9"/>
        <v/>
      </c>
      <c r="H110" s="4"/>
      <c r="I110" s="6" t="str">
        <f t="shared" ca="1" si="10"/>
        <v/>
      </c>
      <c r="J110" s="13" t="str">
        <f t="shared" ca="1" si="5"/>
        <v/>
      </c>
      <c r="K110" s="11"/>
      <c r="L110" s="11"/>
      <c r="M110" s="10"/>
      <c r="N110" s="10"/>
      <c r="Q110" s="11"/>
      <c r="R110" s="11"/>
      <c r="S110" s="10"/>
    </row>
    <row r="111" spans="2:19" s="6" customFormat="1" ht="16.5" customHeight="1">
      <c r="B111" s="10" t="str">
        <f>IF(C111="","",COUNTA($C$2:C111))</f>
        <v/>
      </c>
      <c r="C111" s="11"/>
      <c r="D111" s="10" t="str">
        <f t="shared" si="9"/>
        <v/>
      </c>
      <c r="H111" s="4"/>
      <c r="I111" s="6" t="str">
        <f t="shared" ca="1" si="10"/>
        <v/>
      </c>
      <c r="J111" s="13" t="str">
        <f t="shared" ca="1" si="5"/>
        <v/>
      </c>
      <c r="K111" s="11"/>
      <c r="L111" s="11"/>
      <c r="M111" s="10"/>
      <c r="N111" s="10"/>
      <c r="Q111" s="11"/>
      <c r="R111" s="11"/>
      <c r="S111" s="10"/>
    </row>
    <row r="112" spans="2:19" s="6" customFormat="1" ht="16.5" customHeight="1">
      <c r="B112" s="10" t="str">
        <f>IF(C112="","",COUNTA($C$2:C112))</f>
        <v/>
      </c>
      <c r="C112" s="11"/>
      <c r="D112" s="10" t="str">
        <f t="shared" si="9"/>
        <v/>
      </c>
      <c r="H112" s="4"/>
      <c r="I112" s="6" t="str">
        <f t="shared" ca="1" si="10"/>
        <v/>
      </c>
      <c r="J112" s="13" t="str">
        <f t="shared" ca="1" si="5"/>
        <v/>
      </c>
      <c r="K112" s="11"/>
      <c r="L112" s="11"/>
      <c r="M112" s="10"/>
      <c r="N112" s="10"/>
      <c r="Q112" s="11"/>
      <c r="R112" s="11"/>
      <c r="S112" s="10"/>
    </row>
    <row r="113" spans="2:19" s="6" customFormat="1" ht="16.5" customHeight="1">
      <c r="B113" s="10" t="str">
        <f>IF(C113="","",COUNTA($C$2:C113))</f>
        <v/>
      </c>
      <c r="C113" s="11"/>
      <c r="D113" s="10" t="str">
        <f t="shared" si="9"/>
        <v/>
      </c>
      <c r="H113" s="4"/>
      <c r="I113" s="6" t="str">
        <f t="shared" ca="1" si="10"/>
        <v/>
      </c>
      <c r="J113" s="13" t="str">
        <f t="shared" ca="1" si="5"/>
        <v/>
      </c>
      <c r="K113" s="11"/>
      <c r="L113" s="11"/>
      <c r="M113" s="10"/>
      <c r="N113" s="10"/>
      <c r="Q113" s="11"/>
      <c r="R113" s="11"/>
      <c r="S113" s="10"/>
    </row>
    <row r="114" spans="2:19" s="6" customFormat="1" ht="16.5" customHeight="1">
      <c r="B114" s="10" t="str">
        <f>IF(C114="","",COUNTA($C$2:C114))</f>
        <v/>
      </c>
      <c r="C114" s="11"/>
      <c r="D114" s="10" t="str">
        <f t="shared" si="9"/>
        <v/>
      </c>
      <c r="H114" s="4"/>
      <c r="I114" s="6" t="str">
        <f t="shared" ca="1" si="10"/>
        <v/>
      </c>
      <c r="J114" s="13" t="str">
        <f t="shared" ref="J114:J130" ca="1" si="11">IF(I114="","",
 IF(G114="선급금",
   IF(I114&lt;=20,"정상",IF(I114&lt;=90,"관리","장기미수")),
 IF(G114="자재",
   IF(I114&lt;=40,"정상",IF(I114&lt;=90,"관리","장기미수")),
   IF(I114&lt;=30,"정상",IF(I114&lt;=90,"관리","장기미수"))
  )
 )
)</f>
        <v/>
      </c>
      <c r="K114" s="11"/>
      <c r="L114" s="11"/>
      <c r="M114" s="10"/>
      <c r="N114" s="10"/>
      <c r="Q114" s="11"/>
      <c r="R114" s="11"/>
      <c r="S114" s="10"/>
    </row>
    <row r="115" spans="2:19" s="6" customFormat="1" ht="16.5" customHeight="1">
      <c r="B115" s="10" t="str">
        <f>IF(C115="","",COUNTA($C$2:C115))</f>
        <v/>
      </c>
      <c r="C115" s="11"/>
      <c r="D115" s="10" t="str">
        <f t="shared" si="9"/>
        <v/>
      </c>
      <c r="H115" s="4"/>
      <c r="I115" s="6" t="str">
        <f t="shared" ca="1" si="10"/>
        <v/>
      </c>
      <c r="J115" s="13" t="str">
        <f t="shared" ca="1" si="11"/>
        <v/>
      </c>
      <c r="K115" s="11"/>
      <c r="L115" s="11"/>
      <c r="M115" s="10"/>
      <c r="N115" s="10"/>
      <c r="Q115" s="11"/>
      <c r="R115" s="11"/>
      <c r="S115" s="10"/>
    </row>
    <row r="116" spans="2:19" s="6" customFormat="1" ht="16.5" customHeight="1">
      <c r="B116" s="10" t="str">
        <f>IF(C116="","",COUNTA($C$2:C116))</f>
        <v/>
      </c>
      <c r="C116" s="11"/>
      <c r="D116" s="10" t="str">
        <f t="shared" si="9"/>
        <v/>
      </c>
      <c r="H116" s="4"/>
      <c r="I116" s="6" t="str">
        <f t="shared" ca="1" si="10"/>
        <v/>
      </c>
      <c r="J116" s="13" t="str">
        <f t="shared" ca="1" si="11"/>
        <v/>
      </c>
      <c r="K116" s="11"/>
      <c r="L116" s="11"/>
      <c r="M116" s="10"/>
      <c r="N116" s="10"/>
      <c r="Q116" s="11"/>
      <c r="R116" s="11"/>
      <c r="S116" s="10"/>
    </row>
    <row r="117" spans="2:19" s="6" customFormat="1" ht="16.5" customHeight="1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/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>
      <c r="B140" s="10" t="str">
        <f>IF(C140="","",COUNTA($C$2:C140))</f>
        <v/>
      </c>
      <c r="C140" s="11"/>
      <c r="D140" s="10" t="str">
        <f t="shared" ref="D140:D203" si="12">IF(G140="","",IF(OR(G140="선급금",G140="중도금",G140="잔금"),"A",IF(G140="자재","B",IF(G140="특허료","C",""))))</f>
        <v/>
      </c>
      <c r="H140" s="4"/>
      <c r="I140" s="6" t="str">
        <f t="shared" ref="I140:I203" ca="1" si="13">IF(C140="","",IF(L140="",TODAY()-C140,L140-C140))</f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>
      <c r="B407" s="10"/>
      <c r="C407" s="11"/>
      <c r="D407" s="1" t="str">
        <f t="shared" si="20"/>
        <v/>
      </c>
      <c r="Q407" s="11"/>
      <c r="R407" s="11"/>
    </row>
    <row r="408" spans="2:19">
      <c r="B408" s="10"/>
      <c r="C408" s="11"/>
      <c r="D408" s="1" t="str">
        <f t="shared" si="20"/>
        <v/>
      </c>
      <c r="Q408" s="11"/>
      <c r="R408" s="11"/>
    </row>
  </sheetData>
  <autoFilter ref="A1:S408"/>
  <phoneticPr fontId="5" type="noConversion"/>
  <conditionalFormatting sqref="E3 F56:F59">
    <cfRule type="expression" dxfId="14" priority="28">
      <formula>$J3="잔금"</formula>
    </cfRule>
  </conditionalFormatting>
  <conditionalFormatting sqref="E8">
    <cfRule type="expression" dxfId="13" priority="27">
      <formula>$J8="잔금"</formula>
    </cfRule>
  </conditionalFormatting>
  <conditionalFormatting sqref="E4">
    <cfRule type="expression" dxfId="12" priority="26">
      <formula>$J4="잔금"</formula>
    </cfRule>
  </conditionalFormatting>
  <conditionalFormatting sqref="E9">
    <cfRule type="expression" dxfId="11" priority="25">
      <formula>$J9="잔금"</formula>
    </cfRule>
  </conditionalFormatting>
  <conditionalFormatting sqref="E41 E37">
    <cfRule type="expression" dxfId="10" priority="20">
      <formula>$J37="잔금"</formula>
    </cfRule>
  </conditionalFormatting>
  <conditionalFormatting sqref="E97:E98">
    <cfRule type="expression" dxfId="9" priority="10">
      <formula>$J97="잔금"</formula>
    </cfRule>
  </conditionalFormatting>
  <conditionalFormatting sqref="F97:F98">
    <cfRule type="expression" dxfId="8" priority="9">
      <formula>$J97="잔금"</formula>
    </cfRule>
  </conditionalFormatting>
  <conditionalFormatting sqref="F103:F104">
    <cfRule type="expression" dxfId="7" priority="7">
      <formula>$J103="잔금"</formula>
    </cfRule>
  </conditionalFormatting>
  <conditionalFormatting sqref="H103:H104">
    <cfRule type="expression" dxfId="6" priority="6">
      <formula>$J103="잔금"</formula>
    </cfRule>
  </conditionalFormatting>
  <conditionalFormatting sqref="E105:E107">
    <cfRule type="expression" dxfId="5" priority="5">
      <formula>$J105="잔금"</formula>
    </cfRule>
  </conditionalFormatting>
  <conditionalFormatting sqref="F105:F107">
    <cfRule type="expression" dxfId="4" priority="4">
      <formula>$J105="잔금"</formula>
    </cfRule>
  </conditionalFormatting>
  <conditionalFormatting sqref="H105:H107">
    <cfRule type="expression" dxfId="3" priority="3">
      <formula>$J105="잔금"</formula>
    </cfRule>
  </conditionalFormatting>
  <conditionalFormatting sqref="E109">
    <cfRule type="expression" dxfId="2" priority="2">
      <formula>$J109="잔금"</formula>
    </cfRule>
  </conditionalFormatting>
  <conditionalFormatting sqref="F109">
    <cfRule type="expression" dxfId="0" priority="1">
      <formula>$J109="잔금"</formula>
    </cfRule>
  </conditionalFormatting>
  <dataValidations count="3">
    <dataValidation type="list" allowBlank="1" sqref="D2:D408">
      <formula1>"A,B,C"</formula1>
    </dataValidation>
    <dataValidation type="list" allowBlank="1" sqref="G2:G70">
      <formula1>"선급금,중도금,잔금,자재,특허료"</formula1>
    </dataValidation>
    <dataValidation type="list" allowBlank="1" sqref="N2:N109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2026-02-19T05:16:05Z</dcterms:modified>
</cp:coreProperties>
</file>