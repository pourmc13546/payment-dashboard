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data!$A$1:$S$407</definedName>
    <definedName name="_xlnm._FilterDatabase">data!$A$1:$S$407</definedName>
  </definedNames>
  <calcPr calcId="162913"/>
</workbook>
</file>

<file path=xl/calcChain.xml><?xml version="1.0" encoding="utf-8"?>
<calcChain xmlns="http://schemas.openxmlformats.org/spreadsheetml/2006/main">
  <c r="B365" i="1" l="1"/>
  <c r="B366" i="1"/>
  <c r="B367" i="1"/>
  <c r="D364" i="1"/>
  <c r="D362" i="1"/>
  <c r="D363" i="1"/>
  <c r="B362" i="1"/>
  <c r="B363" i="1"/>
  <c r="B364" i="1"/>
  <c r="B361" i="1"/>
  <c r="D361" i="1"/>
  <c r="B359" i="1"/>
  <c r="B360" i="1"/>
  <c r="B358" i="1"/>
  <c r="B357" i="1"/>
  <c r="B356" i="1"/>
  <c r="B355" i="1"/>
  <c r="B354" i="1"/>
  <c r="B312" i="1" l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11" i="1" l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289" i="1" l="1"/>
  <c r="D100" i="1"/>
  <c r="B279" i="1" l="1"/>
  <c r="B280" i="1"/>
  <c r="B281" i="1"/>
  <c r="B282" i="1"/>
  <c r="B283" i="1"/>
  <c r="B284" i="1"/>
  <c r="B285" i="1"/>
  <c r="B286" i="1"/>
  <c r="B287" i="1"/>
  <c r="B288" i="1"/>
  <c r="B277" i="1"/>
  <c r="B278" i="1"/>
  <c r="I139" i="1" l="1"/>
  <c r="J139" i="1" s="1"/>
  <c r="I140" i="1"/>
  <c r="B139" i="1"/>
  <c r="D139" i="1"/>
  <c r="B258" i="1" l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56" i="1"/>
  <c r="B257" i="1"/>
  <c r="B254" i="1"/>
  <c r="B255" i="1"/>
  <c r="B249" i="1" l="1"/>
  <c r="B250" i="1"/>
  <c r="B251" i="1"/>
  <c r="B252" i="1"/>
  <c r="B253" i="1"/>
  <c r="B246" i="1"/>
  <c r="B247" i="1"/>
  <c r="B248" i="1"/>
  <c r="B221" i="1" l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17" i="1"/>
  <c r="B218" i="1"/>
  <c r="B219" i="1"/>
  <c r="B220" i="1"/>
  <c r="B212" i="1" l="1"/>
  <c r="B213" i="1"/>
  <c r="B214" i="1"/>
  <c r="B215" i="1"/>
  <c r="B216" i="1"/>
  <c r="D168" i="1" l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B49" i="1" l="1"/>
  <c r="D49" i="1"/>
  <c r="I49" i="1"/>
  <c r="J49" i="1" s="1"/>
  <c r="I94" i="1" l="1"/>
  <c r="I95" i="1"/>
  <c r="D407" i="1" l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D360" i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D309" i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D276" i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D244" i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B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D167" i="1"/>
  <c r="B167" i="1"/>
  <c r="I166" i="1"/>
  <c r="J166" i="1" s="1"/>
  <c r="B166" i="1"/>
  <c r="I165" i="1"/>
  <c r="J165" i="1" s="1"/>
  <c r="D165" i="1"/>
  <c r="B165" i="1"/>
  <c r="I164" i="1"/>
  <c r="J164" i="1" s="1"/>
  <c r="B164" i="1"/>
  <c r="I163" i="1"/>
  <c r="J163" i="1" s="1"/>
  <c r="D163" i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D142" i="1"/>
  <c r="B142" i="1"/>
  <c r="I141" i="1"/>
  <c r="J141" i="1" s="1"/>
  <c r="D141" i="1"/>
  <c r="B141" i="1"/>
  <c r="J140" i="1"/>
  <c r="D140" i="1"/>
  <c r="B140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<sst xmlns="http://schemas.openxmlformats.org/spreadsheetml/2006/main" count="1858" uniqueCount="532">
  <si>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</si>
  <si>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</si>
  <si>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</si>
  <si>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</si>
  <si>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</si>
  <si>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</si>
  <si>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</si>
  <si>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</si>
  <si>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</si>
  <si>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</si>
  <si>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</si>
  <si>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</si>
  <si>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</si>
  <si>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</si>
  <si>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</si>
  <si>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</si>
  <si>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</si>
  <si>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</si>
  <si>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</si>
  <si>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</si>
  <si>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</si>
  <si>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</si>
  <si>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</si>
  <si>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</si>
  <si>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</si>
  <si>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</si>
  <si>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</si>
  <si>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</si>
  <si>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</si>
  <si>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</si>
  <si>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</si>
  <si>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</si>
  <si>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</si>
  <si>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</si>
  <si>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</si>
  <si>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</si>
  <si>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</si>
  <si>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</si>
  <si>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</si>
  <si>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</si>
  <si>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</si>
  <si>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</si>
  <si>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</si>
  <si>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</si>
  <si>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</si>
  <si>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</si>
  <si>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</si>
  <si>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</si>
  <si>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</si>
  <si>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</si>
  <si>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</si>
  <si>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</si>
  <si>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</si>
  <si>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</si>
  <si>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</si>
  <si>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</si>
  <si>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</si>
  <si>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</si>
  <si>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</si>
  <si>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</si>
  <si>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</si>
  <si>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</si>
  <si>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</si>
  <si>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</si>
  <si>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</si>
  <si>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</si>
  <si>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</si>
  <si>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</si>
  <si>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</si>
  <si>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</si>
  <si>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</si>
  <si>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</si>
  <si>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</si>
  <si>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</si>
  <si>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</si>
  <si>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</si>
  <si>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</si>
  <si>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</si>
  <si>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</si>
  <si>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</si>
  <si>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</si>
  <si>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</si>
  <si>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</si>
  <si>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</si>
  <si>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</si>
  <si>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</si>
  <si>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</si>
  <si>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</si>
  <si>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</si>
  <si>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</si>
  <si>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</si>
  <si>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</si>
  <si>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</si>
  <si>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</si>
  <si>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</si>
  <si>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</si>
  <si>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</si>
  <si>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</si>
  <si>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</si>
  <si>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</si>
  <si>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</si>
  <si>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</si>
  <si>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</si>
  <si>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</si>
  <si>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</si>
  <si>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</si>
  <si>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</si>
  <si>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</si>
  <si>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</si>
  <si>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</si>
  <si>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</si>
  <si>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</si>
  <si>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</si>
  <si>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</si>
  <si>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</si>
  <si>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</si>
  <si>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</si>
  <si>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</si>
  <si>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</si>
  <si>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</si>
  <si>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</si>
  <si>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</si>
  <si>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</si>
  <si>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</si>
  <si>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</si>
  <si>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</si>
  <si>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</si>
  <si>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</si>
  <si>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</si>
  <si>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</si>
  <si>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</si>
  <si>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</si>
  <si>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</si>
  <si>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</si>
  <si>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</si>
  <si>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</si>
  <si>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</si>
  <si>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</si>
  <si>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</si>
  <si>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</si>
  <si>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</si>
  <si>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</si>
  <si>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</si>
  <si>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</si>
  <si>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</si>
  <si>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</si>
  <si>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</si>
  <si>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</si>
  <si>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</si>
  <si>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</si>
  <si>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</si>
  <si>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</si>
  <si>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</si>
  <si>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</si>
  <si>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</si>
  <si>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</si>
  <si>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</si>
  <si>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</si>
  <si>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</si>
  <si>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</si>
  <si>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</si>
  <si>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</si>
  <si>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</si>
  <si>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</si>
  <si>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</si>
  <si>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</si>
  <si>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</si>
  <si>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</si>
  <si>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</si>
  <si>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</si>
  <si>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</si>
  <si>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</si>
  <si>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</si>
  <si>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</si>
  <si>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</si>
  <si>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</si>
  <si>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</si>
  <si>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</si>
  <si>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</si>
  <si>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</si>
  <si>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</si>
  <si>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</si>
  <si>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</si>
  <si>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</si>
  <si>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</si>
  <si>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</si>
  <si>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</si>
  <si>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</si>
  <si>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</si>
  <si>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</si>
  <si>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</si>
  <si>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</si>
  <si>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</si>
  <si>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</si>
  <si>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</si>
  <si>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</si>
  <si>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</si>
  <si>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</si>
  <si>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</si>
  <si>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</si>
  <si>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</si>
  <si>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</si>
  <si>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</si>
  <si>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</si>
  <si>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</si>
  <si>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</si>
  <si>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</si>
  <si>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</si>
  <si>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</si>
  <si>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</si>
  <si>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</si>
  <si>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</si>
  <si>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</si>
  <si>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</si>
  <si>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</si>
  <si>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</si>
  <si>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</si>
  <si>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</si>
  <si>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</si>
  <si>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</si>
  <si>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</si>
  <si>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</si>
  <si>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</si>
  <si>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</si>
  <si>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</si>
  <si>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</si>
  <si>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</si>
  <si>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</si>
  <si>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</si>
  <si>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</si>
  <si>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</si>
  <si>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</si>
  <si>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</si>
  <si>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</si>
  <si>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</si>
  <si>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</si>
  <si>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</si>
  <si>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</si>
  <si>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</si>
  <si>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</si>
  <si>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</si>
  <si>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</si>
  <si>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</si>
  <si>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</si>
  <si>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</si>
  <si>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</si>
  <si>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</si>
  <si>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</si>
  <si>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</si>
  <si>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</si>
  <si>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</si>
  <si>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</si>
  <si>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</si>
  <si>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</si>
  <si>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</si>
  <si>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</si>
  <si>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</si>
  <si>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</si>
  <si>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</si>
  <si>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</si>
  <si>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</si>
  <si>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</si>
  <si>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</si>
  <si>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</si>
  <si>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</si>
  <si>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</si>
  <si>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</si>
  <si>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</si>
  <si>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</si>
  <si>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</si>
  <si>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</si>
  <si>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</si>
  <si>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</si>
  <si>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</si>
  <si>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</si>
  <si>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</si>
  <si>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</si>
  <si>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</si>
  <si>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</si>
  <si>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</si>
  <si>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</si>
  <si>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</si>
  <si>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</si>
  <si>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</si>
  <si>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</si>
  <si>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</si>
  <si>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</si>
  <si>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</si>
  <si>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</si>
  <si>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</si>
  <si>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</si>
  <si>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</si>
  <si>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</si>
  <si>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</si>
  <si>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</si>
  <si>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</si>
  <si>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</si>
  <si>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</si>
  <si>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</si>
  <si>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</si>
  <si>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</si>
  <si>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</si>
  <si>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</si>
  <si>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</si>
  <si>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</si>
  <si>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</si>
  <si>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</si>
  <si>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</si>
  <si>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</si>
  <si>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</si>
  <si>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</si>
  <si>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</si>
  <si>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</si>
  <si>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</si>
  <si>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</si>
  <si>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</si>
  <si>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</si>
  <si>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</si>
  <si>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</si>
  <si>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</si>
  <si>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</si>
  <si>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</si>
  <si>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</si>
  <si>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</si>
  <si>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</si>
  <si>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</si>
  <si>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</si>
  <si>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</si>
  <si>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</si>
  <si>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</si>
  <si>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</si>
  <si>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</si>
  <si>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</si>
  <si>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</si>
  <si>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</si>
  <si>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</si>
  <si>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</si>
  <si>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</si>
  <si>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</si>
  <si>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</si>
  <si>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</si>
  <si>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</si>
  <si>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</si>
  <si>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</si>
  <si>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</si>
  <si>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</si>
  <si>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</si>
  <si>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</si>
  <si>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</si>
  <si>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</si>
  <si>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</si>
  <si>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</si>
  <si>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</si>
  <si>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</si>
  <si>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</si>
  <si>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</si>
  <si>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</si>
  <si>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</si>
  <si>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</si>
  <si>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</si>
  <si>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</si>
  <si>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</si>
  <si>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</si>
  <si>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</si>
  <si>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</si>
  <si>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</si>
  <si>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</si>
  <si>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</si>
  <si>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</si>
  <si>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</si>
  <si>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</si>
  <si>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</si>
  <si>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</si>
  <si>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</si>
  <si>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</si>
  <si>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</si>
  <si>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</si>
  <si>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</si>
  <si>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</si>
  <si>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</si>
  <si>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</si>
  <si>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</si>
  <si>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</si>
  <si>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</si>
  <si>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</si>
  <si>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</si>
  <si>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</si>
  <si>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</si>
  <si>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</si>
  <si>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</si>
  <si>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</si>
  <si>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</si>
  <si>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</si>
  <si>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</si>
  <si>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</si>
  <si>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</si>
  <si>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</si>
  <si>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</si>
  <si>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</si>
  <si>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</si>
  <si>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</si>
  <si>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</si>
  <si>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</si>
  <si>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</si>
  <si>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</si>
  <si>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</si>
  <si>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</si>
  <si>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</si>
  <si>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</si>
  <si>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</si>
  <si>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</si>
  <si>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</si>
  <si>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</si>
  <si>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</si>
  <si>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</si>
  <si>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</si>
  <si>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</si>
  <si>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</si>
  <si>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</si>
  <si>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</si>
  <si>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</si>
  <si>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</si>
  <si>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</si>
  <si>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</si>
  <si>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</si>
  <si>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</si>
  <si>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</si>
  <si>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</si>
  <si>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</si>
  <si>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</si>
  <si>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</si>
  <si>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</si>
  <si>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</si>
  <si>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</si>
  <si>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</si>
  <si>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</si>
  <si>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</si>
  <si>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</si>
  <si>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</si>
  <si>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</si>
  <si>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</si>
  <si>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</si>
  <si>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</si>
  <si>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</si>
  <si>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</si>
  <si>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</si>
  <si>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</si>
  <si>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</si>
  <si>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</si>
  <si>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</si>
  <si>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</si>
  <si>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</si>
  <si>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</si>
  <si>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</si>
  <si>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</si>
  <si>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</si>
  <si>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</si>
  <si>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</si>
  <si>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</si>
  <si>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</si>
  <si>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</si>
  <si>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</si>
  <si>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</si>
  <si>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</si>
  <si>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</si>
  <si>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</si>
  <si>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</si>
  <si>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</si>
  <si>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</si>
  <si>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</si>
  <si>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</si>
  <si>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</si>
  <si>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</si>
  <si>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</si>
  <si>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</si>
  <si>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</si>
  <si>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</si>
  <si>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</si>
  <si>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</si>
  <si>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</si>
  <si>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</si>
  <si>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</si>
  <si>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</si>
  <si>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</si>
  <si>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</si>
  <si>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</si>
  <si>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</si>
  <si>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</si>
  <si>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</si>
  <si>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</si>
  <si>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</si>
  <si>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</si>
  <si>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</si>
  <si>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</si>
  <si>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</si>
  <si>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</si>
  <si>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</si>
  <si>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</si>
  <si>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</si>
  <si>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</si>
  <si>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</si>
  <si>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</si>
  <si>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</si>
  <si>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</si>
  <si>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</si>
  <si>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</si>
  <si>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</si>
  <si>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</si>
  <si>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</si>
  <si>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</si>
  <si>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</si>
  <si>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</si>
  <si>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</si>
  <si>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</si>
  <si>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</si>
  <si>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</si>
  <si>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</si>
  <si>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</si>
  <si>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</si>
  <si>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</si>
  <si>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</si>
  <si>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</si>
  <si>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</si>
  <si>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</si>
  <si>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</si>
  <si>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</si>
  <si>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</si>
  <si>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</si>
  <si>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</si>
  <si>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</si>
  <si>
    <t>호연상사</t>
    <phoneticPr fontId="5" type="noConversion"/>
  </si>
  <si>
    <t>잔금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</si>
</sst>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4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91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8"/>
  <sheetViews>
    <sheetView tabSelected="1" zoomScaleNormal="100" workbookViewId="0">
      <pane xSplit="5" ySplit="1" topLeftCell="F321" activePane="bottomRight" state="frozen"/>
      <selection pane="topRight"/>
      <selection pane="bottomLeft"/>
      <selection pane="bottomRight" activeCell="F357" sqref="F357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322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152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302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204</v>
      </c>
      <c r="J7" s="13" t="str">
        <f t="shared" ca="1" si="2"/>
        <v>장기미수</v>
      </c>
      <c r="K7" s="11"/>
      <c r="L7" s="11"/>
      <c r="M7" s="10" t="s">
        <v>151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154</v>
      </c>
      <c r="J8" s="13" t="str">
        <f t="shared" ca="1" si="2"/>
        <v>장기미수</v>
      </c>
      <c r="K8" s="11">
        <v>46111</v>
      </c>
      <c r="L8" s="11"/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109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104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287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147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462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882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686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526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664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663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755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397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392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382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376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372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372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371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369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348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334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313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301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271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249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320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244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18879209</v>
      </c>
      <c r="I38" s="12">
        <f t="shared" ca="1" si="3"/>
        <v>222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528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217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529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174</v>
      </c>
      <c r="J41" s="13" t="str">
        <f t="shared" ca="1" si="4"/>
        <v>장기미수</v>
      </c>
      <c r="K41" s="11">
        <v>46112</v>
      </c>
      <c r="L41" s="11"/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172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161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414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279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279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230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8"/>
        <v/>
      </c>
      <c r="E70" s="6" t="s">
        <v>103</v>
      </c>
      <c r="F70" s="6" t="s">
        <v>104</v>
      </c>
      <c r="G70" s="6" t="s">
        <v>436</v>
      </c>
      <c r="H70" s="4">
        <v>7500000</v>
      </c>
      <c r="I70" s="6">
        <f t="shared" ca="1" si="6"/>
        <v>45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470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89</v>
      </c>
      <c r="J76" s="13" t="str">
        <f t="shared" ca="1" si="7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40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</v>
      </c>
      <c r="J77" s="13" t="str">
        <f t="shared" ca="1" si="7"/>
        <v>정상</v>
      </c>
      <c r="K77" s="11"/>
      <c r="L77" s="11">
        <v>46045</v>
      </c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116</v>
      </c>
      <c r="F81" s="6" t="s">
        <v>117</v>
      </c>
      <c r="G81" s="6" t="s">
        <v>48</v>
      </c>
      <c r="H81" s="4">
        <v>280000</v>
      </c>
      <c r="I81" s="6">
        <f t="shared" ca="1" si="6"/>
        <v>81</v>
      </c>
      <c r="J81" s="13" t="str">
        <f t="shared" ca="1" si="7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75</v>
      </c>
      <c r="J86" s="13" t="str">
        <f t="shared" ca="1" si="7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57</v>
      </c>
      <c r="J96" s="13" t="str">
        <f t="shared" ca="1" si="7"/>
        <v>관리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56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56</v>
      </c>
      <c r="J99" s="13" t="str">
        <f t="shared" ca="1" si="11"/>
        <v>관리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436</v>
      </c>
      <c r="H100" s="4">
        <v>16130000</v>
      </c>
      <c r="I100" s="6">
        <f t="shared" ca="1" si="10"/>
        <v>92</v>
      </c>
      <c r="J100" s="13" t="str">
        <f t="shared" ca="1" si="11"/>
        <v>장기미수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55</v>
      </c>
      <c r="J104" s="13" t="str">
        <f t="shared" ca="1" si="11"/>
        <v>관리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55</v>
      </c>
      <c r="J105" s="13" t="str">
        <f t="shared" ca="1" si="11"/>
        <v>관리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54</v>
      </c>
      <c r="J106" s="13" t="str">
        <f t="shared" ca="1" si="11"/>
        <v>관리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54</v>
      </c>
      <c r="J108" s="13" t="str">
        <f t="shared" ca="1" si="11"/>
        <v>관리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181</v>
      </c>
      <c r="E109" s="27" t="s">
        <v>183</v>
      </c>
      <c r="F109" s="26" t="s">
        <v>182</v>
      </c>
      <c r="G109" s="6" t="s">
        <v>436</v>
      </c>
      <c r="H109" s="28">
        <v>11000000</v>
      </c>
      <c r="I109" s="6">
        <f t="shared" ca="1" si="10"/>
        <v>53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52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41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39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39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39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90" ca="1" si="12">IF(C127="","",IF(L127="",TODAY()-C127,L127-C127))</f>
        <v>32</v>
      </c>
      <c r="J127" s="13" t="str">
        <f t="shared" ref="J127:J158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35</v>
      </c>
      <c r="J128" s="13" t="str">
        <f t="shared" ca="1" si="13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35</v>
      </c>
      <c r="J129" s="13" t="str">
        <f t="shared" ca="1" si="13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35</v>
      </c>
      <c r="J130" s="13" t="str">
        <f t="shared" ca="1" si="13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35</v>
      </c>
      <c r="J135" s="13" t="str">
        <f t="shared" ca="1" si="13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33">
        <v>46084</v>
      </c>
      <c r="D136" s="10" t="str">
        <f t="shared" si="9"/>
        <v>B</v>
      </c>
      <c r="E136" s="32" t="s">
        <v>199</v>
      </c>
      <c r="F136" s="32" t="s">
        <v>198</v>
      </c>
      <c r="G136" s="6" t="s">
        <v>172</v>
      </c>
      <c r="H136" s="29">
        <v>4470000</v>
      </c>
      <c r="I136" s="6">
        <f t="shared" ca="1" si="12"/>
        <v>35</v>
      </c>
      <c r="J136" s="13" t="str">
        <f t="shared" ca="1" si="13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223</v>
      </c>
      <c r="F137" s="34" t="s">
        <v>224</v>
      </c>
      <c r="G137" s="6" t="s">
        <v>227</v>
      </c>
      <c r="H137" s="4">
        <v>12360000</v>
      </c>
      <c r="I137" s="6">
        <f t="shared" ca="1" si="12"/>
        <v>1</v>
      </c>
      <c r="J137" s="13" t="str">
        <f t="shared" ca="1" si="13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228</v>
      </c>
      <c r="F138" s="34" t="s">
        <v>225</v>
      </c>
      <c r="G138" s="6" t="s">
        <v>227</v>
      </c>
      <c r="H138" s="36">
        <v>11171400</v>
      </c>
      <c r="I138" s="6">
        <f t="shared" ca="1" si="12"/>
        <v>13</v>
      </c>
      <c r="J138" s="13" t="str">
        <f t="shared" ca="1" si="13"/>
        <v>정상</v>
      </c>
      <c r="K138" s="11"/>
      <c r="L138" s="11">
        <v>46098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418</v>
      </c>
      <c r="F139" s="38" t="s">
        <v>417</v>
      </c>
      <c r="G139" s="6" t="s">
        <v>419</v>
      </c>
      <c r="H139" s="36">
        <v>11115400</v>
      </c>
      <c r="I139" s="6">
        <f t="shared" ca="1" si="12"/>
        <v>33</v>
      </c>
      <c r="J139" s="13" t="str">
        <f t="shared" ca="1" si="13"/>
        <v>관리</v>
      </c>
      <c r="K139" s="11"/>
      <c r="L139" s="11">
        <v>46118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35">
        <v>46085</v>
      </c>
      <c r="D140" s="10" t="str">
        <f t="shared" si="9"/>
        <v>A</v>
      </c>
      <c r="E140" s="34" t="s">
        <v>229</v>
      </c>
      <c r="F140" s="6" t="s">
        <v>231</v>
      </c>
      <c r="G140" s="6" t="s">
        <v>227</v>
      </c>
      <c r="H140" s="36">
        <v>9772000</v>
      </c>
      <c r="I140" s="6">
        <f t="shared" ca="1" si="12"/>
        <v>0</v>
      </c>
      <c r="J140" s="13" t="str">
        <f t="shared" ca="1" si="13"/>
        <v>정상</v>
      </c>
      <c r="K140" s="11"/>
      <c r="L140" s="11">
        <v>46085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35">
        <v>46086</v>
      </c>
      <c r="D141" s="10" t="str">
        <f t="shared" ref="D141:D203" si="14">IF(G141="","",IF(OR(G141="선급금",G141="중도금",G141="잔금"),"A",IF(G141="자재","B",IF(G141="특허료","C",""))))</f>
        <v>A</v>
      </c>
      <c r="E141" s="34" t="s">
        <v>229</v>
      </c>
      <c r="F141" s="34" t="s">
        <v>226</v>
      </c>
      <c r="G141" s="6" t="s">
        <v>230</v>
      </c>
      <c r="H141" s="36">
        <v>19544000</v>
      </c>
      <c r="I141" s="6">
        <f t="shared" ca="1" si="12"/>
        <v>4</v>
      </c>
      <c r="J141" s="13" t="str">
        <f t="shared" ca="1" si="13"/>
        <v>정상</v>
      </c>
      <c r="K141" s="11"/>
      <c r="L141" s="11">
        <v>46090</v>
      </c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35">
        <v>46086</v>
      </c>
      <c r="D142" s="10" t="str">
        <f t="shared" si="14"/>
        <v>A</v>
      </c>
      <c r="E142" s="6" t="s">
        <v>234</v>
      </c>
      <c r="F142" s="6" t="s">
        <v>232</v>
      </c>
      <c r="G142" s="6" t="s">
        <v>233</v>
      </c>
      <c r="H142" s="37">
        <v>30186600</v>
      </c>
      <c r="I142" s="6">
        <f t="shared" ca="1" si="12"/>
        <v>33</v>
      </c>
      <c r="J142" s="13" t="str">
        <f t="shared" ca="1" si="13"/>
        <v>관리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195</v>
      </c>
      <c r="F143" s="23" t="s">
        <v>196</v>
      </c>
      <c r="G143" s="6" t="s">
        <v>240</v>
      </c>
      <c r="H143" s="25">
        <v>5775000</v>
      </c>
      <c r="I143" s="6">
        <f t="shared" ca="1" si="12"/>
        <v>33</v>
      </c>
      <c r="J143" s="13" t="str">
        <f t="shared" ca="1" si="13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207</v>
      </c>
      <c r="F144" s="23" t="s">
        <v>202</v>
      </c>
      <c r="G144" s="6" t="s">
        <v>240</v>
      </c>
      <c r="H144" s="25">
        <v>2260000</v>
      </c>
      <c r="I144" s="6">
        <f t="shared" ca="1" si="12"/>
        <v>33</v>
      </c>
      <c r="J144" s="13" t="str">
        <f t="shared" ca="1" si="13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26</v>
      </c>
      <c r="F145" s="23" t="s">
        <v>248</v>
      </c>
      <c r="G145" s="6" t="s">
        <v>240</v>
      </c>
      <c r="H145" s="25">
        <v>237000</v>
      </c>
      <c r="I145" s="6">
        <f t="shared" ca="1" si="12"/>
        <v>33</v>
      </c>
      <c r="J145" s="13" t="str">
        <f t="shared" ca="1" si="13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238</v>
      </c>
      <c r="F146" s="23" t="s">
        <v>235</v>
      </c>
      <c r="G146" s="6" t="s">
        <v>240</v>
      </c>
      <c r="H146" s="25">
        <v>167500</v>
      </c>
      <c r="I146" s="6">
        <f t="shared" ca="1" si="12"/>
        <v>26</v>
      </c>
      <c r="J146" s="13" t="str">
        <f t="shared" ca="1" si="13"/>
        <v>정상</v>
      </c>
      <c r="K146" s="11"/>
      <c r="L146" s="11">
        <v>46112</v>
      </c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126</v>
      </c>
      <c r="F147" s="23" t="s">
        <v>236</v>
      </c>
      <c r="G147" s="6" t="s">
        <v>240</v>
      </c>
      <c r="H147" s="25">
        <v>3179600</v>
      </c>
      <c r="I147" s="6">
        <f t="shared" ca="1" si="12"/>
        <v>33</v>
      </c>
      <c r="J147" s="13" t="str">
        <f t="shared" ca="1" si="13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5500000</v>
      </c>
      <c r="I148" s="6">
        <f t="shared" ca="1" si="12"/>
        <v>33</v>
      </c>
      <c r="J148" s="13" t="str">
        <f t="shared" ca="1" si="13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210</v>
      </c>
      <c r="G149" s="6" t="s">
        <v>240</v>
      </c>
      <c r="H149" s="25">
        <v>1801000</v>
      </c>
      <c r="I149" s="6">
        <f t="shared" ca="1" si="12"/>
        <v>33</v>
      </c>
      <c r="J149" s="13" t="str">
        <f t="shared" ca="1" si="13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35">
        <v>46086</v>
      </c>
      <c r="D150" s="10" t="s">
        <v>239</v>
      </c>
      <c r="E150" s="23" t="s">
        <v>218</v>
      </c>
      <c r="F150" s="23" t="s">
        <v>237</v>
      </c>
      <c r="G150" s="6" t="s">
        <v>240</v>
      </c>
      <c r="H150" s="25">
        <v>6400500</v>
      </c>
      <c r="I150" s="6">
        <f t="shared" ca="1" si="12"/>
        <v>33</v>
      </c>
      <c r="J150" s="13" t="str">
        <f t="shared" ca="1" si="13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>
        <v>46087</v>
      </c>
      <c r="D151" s="10" t="s">
        <v>243</v>
      </c>
      <c r="E151" s="6" t="s">
        <v>247</v>
      </c>
      <c r="F151" s="6" t="s">
        <v>246</v>
      </c>
      <c r="G151" s="6" t="s">
        <v>227</v>
      </c>
      <c r="H151" s="4">
        <v>5358400</v>
      </c>
      <c r="I151" s="6">
        <f t="shared" ca="1" si="12"/>
        <v>26</v>
      </c>
      <c r="J151" s="13" t="str">
        <f t="shared" ca="1" si="13"/>
        <v>관리</v>
      </c>
      <c r="K151" s="11"/>
      <c r="L151" s="11">
        <v>46113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124</v>
      </c>
      <c r="F152" s="23" t="s">
        <v>250</v>
      </c>
      <c r="G152" s="6" t="s">
        <v>255</v>
      </c>
      <c r="H152" s="25">
        <v>753000</v>
      </c>
      <c r="I152" s="6">
        <f t="shared" ca="1" si="12"/>
        <v>0</v>
      </c>
      <c r="J152" s="13" t="str">
        <f t="shared" ca="1" si="13"/>
        <v>정상</v>
      </c>
      <c r="K152" s="11"/>
      <c r="L152" s="11">
        <v>46087</v>
      </c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195</v>
      </c>
      <c r="F153" s="23" t="s">
        <v>251</v>
      </c>
      <c r="G153" s="6" t="s">
        <v>255</v>
      </c>
      <c r="H153" s="25">
        <v>3230000</v>
      </c>
      <c r="I153" s="6">
        <f t="shared" ca="1" si="12"/>
        <v>32</v>
      </c>
      <c r="J153" s="13" t="str">
        <f t="shared" ca="1" si="13"/>
        <v>정상</v>
      </c>
      <c r="K153" s="11"/>
      <c r="L153" s="11"/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128</v>
      </c>
      <c r="F154" s="23" t="s">
        <v>252</v>
      </c>
      <c r="G154" s="6" t="s">
        <v>255</v>
      </c>
      <c r="H154" s="25">
        <v>5030650</v>
      </c>
      <c r="I154" s="6">
        <f t="shared" ca="1" si="12"/>
        <v>0</v>
      </c>
      <c r="J154" s="13" t="str">
        <f t="shared" ca="1" si="13"/>
        <v>정상</v>
      </c>
      <c r="K154" s="11"/>
      <c r="L154" s="11">
        <v>46087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249</v>
      </c>
      <c r="F155" s="23" t="s">
        <v>253</v>
      </c>
      <c r="G155" s="6" t="s">
        <v>255</v>
      </c>
      <c r="H155" s="25">
        <v>9140500</v>
      </c>
      <c r="I155" s="6">
        <f t="shared" ca="1" si="12"/>
        <v>10</v>
      </c>
      <c r="J155" s="13" t="str">
        <f t="shared" ca="1" si="13"/>
        <v>정상</v>
      </c>
      <c r="K155" s="11"/>
      <c r="L155" s="11">
        <v>46097</v>
      </c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16695000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219</v>
      </c>
      <c r="F157" s="23" t="s">
        <v>213</v>
      </c>
      <c r="G157" s="6" t="s">
        <v>255</v>
      </c>
      <c r="H157" s="25">
        <v>1870000</v>
      </c>
      <c r="I157" s="6">
        <f t="shared" ca="1" si="12"/>
        <v>25</v>
      </c>
      <c r="J157" s="13" t="str">
        <f t="shared" ca="1" si="13"/>
        <v>정상</v>
      </c>
      <c r="K157" s="11"/>
      <c r="L157" s="11">
        <v>46112</v>
      </c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30">
        <v>46087</v>
      </c>
      <c r="D158" s="10" t="s">
        <v>178</v>
      </c>
      <c r="E158" s="23" t="s">
        <v>81</v>
      </c>
      <c r="F158" s="23" t="s">
        <v>254</v>
      </c>
      <c r="G158" s="6" t="s">
        <v>255</v>
      </c>
      <c r="H158" s="25">
        <v>12478000</v>
      </c>
      <c r="I158" s="6">
        <f t="shared" ca="1" si="12"/>
        <v>32</v>
      </c>
      <c r="J158" s="13" t="str">
        <f t="shared" ca="1" si="13"/>
        <v>정상</v>
      </c>
      <c r="K158" s="11"/>
      <c r="L158" s="11"/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9">
        <v>46090</v>
      </c>
      <c r="D159" s="10" t="str">
        <f t="shared" si="14"/>
        <v>A</v>
      </c>
      <c r="E159" s="6" t="s">
        <v>260</v>
      </c>
      <c r="F159" s="6" t="s">
        <v>259</v>
      </c>
      <c r="G159" s="6" t="s">
        <v>261</v>
      </c>
      <c r="H159" s="4">
        <v>29070400</v>
      </c>
      <c r="I159" s="6">
        <f t="shared" ca="1" si="12"/>
        <v>4</v>
      </c>
      <c r="J159" s="13" t="str">
        <f t="shared" ref="J159:J190" ca="1" si="15">IF(I159="","",
 IF(G159="선급금",
   IF(I159&lt;=20,"정상",IF(I159&lt;=90,"관리","장기미수")),
 IF(G159="자재",
   IF(I159&lt;=40,"정상",IF(I159&lt;=90,"관리","장기미수")),
   IF(I159&lt;=30,"정상",IF(I159&lt;=90,"관리","장기미수"))
  )
 )
)</f>
        <v>정상</v>
      </c>
      <c r="K159" s="11"/>
      <c r="L159" s="11">
        <v>46094</v>
      </c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199</v>
      </c>
      <c r="F160" s="23" t="s">
        <v>262</v>
      </c>
      <c r="G160" s="6" t="s">
        <v>268</v>
      </c>
      <c r="H160" s="25">
        <v>3390000</v>
      </c>
      <c r="I160" s="6">
        <f t="shared" ca="1" si="12"/>
        <v>29</v>
      </c>
      <c r="J160" s="13" t="str">
        <f t="shared" ca="1" si="15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266</v>
      </c>
      <c r="F161" s="23" t="s">
        <v>263</v>
      </c>
      <c r="G161" s="6" t="s">
        <v>268</v>
      </c>
      <c r="H161" s="25">
        <v>9140500</v>
      </c>
      <c r="I161" s="6">
        <f t="shared" ca="1" si="12"/>
        <v>29</v>
      </c>
      <c r="J161" s="13" t="str">
        <f t="shared" ca="1" si="15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207</v>
      </c>
      <c r="F162" s="23" t="s">
        <v>264</v>
      </c>
      <c r="G162" s="6" t="s">
        <v>268</v>
      </c>
      <c r="H162" s="25">
        <v>4719500</v>
      </c>
      <c r="I162" s="6">
        <f t="shared" ca="1" si="12"/>
        <v>29</v>
      </c>
      <c r="J162" s="13" t="str">
        <f t="shared" ca="1" si="15"/>
        <v>정상</v>
      </c>
      <c r="K162" s="11"/>
      <c r="L162" s="11"/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0">
        <v>46090</v>
      </c>
      <c r="D163" s="10" t="str">
        <f t="shared" si="14"/>
        <v>B</v>
      </c>
      <c r="E163" s="23" t="s">
        <v>267</v>
      </c>
      <c r="F163" s="23" t="s">
        <v>265</v>
      </c>
      <c r="G163" s="6" t="s">
        <v>268</v>
      </c>
      <c r="H163" s="25">
        <v>38534600</v>
      </c>
      <c r="I163" s="6">
        <f t="shared" ca="1" si="12"/>
        <v>1</v>
      </c>
      <c r="J163" s="13" t="str">
        <f t="shared" ca="1" si="15"/>
        <v>정상</v>
      </c>
      <c r="K163" s="11"/>
      <c r="L163" s="11">
        <v>46091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0">
        <v>46091</v>
      </c>
      <c r="D164" s="10" t="s">
        <v>243</v>
      </c>
      <c r="E164" s="6" t="s">
        <v>270</v>
      </c>
      <c r="F164" s="6" t="s">
        <v>269</v>
      </c>
      <c r="G164" s="6" t="s">
        <v>271</v>
      </c>
      <c r="H164" s="4">
        <v>13694000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0">
        <v>46091</v>
      </c>
      <c r="D165" s="10" t="str">
        <f t="shared" si="14"/>
        <v>A</v>
      </c>
      <c r="E165" s="6" t="s">
        <v>273</v>
      </c>
      <c r="F165" s="6" t="s">
        <v>272</v>
      </c>
      <c r="G165" s="6" t="s">
        <v>274</v>
      </c>
      <c r="H165" s="4">
        <v>59166000</v>
      </c>
      <c r="I165" s="6">
        <f t="shared" ca="1" si="12"/>
        <v>3</v>
      </c>
      <c r="J165" s="13" t="str">
        <f t="shared" ca="1" si="15"/>
        <v>정상</v>
      </c>
      <c r="K165" s="11"/>
      <c r="L165" s="11">
        <v>46094</v>
      </c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0">
        <v>46092</v>
      </c>
      <c r="D166" s="10" t="s">
        <v>181</v>
      </c>
      <c r="E166" s="6" t="s">
        <v>276</v>
      </c>
      <c r="F166" s="6" t="s">
        <v>275</v>
      </c>
      <c r="G166" s="6" t="s">
        <v>169</v>
      </c>
      <c r="H166" s="4">
        <v>4500000</v>
      </c>
      <c r="I166" s="6">
        <f t="shared" ca="1" si="12"/>
        <v>27</v>
      </c>
      <c r="J166" s="13" t="str">
        <f t="shared" ca="1" si="15"/>
        <v>정상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218</v>
      </c>
      <c r="F167" s="23" t="s">
        <v>277</v>
      </c>
      <c r="G167" s="6" t="s">
        <v>296</v>
      </c>
      <c r="H167" s="25">
        <v>8400000</v>
      </c>
      <c r="I167" s="6">
        <f t="shared" ca="1" si="12"/>
        <v>28</v>
      </c>
      <c r="J167" s="13" t="str">
        <f t="shared" ca="1" si="15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24</v>
      </c>
      <c r="F168" s="23" t="s">
        <v>188</v>
      </c>
      <c r="G168" s="6" t="s">
        <v>296</v>
      </c>
      <c r="H168" s="25">
        <v>46282000</v>
      </c>
      <c r="I168" s="6">
        <f t="shared" ca="1" si="12"/>
        <v>28</v>
      </c>
      <c r="J168" s="13" t="str">
        <f t="shared" ca="1" si="15"/>
        <v>정상</v>
      </c>
      <c r="K168" s="11"/>
      <c r="L168" s="11"/>
      <c r="M168" s="10"/>
      <c r="N168" s="10" t="s">
        <v>20</v>
      </c>
      <c r="O168" s="6" t="s">
        <v>58</v>
      </c>
      <c r="P168" s="6" t="s">
        <v>153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56</v>
      </c>
      <c r="F169" s="23" t="s">
        <v>278</v>
      </c>
      <c r="G169" s="6" t="s">
        <v>296</v>
      </c>
      <c r="H169" s="25">
        <v>1832500</v>
      </c>
      <c r="I169" s="6">
        <f t="shared" ca="1" si="12"/>
        <v>0</v>
      </c>
      <c r="J169" s="13" t="str">
        <f t="shared" ca="1" si="15"/>
        <v>정상</v>
      </c>
      <c r="K169" s="11"/>
      <c r="L169" s="11">
        <v>46091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120</v>
      </c>
      <c r="F170" s="23" t="s">
        <v>279</v>
      </c>
      <c r="G170" s="6" t="s">
        <v>296</v>
      </c>
      <c r="H170" s="25">
        <v>222000</v>
      </c>
      <c r="I170" s="6">
        <f t="shared" ca="1" si="12"/>
        <v>3</v>
      </c>
      <c r="J170" s="13" t="str">
        <f t="shared" ca="1" si="15"/>
        <v>정상</v>
      </c>
      <c r="K170" s="11"/>
      <c r="L170" s="11">
        <v>46094</v>
      </c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266</v>
      </c>
      <c r="F171" s="23" t="s">
        <v>280</v>
      </c>
      <c r="G171" s="6" t="s">
        <v>296</v>
      </c>
      <c r="H171" s="25">
        <v>14080000</v>
      </c>
      <c r="I171" s="6">
        <f t="shared" ca="1" si="12"/>
        <v>28</v>
      </c>
      <c r="J171" s="13" t="str">
        <f t="shared" ca="1" si="15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249</v>
      </c>
      <c r="F172" s="23" t="s">
        <v>280</v>
      </c>
      <c r="G172" s="6" t="s">
        <v>296</v>
      </c>
      <c r="H172" s="25">
        <v>14080000</v>
      </c>
      <c r="I172" s="6">
        <f t="shared" ca="1" si="12"/>
        <v>6</v>
      </c>
      <c r="J172" s="13" t="str">
        <f t="shared" ca="1" si="15"/>
        <v>정상</v>
      </c>
      <c r="K172" s="11"/>
      <c r="L172" s="11">
        <v>46097</v>
      </c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222</v>
      </c>
      <c r="F173" s="23" t="s">
        <v>281</v>
      </c>
      <c r="G173" s="6" t="s">
        <v>296</v>
      </c>
      <c r="H173" s="25">
        <v>1186600</v>
      </c>
      <c r="I173" s="6">
        <f t="shared" ca="1" si="12"/>
        <v>28</v>
      </c>
      <c r="J173" s="13" t="str">
        <f t="shared" ca="1" si="15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62</v>
      </c>
      <c r="F174" s="23" t="s">
        <v>282</v>
      </c>
      <c r="G174" s="6" t="s">
        <v>296</v>
      </c>
      <c r="H174" s="25">
        <v>270000</v>
      </c>
      <c r="I174" s="6">
        <f t="shared" ca="1" si="12"/>
        <v>28</v>
      </c>
      <c r="J174" s="13" t="str">
        <f t="shared" ca="1" si="15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283</v>
      </c>
      <c r="G175" s="6" t="s">
        <v>296</v>
      </c>
      <c r="H175" s="25">
        <v>5912000</v>
      </c>
      <c r="I175" s="6">
        <f t="shared" ca="1" si="12"/>
        <v>28</v>
      </c>
      <c r="J175" s="13" t="str">
        <f t="shared" ca="1" si="15"/>
        <v>정상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24</v>
      </c>
      <c r="F176" s="23" t="s">
        <v>188</v>
      </c>
      <c r="G176" s="6" t="s">
        <v>296</v>
      </c>
      <c r="H176" s="25">
        <v>4992000</v>
      </c>
      <c r="I176" s="6">
        <f t="shared" ca="1" si="12"/>
        <v>28</v>
      </c>
      <c r="J176" s="13" t="str">
        <f t="shared" ca="1" si="15"/>
        <v>정상</v>
      </c>
      <c r="K176" s="11"/>
      <c r="L176" s="11"/>
      <c r="M176" s="10"/>
      <c r="N176" s="10" t="s">
        <v>20</v>
      </c>
      <c r="O176" s="6" t="s">
        <v>58</v>
      </c>
      <c r="P176" s="6" t="s">
        <v>153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128</v>
      </c>
      <c r="F177" s="23" t="s">
        <v>284</v>
      </c>
      <c r="G177" s="6" t="s">
        <v>296</v>
      </c>
      <c r="H177" s="25">
        <v>950350</v>
      </c>
      <c r="I177" s="6">
        <f t="shared" ca="1" si="12"/>
        <v>0</v>
      </c>
      <c r="J177" s="13" t="str">
        <f t="shared" ca="1" si="15"/>
        <v>정상</v>
      </c>
      <c r="K177" s="11"/>
      <c r="L177" s="11">
        <v>46091</v>
      </c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207</v>
      </c>
      <c r="F178" s="23" t="s">
        <v>285</v>
      </c>
      <c r="G178" s="6" t="s">
        <v>296</v>
      </c>
      <c r="H178" s="25">
        <v>770400</v>
      </c>
      <c r="I178" s="6">
        <f t="shared" ca="1" si="12"/>
        <v>28</v>
      </c>
      <c r="J178" s="13" t="str">
        <f t="shared" ca="1" si="15"/>
        <v>정상</v>
      </c>
      <c r="K178" s="11"/>
      <c r="L178" s="11"/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0">
        <v>46091</v>
      </c>
      <c r="D179" s="10" t="str">
        <f t="shared" si="14"/>
        <v>B</v>
      </c>
      <c r="E179" s="23" t="s">
        <v>293</v>
      </c>
      <c r="F179" s="23" t="s">
        <v>286</v>
      </c>
      <c r="G179" s="6" t="s">
        <v>296</v>
      </c>
      <c r="H179" s="25">
        <v>473600</v>
      </c>
      <c r="I179" s="6">
        <f t="shared" ca="1" si="12"/>
        <v>0</v>
      </c>
      <c r="J179" s="13" t="str">
        <f t="shared" ca="1" si="15"/>
        <v>정상</v>
      </c>
      <c r="K179" s="11"/>
      <c r="L179" s="11">
        <v>46091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294</v>
      </c>
      <c r="F180" s="23" t="s">
        <v>287</v>
      </c>
      <c r="G180" s="6" t="s">
        <v>296</v>
      </c>
      <c r="H180" s="25">
        <v>121500</v>
      </c>
      <c r="I180" s="6">
        <f t="shared" ca="1" si="12"/>
        <v>9</v>
      </c>
      <c r="J180" s="13" t="str">
        <f t="shared" ca="1" si="15"/>
        <v>정상</v>
      </c>
      <c r="K180" s="11"/>
      <c r="L180" s="11">
        <v>46101</v>
      </c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69</v>
      </c>
      <c r="F181" s="23" t="s">
        <v>288</v>
      </c>
      <c r="G181" s="6" t="s">
        <v>296</v>
      </c>
      <c r="H181" s="25">
        <v>16818900</v>
      </c>
      <c r="I181" s="6">
        <f t="shared" ca="1" si="12"/>
        <v>27</v>
      </c>
      <c r="J181" s="13" t="str">
        <f t="shared" ca="1" si="15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17</v>
      </c>
      <c r="F182" s="23" t="s">
        <v>289</v>
      </c>
      <c r="G182" s="6" t="s">
        <v>296</v>
      </c>
      <c r="H182" s="25">
        <v>294800</v>
      </c>
      <c r="I182" s="6">
        <f t="shared" ca="1" si="12"/>
        <v>9</v>
      </c>
      <c r="J182" s="13" t="str">
        <f t="shared" ca="1" si="15"/>
        <v>정상</v>
      </c>
      <c r="K182" s="11"/>
      <c r="L182" s="11">
        <v>46101</v>
      </c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116</v>
      </c>
      <c r="F183" s="23" t="s">
        <v>290</v>
      </c>
      <c r="G183" s="6" t="s">
        <v>296</v>
      </c>
      <c r="H183" s="25">
        <v>321000</v>
      </c>
      <c r="I183" s="6">
        <f t="shared" ca="1" si="12"/>
        <v>27</v>
      </c>
      <c r="J183" s="13" t="str">
        <f t="shared" ca="1" si="15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295</v>
      </c>
      <c r="F184" s="23" t="s">
        <v>291</v>
      </c>
      <c r="G184" s="6" t="s">
        <v>296</v>
      </c>
      <c r="H184" s="25">
        <v>1275400</v>
      </c>
      <c r="I184" s="6">
        <f t="shared" ca="1" si="12"/>
        <v>27</v>
      </c>
      <c r="J184" s="13" t="str">
        <f t="shared" ca="1" si="15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24</v>
      </c>
      <c r="F185" s="23" t="s">
        <v>188</v>
      </c>
      <c r="G185" s="6" t="s">
        <v>296</v>
      </c>
      <c r="H185" s="25">
        <v>11000000</v>
      </c>
      <c r="I185" s="6">
        <f t="shared" ca="1" si="12"/>
        <v>27</v>
      </c>
      <c r="J185" s="13" t="str">
        <f t="shared" ca="1" si="15"/>
        <v>정상</v>
      </c>
      <c r="K185" s="11"/>
      <c r="L185" s="11"/>
      <c r="M185" s="10"/>
      <c r="N185" s="10" t="s">
        <v>20</v>
      </c>
      <c r="O185" s="6" t="s">
        <v>58</v>
      </c>
      <c r="P185" s="6" t="s">
        <v>153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0">
        <v>46092</v>
      </c>
      <c r="D186" s="10" t="str">
        <f t="shared" si="14"/>
        <v>B</v>
      </c>
      <c r="E186" s="23" t="s">
        <v>26</v>
      </c>
      <c r="F186" s="23" t="s">
        <v>292</v>
      </c>
      <c r="G186" s="6" t="s">
        <v>296</v>
      </c>
      <c r="H186" s="25">
        <v>5475500</v>
      </c>
      <c r="I186" s="6">
        <f t="shared" ca="1" si="12"/>
        <v>27</v>
      </c>
      <c r="J186" s="13" t="str">
        <f t="shared" ca="1" si="15"/>
        <v>정상</v>
      </c>
      <c r="K186" s="11"/>
      <c r="L186" s="11"/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293</v>
      </c>
      <c r="F187" s="23" t="s">
        <v>297</v>
      </c>
      <c r="G187" s="6" t="s">
        <v>304</v>
      </c>
      <c r="H187" s="25">
        <v>312000</v>
      </c>
      <c r="I187" s="6">
        <f t="shared" ca="1" si="12"/>
        <v>0</v>
      </c>
      <c r="J187" s="13" t="str">
        <f t="shared" ca="1" si="15"/>
        <v>정상</v>
      </c>
      <c r="K187" s="11"/>
      <c r="L187" s="11">
        <v>46093</v>
      </c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30</v>
      </c>
      <c r="F188" s="23" t="s">
        <v>298</v>
      </c>
      <c r="G188" s="6" t="s">
        <v>304</v>
      </c>
      <c r="H188" s="25">
        <v>1000500</v>
      </c>
      <c r="I188" s="6">
        <f t="shared" ca="1" si="12"/>
        <v>26</v>
      </c>
      <c r="J188" s="13" t="str">
        <f t="shared" ca="1" si="15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195</v>
      </c>
      <c r="F189" s="23" t="s">
        <v>302</v>
      </c>
      <c r="G189" s="6" t="s">
        <v>304</v>
      </c>
      <c r="H189" s="25">
        <v>5775000</v>
      </c>
      <c r="I189" s="6">
        <f t="shared" ca="1" si="12"/>
        <v>26</v>
      </c>
      <c r="J189" s="13" t="str">
        <f t="shared" ca="1" si="15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199</v>
      </c>
      <c r="F190" s="23" t="s">
        <v>299</v>
      </c>
      <c r="G190" s="6" t="s">
        <v>304</v>
      </c>
      <c r="H190" s="25">
        <v>1190000</v>
      </c>
      <c r="I190" s="6">
        <f t="shared" ca="1" si="12"/>
        <v>26</v>
      </c>
      <c r="J190" s="13" t="str">
        <f t="shared" ca="1" si="15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100</v>
      </c>
      <c r="F191" s="23" t="s">
        <v>303</v>
      </c>
      <c r="G191" s="6" t="s">
        <v>304</v>
      </c>
      <c r="H191" s="25">
        <v>11147800</v>
      </c>
      <c r="I191" s="6">
        <f t="shared" ref="I191:I254" ca="1" si="16">IF(C191="","",IF(L191="",TODAY()-C191,L191-C191))</f>
        <v>26</v>
      </c>
      <c r="J191" s="13" t="str">
        <f t="shared" ref="J191:J222" ca="1" si="17">IF(I191="","",
 IF(G191="선급금",
   IF(I191&lt;=20,"정상",IF(I191&lt;=90,"관리","장기미수")),
 IF(G191="자재",
   IF(I191&lt;=40,"정상",IF(I191&lt;=90,"관리","장기미수")),
   IF(I191&lt;=30,"정상",IF(I191&lt;=90,"관리","장기미수"))
  )
 )
)</f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218</v>
      </c>
      <c r="F192" s="23" t="s">
        <v>300</v>
      </c>
      <c r="G192" s="6" t="s">
        <v>304</v>
      </c>
      <c r="H192" s="25">
        <v>2613000</v>
      </c>
      <c r="I192" s="6">
        <f t="shared" ca="1" si="16"/>
        <v>26</v>
      </c>
      <c r="J192" s="13" t="str">
        <f t="shared" ca="1" si="17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30">
        <v>46093</v>
      </c>
      <c r="D193" s="10" t="str">
        <f t="shared" si="14"/>
        <v>B</v>
      </c>
      <c r="E193" s="23" t="s">
        <v>110</v>
      </c>
      <c r="F193" s="23" t="s">
        <v>301</v>
      </c>
      <c r="G193" s="6" t="s">
        <v>304</v>
      </c>
      <c r="H193" s="25">
        <v>7339000</v>
      </c>
      <c r="I193" s="6">
        <f t="shared" ca="1" si="16"/>
        <v>26</v>
      </c>
      <c r="J193" s="13" t="str">
        <f t="shared" ca="1" si="17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11">
        <v>46094</v>
      </c>
      <c r="D194" s="10" t="str">
        <f t="shared" si="14"/>
        <v>C</v>
      </c>
      <c r="E194" s="6" t="s">
        <v>305</v>
      </c>
      <c r="F194" s="6" t="s">
        <v>306</v>
      </c>
      <c r="G194" s="6" t="s">
        <v>307</v>
      </c>
      <c r="H194" s="4">
        <v>1291250</v>
      </c>
      <c r="I194" s="6">
        <f t="shared" ca="1" si="16"/>
        <v>18</v>
      </c>
      <c r="J194" s="13" t="str">
        <f t="shared" ca="1" si="17"/>
        <v>정상</v>
      </c>
      <c r="K194" s="11"/>
      <c r="L194" s="11">
        <v>46112</v>
      </c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315</v>
      </c>
      <c r="F195" s="23" t="s">
        <v>308</v>
      </c>
      <c r="G195" s="6" t="s">
        <v>317</v>
      </c>
      <c r="H195" s="25">
        <v>500500</v>
      </c>
      <c r="I195" s="6">
        <f t="shared" ca="1" si="16"/>
        <v>25</v>
      </c>
      <c r="J195" s="13" t="str">
        <f t="shared" ca="1" si="17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309</v>
      </c>
      <c r="G196" s="6" t="s">
        <v>317</v>
      </c>
      <c r="H196" s="25">
        <v>3448000</v>
      </c>
      <c r="I196" s="6">
        <f t="shared" ca="1" si="16"/>
        <v>25</v>
      </c>
      <c r="J196" s="13" t="str">
        <f t="shared" ca="1" si="17"/>
        <v>정상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24</v>
      </c>
      <c r="F197" s="23" t="s">
        <v>310</v>
      </c>
      <c r="G197" s="6" t="s">
        <v>317</v>
      </c>
      <c r="H197" s="25">
        <v>28750000</v>
      </c>
      <c r="I197" s="6">
        <f t="shared" ca="1" si="16"/>
        <v>25</v>
      </c>
      <c r="J197" s="13" t="str">
        <f t="shared" ca="1" si="17"/>
        <v>정상</v>
      </c>
      <c r="K197" s="11"/>
      <c r="L197" s="11"/>
      <c r="M197" s="10"/>
      <c r="N197" s="10" t="s">
        <v>20</v>
      </c>
      <c r="O197" s="6" t="s">
        <v>58</v>
      </c>
      <c r="P197" s="6" t="s">
        <v>153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220</v>
      </c>
      <c r="F198" s="23" t="s">
        <v>311</v>
      </c>
      <c r="G198" s="6" t="s">
        <v>317</v>
      </c>
      <c r="H198" s="25">
        <v>3430000</v>
      </c>
      <c r="I198" s="6">
        <f t="shared" ca="1" si="16"/>
        <v>3</v>
      </c>
      <c r="J198" s="13" t="str">
        <f t="shared" ca="1" si="17"/>
        <v>정상</v>
      </c>
      <c r="K198" s="11"/>
      <c r="L198" s="11">
        <v>46097</v>
      </c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218</v>
      </c>
      <c r="F199" s="23" t="s">
        <v>312</v>
      </c>
      <c r="G199" s="6" t="s">
        <v>317</v>
      </c>
      <c r="H199" s="25">
        <v>14700000</v>
      </c>
      <c r="I199" s="6">
        <f t="shared" ca="1" si="16"/>
        <v>25</v>
      </c>
      <c r="J199" s="13" t="str">
        <f t="shared" ca="1" si="17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316</v>
      </c>
      <c r="F200" s="23" t="s">
        <v>313</v>
      </c>
      <c r="G200" s="6" t="s">
        <v>317</v>
      </c>
      <c r="H200" s="25">
        <v>780000</v>
      </c>
      <c r="I200" s="6">
        <f t="shared" ca="1" si="16"/>
        <v>25</v>
      </c>
      <c r="J200" s="13" t="str">
        <f t="shared" ca="1" si="17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0">
        <v>46094</v>
      </c>
      <c r="D201" s="10" t="str">
        <f t="shared" si="14"/>
        <v>B</v>
      </c>
      <c r="E201" s="23" t="s">
        <v>39</v>
      </c>
      <c r="F201" s="23" t="s">
        <v>314</v>
      </c>
      <c r="G201" s="6" t="s">
        <v>317</v>
      </c>
      <c r="H201" s="25">
        <v>220100</v>
      </c>
      <c r="I201" s="6">
        <f t="shared" ca="1" si="16"/>
        <v>18</v>
      </c>
      <c r="J201" s="13" t="str">
        <f t="shared" ca="1" si="17"/>
        <v>정상</v>
      </c>
      <c r="K201" s="11"/>
      <c r="L201" s="11">
        <v>46112</v>
      </c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0">
        <v>46097</v>
      </c>
      <c r="D202" s="10" t="str">
        <f t="shared" si="14"/>
        <v>A</v>
      </c>
      <c r="E202" s="6" t="s">
        <v>318</v>
      </c>
      <c r="F202" s="6" t="s">
        <v>319</v>
      </c>
      <c r="G202" s="6" t="s">
        <v>320</v>
      </c>
      <c r="H202" s="4">
        <v>22342800</v>
      </c>
      <c r="I202" s="6">
        <f t="shared" ca="1" si="16"/>
        <v>21</v>
      </c>
      <c r="J202" s="13" t="str">
        <f t="shared" ca="1" si="17"/>
        <v>정상</v>
      </c>
      <c r="K202" s="11"/>
      <c r="L202" s="11">
        <v>46118</v>
      </c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0">
        <v>46098</v>
      </c>
      <c r="D203" s="10" t="str">
        <f t="shared" si="14"/>
        <v>B</v>
      </c>
      <c r="E203" s="23" t="s">
        <v>126</v>
      </c>
      <c r="F203" s="23" t="s">
        <v>321</v>
      </c>
      <c r="G203" s="6" t="s">
        <v>334</v>
      </c>
      <c r="H203" s="25">
        <v>19467400</v>
      </c>
      <c r="I203" s="6">
        <f t="shared" ca="1" si="16"/>
        <v>21</v>
      </c>
      <c r="J203" s="13" t="str">
        <f t="shared" ca="1" si="17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0">
        <v>46098</v>
      </c>
      <c r="D204" s="10" t="str">
        <f t="shared" ref="D204:D267" si="18">IF(G204="","",IF(OR(G204="선급금",G204="중도금",G204="잔금"),"A",IF(G204="자재","B",IF(G204="특허료","C",""))))</f>
        <v>B</v>
      </c>
      <c r="E204" s="23" t="s">
        <v>126</v>
      </c>
      <c r="F204" s="23" t="s">
        <v>321</v>
      </c>
      <c r="G204" s="6" t="s">
        <v>334</v>
      </c>
      <c r="H204" s="25">
        <v>4765000</v>
      </c>
      <c r="I204" s="6">
        <f t="shared" ca="1" si="16"/>
        <v>21</v>
      </c>
      <c r="J204" s="13" t="str">
        <f t="shared" ca="1" si="17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222</v>
      </c>
      <c r="F205" s="23" t="s">
        <v>322</v>
      </c>
      <c r="G205" s="6" t="s">
        <v>334</v>
      </c>
      <c r="H205" s="25">
        <v>954500</v>
      </c>
      <c r="I205" s="6">
        <f t="shared" ca="1" si="16"/>
        <v>21</v>
      </c>
      <c r="J205" s="13" t="str">
        <f t="shared" ca="1" si="17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100</v>
      </c>
      <c r="F206" s="23" t="s">
        <v>323</v>
      </c>
      <c r="G206" s="6" t="s">
        <v>334</v>
      </c>
      <c r="H206" s="25">
        <v>9631000</v>
      </c>
      <c r="I206" s="6">
        <f t="shared" ca="1" si="16"/>
        <v>21</v>
      </c>
      <c r="J206" s="13" t="str">
        <f t="shared" ca="1" si="17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30</v>
      </c>
      <c r="F207" s="23" t="s">
        <v>324</v>
      </c>
      <c r="G207" s="6" t="s">
        <v>334</v>
      </c>
      <c r="H207" s="25">
        <v>1745000</v>
      </c>
      <c r="I207" s="6">
        <f t="shared" ca="1" si="16"/>
        <v>21</v>
      </c>
      <c r="J207" s="13" t="str">
        <f t="shared" ca="1" si="17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325</v>
      </c>
      <c r="G208" s="6" t="s">
        <v>334</v>
      </c>
      <c r="H208" s="25">
        <v>493400</v>
      </c>
      <c r="I208" s="6">
        <f t="shared" ca="1" si="16"/>
        <v>21</v>
      </c>
      <c r="J208" s="13" t="str">
        <f t="shared" ca="1" si="17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3568200</v>
      </c>
      <c r="I209" s="6">
        <f t="shared" ca="1" si="16"/>
        <v>21</v>
      </c>
      <c r="J209" s="13" t="str">
        <f t="shared" ca="1" si="17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126</v>
      </c>
      <c r="F210" s="23" t="s">
        <v>326</v>
      </c>
      <c r="G210" s="6" t="s">
        <v>334</v>
      </c>
      <c r="H210" s="25">
        <v>4110300</v>
      </c>
      <c r="I210" s="6">
        <f t="shared" ca="1" si="16"/>
        <v>21</v>
      </c>
      <c r="J210" s="13" t="str">
        <f t="shared" ca="1" si="17"/>
        <v>정상</v>
      </c>
      <c r="K210" s="11"/>
      <c r="L210" s="11"/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163</v>
      </c>
      <c r="F211" s="23" t="s">
        <v>327</v>
      </c>
      <c r="G211" s="6" t="s">
        <v>334</v>
      </c>
      <c r="H211" s="25">
        <v>1318600</v>
      </c>
      <c r="I211" s="6">
        <f t="shared" ca="1" si="16"/>
        <v>7</v>
      </c>
      <c r="J211" s="13" t="str">
        <f t="shared" ca="1" si="17"/>
        <v>정상</v>
      </c>
      <c r="K211" s="11"/>
      <c r="L211" s="11">
        <v>46105</v>
      </c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333</v>
      </c>
      <c r="F212" s="23" t="s">
        <v>328</v>
      </c>
      <c r="G212" s="6" t="s">
        <v>334</v>
      </c>
      <c r="H212" s="25">
        <v>3541500</v>
      </c>
      <c r="I212" s="6">
        <f t="shared" ca="1" si="16"/>
        <v>21</v>
      </c>
      <c r="J212" s="13" t="str">
        <f t="shared" ca="1" si="17"/>
        <v>정상</v>
      </c>
      <c r="K212" s="11"/>
      <c r="L212" s="11"/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207</v>
      </c>
      <c r="F213" s="23" t="s">
        <v>329</v>
      </c>
      <c r="G213" s="6" t="s">
        <v>334</v>
      </c>
      <c r="H213" s="25">
        <v>3512300</v>
      </c>
      <c r="I213" s="6">
        <f t="shared" ca="1" si="16"/>
        <v>21</v>
      </c>
      <c r="J213" s="13" t="str">
        <f t="shared" ca="1" si="17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249</v>
      </c>
      <c r="F214" s="23" t="s">
        <v>330</v>
      </c>
      <c r="G214" s="6" t="s">
        <v>334</v>
      </c>
      <c r="H214" s="25">
        <v>11000000</v>
      </c>
      <c r="I214" s="6">
        <f t="shared" ca="1" si="16"/>
        <v>21</v>
      </c>
      <c r="J214" s="13" t="str">
        <f t="shared" ca="1" si="17"/>
        <v>정상</v>
      </c>
      <c r="K214" s="11"/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108</v>
      </c>
      <c r="F215" s="23" t="s">
        <v>331</v>
      </c>
      <c r="G215" s="6" t="s">
        <v>334</v>
      </c>
      <c r="H215" s="25">
        <v>21000000</v>
      </c>
      <c r="I215" s="6">
        <f t="shared" ca="1" si="16"/>
        <v>21</v>
      </c>
      <c r="J215" s="13" t="str">
        <f t="shared" ca="1" si="17"/>
        <v>정상</v>
      </c>
      <c r="K215" s="11"/>
      <c r="L215" s="11"/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30">
        <v>46098</v>
      </c>
      <c r="D216" s="10" t="str">
        <f t="shared" si="18"/>
        <v>B</v>
      </c>
      <c r="E216" s="23" t="s">
        <v>116</v>
      </c>
      <c r="F216" s="23" t="s">
        <v>332</v>
      </c>
      <c r="G216" s="6" t="s">
        <v>334</v>
      </c>
      <c r="H216" s="25">
        <v>806000</v>
      </c>
      <c r="I216" s="6">
        <f t="shared" ca="1" si="16"/>
        <v>21</v>
      </c>
      <c r="J216" s="13" t="str">
        <f t="shared" ca="1" si="17"/>
        <v>정상</v>
      </c>
      <c r="K216" s="11"/>
      <c r="L216" s="11"/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23" t="s">
        <v>336</v>
      </c>
      <c r="F217" s="41" t="s">
        <v>335</v>
      </c>
      <c r="G217" s="6" t="s">
        <v>337</v>
      </c>
      <c r="H217" s="40">
        <v>4354200</v>
      </c>
      <c r="I217" s="6">
        <f t="shared" ca="1" si="16"/>
        <v>20</v>
      </c>
      <c r="J217" s="13" t="str">
        <f t="shared" ca="1" si="17"/>
        <v>정상</v>
      </c>
      <c r="K217" s="11"/>
      <c r="L217" s="11"/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116</v>
      </c>
      <c r="F218" s="6" t="s">
        <v>338</v>
      </c>
      <c r="G218" s="6" t="s">
        <v>337</v>
      </c>
      <c r="H218" s="4">
        <v>28530900</v>
      </c>
      <c r="I218" s="6">
        <f t="shared" ca="1" si="16"/>
        <v>16</v>
      </c>
      <c r="J218" s="13" t="str">
        <f t="shared" ca="1" si="17"/>
        <v>정상</v>
      </c>
      <c r="K218" s="11"/>
      <c r="L218" s="11">
        <v>46115</v>
      </c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341</v>
      </c>
      <c r="F219" s="6" t="s">
        <v>339</v>
      </c>
      <c r="G219" s="6" t="s">
        <v>337</v>
      </c>
      <c r="H219" s="4">
        <v>26089600</v>
      </c>
      <c r="I219" s="6">
        <f t="shared" ca="1" si="16"/>
        <v>0</v>
      </c>
      <c r="J219" s="13" t="str">
        <f t="shared" ca="1" si="17"/>
        <v>정상</v>
      </c>
      <c r="K219" s="11"/>
      <c r="L219" s="11">
        <v>46099</v>
      </c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39">
        <v>46099</v>
      </c>
      <c r="D220" s="10" t="str">
        <f t="shared" si="18"/>
        <v>A</v>
      </c>
      <c r="E220" s="6" t="s">
        <v>342</v>
      </c>
      <c r="F220" s="6" t="s">
        <v>340</v>
      </c>
      <c r="G220" s="6" t="s">
        <v>337</v>
      </c>
      <c r="H220" s="4">
        <v>27749100</v>
      </c>
      <c r="I220" s="6">
        <f t="shared" ca="1" si="16"/>
        <v>16</v>
      </c>
      <c r="J220" s="13" t="str">
        <f t="shared" ca="1" si="17"/>
        <v>정상</v>
      </c>
      <c r="K220" s="11"/>
      <c r="L220" s="11">
        <v>46115</v>
      </c>
      <c r="M220" s="10"/>
      <c r="N220" s="10" t="s">
        <v>33</v>
      </c>
      <c r="Q220" s="11"/>
      <c r="R220" s="11"/>
      <c r="S220" s="10"/>
    </row>
    <row r="221" spans="2:19" s="6" customFormat="1" ht="16.5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56</v>
      </c>
      <c r="F221" s="23" t="s">
        <v>343</v>
      </c>
      <c r="G221" s="6" t="s">
        <v>368</v>
      </c>
      <c r="H221" s="25">
        <v>1842500</v>
      </c>
      <c r="I221" s="6">
        <f t="shared" ca="1" si="16"/>
        <v>1</v>
      </c>
      <c r="J221" s="13" t="str">
        <f t="shared" ca="1" si="17"/>
        <v>정상</v>
      </c>
      <c r="K221" s="11"/>
      <c r="L221" s="11">
        <v>46100</v>
      </c>
      <c r="M221" s="10"/>
      <c r="N221" s="10" t="s">
        <v>33</v>
      </c>
      <c r="Q221" s="11"/>
      <c r="R221" s="11"/>
      <c r="S221" s="10"/>
    </row>
    <row r="222" spans="2:19" s="6" customFormat="1" ht="16.5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126</v>
      </c>
      <c r="F222" s="23" t="s">
        <v>344</v>
      </c>
      <c r="G222" s="6" t="s">
        <v>368</v>
      </c>
      <c r="H222" s="25">
        <v>6583500</v>
      </c>
      <c r="I222" s="6">
        <f t="shared" ca="1" si="16"/>
        <v>20</v>
      </c>
      <c r="J222" s="13" t="str">
        <f t="shared" ca="1" si="17"/>
        <v>정상</v>
      </c>
      <c r="K222" s="11"/>
      <c r="L222" s="11"/>
      <c r="M222" s="10"/>
      <c r="N222" s="10" t="s">
        <v>33</v>
      </c>
      <c r="Q222" s="11"/>
      <c r="R222" s="11"/>
      <c r="S222" s="10"/>
    </row>
    <row r="223" spans="2:19" s="6" customFormat="1" ht="16.5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69</v>
      </c>
      <c r="F223" s="23" t="s">
        <v>345</v>
      </c>
      <c r="G223" s="6" t="s">
        <v>368</v>
      </c>
      <c r="H223" s="25">
        <v>2038700</v>
      </c>
      <c r="I223" s="6">
        <f t="shared" ca="1" si="16"/>
        <v>19</v>
      </c>
      <c r="J223" s="13" t="str">
        <f t="shared" ref="J223:J254" ca="1" si="19">IF(I223="","",
 IF(G223="선급금",
   IF(I223&lt;=20,"정상",IF(I223&lt;=90,"관리","장기미수")),
 IF(G223="자재",
   IF(I223&lt;=40,"정상",IF(I223&lt;=90,"관리","장기미수")),
   IF(I223&lt;=30,"정상",IF(I223&lt;=90,"관리","장기미수"))
  )
 )
)</f>
        <v>정상</v>
      </c>
      <c r="K223" s="11"/>
      <c r="L223" s="11">
        <v>46118</v>
      </c>
      <c r="M223" s="10"/>
      <c r="N223" s="10" t="s">
        <v>33</v>
      </c>
      <c r="Q223" s="11"/>
      <c r="R223" s="11"/>
      <c r="S223" s="10"/>
    </row>
    <row r="224" spans="2:19" s="6" customFormat="1" ht="16.5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122</v>
      </c>
      <c r="F224" s="23" t="s">
        <v>346</v>
      </c>
      <c r="G224" s="6" t="s">
        <v>368</v>
      </c>
      <c r="H224" s="25">
        <v>4750000</v>
      </c>
      <c r="I224" s="6">
        <f t="shared" ca="1" si="16"/>
        <v>20</v>
      </c>
      <c r="J224" s="13" t="str">
        <f t="shared" ca="1" si="19"/>
        <v>정상</v>
      </c>
      <c r="K224" s="11"/>
      <c r="L224" s="11"/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126</v>
      </c>
      <c r="F225" s="23" t="s">
        <v>347</v>
      </c>
      <c r="G225" s="6" t="s">
        <v>368</v>
      </c>
      <c r="H225" s="25">
        <v>3572000</v>
      </c>
      <c r="I225" s="6">
        <f t="shared" ca="1" si="16"/>
        <v>20</v>
      </c>
      <c r="J225" s="13" t="str">
        <f t="shared" ca="1" si="19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24</v>
      </c>
      <c r="F226" s="23" t="s">
        <v>348</v>
      </c>
      <c r="G226" s="6" t="s">
        <v>368</v>
      </c>
      <c r="H226" s="25">
        <v>435000</v>
      </c>
      <c r="I226" s="6">
        <f t="shared" ca="1" si="16"/>
        <v>20</v>
      </c>
      <c r="J226" s="13" t="str">
        <f t="shared" ca="1" si="19"/>
        <v>정상</v>
      </c>
      <c r="K226" s="11"/>
      <c r="L226" s="11"/>
      <c r="M226" s="10"/>
      <c r="N226" s="10" t="s">
        <v>20</v>
      </c>
      <c r="O226" s="6" t="s">
        <v>58</v>
      </c>
      <c r="P226" s="6" t="s">
        <v>153</v>
      </c>
      <c r="Q226" s="11"/>
      <c r="R226" s="11"/>
      <c r="S226" s="10"/>
    </row>
    <row r="227" spans="2:19" s="6" customFormat="1" ht="16.5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365</v>
      </c>
      <c r="F227" s="23" t="s">
        <v>349</v>
      </c>
      <c r="G227" s="6" t="s">
        <v>368</v>
      </c>
      <c r="H227" s="25">
        <v>637000</v>
      </c>
      <c r="I227" s="6">
        <f t="shared" ca="1" si="16"/>
        <v>20</v>
      </c>
      <c r="J227" s="13" t="str">
        <f t="shared" ca="1" si="19"/>
        <v>정상</v>
      </c>
      <c r="K227" s="11"/>
      <c r="L227" s="11"/>
      <c r="M227" s="10"/>
      <c r="N227" s="10" t="s">
        <v>33</v>
      </c>
      <c r="Q227" s="11"/>
      <c r="R227" s="11"/>
      <c r="S227" s="10"/>
    </row>
    <row r="228" spans="2:19" s="6" customFormat="1" ht="16.5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366</v>
      </c>
      <c r="F228" s="23" t="s">
        <v>350</v>
      </c>
      <c r="G228" s="6" t="s">
        <v>368</v>
      </c>
      <c r="H228" s="25">
        <v>34583000</v>
      </c>
      <c r="I228" s="6">
        <f t="shared" ca="1" si="16"/>
        <v>19</v>
      </c>
      <c r="J228" s="13" t="str">
        <f t="shared" ca="1" si="19"/>
        <v>정상</v>
      </c>
      <c r="K228" s="11"/>
      <c r="L228" s="11">
        <v>46118</v>
      </c>
      <c r="M228" s="10"/>
      <c r="N228" s="10" t="s">
        <v>33</v>
      </c>
      <c r="Q228" s="11"/>
      <c r="R228" s="11"/>
      <c r="S228" s="10"/>
    </row>
    <row r="229" spans="2:19" s="6" customFormat="1" ht="16.5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208</v>
      </c>
      <c r="F229" s="23" t="s">
        <v>351</v>
      </c>
      <c r="G229" s="6" t="s">
        <v>368</v>
      </c>
      <c r="H229" s="25">
        <v>6600000</v>
      </c>
      <c r="I229" s="6">
        <f t="shared" ca="1" si="16"/>
        <v>20</v>
      </c>
      <c r="J229" s="13" t="str">
        <f t="shared" ca="1" si="19"/>
        <v>정상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>
        <v>46099</v>
      </c>
      <c r="D230" s="10" t="str">
        <f t="shared" si="18"/>
        <v>B</v>
      </c>
      <c r="E230" s="23" t="s">
        <v>221</v>
      </c>
      <c r="F230" s="23" t="s">
        <v>352</v>
      </c>
      <c r="G230" s="6" t="s">
        <v>368</v>
      </c>
      <c r="H230" s="25">
        <v>15802000</v>
      </c>
      <c r="I230" s="6">
        <f t="shared" ca="1" si="16"/>
        <v>20</v>
      </c>
      <c r="J230" s="13" t="str">
        <f t="shared" ca="1" si="19"/>
        <v>정상</v>
      </c>
      <c r="K230" s="11"/>
      <c r="L230" s="11"/>
      <c r="M230" s="10"/>
      <c r="N230" s="10" t="s">
        <v>33</v>
      </c>
      <c r="Q230" s="11"/>
      <c r="R230" s="11"/>
      <c r="S230" s="10"/>
    </row>
    <row r="231" spans="2:19" s="6" customFormat="1" ht="16.5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218</v>
      </c>
      <c r="F231" s="23" t="s">
        <v>353</v>
      </c>
      <c r="G231" s="6" t="s">
        <v>368</v>
      </c>
      <c r="H231" s="25">
        <v>9450000</v>
      </c>
      <c r="I231" s="6">
        <f t="shared" ca="1" si="16"/>
        <v>19</v>
      </c>
      <c r="J231" s="13" t="str">
        <f t="shared" ca="1" si="19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126</v>
      </c>
      <c r="F232" s="23" t="s">
        <v>347</v>
      </c>
      <c r="G232" s="6" t="s">
        <v>368</v>
      </c>
      <c r="H232" s="25">
        <v>521000</v>
      </c>
      <c r="I232" s="6">
        <f t="shared" ca="1" si="16"/>
        <v>19</v>
      </c>
      <c r="J232" s="13" t="str">
        <f t="shared" ca="1" si="19"/>
        <v>정상</v>
      </c>
      <c r="K232" s="11"/>
      <c r="L232" s="11"/>
      <c r="M232" s="10"/>
      <c r="N232" s="10" t="s">
        <v>33</v>
      </c>
      <c r="Q232" s="11"/>
      <c r="R232" s="11"/>
      <c r="S232" s="10"/>
    </row>
    <row r="233" spans="2:19" s="6" customFormat="1" ht="16.5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39</v>
      </c>
      <c r="F233" s="23" t="s">
        <v>354</v>
      </c>
      <c r="G233" s="6" t="s">
        <v>368</v>
      </c>
      <c r="H233" s="25">
        <v>333000</v>
      </c>
      <c r="I233" s="6">
        <f t="shared" ca="1" si="16"/>
        <v>12</v>
      </c>
      <c r="J233" s="13" t="str">
        <f t="shared" ca="1" si="19"/>
        <v>정상</v>
      </c>
      <c r="K233" s="11"/>
      <c r="L233" s="11">
        <v>46112</v>
      </c>
      <c r="M233" s="10"/>
      <c r="N233" s="10" t="s">
        <v>33</v>
      </c>
      <c r="Q233" s="11"/>
      <c r="R233" s="11"/>
      <c r="S233" s="10"/>
    </row>
    <row r="234" spans="2:19" s="6" customFormat="1" ht="16.5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81</v>
      </c>
      <c r="F234" s="23" t="s">
        <v>355</v>
      </c>
      <c r="G234" s="6" t="s">
        <v>368</v>
      </c>
      <c r="H234" s="25">
        <v>2835000</v>
      </c>
      <c r="I234" s="6">
        <f t="shared" ca="1" si="16"/>
        <v>19</v>
      </c>
      <c r="J234" s="13" t="str">
        <f t="shared" ca="1" si="19"/>
        <v>정상</v>
      </c>
      <c r="K234" s="11"/>
      <c r="L234" s="11"/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128</v>
      </c>
      <c r="F235" s="23" t="s">
        <v>356</v>
      </c>
      <c r="G235" s="6" t="s">
        <v>368</v>
      </c>
      <c r="H235" s="25">
        <v>351900</v>
      </c>
      <c r="I235" s="6">
        <f t="shared" ca="1" si="16"/>
        <v>0</v>
      </c>
      <c r="J235" s="13" t="str">
        <f t="shared" ca="1" si="19"/>
        <v>정상</v>
      </c>
      <c r="K235" s="11"/>
      <c r="L235" s="11">
        <v>46100</v>
      </c>
      <c r="M235" s="10"/>
      <c r="N235" s="10" t="s">
        <v>33</v>
      </c>
      <c r="Q235" s="11"/>
      <c r="R235" s="11"/>
      <c r="S235" s="10"/>
    </row>
    <row r="236" spans="2:19" s="6" customFormat="1" ht="16.5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17</v>
      </c>
      <c r="F236" s="23" t="s">
        <v>357</v>
      </c>
      <c r="G236" s="6" t="s">
        <v>368</v>
      </c>
      <c r="H236" s="25">
        <v>839000</v>
      </c>
      <c r="I236" s="6">
        <f t="shared" ca="1" si="16"/>
        <v>19</v>
      </c>
      <c r="J236" s="13" t="str">
        <f t="shared" ca="1" si="19"/>
        <v>정상</v>
      </c>
      <c r="K236" s="11"/>
      <c r="L236" s="11"/>
      <c r="M236" s="10"/>
      <c r="N236" s="10" t="s">
        <v>33</v>
      </c>
      <c r="Q236" s="11"/>
      <c r="R236" s="11"/>
      <c r="S236" s="10"/>
    </row>
    <row r="237" spans="2:19" s="6" customFormat="1" ht="16.5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367</v>
      </c>
      <c r="F237" s="23" t="s">
        <v>358</v>
      </c>
      <c r="G237" s="6" t="s">
        <v>368</v>
      </c>
      <c r="H237" s="25">
        <v>1507200</v>
      </c>
      <c r="I237" s="6">
        <f t="shared" ca="1" si="16"/>
        <v>19</v>
      </c>
      <c r="J237" s="13" t="str">
        <f t="shared" ca="1" si="19"/>
        <v>정상</v>
      </c>
      <c r="K237" s="11"/>
      <c r="L237" s="11"/>
      <c r="M237" s="10"/>
      <c r="N237" s="10" t="s">
        <v>33</v>
      </c>
      <c r="Q237" s="11"/>
      <c r="R237" s="11"/>
      <c r="S237" s="10"/>
    </row>
    <row r="238" spans="2:19" s="6" customFormat="1" ht="16.5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219</v>
      </c>
      <c r="F238" s="23" t="s">
        <v>359</v>
      </c>
      <c r="G238" s="6" t="s">
        <v>368</v>
      </c>
      <c r="H238" s="25">
        <v>585000</v>
      </c>
      <c r="I238" s="6">
        <f t="shared" ca="1" si="16"/>
        <v>19</v>
      </c>
      <c r="J238" s="13" t="str">
        <f t="shared" ca="1" si="19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221</v>
      </c>
      <c r="F239" s="23" t="s">
        <v>352</v>
      </c>
      <c r="G239" s="6" t="s">
        <v>368</v>
      </c>
      <c r="H239" s="25">
        <v>615000</v>
      </c>
      <c r="I239" s="6">
        <f t="shared" ca="1" si="16"/>
        <v>19</v>
      </c>
      <c r="J239" s="13" t="str">
        <f t="shared" ca="1" si="19"/>
        <v>정상</v>
      </c>
      <c r="K239" s="11"/>
      <c r="L239" s="11"/>
      <c r="M239" s="10"/>
      <c r="N239" s="10" t="s">
        <v>33</v>
      </c>
      <c r="Q239" s="11"/>
      <c r="R239" s="11"/>
      <c r="S239" s="10"/>
    </row>
    <row r="240" spans="2:19" s="6" customFormat="1" ht="16.5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219</v>
      </c>
      <c r="F240" s="23" t="s">
        <v>360</v>
      </c>
      <c r="G240" s="6" t="s">
        <v>368</v>
      </c>
      <c r="H240" s="25">
        <v>44793500</v>
      </c>
      <c r="I240" s="6">
        <f t="shared" ca="1" si="16"/>
        <v>19</v>
      </c>
      <c r="J240" s="13" t="str">
        <f t="shared" ca="1" si="19"/>
        <v>정상</v>
      </c>
      <c r="K240" s="11"/>
      <c r="L240" s="11"/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39</v>
      </c>
      <c r="F241" s="23" t="s">
        <v>361</v>
      </c>
      <c r="G241" s="6" t="s">
        <v>368</v>
      </c>
      <c r="H241" s="25">
        <v>602300</v>
      </c>
      <c r="I241" s="6">
        <f t="shared" ca="1" si="16"/>
        <v>12</v>
      </c>
      <c r="J241" s="13" t="str">
        <f t="shared" ca="1" si="19"/>
        <v>정상</v>
      </c>
      <c r="K241" s="11"/>
      <c r="L241" s="11">
        <v>46112</v>
      </c>
      <c r="M241" s="10"/>
      <c r="N241" s="10" t="s">
        <v>33</v>
      </c>
      <c r="Q241" s="11"/>
      <c r="R241" s="11"/>
      <c r="S241" s="10"/>
    </row>
    <row r="242" spans="2:19" s="6" customFormat="1" ht="16.5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218</v>
      </c>
      <c r="F242" s="23" t="s">
        <v>362</v>
      </c>
      <c r="G242" s="6" t="s">
        <v>368</v>
      </c>
      <c r="H242" s="25">
        <v>1180000</v>
      </c>
      <c r="I242" s="6">
        <f t="shared" ca="1" si="16"/>
        <v>19</v>
      </c>
      <c r="J242" s="13" t="str">
        <f t="shared" ca="1" si="19"/>
        <v>정상</v>
      </c>
      <c r="K242" s="11"/>
      <c r="L242" s="11"/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333</v>
      </c>
      <c r="F243" s="23" t="s">
        <v>363</v>
      </c>
      <c r="G243" s="6" t="s">
        <v>368</v>
      </c>
      <c r="H243" s="25">
        <v>3300000</v>
      </c>
      <c r="I243" s="6">
        <f t="shared" ca="1" si="16"/>
        <v>19</v>
      </c>
      <c r="J243" s="13" t="str">
        <f t="shared" ca="1" si="19"/>
        <v>정상</v>
      </c>
      <c r="K243" s="11"/>
      <c r="L243" s="11"/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>
        <f>IF(C244="","",COUNTA($C$2:C244))</f>
        <v>243</v>
      </c>
      <c r="C244" s="11">
        <v>46100</v>
      </c>
      <c r="D244" s="10" t="str">
        <f t="shared" si="18"/>
        <v>B</v>
      </c>
      <c r="E244" s="23" t="s">
        <v>218</v>
      </c>
      <c r="F244" s="23" t="s">
        <v>364</v>
      </c>
      <c r="G244" s="6" t="s">
        <v>368</v>
      </c>
      <c r="H244" s="25">
        <v>1548500</v>
      </c>
      <c r="I244" s="6">
        <f t="shared" ca="1" si="16"/>
        <v>19</v>
      </c>
      <c r="J244" s="13" t="str">
        <f t="shared" ca="1" si="19"/>
        <v>정상</v>
      </c>
      <c r="K244" s="11"/>
      <c r="L244" s="11"/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11">
        <v>46101</v>
      </c>
      <c r="D245" s="10" t="s">
        <v>243</v>
      </c>
      <c r="E245" s="6" t="s">
        <v>370</v>
      </c>
      <c r="F245" s="6" t="s">
        <v>369</v>
      </c>
      <c r="G245" s="6" t="s">
        <v>377</v>
      </c>
      <c r="H245" s="4">
        <v>10716800</v>
      </c>
      <c r="I245" s="6">
        <f t="shared" ca="1" si="16"/>
        <v>12</v>
      </c>
      <c r="J245" s="13" t="str">
        <f t="shared" ca="1" si="19"/>
        <v>정상</v>
      </c>
      <c r="K245" s="11"/>
      <c r="L245" s="11">
        <v>46113</v>
      </c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374</v>
      </c>
      <c r="F246" s="6" t="s">
        <v>371</v>
      </c>
      <c r="G246" s="6" t="s">
        <v>233</v>
      </c>
      <c r="H246" s="4">
        <v>9029600</v>
      </c>
      <c r="I246" s="6">
        <f t="shared" ca="1" si="16"/>
        <v>13</v>
      </c>
      <c r="J246" s="13" t="str">
        <f t="shared" ca="1" si="19"/>
        <v>정상</v>
      </c>
      <c r="K246" s="11"/>
      <c r="L246" s="11">
        <v>46114</v>
      </c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375</v>
      </c>
      <c r="F247" s="6" t="s">
        <v>372</v>
      </c>
      <c r="G247" s="6" t="s">
        <v>233</v>
      </c>
      <c r="H247" s="4">
        <v>6484400</v>
      </c>
      <c r="I247" s="6">
        <f t="shared" ca="1" si="16"/>
        <v>18</v>
      </c>
      <c r="J247" s="13" t="str">
        <f t="shared" ca="1" si="19"/>
        <v>정상</v>
      </c>
      <c r="K247" s="11"/>
      <c r="L247" s="11"/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39">
        <v>46101</v>
      </c>
      <c r="D248" s="10" t="s">
        <v>243</v>
      </c>
      <c r="E248" s="6" t="s">
        <v>376</v>
      </c>
      <c r="F248" s="6" t="s">
        <v>373</v>
      </c>
      <c r="G248" s="6" t="s">
        <v>233</v>
      </c>
      <c r="H248" s="4">
        <v>52857300</v>
      </c>
      <c r="I248" s="6">
        <f t="shared" ca="1" si="16"/>
        <v>11</v>
      </c>
      <c r="J248" s="13" t="str">
        <f t="shared" ca="1" si="19"/>
        <v>정상</v>
      </c>
      <c r="K248" s="11"/>
      <c r="L248" s="11">
        <v>46112</v>
      </c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383</v>
      </c>
      <c r="F249" s="23" t="s">
        <v>378</v>
      </c>
      <c r="G249" s="6" t="s">
        <v>385</v>
      </c>
      <c r="H249" s="25">
        <v>114000</v>
      </c>
      <c r="I249" s="6">
        <f t="shared" ca="1" si="16"/>
        <v>18</v>
      </c>
      <c r="J249" s="13" t="str">
        <f t="shared" ca="1" si="19"/>
        <v>정상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24</v>
      </c>
      <c r="F250" s="23" t="s">
        <v>379</v>
      </c>
      <c r="G250" s="6" t="s">
        <v>385</v>
      </c>
      <c r="H250" s="25">
        <v>9563000</v>
      </c>
      <c r="I250" s="6">
        <f t="shared" ca="1" si="16"/>
        <v>18</v>
      </c>
      <c r="J250" s="13" t="str">
        <f t="shared" ca="1" si="19"/>
        <v>정상</v>
      </c>
      <c r="K250" s="11"/>
      <c r="L250" s="11"/>
      <c r="M250" s="10"/>
      <c r="N250" s="10" t="s">
        <v>20</v>
      </c>
      <c r="O250" s="6" t="s">
        <v>58</v>
      </c>
      <c r="P250" s="6" t="s">
        <v>153</v>
      </c>
      <c r="Q250" s="11"/>
      <c r="R250" s="11"/>
      <c r="S250" s="10"/>
    </row>
    <row r="251" spans="2:19" s="6" customFormat="1" ht="16.5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100</v>
      </c>
      <c r="F251" s="23" t="s">
        <v>380</v>
      </c>
      <c r="G251" s="6" t="s">
        <v>385</v>
      </c>
      <c r="H251" s="25">
        <v>2270000</v>
      </c>
      <c r="I251" s="6">
        <f t="shared" ca="1" si="16"/>
        <v>18</v>
      </c>
      <c r="J251" s="13" t="str">
        <f t="shared" ca="1" si="19"/>
        <v>정상</v>
      </c>
      <c r="K251" s="11"/>
      <c r="L251" s="11"/>
      <c r="M251" s="10"/>
      <c r="N251" s="10" t="s">
        <v>33</v>
      </c>
      <c r="Q251" s="11"/>
      <c r="R251" s="11"/>
      <c r="S251" s="10"/>
    </row>
    <row r="252" spans="2:19" s="6" customFormat="1" ht="16.5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384</v>
      </c>
      <c r="F252" s="23" t="s">
        <v>381</v>
      </c>
      <c r="G252" s="6" t="s">
        <v>385</v>
      </c>
      <c r="H252" s="25">
        <v>121500</v>
      </c>
      <c r="I252" s="6">
        <f t="shared" ca="1" si="16"/>
        <v>0</v>
      </c>
      <c r="J252" s="13" t="str">
        <f t="shared" ca="1" si="19"/>
        <v>정상</v>
      </c>
      <c r="K252" s="11"/>
      <c r="L252" s="11">
        <v>46101</v>
      </c>
      <c r="M252" s="10"/>
      <c r="N252" s="10" t="s">
        <v>33</v>
      </c>
      <c r="Q252" s="11"/>
      <c r="R252" s="11"/>
      <c r="S252" s="10"/>
    </row>
    <row r="253" spans="2:19" s="6" customFormat="1" ht="16.5" customHeight="1">
      <c r="B253" s="10">
        <f>IF(C253="","",COUNTA($C$2:C253))</f>
        <v>252</v>
      </c>
      <c r="C253" s="30">
        <v>46101</v>
      </c>
      <c r="D253" s="10" t="s">
        <v>178</v>
      </c>
      <c r="E253" s="23" t="s">
        <v>122</v>
      </c>
      <c r="F253" s="23" t="s">
        <v>382</v>
      </c>
      <c r="G253" s="6" t="s">
        <v>385</v>
      </c>
      <c r="H253" s="25">
        <v>658000</v>
      </c>
      <c r="I253" s="6">
        <f t="shared" ca="1" si="16"/>
        <v>18</v>
      </c>
      <c r="J253" s="13" t="str">
        <f t="shared" ca="1" si="19"/>
        <v>정상</v>
      </c>
      <c r="K253" s="11"/>
      <c r="L253" s="11"/>
      <c r="M253" s="10"/>
      <c r="N253" s="10" t="s">
        <v>33</v>
      </c>
      <c r="Q253" s="11"/>
      <c r="R253" s="11"/>
      <c r="S253" s="10"/>
    </row>
    <row r="254" spans="2:19" s="6" customFormat="1" ht="16.5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387</v>
      </c>
      <c r="F254" s="6" t="s">
        <v>386</v>
      </c>
      <c r="G254" s="6" t="s">
        <v>230</v>
      </c>
      <c r="H254" s="4">
        <v>23835400</v>
      </c>
      <c r="I254" s="6">
        <f t="shared" ca="1" si="16"/>
        <v>15</v>
      </c>
      <c r="J254" s="13" t="str">
        <f t="shared" ca="1" si="19"/>
        <v>정상</v>
      </c>
      <c r="K254" s="11"/>
      <c r="L254" s="11"/>
      <c r="M254" s="10"/>
      <c r="N254" s="10" t="s">
        <v>33</v>
      </c>
      <c r="Q254" s="11"/>
      <c r="R254" s="11"/>
      <c r="S254" s="10"/>
    </row>
    <row r="255" spans="2:19" s="6" customFormat="1" ht="16.5" customHeight="1">
      <c r="B255" s="10">
        <f>IF(C255="","",COUNTA($C$2:C255))</f>
        <v>254</v>
      </c>
      <c r="C255" s="39">
        <v>46104</v>
      </c>
      <c r="D255" s="10" t="s">
        <v>243</v>
      </c>
      <c r="E255" s="6" t="s">
        <v>389</v>
      </c>
      <c r="F255" s="6" t="s">
        <v>388</v>
      </c>
      <c r="G255" s="6" t="s">
        <v>230</v>
      </c>
      <c r="H255" s="4">
        <v>8708400</v>
      </c>
      <c r="I255" s="6">
        <f t="shared" ref="I255:I317" ca="1" si="20">IF(C255="","",IF(L255="",TODAY()-C255,L255-C255))</f>
        <v>15</v>
      </c>
      <c r="J255" s="13" t="str">
        <f t="shared" ref="J255:J286" ca="1" si="21">IF(I255="","",
 IF(G255="선급금",
   IF(I255&lt;=20,"정상",IF(I255&lt;=90,"관리","장기미수")),
 IF(G255="자재",
   IF(I255&lt;=40,"정상",IF(I255&lt;=90,"관리","장기미수")),
   IF(I255&lt;=30,"정상",IF(I255&lt;=90,"관리","장기미수"))
  )
 )
)</f>
        <v>정상</v>
      </c>
      <c r="K255" s="11"/>
      <c r="L255" s="11"/>
      <c r="M255" s="10"/>
      <c r="N255" s="10" t="s">
        <v>33</v>
      </c>
      <c r="Q255" s="11"/>
      <c r="R255" s="11"/>
      <c r="S255" s="10"/>
    </row>
    <row r="256" spans="2:19" s="6" customFormat="1" ht="16.5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393</v>
      </c>
      <c r="F256" s="6" t="s">
        <v>390</v>
      </c>
      <c r="G256" s="6" t="s">
        <v>227</v>
      </c>
      <c r="H256" s="4">
        <v>8559000</v>
      </c>
      <c r="I256" s="6">
        <f t="shared" ca="1" si="20"/>
        <v>2</v>
      </c>
      <c r="J256" s="13" t="str">
        <f t="shared" ca="1" si="21"/>
        <v>정상</v>
      </c>
      <c r="K256" s="11"/>
      <c r="L256" s="11">
        <v>46107</v>
      </c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39">
        <v>46105</v>
      </c>
      <c r="D257" s="10" t="str">
        <f t="shared" si="18"/>
        <v>A</v>
      </c>
      <c r="E257" s="6" t="s">
        <v>394</v>
      </c>
      <c r="F257" s="6" t="s">
        <v>391</v>
      </c>
      <c r="G257" s="6" t="s">
        <v>392</v>
      </c>
      <c r="H257" s="4">
        <v>3281000</v>
      </c>
      <c r="I257" s="6">
        <f t="shared" ca="1" si="20"/>
        <v>14</v>
      </c>
      <c r="J257" s="13" t="str">
        <f t="shared" ca="1" si="21"/>
        <v>정상</v>
      </c>
      <c r="K257" s="11"/>
      <c r="L257" s="11"/>
      <c r="M257" s="10"/>
      <c r="N257" s="10" t="s">
        <v>33</v>
      </c>
      <c r="Q257" s="11"/>
      <c r="R257" s="11"/>
      <c r="S257" s="10"/>
    </row>
    <row r="258" spans="2:19" s="6" customFormat="1" ht="16.5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218</v>
      </c>
      <c r="F258" s="23" t="s">
        <v>397</v>
      </c>
      <c r="G258" s="6" t="s">
        <v>416</v>
      </c>
      <c r="H258" s="4">
        <v>4290000</v>
      </c>
      <c r="I258" s="6">
        <f t="shared" ca="1" si="20"/>
        <v>15</v>
      </c>
      <c r="J258" s="13" t="str">
        <f t="shared" ca="1" si="21"/>
        <v>정상</v>
      </c>
      <c r="K258" s="11"/>
      <c r="L258" s="11"/>
      <c r="M258" s="10"/>
      <c r="N258" s="10" t="s">
        <v>33</v>
      </c>
      <c r="Q258" s="11"/>
      <c r="R258" s="11"/>
      <c r="S258" s="10"/>
    </row>
    <row r="259" spans="2:19" s="6" customFormat="1" ht="16.5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530</v>
      </c>
      <c r="F259" s="23" t="s">
        <v>398</v>
      </c>
      <c r="G259" s="6" t="s">
        <v>416</v>
      </c>
      <c r="H259" s="4">
        <v>8800000</v>
      </c>
      <c r="I259" s="6">
        <f t="shared" ca="1" si="20"/>
        <v>2</v>
      </c>
      <c r="J259" s="13" t="str">
        <f t="shared" ca="1" si="21"/>
        <v>정상</v>
      </c>
      <c r="K259" s="11"/>
      <c r="L259" s="11">
        <v>46106</v>
      </c>
      <c r="M259" s="10"/>
      <c r="N259" s="10" t="s">
        <v>33</v>
      </c>
      <c r="Q259" s="11"/>
      <c r="R259" s="11"/>
      <c r="S259" s="10"/>
    </row>
    <row r="260" spans="2:19" s="6" customFormat="1" ht="16.5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26</v>
      </c>
      <c r="F260" s="23" t="s">
        <v>399</v>
      </c>
      <c r="G260" s="6" t="s">
        <v>416</v>
      </c>
      <c r="H260" s="4">
        <v>465000</v>
      </c>
      <c r="I260" s="6">
        <f t="shared" ca="1" si="20"/>
        <v>15</v>
      </c>
      <c r="J260" s="13" t="str">
        <f t="shared" ca="1" si="21"/>
        <v>정상</v>
      </c>
      <c r="K260" s="11"/>
      <c r="L260" s="11"/>
      <c r="M260" s="10"/>
      <c r="N260" s="10" t="s">
        <v>33</v>
      </c>
      <c r="Q260" s="11"/>
      <c r="R260" s="11"/>
      <c r="S260" s="10"/>
    </row>
    <row r="261" spans="2:19" s="6" customFormat="1" ht="16.5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126</v>
      </c>
      <c r="F261" s="23" t="s">
        <v>400</v>
      </c>
      <c r="G261" s="6" t="s">
        <v>416</v>
      </c>
      <c r="H261" s="4">
        <v>5765500</v>
      </c>
      <c r="I261" s="6">
        <f t="shared" ca="1" si="20"/>
        <v>15</v>
      </c>
      <c r="J261" s="13" t="str">
        <f t="shared" ca="1" si="21"/>
        <v>정상</v>
      </c>
      <c r="K261" s="11"/>
      <c r="L261" s="11"/>
      <c r="M261" s="10"/>
      <c r="N261" s="10" t="s">
        <v>33</v>
      </c>
      <c r="Q261" s="11"/>
      <c r="R261" s="11"/>
      <c r="S261" s="10"/>
    </row>
    <row r="262" spans="2:19" s="6" customFormat="1" ht="16.5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120</v>
      </c>
      <c r="F262" s="23" t="s">
        <v>401</v>
      </c>
      <c r="G262" s="6" t="s">
        <v>416</v>
      </c>
      <c r="H262" s="4">
        <v>222000</v>
      </c>
      <c r="I262" s="6">
        <f t="shared" ca="1" si="20"/>
        <v>11</v>
      </c>
      <c r="J262" s="13" t="str">
        <f t="shared" ca="1" si="21"/>
        <v>정상</v>
      </c>
      <c r="K262" s="11"/>
      <c r="L262" s="11">
        <v>46115</v>
      </c>
      <c r="M262" s="10"/>
      <c r="N262" s="10" t="s">
        <v>33</v>
      </c>
      <c r="Q262" s="11"/>
      <c r="R262" s="11"/>
      <c r="S262" s="10"/>
    </row>
    <row r="263" spans="2:19" s="6" customFormat="1" ht="16.5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207</v>
      </c>
      <c r="F263" s="23" t="s">
        <v>402</v>
      </c>
      <c r="G263" s="6" t="s">
        <v>416</v>
      </c>
      <c r="H263" s="4">
        <v>1866000</v>
      </c>
      <c r="I263" s="6">
        <f t="shared" ca="1" si="20"/>
        <v>15</v>
      </c>
      <c r="J263" s="13" t="str">
        <f t="shared" ca="1" si="21"/>
        <v>정상</v>
      </c>
      <c r="K263" s="11"/>
      <c r="L263" s="11"/>
      <c r="M263" s="10"/>
      <c r="N263" s="10" t="s">
        <v>33</v>
      </c>
      <c r="Q263" s="11"/>
      <c r="R263" s="11"/>
      <c r="S263" s="10"/>
    </row>
    <row r="264" spans="2:19" s="6" customFormat="1" ht="16.5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179</v>
      </c>
      <c r="F264" s="23" t="s">
        <v>403</v>
      </c>
      <c r="G264" s="6" t="s">
        <v>416</v>
      </c>
      <c r="H264" s="4">
        <v>798500</v>
      </c>
      <c r="I264" s="6">
        <f t="shared" ca="1" si="20"/>
        <v>15</v>
      </c>
      <c r="J264" s="13" t="str">
        <f t="shared" ca="1" si="21"/>
        <v>정상</v>
      </c>
      <c r="K264" s="11"/>
      <c r="L264" s="11"/>
      <c r="M264" s="10"/>
      <c r="N264" s="10" t="s">
        <v>33</v>
      </c>
      <c r="Q264" s="11"/>
      <c r="R264" s="11"/>
      <c r="S264" s="10"/>
    </row>
    <row r="265" spans="2:19" s="6" customFormat="1" ht="16.5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395</v>
      </c>
      <c r="F265" s="23" t="s">
        <v>404</v>
      </c>
      <c r="G265" s="6" t="s">
        <v>416</v>
      </c>
      <c r="H265" s="4">
        <v>5442500</v>
      </c>
      <c r="I265" s="6">
        <f t="shared" ca="1" si="20"/>
        <v>15</v>
      </c>
      <c r="J265" s="13" t="str">
        <f t="shared" ca="1" si="21"/>
        <v>정상</v>
      </c>
      <c r="K265" s="11"/>
      <c r="L265" s="11"/>
      <c r="M265" s="10"/>
      <c r="N265" s="10" t="s">
        <v>33</v>
      </c>
      <c r="Q265" s="11"/>
      <c r="R265" s="11"/>
      <c r="S265" s="10"/>
    </row>
    <row r="266" spans="2:19" s="6" customFormat="1" ht="16.5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208</v>
      </c>
      <c r="F266" s="23" t="s">
        <v>405</v>
      </c>
      <c r="G266" s="6" t="s">
        <v>416</v>
      </c>
      <c r="H266" s="4">
        <v>2969500</v>
      </c>
      <c r="I266" s="6">
        <f t="shared" ca="1" si="20"/>
        <v>15</v>
      </c>
      <c r="J266" s="13" t="str">
        <f t="shared" ca="1" si="21"/>
        <v>정상</v>
      </c>
      <c r="K266" s="11"/>
      <c r="L266" s="11"/>
      <c r="M266" s="10"/>
      <c r="N266" s="10" t="s">
        <v>33</v>
      </c>
      <c r="Q266" s="11"/>
      <c r="R266" s="11"/>
      <c r="S266" s="10"/>
    </row>
    <row r="267" spans="2:19" s="6" customFormat="1" ht="16.5" customHeight="1">
      <c r="B267" s="10">
        <f>IF(C267="","",COUNTA($C$2:C267))</f>
        <v>266</v>
      </c>
      <c r="C267" s="11">
        <v>46104</v>
      </c>
      <c r="D267" s="10" t="str">
        <f t="shared" si="18"/>
        <v>B</v>
      </c>
      <c r="E267" s="6" t="s">
        <v>195</v>
      </c>
      <c r="F267" s="23" t="s">
        <v>406</v>
      </c>
      <c r="G267" s="6" t="s">
        <v>416</v>
      </c>
      <c r="H267" s="4">
        <v>10451300</v>
      </c>
      <c r="I267" s="6">
        <f t="shared" ca="1" si="20"/>
        <v>15</v>
      </c>
      <c r="J267" s="13" t="str">
        <f t="shared" ca="1" si="21"/>
        <v>정상</v>
      </c>
      <c r="K267" s="11"/>
      <c r="L267" s="11"/>
      <c r="M267" s="10"/>
      <c r="N267" s="10" t="s">
        <v>33</v>
      </c>
      <c r="Q267" s="11"/>
      <c r="R267" s="11"/>
      <c r="S267" s="10"/>
    </row>
    <row r="268" spans="2:19" s="6" customFormat="1" ht="16.5" customHeight="1">
      <c r="B268" s="10">
        <f>IF(C268="","",COUNTA($C$2:C268))</f>
        <v>267</v>
      </c>
      <c r="C268" s="11">
        <v>46104</v>
      </c>
      <c r="D268" s="10" t="str">
        <f t="shared" ref="D268:D308" si="22">IF(G268="","",IF(OR(G268="선급금",G268="중도금",G268="잔금"),"A",IF(G268="자재","B",IF(G268="특허료","C",""))))</f>
        <v>B</v>
      </c>
      <c r="E268" s="6" t="s">
        <v>108</v>
      </c>
      <c r="F268" s="23" t="s">
        <v>407</v>
      </c>
      <c r="G268" s="6" t="s">
        <v>416</v>
      </c>
      <c r="H268" s="4">
        <v>2250000</v>
      </c>
      <c r="I268" s="6">
        <f t="shared" ca="1" si="20"/>
        <v>15</v>
      </c>
      <c r="J268" s="13" t="str">
        <f t="shared" ca="1" si="21"/>
        <v>정상</v>
      </c>
      <c r="K268" s="11"/>
      <c r="L268" s="11"/>
      <c r="M268" s="10"/>
      <c r="N268" s="10" t="s">
        <v>33</v>
      </c>
      <c r="Q268" s="11"/>
      <c r="R268" s="11"/>
      <c r="S268" s="10"/>
    </row>
    <row r="269" spans="2:19" s="6" customFormat="1" ht="16.5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408</v>
      </c>
      <c r="G269" s="6" t="s">
        <v>416</v>
      </c>
      <c r="H269" s="4">
        <v>2711000</v>
      </c>
      <c r="I269" s="6">
        <f t="shared" ca="1" si="20"/>
        <v>14</v>
      </c>
      <c r="J269" s="13" t="str">
        <f t="shared" ca="1" si="21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126</v>
      </c>
      <c r="F270" s="23" t="s">
        <v>409</v>
      </c>
      <c r="G270" s="6" t="s">
        <v>416</v>
      </c>
      <c r="H270" s="4">
        <v>10539000</v>
      </c>
      <c r="I270" s="6">
        <f t="shared" ca="1" si="20"/>
        <v>14</v>
      </c>
      <c r="J270" s="13" t="str">
        <f t="shared" ca="1" si="21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396</v>
      </c>
      <c r="F271" s="23" t="s">
        <v>410</v>
      </c>
      <c r="G271" s="6" t="s">
        <v>416</v>
      </c>
      <c r="H271" s="4">
        <v>1021000</v>
      </c>
      <c r="I271" s="6">
        <f t="shared" ca="1" si="20"/>
        <v>14</v>
      </c>
      <c r="J271" s="13" t="str">
        <f t="shared" ca="1" si="21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98</v>
      </c>
      <c r="F272" s="23" t="s">
        <v>411</v>
      </c>
      <c r="G272" s="6" t="s">
        <v>416</v>
      </c>
      <c r="H272" s="4">
        <v>427800</v>
      </c>
      <c r="I272" s="6">
        <f t="shared" ca="1" si="20"/>
        <v>14</v>
      </c>
      <c r="J272" s="13" t="str">
        <f t="shared" ca="1" si="21"/>
        <v>정상</v>
      </c>
      <c r="K272" s="11"/>
      <c r="L272" s="11"/>
      <c r="M272" s="10"/>
      <c r="N272" s="10" t="s">
        <v>33</v>
      </c>
      <c r="Q272" s="11"/>
      <c r="R272" s="11"/>
      <c r="S272" s="10"/>
    </row>
    <row r="273" spans="2:19" s="6" customFormat="1" ht="16.5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218</v>
      </c>
      <c r="F273" s="23" t="s">
        <v>412</v>
      </c>
      <c r="G273" s="6" t="s">
        <v>416</v>
      </c>
      <c r="H273" s="4">
        <v>1180000</v>
      </c>
      <c r="I273" s="6">
        <f t="shared" ca="1" si="20"/>
        <v>14</v>
      </c>
      <c r="J273" s="13" t="str">
        <f t="shared" ca="1" si="21"/>
        <v>정상</v>
      </c>
      <c r="K273" s="11"/>
      <c r="L273" s="11"/>
      <c r="M273" s="10"/>
      <c r="N273" s="10" t="s">
        <v>33</v>
      </c>
      <c r="Q273" s="11"/>
      <c r="R273" s="11"/>
      <c r="S273" s="10"/>
    </row>
    <row r="274" spans="2:19" s="6" customFormat="1" ht="16.5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208</v>
      </c>
      <c r="F274" s="23" t="s">
        <v>413</v>
      </c>
      <c r="G274" s="6" t="s">
        <v>416</v>
      </c>
      <c r="H274" s="4">
        <v>4520000</v>
      </c>
      <c r="I274" s="6">
        <f t="shared" ca="1" si="20"/>
        <v>14</v>
      </c>
      <c r="J274" s="13" t="str">
        <f t="shared" ca="1" si="21"/>
        <v>정상</v>
      </c>
      <c r="K274" s="11"/>
      <c r="L274" s="11"/>
      <c r="M274" s="10"/>
      <c r="N274" s="10" t="s">
        <v>33</v>
      </c>
      <c r="Q274" s="11"/>
      <c r="R274" s="11"/>
      <c r="S274" s="10"/>
    </row>
    <row r="275" spans="2:19" s="6" customFormat="1" ht="16.5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126</v>
      </c>
      <c r="F275" s="23" t="s">
        <v>414</v>
      </c>
      <c r="G275" s="6" t="s">
        <v>416</v>
      </c>
      <c r="H275" s="4">
        <v>157000</v>
      </c>
      <c r="I275" s="6">
        <f t="shared" ca="1" si="20"/>
        <v>14</v>
      </c>
      <c r="J275" s="13" t="str">
        <f t="shared" ca="1" si="21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customHeight="1">
      <c r="B276" s="10">
        <f>IF(C276="","",COUNTA($C$2:C276))</f>
        <v>275</v>
      </c>
      <c r="C276" s="11">
        <v>46105</v>
      </c>
      <c r="D276" s="10" t="str">
        <f t="shared" si="22"/>
        <v>B</v>
      </c>
      <c r="E276" s="6" t="s">
        <v>222</v>
      </c>
      <c r="F276" s="23" t="s">
        <v>415</v>
      </c>
      <c r="G276" s="6" t="s">
        <v>416</v>
      </c>
      <c r="H276" s="4">
        <v>2380000</v>
      </c>
      <c r="I276" s="6">
        <f t="shared" ca="1" si="20"/>
        <v>14</v>
      </c>
      <c r="J276" s="13" t="str">
        <f t="shared" ca="1" si="21"/>
        <v>정상</v>
      </c>
      <c r="K276" s="11"/>
      <c r="L276" s="11"/>
      <c r="M276" s="10"/>
      <c r="N276" s="10" t="s">
        <v>33</v>
      </c>
      <c r="Q276" s="11"/>
      <c r="R276" s="11"/>
      <c r="S276" s="10"/>
    </row>
    <row r="277" spans="2:19" s="6" customFormat="1" ht="16.5" customHeight="1">
      <c r="B277" s="10">
        <f>IF(C277="","",COUNTA($C$2:C277))</f>
        <v>276</v>
      </c>
      <c r="C277" s="11">
        <v>46106</v>
      </c>
      <c r="D277" s="10" t="s">
        <v>243</v>
      </c>
      <c r="E277" s="6" t="s">
        <v>421</v>
      </c>
      <c r="F277" s="6" t="s">
        <v>420</v>
      </c>
      <c r="G277" s="6" t="s">
        <v>422</v>
      </c>
      <c r="H277" s="4">
        <v>8080000</v>
      </c>
      <c r="I277" s="6">
        <f t="shared" ca="1" si="20"/>
        <v>7</v>
      </c>
      <c r="J277" s="13" t="str">
        <f t="shared" ca="1" si="21"/>
        <v>정상</v>
      </c>
      <c r="K277" s="11"/>
      <c r="L277" s="11">
        <v>46113</v>
      </c>
      <c r="M277" s="10"/>
      <c r="N277" s="10" t="s">
        <v>33</v>
      </c>
      <c r="Q277" s="11"/>
      <c r="R277" s="11"/>
      <c r="S277" s="10"/>
    </row>
    <row r="278" spans="2:19" s="6" customFormat="1" ht="16.5" customHeight="1">
      <c r="B278" s="10">
        <f>IF(C278="","",COUNTA($C$2:C278))</f>
        <v>277</v>
      </c>
      <c r="C278" s="11">
        <v>46107</v>
      </c>
      <c r="D278" s="10" t="s">
        <v>243</v>
      </c>
      <c r="E278" s="6" t="s">
        <v>423</v>
      </c>
      <c r="F278" s="6" t="s">
        <v>424</v>
      </c>
      <c r="G278" s="6" t="s">
        <v>422</v>
      </c>
      <c r="H278" s="4">
        <v>2878800</v>
      </c>
      <c r="I278" s="6">
        <f t="shared" ca="1" si="20"/>
        <v>12</v>
      </c>
      <c r="J278" s="13" t="str">
        <f t="shared" ca="1" si="21"/>
        <v>정상</v>
      </c>
      <c r="K278" s="11"/>
      <c r="L278" s="11"/>
      <c r="M278" s="10"/>
      <c r="N278" s="10" t="s">
        <v>33</v>
      </c>
      <c r="Q278" s="11"/>
      <c r="R278" s="11"/>
      <c r="S278" s="10"/>
    </row>
    <row r="279" spans="2:19" s="6" customFormat="1" ht="16.5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206</v>
      </c>
      <c r="F279" s="6" t="s">
        <v>211</v>
      </c>
      <c r="G279" s="6" t="s">
        <v>435</v>
      </c>
      <c r="H279" s="4">
        <v>350000</v>
      </c>
      <c r="I279" s="6">
        <f t="shared" ca="1" si="20"/>
        <v>0</v>
      </c>
      <c r="J279" s="13" t="str">
        <f t="shared" ca="1" si="21"/>
        <v>정상</v>
      </c>
      <c r="K279" s="11"/>
      <c r="L279" s="11">
        <v>46106</v>
      </c>
      <c r="M279" s="10"/>
      <c r="N279" s="10" t="s">
        <v>33</v>
      </c>
      <c r="Q279" s="11"/>
      <c r="R279" s="11"/>
      <c r="S279" s="10"/>
    </row>
    <row r="280" spans="2:19" s="6" customFormat="1" ht="16.5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126</v>
      </c>
      <c r="F280" s="6" t="s">
        <v>425</v>
      </c>
      <c r="G280" s="6" t="s">
        <v>435</v>
      </c>
      <c r="H280" s="4">
        <v>4748300</v>
      </c>
      <c r="I280" s="6">
        <f t="shared" ca="1" si="20"/>
        <v>13</v>
      </c>
      <c r="J280" s="13" t="str">
        <f t="shared" ca="1" si="21"/>
        <v>정상</v>
      </c>
      <c r="K280" s="11"/>
      <c r="L280" s="11"/>
      <c r="M280" s="10"/>
      <c r="N280" s="10" t="s">
        <v>33</v>
      </c>
      <c r="Q280" s="11"/>
      <c r="R280" s="11"/>
      <c r="S280" s="10"/>
    </row>
    <row r="281" spans="2:19" s="6" customFormat="1" ht="16.5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105</v>
      </c>
      <c r="F281" s="6" t="s">
        <v>426</v>
      </c>
      <c r="G281" s="6" t="s">
        <v>435</v>
      </c>
      <c r="H281" s="4">
        <v>396000</v>
      </c>
      <c r="I281" s="6">
        <f t="shared" ca="1" si="20"/>
        <v>6</v>
      </c>
      <c r="J281" s="13" t="str">
        <f t="shared" ca="1" si="21"/>
        <v>정상</v>
      </c>
      <c r="K281" s="11"/>
      <c r="L281" s="11">
        <v>46112</v>
      </c>
      <c r="M281" s="10"/>
      <c r="N281" s="10" t="s">
        <v>33</v>
      </c>
      <c r="Q281" s="11"/>
      <c r="R281" s="11"/>
      <c r="S281" s="10"/>
    </row>
    <row r="282" spans="2:19" s="6" customFormat="1" ht="16.5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126</v>
      </c>
      <c r="F282" s="6" t="s">
        <v>427</v>
      </c>
      <c r="G282" s="6" t="s">
        <v>435</v>
      </c>
      <c r="H282" s="4">
        <v>1414500</v>
      </c>
      <c r="I282" s="6">
        <f t="shared" ca="1" si="20"/>
        <v>13</v>
      </c>
      <c r="J282" s="13" t="str">
        <f t="shared" ca="1" si="21"/>
        <v>정상</v>
      </c>
      <c r="K282" s="11"/>
      <c r="L282" s="11"/>
      <c r="M282" s="10"/>
      <c r="N282" s="10" t="s">
        <v>33</v>
      </c>
      <c r="Q282" s="11"/>
      <c r="R282" s="11"/>
      <c r="S282" s="10"/>
    </row>
    <row r="283" spans="2:19" s="6" customFormat="1" ht="16.5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249</v>
      </c>
      <c r="F283" s="6" t="s">
        <v>428</v>
      </c>
      <c r="G283" s="6" t="s">
        <v>435</v>
      </c>
      <c r="H283" s="4">
        <v>936000</v>
      </c>
      <c r="I283" s="6">
        <f t="shared" ca="1" si="20"/>
        <v>13</v>
      </c>
      <c r="J283" s="13" t="str">
        <f t="shared" ca="1" si="21"/>
        <v>정상</v>
      </c>
      <c r="K283" s="11"/>
      <c r="L283" s="11"/>
      <c r="M283" s="10"/>
      <c r="N283" s="10" t="s">
        <v>33</v>
      </c>
      <c r="Q283" s="11"/>
      <c r="R283" s="11"/>
      <c r="S283" s="10"/>
    </row>
    <row r="284" spans="2:19" s="6" customFormat="1" ht="16.5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429</v>
      </c>
      <c r="G284" s="6" t="s">
        <v>435</v>
      </c>
      <c r="H284" s="4">
        <v>8336500</v>
      </c>
      <c r="I284" s="6">
        <f t="shared" ca="1" si="20"/>
        <v>13</v>
      </c>
      <c r="J284" s="13" t="str">
        <f t="shared" ca="1" si="21"/>
        <v>정상</v>
      </c>
      <c r="K284" s="11"/>
      <c r="L284" s="11"/>
      <c r="M284" s="10"/>
      <c r="N284" s="10" t="s">
        <v>33</v>
      </c>
      <c r="Q284" s="11"/>
      <c r="R284" s="11"/>
      <c r="S284" s="10"/>
    </row>
    <row r="285" spans="2:19" s="6" customFormat="1" ht="16.5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126</v>
      </c>
      <c r="F285" s="6" t="s">
        <v>430</v>
      </c>
      <c r="G285" s="6" t="s">
        <v>435</v>
      </c>
      <c r="H285" s="4">
        <v>555000</v>
      </c>
      <c r="I285" s="6">
        <f t="shared" ca="1" si="20"/>
        <v>13</v>
      </c>
      <c r="J285" s="13" t="str">
        <f t="shared" ca="1" si="21"/>
        <v>정상</v>
      </c>
      <c r="K285" s="11"/>
      <c r="L285" s="11"/>
      <c r="M285" s="10"/>
      <c r="N285" s="10" t="s">
        <v>33</v>
      </c>
      <c r="Q285" s="11"/>
      <c r="R285" s="11"/>
      <c r="S285" s="10"/>
    </row>
    <row r="286" spans="2:19" s="6" customFormat="1" ht="16.5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207</v>
      </c>
      <c r="F286" s="6" t="s">
        <v>431</v>
      </c>
      <c r="G286" s="6" t="s">
        <v>435</v>
      </c>
      <c r="H286" s="4">
        <v>508400</v>
      </c>
      <c r="I286" s="6">
        <f t="shared" ca="1" si="20"/>
        <v>13</v>
      </c>
      <c r="J286" s="13" t="str">
        <f t="shared" ca="1" si="21"/>
        <v>정상</v>
      </c>
      <c r="K286" s="11"/>
      <c r="L286" s="11"/>
      <c r="M286" s="10"/>
      <c r="N286" s="10" t="s">
        <v>33</v>
      </c>
      <c r="Q286" s="11"/>
      <c r="R286" s="11"/>
      <c r="S286" s="10"/>
    </row>
    <row r="287" spans="2:19" s="6" customFormat="1" ht="16.5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434</v>
      </c>
      <c r="F287" s="6" t="s">
        <v>432</v>
      </c>
      <c r="G287" s="6" t="s">
        <v>435</v>
      </c>
      <c r="H287" s="4">
        <v>6771000</v>
      </c>
      <c r="I287" s="6">
        <f t="shared" ca="1" si="20"/>
        <v>13</v>
      </c>
      <c r="J287" s="13" t="str">
        <f t="shared" ref="J287:J349" ca="1" si="23">IF(I287="","",
 IF(G287="선급금",
   IF(I287&lt;=20,"정상",IF(I287&lt;=90,"관리","장기미수")),
 IF(G287="자재",
   IF(I287&lt;=40,"정상",IF(I287&lt;=90,"관리","장기미수")),
   IF(I287&lt;=30,"정상",IF(I287&lt;=90,"관리","장기미수"))
  )
 )
)</f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customHeight="1">
      <c r="B288" s="10">
        <f>IF(C288="","",COUNTA($C$2:C288))</f>
        <v>287</v>
      </c>
      <c r="C288" s="11">
        <v>46106</v>
      </c>
      <c r="D288" s="10" t="s">
        <v>178</v>
      </c>
      <c r="E288" s="6" t="s">
        <v>24</v>
      </c>
      <c r="F288" s="6" t="s">
        <v>433</v>
      </c>
      <c r="G288" s="6" t="s">
        <v>435</v>
      </c>
      <c r="H288" s="4">
        <v>2997000</v>
      </c>
      <c r="I288" s="6">
        <f t="shared" ca="1" si="20"/>
        <v>13</v>
      </c>
      <c r="J288" s="13" t="str">
        <f t="shared" ca="1" si="23"/>
        <v>정상</v>
      </c>
      <c r="K288" s="11"/>
      <c r="L288" s="11"/>
      <c r="M288" s="10"/>
      <c r="N288" s="10" t="s">
        <v>20</v>
      </c>
      <c r="O288" s="6" t="s">
        <v>58</v>
      </c>
      <c r="P288" s="6" t="s">
        <v>153</v>
      </c>
      <c r="Q288" s="11"/>
      <c r="R288" s="11"/>
      <c r="S288" s="10"/>
    </row>
    <row r="289" spans="2:19" s="6" customFormat="1" ht="16.5" customHeight="1">
      <c r="B289" s="10">
        <f>IF(C289="","",COUNTA($C$2:C289))</f>
        <v>288</v>
      </c>
      <c r="C289" s="11">
        <v>46106</v>
      </c>
      <c r="D289" s="10" t="s">
        <v>437</v>
      </c>
      <c r="E289" s="6" t="s">
        <v>234</v>
      </c>
      <c r="F289" s="6" t="s">
        <v>232</v>
      </c>
      <c r="G289" s="6" t="s">
        <v>438</v>
      </c>
      <c r="H289" s="4">
        <v>30186600</v>
      </c>
      <c r="I289" s="6">
        <f t="shared" ca="1" si="20"/>
        <v>13</v>
      </c>
      <c r="J289" s="13" t="str">
        <f t="shared" ca="1" si="23"/>
        <v>정상</v>
      </c>
      <c r="K289" s="11"/>
      <c r="L289" s="11"/>
      <c r="M289" s="10"/>
      <c r="N289" s="10" t="s">
        <v>33</v>
      </c>
      <c r="Q289" s="11"/>
      <c r="R289" s="11"/>
      <c r="S289" s="10"/>
    </row>
    <row r="290" spans="2:19" s="6" customFormat="1" ht="16.5" customHeight="1">
      <c r="B290" s="10">
        <f>IF(C290="","",COUNTA($C$2:C290))</f>
        <v>289</v>
      </c>
      <c r="C290" s="11" t="s">
        <v>464</v>
      </c>
      <c r="D290" s="10" t="str">
        <f t="shared" si="22"/>
        <v>B</v>
      </c>
      <c r="E290" s="6" t="s">
        <v>219</v>
      </c>
      <c r="F290" s="23" t="s">
        <v>439</v>
      </c>
      <c r="G290" s="6" t="s">
        <v>458</v>
      </c>
      <c r="H290" s="25">
        <v>111000</v>
      </c>
      <c r="I290" s="6">
        <f t="shared" ca="1" si="20"/>
        <v>12</v>
      </c>
      <c r="J290" s="13" t="str">
        <f t="shared" ca="1" si="23"/>
        <v>정상</v>
      </c>
      <c r="K290" s="11"/>
      <c r="L290" s="11"/>
      <c r="M290" s="10"/>
      <c r="N290" s="10" t="s">
        <v>33</v>
      </c>
      <c r="Q290" s="11"/>
      <c r="R290" s="11"/>
      <c r="S290" s="10"/>
    </row>
    <row r="291" spans="2:19" s="6" customFormat="1" ht="16.5" customHeight="1">
      <c r="B291" s="10">
        <f>IF(C291="","",COUNTA($C$2:C291))</f>
        <v>290</v>
      </c>
      <c r="C291" s="11" t="s">
        <v>464</v>
      </c>
      <c r="D291" s="10" t="str">
        <f t="shared" si="22"/>
        <v>B</v>
      </c>
      <c r="E291" s="6" t="s">
        <v>221</v>
      </c>
      <c r="F291" s="23" t="s">
        <v>440</v>
      </c>
      <c r="G291" s="6" t="s">
        <v>458</v>
      </c>
      <c r="H291" s="25">
        <v>1135000</v>
      </c>
      <c r="I291" s="6">
        <f t="shared" ca="1" si="20"/>
        <v>12</v>
      </c>
      <c r="J291" s="13" t="str">
        <f t="shared" ca="1" si="23"/>
        <v>정상</v>
      </c>
      <c r="K291" s="11"/>
      <c r="L291" s="11"/>
      <c r="M291" s="10"/>
      <c r="N291" s="10" t="s">
        <v>33</v>
      </c>
      <c r="Q291" s="11"/>
      <c r="R291" s="11"/>
      <c r="S291" s="10"/>
    </row>
    <row r="292" spans="2:19" s="6" customFormat="1" ht="16.5" customHeight="1">
      <c r="B292" s="10">
        <f>IF(C292="","",COUNTA($C$2:C292))</f>
        <v>291</v>
      </c>
      <c r="C292" s="11" t="s">
        <v>464</v>
      </c>
      <c r="D292" s="10" t="str">
        <f t="shared" si="22"/>
        <v>B</v>
      </c>
      <c r="E292" s="6" t="s">
        <v>249</v>
      </c>
      <c r="F292" s="23" t="s">
        <v>441</v>
      </c>
      <c r="G292" s="6" t="s">
        <v>458</v>
      </c>
      <c r="H292" s="25">
        <v>14380000</v>
      </c>
      <c r="I292" s="6">
        <f t="shared" ca="1" si="20"/>
        <v>12</v>
      </c>
      <c r="J292" s="13" t="str">
        <f t="shared" ca="1" si="23"/>
        <v>정상</v>
      </c>
      <c r="K292" s="11"/>
      <c r="L292" s="11"/>
      <c r="M292" s="10"/>
      <c r="N292" s="10" t="s">
        <v>33</v>
      </c>
      <c r="Q292" s="11"/>
      <c r="R292" s="11"/>
      <c r="S292" s="10"/>
    </row>
    <row r="293" spans="2:19" s="6" customFormat="1" ht="16.5" customHeight="1">
      <c r="B293" s="10">
        <f>IF(C293="","",COUNTA($C$2:C293))</f>
        <v>292</v>
      </c>
      <c r="C293" s="11" t="s">
        <v>464</v>
      </c>
      <c r="D293" s="10" t="str">
        <f t="shared" si="22"/>
        <v>B</v>
      </c>
      <c r="E293" s="6" t="s">
        <v>221</v>
      </c>
      <c r="F293" s="23" t="s">
        <v>440</v>
      </c>
      <c r="G293" s="6" t="s">
        <v>458</v>
      </c>
      <c r="H293" s="25">
        <v>4895400</v>
      </c>
      <c r="I293" s="6">
        <f t="shared" ca="1" si="20"/>
        <v>12</v>
      </c>
      <c r="J293" s="13" t="str">
        <f t="shared" ca="1" si="23"/>
        <v>정상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customHeight="1">
      <c r="B294" s="10">
        <f>IF(C294="","",COUNTA($C$2:C294))</f>
        <v>293</v>
      </c>
      <c r="C294" s="11" t="s">
        <v>464</v>
      </c>
      <c r="D294" s="10" t="str">
        <f t="shared" si="22"/>
        <v>B</v>
      </c>
      <c r="E294" s="6" t="s">
        <v>209</v>
      </c>
      <c r="F294" s="23" t="s">
        <v>442</v>
      </c>
      <c r="G294" s="6" t="s">
        <v>458</v>
      </c>
      <c r="H294" s="25">
        <v>5473000</v>
      </c>
      <c r="I294" s="6">
        <f t="shared" ca="1" si="20"/>
        <v>12</v>
      </c>
      <c r="J294" s="13" t="str">
        <f t="shared" ca="1" si="23"/>
        <v>정상</v>
      </c>
      <c r="K294" s="11"/>
      <c r="L294" s="11"/>
      <c r="M294" s="10"/>
      <c r="N294" s="10" t="s">
        <v>33</v>
      </c>
      <c r="Q294" s="11"/>
      <c r="R294" s="11"/>
      <c r="S294" s="10"/>
    </row>
    <row r="295" spans="2:19" s="6" customFormat="1" ht="16.5" customHeight="1">
      <c r="B295" s="10">
        <f>IF(C295="","",COUNTA($C$2:C295))</f>
        <v>294</v>
      </c>
      <c r="C295" s="11" t="s">
        <v>464</v>
      </c>
      <c r="D295" s="10" t="str">
        <f t="shared" si="22"/>
        <v>B</v>
      </c>
      <c r="E295" s="6" t="s">
        <v>24</v>
      </c>
      <c r="F295" s="23" t="s">
        <v>443</v>
      </c>
      <c r="G295" s="6" t="s">
        <v>458</v>
      </c>
      <c r="H295" s="25">
        <v>52914000</v>
      </c>
      <c r="I295" s="6">
        <f t="shared" ca="1" si="20"/>
        <v>12</v>
      </c>
      <c r="J295" s="13" t="str">
        <f t="shared" ca="1" si="23"/>
        <v>정상</v>
      </c>
      <c r="K295" s="11"/>
      <c r="L295" s="11"/>
      <c r="M295" s="10"/>
      <c r="N295" s="10" t="s">
        <v>20</v>
      </c>
      <c r="O295" s="6" t="s">
        <v>58</v>
      </c>
      <c r="P295" s="6" t="s">
        <v>153</v>
      </c>
      <c r="Q295" s="11"/>
      <c r="R295" s="11"/>
      <c r="S295" s="10"/>
    </row>
    <row r="296" spans="2:19" s="6" customFormat="1" ht="16.5" customHeight="1">
      <c r="B296" s="10">
        <f>IF(C296="","",COUNTA($C$2:C296))</f>
        <v>295</v>
      </c>
      <c r="C296" s="11" t="s">
        <v>464</v>
      </c>
      <c r="D296" s="10" t="str">
        <f t="shared" si="22"/>
        <v>B</v>
      </c>
      <c r="E296" s="6" t="s">
        <v>69</v>
      </c>
      <c r="F296" s="23" t="s">
        <v>444</v>
      </c>
      <c r="G296" s="6" t="s">
        <v>458</v>
      </c>
      <c r="H296" s="25">
        <v>427500</v>
      </c>
      <c r="I296" s="6">
        <f t="shared" ca="1" si="20"/>
        <v>12</v>
      </c>
      <c r="J296" s="13" t="str">
        <f t="shared" ca="1" si="23"/>
        <v>정상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customHeight="1">
      <c r="B297" s="10">
        <f>IF(C297="","",COUNTA($C$2:C297))</f>
        <v>296</v>
      </c>
      <c r="C297" s="11" t="s">
        <v>464</v>
      </c>
      <c r="D297" s="10" t="str">
        <f t="shared" si="22"/>
        <v>B</v>
      </c>
      <c r="E297" s="6" t="s">
        <v>195</v>
      </c>
      <c r="F297" s="23" t="s">
        <v>445</v>
      </c>
      <c r="G297" s="6" t="s">
        <v>458</v>
      </c>
      <c r="H297" s="25">
        <v>5032500</v>
      </c>
      <c r="I297" s="6">
        <f t="shared" ca="1" si="20"/>
        <v>12</v>
      </c>
      <c r="J297" s="13" t="str">
        <f t="shared" ca="1" si="23"/>
        <v>정상</v>
      </c>
      <c r="K297" s="11"/>
      <c r="L297" s="11"/>
      <c r="M297" s="10"/>
      <c r="N297" s="10" t="s">
        <v>33</v>
      </c>
      <c r="Q297" s="11"/>
      <c r="R297" s="11"/>
      <c r="S297" s="10"/>
    </row>
    <row r="298" spans="2:19" s="6" customFormat="1" ht="16.5" customHeight="1">
      <c r="B298" s="10">
        <f>IF(C298="","",COUNTA($C$2:C298))</f>
        <v>297</v>
      </c>
      <c r="C298" s="11" t="s">
        <v>464</v>
      </c>
      <c r="D298" s="10" t="str">
        <f t="shared" si="22"/>
        <v>B</v>
      </c>
      <c r="E298" s="6" t="s">
        <v>56</v>
      </c>
      <c r="F298" s="23" t="s">
        <v>446</v>
      </c>
      <c r="G298" s="6" t="s">
        <v>458</v>
      </c>
      <c r="H298" s="25">
        <v>987000</v>
      </c>
      <c r="I298" s="6">
        <f t="shared" ca="1" si="20"/>
        <v>0</v>
      </c>
      <c r="J298" s="13" t="str">
        <f t="shared" ca="1" si="23"/>
        <v>정상</v>
      </c>
      <c r="K298" s="11"/>
      <c r="L298" s="11">
        <v>46107</v>
      </c>
      <c r="M298" s="10"/>
      <c r="N298" s="10" t="s">
        <v>33</v>
      </c>
      <c r="Q298" s="11"/>
      <c r="R298" s="11"/>
      <c r="S298" s="10"/>
    </row>
    <row r="299" spans="2:19" s="6" customFormat="1" ht="16.5" customHeight="1">
      <c r="B299" s="10">
        <f>IF(C299="","",COUNTA($C$2:C299))</f>
        <v>298</v>
      </c>
      <c r="C299" s="11" t="s">
        <v>464</v>
      </c>
      <c r="D299" s="10" t="str">
        <f t="shared" si="22"/>
        <v>B</v>
      </c>
      <c r="E299" s="6" t="s">
        <v>459</v>
      </c>
      <c r="F299" s="23" t="s">
        <v>447</v>
      </c>
      <c r="G299" s="6" t="s">
        <v>458</v>
      </c>
      <c r="H299" s="25">
        <v>2884600</v>
      </c>
      <c r="I299" s="6">
        <f t="shared" ca="1" si="20"/>
        <v>12</v>
      </c>
      <c r="J299" s="13" t="str">
        <f t="shared" ca="1" si="23"/>
        <v>정상</v>
      </c>
      <c r="K299" s="11"/>
      <c r="L299" s="11"/>
      <c r="M299" s="10"/>
      <c r="N299" s="10" t="s">
        <v>33</v>
      </c>
      <c r="Q299" s="11"/>
      <c r="R299" s="11"/>
      <c r="S299" s="10"/>
    </row>
    <row r="300" spans="2:19" s="6" customFormat="1" ht="16.5" customHeight="1">
      <c r="B300" s="10">
        <f>IF(C300="","",COUNTA($C$2:C300))</f>
        <v>299</v>
      </c>
      <c r="C300" s="11" t="s">
        <v>464</v>
      </c>
      <c r="D300" s="10" t="str">
        <f t="shared" si="22"/>
        <v>B</v>
      </c>
      <c r="E300" s="6" t="s">
        <v>98</v>
      </c>
      <c r="F300" s="23" t="s">
        <v>448</v>
      </c>
      <c r="G300" s="6" t="s">
        <v>458</v>
      </c>
      <c r="H300" s="25">
        <v>180000</v>
      </c>
      <c r="I300" s="6">
        <f t="shared" ca="1" si="20"/>
        <v>12</v>
      </c>
      <c r="J300" s="13" t="str">
        <f t="shared" ca="1" si="23"/>
        <v>정상</v>
      </c>
      <c r="K300" s="11"/>
      <c r="L300" s="11"/>
      <c r="M300" s="10"/>
      <c r="N300" s="10" t="s">
        <v>33</v>
      </c>
      <c r="Q300" s="11"/>
      <c r="R300" s="11"/>
      <c r="S300" s="10"/>
    </row>
    <row r="301" spans="2:19" s="6" customFormat="1" ht="16.5" customHeight="1">
      <c r="B301" s="10">
        <f>IF(C301="","",COUNTA($C$2:C301))</f>
        <v>300</v>
      </c>
      <c r="C301" s="11" t="s">
        <v>464</v>
      </c>
      <c r="D301" s="10" t="str">
        <f t="shared" si="22"/>
        <v>B</v>
      </c>
      <c r="E301" s="6" t="s">
        <v>126</v>
      </c>
      <c r="F301" s="23" t="s">
        <v>449</v>
      </c>
      <c r="G301" s="6" t="s">
        <v>458</v>
      </c>
      <c r="H301" s="25">
        <v>24591000</v>
      </c>
      <c r="I301" s="6">
        <f t="shared" ca="1" si="20"/>
        <v>12</v>
      </c>
      <c r="J301" s="13" t="str">
        <f t="shared" ca="1" si="23"/>
        <v>정상</v>
      </c>
      <c r="K301" s="11"/>
      <c r="L301" s="11"/>
      <c r="M301" s="10"/>
      <c r="N301" s="10" t="s">
        <v>33</v>
      </c>
      <c r="Q301" s="11"/>
      <c r="R301" s="11"/>
      <c r="S301" s="10"/>
    </row>
    <row r="302" spans="2:19" s="6" customFormat="1" ht="16.5" customHeight="1">
      <c r="B302" s="10">
        <f>IF(C302="","",COUNTA($C$2:C302))</f>
        <v>301</v>
      </c>
      <c r="C302" s="11" t="s">
        <v>464</v>
      </c>
      <c r="D302" s="10" t="str">
        <f t="shared" si="22"/>
        <v>B</v>
      </c>
      <c r="E302" s="6" t="s">
        <v>208</v>
      </c>
      <c r="F302" s="23" t="s">
        <v>450</v>
      </c>
      <c r="G302" s="6" t="s">
        <v>458</v>
      </c>
      <c r="H302" s="25">
        <v>3390000</v>
      </c>
      <c r="I302" s="6">
        <f t="shared" ca="1" si="20"/>
        <v>12</v>
      </c>
      <c r="J302" s="13" t="str">
        <f t="shared" ca="1" si="23"/>
        <v>정상</v>
      </c>
      <c r="K302" s="11"/>
      <c r="L302" s="11"/>
      <c r="M302" s="10"/>
      <c r="N302" s="10" t="s">
        <v>33</v>
      </c>
      <c r="Q302" s="11"/>
      <c r="R302" s="11"/>
      <c r="S302" s="10"/>
    </row>
    <row r="303" spans="2:19" s="6" customFormat="1" ht="16.5" customHeight="1">
      <c r="B303" s="10">
        <f>IF(C303="","",COUNTA($C$2:C303))</f>
        <v>302</v>
      </c>
      <c r="C303" s="11" t="s">
        <v>464</v>
      </c>
      <c r="D303" s="10" t="str">
        <f t="shared" si="22"/>
        <v>B</v>
      </c>
      <c r="E303" s="6" t="s">
        <v>222</v>
      </c>
      <c r="F303" s="23" t="s">
        <v>451</v>
      </c>
      <c r="G303" s="6" t="s">
        <v>458</v>
      </c>
      <c r="H303" s="25">
        <v>4637500</v>
      </c>
      <c r="I303" s="6">
        <f t="shared" ca="1" si="20"/>
        <v>12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customHeight="1">
      <c r="B304" s="10">
        <f>IF(C304="","",COUNTA($C$2:C304))</f>
        <v>303</v>
      </c>
      <c r="C304" s="11" t="s">
        <v>465</v>
      </c>
      <c r="D304" s="10" t="str">
        <f t="shared" si="22"/>
        <v>B</v>
      </c>
      <c r="E304" s="6" t="s">
        <v>81</v>
      </c>
      <c r="F304" s="23" t="s">
        <v>452</v>
      </c>
      <c r="G304" s="6" t="s">
        <v>458</v>
      </c>
      <c r="H304" s="25">
        <v>121500</v>
      </c>
      <c r="I304" s="6">
        <f t="shared" ca="1" si="20"/>
        <v>11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customHeight="1">
      <c r="B305" s="10">
        <f>IF(C305="","",COUNTA($C$2:C305))</f>
        <v>304</v>
      </c>
      <c r="C305" s="11" t="s">
        <v>465</v>
      </c>
      <c r="D305" s="10" t="str">
        <f t="shared" si="22"/>
        <v>B</v>
      </c>
      <c r="E305" s="6" t="s">
        <v>460</v>
      </c>
      <c r="F305" s="23" t="s">
        <v>453</v>
      </c>
      <c r="G305" s="6" t="s">
        <v>458</v>
      </c>
      <c r="H305" s="25">
        <v>13647200</v>
      </c>
      <c r="I305" s="6">
        <f t="shared" ca="1" si="20"/>
        <v>11</v>
      </c>
      <c r="J305" s="13" t="str">
        <f t="shared" ca="1" si="23"/>
        <v>정상</v>
      </c>
      <c r="K305" s="11"/>
      <c r="L305" s="11"/>
      <c r="M305" s="10"/>
      <c r="N305" s="10" t="s">
        <v>33</v>
      </c>
      <c r="Q305" s="11"/>
      <c r="R305" s="11"/>
      <c r="S305" s="10"/>
    </row>
    <row r="306" spans="2:19" s="6" customFormat="1" ht="16.5" customHeight="1">
      <c r="B306" s="10">
        <f>IF(C306="","",COUNTA($C$2:C306))</f>
        <v>305</v>
      </c>
      <c r="C306" s="11" t="s">
        <v>465</v>
      </c>
      <c r="D306" s="10" t="str">
        <f t="shared" si="22"/>
        <v>B</v>
      </c>
      <c r="E306" s="6" t="s">
        <v>108</v>
      </c>
      <c r="F306" s="23" t="s">
        <v>454</v>
      </c>
      <c r="G306" s="6" t="s">
        <v>458</v>
      </c>
      <c r="H306" s="25">
        <v>1810000</v>
      </c>
      <c r="I306" s="6">
        <f t="shared" ca="1" si="20"/>
        <v>11</v>
      </c>
      <c r="J306" s="13" t="str">
        <f t="shared" ca="1" si="23"/>
        <v>정상</v>
      </c>
      <c r="K306" s="11"/>
      <c r="L306" s="11"/>
      <c r="M306" s="10"/>
      <c r="N306" s="10" t="s">
        <v>33</v>
      </c>
      <c r="Q306" s="11"/>
      <c r="R306" s="11"/>
      <c r="S306" s="10"/>
    </row>
    <row r="307" spans="2:19" s="6" customFormat="1" ht="16.5" customHeight="1">
      <c r="B307" s="10">
        <f>IF(C307="","",COUNTA($C$2:C307))</f>
        <v>306</v>
      </c>
      <c r="C307" s="11" t="s">
        <v>465</v>
      </c>
      <c r="D307" s="10" t="str">
        <f t="shared" si="22"/>
        <v>B</v>
      </c>
      <c r="E307" s="6" t="s">
        <v>108</v>
      </c>
      <c r="F307" s="23" t="s">
        <v>454</v>
      </c>
      <c r="G307" s="6" t="s">
        <v>458</v>
      </c>
      <c r="H307" s="25">
        <v>33000000</v>
      </c>
      <c r="I307" s="6">
        <f t="shared" ca="1" si="20"/>
        <v>11</v>
      </c>
      <c r="J307" s="13" t="str">
        <f t="shared" ca="1" si="23"/>
        <v>정상</v>
      </c>
      <c r="K307" s="11"/>
      <c r="L307" s="11"/>
      <c r="M307" s="10"/>
      <c r="N307" s="10" t="s">
        <v>33</v>
      </c>
      <c r="Q307" s="11"/>
      <c r="R307" s="11"/>
      <c r="S307" s="10"/>
    </row>
    <row r="308" spans="2:19" s="6" customFormat="1" ht="16.5" customHeight="1">
      <c r="B308" s="10">
        <f>IF(C308="","",COUNTA($C$2:C308))</f>
        <v>307</v>
      </c>
      <c r="C308" s="11" t="s">
        <v>465</v>
      </c>
      <c r="D308" s="10" t="str">
        <f t="shared" si="22"/>
        <v>B</v>
      </c>
      <c r="E308" s="6" t="s">
        <v>461</v>
      </c>
      <c r="F308" s="23" t="s">
        <v>455</v>
      </c>
      <c r="G308" s="6" t="s">
        <v>458</v>
      </c>
      <c r="H308" s="25">
        <v>548000</v>
      </c>
      <c r="I308" s="6">
        <f t="shared" ca="1" si="20"/>
        <v>11</v>
      </c>
      <c r="J308" s="13" t="str">
        <f t="shared" ca="1" si="23"/>
        <v>정상</v>
      </c>
      <c r="K308" s="11"/>
      <c r="L308" s="11"/>
      <c r="M308" s="10"/>
      <c r="N308" s="10" t="s">
        <v>33</v>
      </c>
      <c r="Q308" s="11"/>
      <c r="R308" s="11"/>
      <c r="S308" s="10"/>
    </row>
    <row r="309" spans="2:19" s="6" customFormat="1" ht="16.5" customHeight="1">
      <c r="B309" s="10">
        <f>IF(C309="","",COUNTA($C$2:C309))</f>
        <v>308</v>
      </c>
      <c r="C309" s="11" t="s">
        <v>466</v>
      </c>
      <c r="D309" s="10" t="str">
        <f>IF(G310="","",IF(OR(G310="선급금",G310="중도금",G310="잔금"),"A",IF(G310="자재","B",IF(G310="특허료","C",""))))</f>
        <v>B</v>
      </c>
      <c r="E309" s="6" t="s">
        <v>462</v>
      </c>
      <c r="F309" s="23" t="s">
        <v>456</v>
      </c>
      <c r="G309" s="6" t="s">
        <v>458</v>
      </c>
      <c r="H309" s="25">
        <v>216000</v>
      </c>
      <c r="I309" s="6">
        <f t="shared" ca="1" si="20"/>
        <v>0</v>
      </c>
      <c r="J309" s="13" t="str">
        <f t="shared" ca="1" si="23"/>
        <v>정상</v>
      </c>
      <c r="K309" s="11"/>
      <c r="L309" s="11">
        <v>46111</v>
      </c>
      <c r="M309" s="10"/>
      <c r="N309" s="10" t="s">
        <v>33</v>
      </c>
      <c r="Q309" s="11"/>
      <c r="R309" s="11"/>
      <c r="S309" s="10"/>
    </row>
    <row r="310" spans="2:19" s="6" customFormat="1" ht="16.5" customHeight="1">
      <c r="B310" s="10">
        <f>IF(C310="","",COUNTA($C$2:C310))</f>
        <v>309</v>
      </c>
      <c r="C310" s="11" t="s">
        <v>466</v>
      </c>
      <c r="D310" s="10" t="s">
        <v>178</v>
      </c>
      <c r="E310" s="6" t="s">
        <v>463</v>
      </c>
      <c r="F310" s="23" t="s">
        <v>457</v>
      </c>
      <c r="G310" s="6" t="s">
        <v>458</v>
      </c>
      <c r="H310" s="25">
        <v>35839300</v>
      </c>
      <c r="I310" s="6">
        <f t="shared" ca="1" si="20"/>
        <v>8</v>
      </c>
      <c r="J310" s="13" t="str">
        <f t="shared" ca="1" si="23"/>
        <v>정상</v>
      </c>
      <c r="K310" s="11"/>
      <c r="L310" s="11"/>
      <c r="M310" s="10"/>
      <c r="N310" s="10" t="s">
        <v>33</v>
      </c>
      <c r="Q310" s="11"/>
      <c r="R310" s="11"/>
      <c r="S310" s="10"/>
    </row>
    <row r="311" spans="2:19" s="6" customFormat="1" ht="16.5" customHeight="1">
      <c r="B311" s="10">
        <f>IF(C311="","",COUNTA($C$2:C311))</f>
        <v>310</v>
      </c>
      <c r="C311" s="11">
        <v>46111</v>
      </c>
      <c r="D311" s="10" t="s">
        <v>243</v>
      </c>
      <c r="E311" s="6" t="s">
        <v>469</v>
      </c>
      <c r="F311" s="6" t="s">
        <v>467</v>
      </c>
      <c r="G311" s="6" t="s">
        <v>468</v>
      </c>
      <c r="H311" s="4">
        <v>109031200</v>
      </c>
      <c r="I311" s="6">
        <f t="shared" ca="1" si="20"/>
        <v>8</v>
      </c>
      <c r="J311" s="13" t="str">
        <f t="shared" ca="1" si="23"/>
        <v>정상</v>
      </c>
      <c r="K311" s="11"/>
      <c r="L311" s="11"/>
      <c r="M311" s="10"/>
      <c r="N311" s="10" t="s">
        <v>33</v>
      </c>
      <c r="Q311" s="11"/>
      <c r="R311" s="11"/>
      <c r="S311" s="10"/>
    </row>
    <row r="312" spans="2:19" s="6" customFormat="1" ht="16.5" customHeight="1">
      <c r="B312" s="10">
        <f>IF(C312="","",COUNTA($C$2:C312))</f>
        <v>311</v>
      </c>
      <c r="C312" s="11" t="s">
        <v>509</v>
      </c>
      <c r="D312" s="10" t="s">
        <v>178</v>
      </c>
      <c r="E312" s="6" t="s">
        <v>503</v>
      </c>
      <c r="F312" s="6" t="s">
        <v>471</v>
      </c>
      <c r="G312" s="6" t="s">
        <v>512</v>
      </c>
      <c r="H312" s="25">
        <v>380000</v>
      </c>
      <c r="I312" s="6">
        <f t="shared" ca="1" si="20"/>
        <v>0</v>
      </c>
      <c r="J312" s="13" t="str">
        <f t="shared" ca="1" si="23"/>
        <v>정상</v>
      </c>
      <c r="K312" s="11"/>
      <c r="L312" s="11">
        <v>46114</v>
      </c>
      <c r="M312" s="10"/>
      <c r="N312" s="10" t="s">
        <v>33</v>
      </c>
      <c r="Q312" s="11"/>
      <c r="R312" s="11"/>
      <c r="S312" s="10"/>
    </row>
    <row r="313" spans="2:19" s="6" customFormat="1" ht="16.5" customHeight="1">
      <c r="B313" s="10">
        <f>IF(C313="","",COUNTA($C$2:C313))</f>
        <v>312</v>
      </c>
      <c r="C313" s="11" t="s">
        <v>510</v>
      </c>
      <c r="D313" s="10" t="s">
        <v>178</v>
      </c>
      <c r="E313" s="6" t="s">
        <v>126</v>
      </c>
      <c r="F313" s="6" t="s">
        <v>472</v>
      </c>
      <c r="G313" s="6" t="s">
        <v>512</v>
      </c>
      <c r="H313" s="25">
        <v>1182500</v>
      </c>
      <c r="I313" s="6">
        <f t="shared" ca="1" si="20"/>
        <v>4</v>
      </c>
      <c r="J313" s="13" t="str">
        <f t="shared" ca="1" si="23"/>
        <v>정상</v>
      </c>
      <c r="K313" s="11"/>
      <c r="L313" s="11"/>
      <c r="M313" s="10"/>
      <c r="N313" s="10" t="s">
        <v>33</v>
      </c>
      <c r="Q313" s="11"/>
      <c r="R313" s="11"/>
      <c r="S313" s="10"/>
    </row>
    <row r="314" spans="2:19" s="6" customFormat="1" ht="16.5" customHeight="1">
      <c r="B314" s="10">
        <f>IF(C314="","",COUNTA($C$2:C314))</f>
        <v>313</v>
      </c>
      <c r="C314" s="11" t="s">
        <v>510</v>
      </c>
      <c r="D314" s="10" t="s">
        <v>178</v>
      </c>
      <c r="E314" s="6" t="s">
        <v>504</v>
      </c>
      <c r="F314" s="6" t="s">
        <v>473</v>
      </c>
      <c r="G314" s="6" t="s">
        <v>512</v>
      </c>
      <c r="H314" s="25">
        <v>4300000</v>
      </c>
      <c r="I314" s="6">
        <f t="shared" ca="1" si="20"/>
        <v>4</v>
      </c>
      <c r="J314" s="13" t="str">
        <f t="shared" ca="1" si="23"/>
        <v>정상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customHeight="1">
      <c r="B315" s="10">
        <f>IF(C315="","",COUNTA($C$2:C315))</f>
        <v>314</v>
      </c>
      <c r="C315" s="11" t="s">
        <v>510</v>
      </c>
      <c r="D315" s="10" t="s">
        <v>178</v>
      </c>
      <c r="E315" s="6" t="s">
        <v>505</v>
      </c>
      <c r="F315" s="6" t="s">
        <v>474</v>
      </c>
      <c r="G315" s="6" t="s">
        <v>512</v>
      </c>
      <c r="H315" s="25">
        <v>550950</v>
      </c>
      <c r="I315" s="6">
        <f t="shared" ca="1" si="20"/>
        <v>4</v>
      </c>
      <c r="J315" s="13" t="str">
        <f t="shared" ca="1" si="23"/>
        <v>정상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customHeight="1">
      <c r="B316" s="10">
        <f>IF(C316="","",COUNTA($C$2:C316))</f>
        <v>315</v>
      </c>
      <c r="C316" s="11" t="s">
        <v>510</v>
      </c>
      <c r="D316" s="10" t="s">
        <v>178</v>
      </c>
      <c r="E316" s="6" t="s">
        <v>506</v>
      </c>
      <c r="F316" s="6" t="s">
        <v>475</v>
      </c>
      <c r="G316" s="6" t="s">
        <v>512</v>
      </c>
      <c r="H316" s="25">
        <v>736000</v>
      </c>
      <c r="I316" s="6">
        <f t="shared" ca="1" si="20"/>
        <v>0</v>
      </c>
      <c r="J316" s="13" t="str">
        <f t="shared" ca="1" si="23"/>
        <v>정상</v>
      </c>
      <c r="K316" s="11"/>
      <c r="L316" s="11">
        <v>46115</v>
      </c>
      <c r="M316" s="10"/>
      <c r="N316" s="10" t="s">
        <v>33</v>
      </c>
      <c r="Q316" s="11"/>
      <c r="R316" s="11"/>
      <c r="S316" s="10"/>
    </row>
    <row r="317" spans="2:19" s="6" customFormat="1" ht="16.5" customHeight="1">
      <c r="B317" s="10">
        <f>IF(C317="","",COUNTA($C$2:C317))</f>
        <v>316</v>
      </c>
      <c r="C317" s="11" t="s">
        <v>510</v>
      </c>
      <c r="D317" s="10" t="s">
        <v>178</v>
      </c>
      <c r="E317" s="6" t="s">
        <v>128</v>
      </c>
      <c r="F317" s="6" t="s">
        <v>476</v>
      </c>
      <c r="G317" s="6" t="s">
        <v>512</v>
      </c>
      <c r="H317" s="25">
        <v>1432700</v>
      </c>
      <c r="I317" s="6">
        <f t="shared" ca="1" si="20"/>
        <v>3</v>
      </c>
      <c r="J317" s="13" t="str">
        <f t="shared" ca="1" si="23"/>
        <v>정상</v>
      </c>
      <c r="K317" s="11"/>
      <c r="L317" s="11">
        <v>46118</v>
      </c>
      <c r="M317" s="10"/>
      <c r="N317" s="10" t="s">
        <v>33</v>
      </c>
      <c r="Q317" s="11"/>
      <c r="R317" s="11"/>
      <c r="S317" s="10"/>
    </row>
    <row r="318" spans="2:19" s="6" customFormat="1" ht="16.5" customHeight="1">
      <c r="B318" s="10">
        <f>IF(C318="","",COUNTA($C$2:C318))</f>
        <v>317</v>
      </c>
      <c r="C318" s="11" t="s">
        <v>510</v>
      </c>
      <c r="D318" s="10" t="s">
        <v>178</v>
      </c>
      <c r="E318" s="6" t="s">
        <v>395</v>
      </c>
      <c r="F318" s="6" t="s">
        <v>477</v>
      </c>
      <c r="G318" s="6" t="s">
        <v>512</v>
      </c>
      <c r="H318" s="25">
        <v>18900000</v>
      </c>
      <c r="I318" s="6">
        <f t="shared" ref="I318:I381" ca="1" si="24">IF(C318="","",IF(L318="",TODAY()-C318,L318-C318))</f>
        <v>4</v>
      </c>
      <c r="J318" s="13" t="str">
        <f t="shared" ca="1" si="23"/>
        <v>정상</v>
      </c>
      <c r="K318" s="11"/>
      <c r="L318" s="11"/>
      <c r="M318" s="10"/>
      <c r="N318" s="10" t="s">
        <v>33</v>
      </c>
      <c r="Q318" s="11"/>
      <c r="R318" s="11"/>
      <c r="S318" s="10"/>
    </row>
    <row r="319" spans="2:19" s="6" customFormat="1" ht="16.5" customHeight="1">
      <c r="B319" s="10">
        <f>IF(C319="","",COUNTA($C$2:C319))</f>
        <v>318</v>
      </c>
      <c r="C319" s="11" t="s">
        <v>510</v>
      </c>
      <c r="D319" s="10" t="s">
        <v>178</v>
      </c>
      <c r="E319" s="6" t="s">
        <v>100</v>
      </c>
      <c r="F319" s="6" t="s">
        <v>478</v>
      </c>
      <c r="G319" s="6" t="s">
        <v>512</v>
      </c>
      <c r="H319" s="25">
        <v>1478000</v>
      </c>
      <c r="I319" s="6">
        <f t="shared" ca="1" si="24"/>
        <v>4</v>
      </c>
      <c r="J319" s="13" t="str">
        <f t="shared" ca="1" si="23"/>
        <v>정상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customHeight="1">
      <c r="B320" s="10">
        <f>IF(C320="","",COUNTA($C$2:C320))</f>
        <v>319</v>
      </c>
      <c r="C320" s="11" t="s">
        <v>510</v>
      </c>
      <c r="D320" s="10" t="s">
        <v>178</v>
      </c>
      <c r="E320" s="6" t="s">
        <v>24</v>
      </c>
      <c r="F320" s="6" t="s">
        <v>433</v>
      </c>
      <c r="G320" s="6" t="s">
        <v>512</v>
      </c>
      <c r="H320" s="25">
        <v>2261000</v>
      </c>
      <c r="I320" s="6">
        <f t="shared" ca="1" si="24"/>
        <v>4</v>
      </c>
      <c r="J320" s="13" t="str">
        <f t="shared" ca="1" si="23"/>
        <v>정상</v>
      </c>
      <c r="K320" s="11"/>
      <c r="L320" s="11"/>
      <c r="M320" s="10"/>
      <c r="N320" s="10" t="s">
        <v>20</v>
      </c>
      <c r="O320" s="6" t="s">
        <v>58</v>
      </c>
      <c r="P320" s="6" t="s">
        <v>153</v>
      </c>
      <c r="Q320" s="11"/>
      <c r="R320" s="11"/>
      <c r="S320" s="10"/>
    </row>
    <row r="321" spans="2:19" s="6" customFormat="1" ht="16.5" customHeight="1">
      <c r="B321" s="10">
        <f>IF(C321="","",COUNTA($C$2:C321))</f>
        <v>320</v>
      </c>
      <c r="C321" s="11" t="s">
        <v>510</v>
      </c>
      <c r="D321" s="10" t="s">
        <v>178</v>
      </c>
      <c r="E321" s="6" t="s">
        <v>24</v>
      </c>
      <c r="F321" s="6" t="s">
        <v>433</v>
      </c>
      <c r="G321" s="6" t="s">
        <v>512</v>
      </c>
      <c r="H321" s="25">
        <v>5104500</v>
      </c>
      <c r="I321" s="6">
        <f t="shared" ca="1" si="24"/>
        <v>4</v>
      </c>
      <c r="J321" s="13" t="str">
        <f t="shared" ca="1" si="23"/>
        <v>정상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customHeight="1">
      <c r="B322" s="10">
        <f>IF(C322="","",COUNTA($C$2:C322))</f>
        <v>321</v>
      </c>
      <c r="C322" s="11" t="s">
        <v>510</v>
      </c>
      <c r="D322" s="10" t="s">
        <v>178</v>
      </c>
      <c r="E322" s="6" t="s">
        <v>126</v>
      </c>
      <c r="F322" s="6" t="s">
        <v>479</v>
      </c>
      <c r="G322" s="6" t="s">
        <v>512</v>
      </c>
      <c r="H322" s="25">
        <v>1575000</v>
      </c>
      <c r="I322" s="6">
        <f t="shared" ca="1" si="24"/>
        <v>4</v>
      </c>
      <c r="J322" s="13" t="str">
        <f t="shared" ca="1" si="23"/>
        <v>정상</v>
      </c>
      <c r="K322" s="11"/>
      <c r="L322" s="11"/>
      <c r="M322" s="10"/>
      <c r="N322" s="10" t="s">
        <v>33</v>
      </c>
      <c r="Q322" s="11"/>
      <c r="R322" s="11"/>
      <c r="S322" s="10"/>
    </row>
    <row r="323" spans="2:19" s="6" customFormat="1" ht="16.5" customHeight="1">
      <c r="B323" s="10">
        <f>IF(C323="","",COUNTA($C$2:C323))</f>
        <v>322</v>
      </c>
      <c r="C323" s="11" t="s">
        <v>510</v>
      </c>
      <c r="D323" s="10" t="s">
        <v>178</v>
      </c>
      <c r="E323" s="6" t="s">
        <v>366</v>
      </c>
      <c r="F323" s="6" t="s">
        <v>480</v>
      </c>
      <c r="G323" s="6" t="s">
        <v>512</v>
      </c>
      <c r="H323" s="25">
        <v>16446000</v>
      </c>
      <c r="I323" s="6">
        <f t="shared" ca="1" si="24"/>
        <v>3</v>
      </c>
      <c r="J323" s="13" t="str">
        <f t="shared" ca="1" si="23"/>
        <v>정상</v>
      </c>
      <c r="K323" s="11"/>
      <c r="L323" s="11">
        <v>46118</v>
      </c>
      <c r="M323" s="10"/>
      <c r="N323" s="10" t="s">
        <v>33</v>
      </c>
      <c r="Q323" s="11"/>
      <c r="R323" s="11"/>
      <c r="S323" s="10"/>
    </row>
    <row r="324" spans="2:19" s="6" customFormat="1" ht="16.5" customHeight="1">
      <c r="B324" s="10">
        <f>IF(C324="","",COUNTA($C$2:C324))</f>
        <v>323</v>
      </c>
      <c r="C324" s="11" t="s">
        <v>510</v>
      </c>
      <c r="D324" s="10" t="s">
        <v>178</v>
      </c>
      <c r="E324" s="6" t="s">
        <v>207</v>
      </c>
      <c r="F324" s="6" t="s">
        <v>481</v>
      </c>
      <c r="G324" s="6" t="s">
        <v>512</v>
      </c>
      <c r="H324" s="25">
        <v>156900</v>
      </c>
      <c r="I324" s="6">
        <f t="shared" ca="1" si="24"/>
        <v>4</v>
      </c>
      <c r="J324" s="13" t="str">
        <f t="shared" ca="1" si="23"/>
        <v>정상</v>
      </c>
      <c r="K324" s="11"/>
      <c r="L324" s="11"/>
      <c r="M324" s="10"/>
      <c r="N324" s="10" t="s">
        <v>33</v>
      </c>
      <c r="Q324" s="11"/>
      <c r="R324" s="11"/>
      <c r="S324" s="10"/>
    </row>
    <row r="325" spans="2:19" s="6" customFormat="1" ht="16.5" customHeight="1">
      <c r="B325" s="10">
        <f>IF(C325="","",COUNTA($C$2:C325))</f>
        <v>324</v>
      </c>
      <c r="C325" s="11" t="s">
        <v>510</v>
      </c>
      <c r="D325" s="10" t="s">
        <v>178</v>
      </c>
      <c r="E325" s="6" t="s">
        <v>39</v>
      </c>
      <c r="F325" s="6" t="s">
        <v>482</v>
      </c>
      <c r="G325" s="6" t="s">
        <v>512</v>
      </c>
      <c r="H325" s="25">
        <v>2137500</v>
      </c>
      <c r="I325" s="6">
        <f t="shared" ca="1" si="24"/>
        <v>4</v>
      </c>
      <c r="J325" s="13" t="str">
        <f t="shared" ca="1" si="23"/>
        <v>정상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customHeight="1">
      <c r="B326" s="10">
        <f>IF(C326="","",COUNTA($C$2:C326))</f>
        <v>325</v>
      </c>
      <c r="C326" s="11" t="s">
        <v>510</v>
      </c>
      <c r="D326" s="10" t="s">
        <v>178</v>
      </c>
      <c r="E326" s="6" t="s">
        <v>110</v>
      </c>
      <c r="F326" s="6" t="s">
        <v>483</v>
      </c>
      <c r="G326" s="6" t="s">
        <v>512</v>
      </c>
      <c r="H326" s="25">
        <v>1469400</v>
      </c>
      <c r="I326" s="6">
        <f t="shared" ca="1" si="24"/>
        <v>4</v>
      </c>
      <c r="J326" s="13" t="str">
        <f t="shared" ca="1" si="23"/>
        <v>정상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customHeight="1">
      <c r="B327" s="10">
        <f>IF(C327="","",COUNTA($C$2:C327))</f>
        <v>326</v>
      </c>
      <c r="C327" s="11" t="s">
        <v>510</v>
      </c>
      <c r="D327" s="10" t="s">
        <v>178</v>
      </c>
      <c r="E327" s="6" t="s">
        <v>126</v>
      </c>
      <c r="F327" s="6" t="s">
        <v>479</v>
      </c>
      <c r="G327" s="6" t="s">
        <v>512</v>
      </c>
      <c r="H327" s="25">
        <v>24591000</v>
      </c>
      <c r="I327" s="6">
        <f t="shared" ca="1" si="24"/>
        <v>4</v>
      </c>
      <c r="J327" s="13" t="str">
        <f t="shared" ca="1" si="23"/>
        <v>정상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customHeight="1">
      <c r="B328" s="10">
        <f>IF(C328="","",COUNTA($C$2:C328))</f>
        <v>327</v>
      </c>
      <c r="C328" s="11" t="s">
        <v>510</v>
      </c>
      <c r="D328" s="10" t="s">
        <v>178</v>
      </c>
      <c r="E328" s="6" t="s">
        <v>126</v>
      </c>
      <c r="F328" s="6" t="s">
        <v>484</v>
      </c>
      <c r="G328" s="6" t="s">
        <v>512</v>
      </c>
      <c r="H328" s="25">
        <v>4770000</v>
      </c>
      <c r="I328" s="6">
        <f t="shared" ca="1" si="24"/>
        <v>4</v>
      </c>
      <c r="J328" s="13" t="str">
        <f t="shared" ca="1" si="23"/>
        <v>정상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customHeight="1">
      <c r="B329" s="10">
        <f>IF(C329="","",COUNTA($C$2:C329))</f>
        <v>328</v>
      </c>
      <c r="C329" s="11" t="s">
        <v>510</v>
      </c>
      <c r="D329" s="10" t="s">
        <v>178</v>
      </c>
      <c r="E329" s="6" t="s">
        <v>126</v>
      </c>
      <c r="F329" s="6" t="s">
        <v>485</v>
      </c>
      <c r="G329" s="6" t="s">
        <v>512</v>
      </c>
      <c r="H329" s="25">
        <v>5661500</v>
      </c>
      <c r="I329" s="6">
        <f t="shared" ca="1" si="24"/>
        <v>4</v>
      </c>
      <c r="J329" s="13" t="str">
        <f t="shared" ca="1" si="23"/>
        <v>정상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customHeight="1">
      <c r="B330" s="10">
        <f>IF(C330="","",COUNTA($C$2:C330))</f>
        <v>329</v>
      </c>
      <c r="C330" s="11" t="s">
        <v>510</v>
      </c>
      <c r="D330" s="10" t="s">
        <v>178</v>
      </c>
      <c r="E330" s="6" t="s">
        <v>100</v>
      </c>
      <c r="F330" s="6" t="s">
        <v>478</v>
      </c>
      <c r="G330" s="6" t="s">
        <v>512</v>
      </c>
      <c r="H330" s="25">
        <v>1700000</v>
      </c>
      <c r="I330" s="6">
        <f t="shared" ca="1" si="24"/>
        <v>4</v>
      </c>
      <c r="J330" s="13" t="str">
        <f t="shared" ca="1" si="23"/>
        <v>정상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customHeight="1">
      <c r="B331" s="10">
        <f>IF(C331="","",COUNTA($C$2:C331))</f>
        <v>330</v>
      </c>
      <c r="C331" s="11" t="s">
        <v>510</v>
      </c>
      <c r="D331" s="10" t="s">
        <v>178</v>
      </c>
      <c r="E331" s="6" t="s">
        <v>195</v>
      </c>
      <c r="F331" s="6" t="s">
        <v>486</v>
      </c>
      <c r="G331" s="6" t="s">
        <v>512</v>
      </c>
      <c r="H331" s="25">
        <v>5060000</v>
      </c>
      <c r="I331" s="6">
        <f t="shared" ca="1" si="24"/>
        <v>4</v>
      </c>
      <c r="J331" s="13" t="str">
        <f t="shared" ca="1" si="23"/>
        <v>정상</v>
      </c>
      <c r="K331" s="11"/>
      <c r="L331" s="11"/>
      <c r="M331" s="10"/>
      <c r="N331" s="10" t="s">
        <v>33</v>
      </c>
      <c r="Q331" s="11"/>
      <c r="R331" s="11"/>
      <c r="S331" s="10"/>
    </row>
    <row r="332" spans="2:19" s="6" customFormat="1" ht="16.5" customHeight="1">
      <c r="B332" s="10">
        <f>IF(C332="","",COUNTA($C$2:C332))</f>
        <v>331</v>
      </c>
      <c r="C332" s="11" t="s">
        <v>510</v>
      </c>
      <c r="D332" s="10" t="s">
        <v>178</v>
      </c>
      <c r="E332" s="6" t="s">
        <v>163</v>
      </c>
      <c r="F332" s="6" t="s">
        <v>487</v>
      </c>
      <c r="G332" s="6" t="s">
        <v>512</v>
      </c>
      <c r="H332" s="25">
        <v>6050000</v>
      </c>
      <c r="I332" s="6">
        <f t="shared" ca="1" si="24"/>
        <v>4</v>
      </c>
      <c r="J332" s="13" t="str">
        <f t="shared" ca="1" si="23"/>
        <v>정상</v>
      </c>
      <c r="K332" s="11"/>
      <c r="L332" s="11"/>
      <c r="M332" s="10"/>
      <c r="N332" s="10" t="s">
        <v>33</v>
      </c>
      <c r="Q332" s="11"/>
      <c r="R332" s="11"/>
      <c r="S332" s="10"/>
    </row>
    <row r="333" spans="2:19" s="6" customFormat="1" ht="16.5" customHeight="1">
      <c r="B333" s="10">
        <f>IF(C333="","",COUNTA($C$2:C333))</f>
        <v>332</v>
      </c>
      <c r="C333" s="11" t="s">
        <v>510</v>
      </c>
      <c r="D333" s="10" t="s">
        <v>178</v>
      </c>
      <c r="E333" s="6" t="s">
        <v>316</v>
      </c>
      <c r="F333" s="6" t="s">
        <v>488</v>
      </c>
      <c r="G333" s="6" t="s">
        <v>512</v>
      </c>
      <c r="H333" s="25">
        <v>585000</v>
      </c>
      <c r="I333" s="6">
        <f t="shared" ca="1" si="24"/>
        <v>4</v>
      </c>
      <c r="J333" s="13" t="str">
        <f t="shared" ca="1" si="23"/>
        <v>정상</v>
      </c>
      <c r="K333" s="11"/>
      <c r="L333" s="11"/>
      <c r="M333" s="10"/>
      <c r="N333" s="10" t="s">
        <v>33</v>
      </c>
      <c r="Q333" s="11"/>
      <c r="R333" s="11"/>
      <c r="S333" s="10"/>
    </row>
    <row r="334" spans="2:19" s="6" customFormat="1" ht="16.5" customHeight="1">
      <c r="B334" s="10">
        <f>IF(C334="","",COUNTA($C$2:C334))</f>
        <v>333</v>
      </c>
      <c r="C334" s="11" t="s">
        <v>510</v>
      </c>
      <c r="D334" s="10" t="s">
        <v>178</v>
      </c>
      <c r="E334" s="6" t="s">
        <v>434</v>
      </c>
      <c r="F334" s="6" t="s">
        <v>489</v>
      </c>
      <c r="G334" s="6" t="s">
        <v>512</v>
      </c>
      <c r="H334" s="25">
        <v>33428500</v>
      </c>
      <c r="I334" s="6">
        <f t="shared" ca="1" si="24"/>
        <v>4</v>
      </c>
      <c r="J334" s="13" t="str">
        <f t="shared" ca="1" si="23"/>
        <v>정상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customHeight="1">
      <c r="B335" s="10">
        <f>IF(C335="","",COUNTA($C$2:C335))</f>
        <v>334</v>
      </c>
      <c r="C335" s="11" t="s">
        <v>511</v>
      </c>
      <c r="D335" s="10" t="s">
        <v>178</v>
      </c>
      <c r="E335" s="6" t="s">
        <v>461</v>
      </c>
      <c r="F335" s="6" t="s">
        <v>490</v>
      </c>
      <c r="G335" s="6" t="s">
        <v>512</v>
      </c>
      <c r="H335" s="25">
        <v>835000</v>
      </c>
      <c r="I335" s="6">
        <f t="shared" ca="1" si="24"/>
        <v>1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customHeight="1">
      <c r="B336" s="10">
        <f>IF(C336="","",COUNTA($C$2:C336))</f>
        <v>335</v>
      </c>
      <c r="C336" s="11" t="s">
        <v>511</v>
      </c>
      <c r="D336" s="10" t="s">
        <v>178</v>
      </c>
      <c r="E336" s="6" t="s">
        <v>507</v>
      </c>
      <c r="F336" s="6" t="s">
        <v>491</v>
      </c>
      <c r="G336" s="6" t="s">
        <v>512</v>
      </c>
      <c r="H336" s="25">
        <v>1295800</v>
      </c>
      <c r="I336" s="6">
        <f t="shared" ca="1" si="24"/>
        <v>1</v>
      </c>
      <c r="J336" s="13" t="str">
        <f t="shared" ca="1" si="23"/>
        <v>정상</v>
      </c>
      <c r="K336" s="11"/>
      <c r="L336" s="11"/>
      <c r="M336" s="10"/>
      <c r="N336" s="10" t="s">
        <v>33</v>
      </c>
      <c r="Q336" s="11"/>
      <c r="R336" s="11"/>
      <c r="S336" s="10"/>
    </row>
    <row r="337" spans="2:19" s="6" customFormat="1" ht="16.5" customHeight="1">
      <c r="B337" s="10">
        <f>IF(C337="","",COUNTA($C$2:C337))</f>
        <v>336</v>
      </c>
      <c r="C337" s="11" t="s">
        <v>511</v>
      </c>
      <c r="D337" s="10" t="s">
        <v>178</v>
      </c>
      <c r="E337" s="6" t="s">
        <v>126</v>
      </c>
      <c r="F337" s="6" t="s">
        <v>485</v>
      </c>
      <c r="G337" s="6" t="s">
        <v>512</v>
      </c>
      <c r="H337" s="25">
        <v>3180000</v>
      </c>
      <c r="I337" s="6">
        <f t="shared" ca="1" si="24"/>
        <v>1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customHeight="1">
      <c r="B338" s="10">
        <f>IF(C338="","",COUNTA($C$2:C338))</f>
        <v>337</v>
      </c>
      <c r="C338" s="11" t="s">
        <v>511</v>
      </c>
      <c r="D338" s="10" t="s">
        <v>178</v>
      </c>
      <c r="E338" s="6" t="s">
        <v>434</v>
      </c>
      <c r="F338" s="6" t="s">
        <v>492</v>
      </c>
      <c r="G338" s="6" t="s">
        <v>512</v>
      </c>
      <c r="H338" s="25">
        <v>40027000</v>
      </c>
      <c r="I338" s="6">
        <f t="shared" ca="1" si="24"/>
        <v>1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customHeight="1">
      <c r="B339" s="10">
        <f>IF(C339="","",COUNTA($C$2:C339))</f>
        <v>338</v>
      </c>
      <c r="C339" s="11" t="s">
        <v>511</v>
      </c>
      <c r="D339" s="10" t="s">
        <v>178</v>
      </c>
      <c r="E339" s="6" t="s">
        <v>83</v>
      </c>
      <c r="F339" s="6" t="s">
        <v>493</v>
      </c>
      <c r="G339" s="6" t="s">
        <v>512</v>
      </c>
      <c r="H339" s="25">
        <v>63450600</v>
      </c>
      <c r="I339" s="6">
        <f t="shared" ca="1" si="24"/>
        <v>1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customHeight="1">
      <c r="B340" s="10">
        <f>IF(C340="","",COUNTA($C$2:C340))</f>
        <v>339</v>
      </c>
      <c r="C340" s="11" t="s">
        <v>511</v>
      </c>
      <c r="D340" s="10" t="s">
        <v>178</v>
      </c>
      <c r="E340" s="6" t="s">
        <v>220</v>
      </c>
      <c r="F340" s="6" t="s">
        <v>215</v>
      </c>
      <c r="G340" s="6" t="s">
        <v>512</v>
      </c>
      <c r="H340" s="25">
        <v>3060000</v>
      </c>
      <c r="I340" s="6">
        <f t="shared" ca="1" si="24"/>
        <v>1</v>
      </c>
      <c r="J340" s="13" t="str">
        <f t="shared" ca="1" si="23"/>
        <v>정상</v>
      </c>
      <c r="K340" s="11"/>
      <c r="L340" s="11"/>
      <c r="M340" s="10"/>
      <c r="N340" s="10" t="s">
        <v>33</v>
      </c>
      <c r="Q340" s="11"/>
      <c r="R340" s="11"/>
      <c r="S340" s="10"/>
    </row>
    <row r="341" spans="2:19" s="6" customFormat="1" ht="16.5" customHeight="1">
      <c r="B341" s="10">
        <f>IF(C341="","",COUNTA($C$2:C341))</f>
        <v>340</v>
      </c>
      <c r="C341" s="11" t="s">
        <v>511</v>
      </c>
      <c r="D341" s="10" t="s">
        <v>178</v>
      </c>
      <c r="E341" s="6" t="s">
        <v>195</v>
      </c>
      <c r="F341" s="6" t="s">
        <v>486</v>
      </c>
      <c r="G341" s="6" t="s">
        <v>512</v>
      </c>
      <c r="H341" s="25">
        <v>310800</v>
      </c>
      <c r="I341" s="6">
        <f t="shared" ca="1" si="24"/>
        <v>1</v>
      </c>
      <c r="J341" s="13" t="str">
        <f t="shared" ca="1" si="23"/>
        <v>정상</v>
      </c>
      <c r="K341" s="11"/>
      <c r="L341" s="11"/>
      <c r="M341" s="10"/>
      <c r="N341" s="10" t="s">
        <v>33</v>
      </c>
      <c r="Q341" s="11"/>
      <c r="R341" s="11"/>
      <c r="S341" s="10"/>
    </row>
    <row r="342" spans="2:19" s="6" customFormat="1" ht="16.5" customHeight="1">
      <c r="B342" s="10">
        <f>IF(C342="","",COUNTA($C$2:C342))</f>
        <v>341</v>
      </c>
      <c r="C342" s="11" t="s">
        <v>511</v>
      </c>
      <c r="D342" s="10" t="s">
        <v>178</v>
      </c>
      <c r="E342" s="6" t="s">
        <v>30</v>
      </c>
      <c r="F342" s="6" t="s">
        <v>494</v>
      </c>
      <c r="G342" s="6" t="s">
        <v>512</v>
      </c>
      <c r="H342" s="25">
        <v>381000</v>
      </c>
      <c r="I342" s="6">
        <f t="shared" ca="1" si="24"/>
        <v>1</v>
      </c>
      <c r="J342" s="13" t="str">
        <f t="shared" ca="1" si="23"/>
        <v>정상</v>
      </c>
      <c r="K342" s="11"/>
      <c r="L342" s="11"/>
      <c r="M342" s="10"/>
      <c r="N342" s="10" t="s">
        <v>33</v>
      </c>
      <c r="Q342" s="11"/>
      <c r="R342" s="11"/>
      <c r="S342" s="10"/>
    </row>
    <row r="343" spans="2:19" s="6" customFormat="1" ht="16.5" customHeight="1">
      <c r="B343" s="10">
        <f>IF(C343="","",COUNTA($C$2:C343))</f>
        <v>342</v>
      </c>
      <c r="C343" s="11" t="s">
        <v>511</v>
      </c>
      <c r="D343" s="10" t="s">
        <v>178</v>
      </c>
      <c r="E343" s="6" t="s">
        <v>508</v>
      </c>
      <c r="F343" s="6" t="s">
        <v>495</v>
      </c>
      <c r="G343" s="6" t="s">
        <v>512</v>
      </c>
      <c r="H343" s="25">
        <v>295000</v>
      </c>
      <c r="I343" s="6">
        <f t="shared" ca="1" si="24"/>
        <v>1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customHeight="1">
      <c r="B344" s="10">
        <f>IF(C344="","",COUNTA($C$2:C344))</f>
        <v>343</v>
      </c>
      <c r="C344" s="11" t="s">
        <v>511</v>
      </c>
      <c r="D344" s="10" t="s">
        <v>178</v>
      </c>
      <c r="E344" s="6" t="s">
        <v>207</v>
      </c>
      <c r="F344" s="6" t="s">
        <v>496</v>
      </c>
      <c r="G344" s="6" t="s">
        <v>512</v>
      </c>
      <c r="H344" s="25">
        <v>5664000</v>
      </c>
      <c r="I344" s="6">
        <f t="shared" ca="1" si="24"/>
        <v>1</v>
      </c>
      <c r="J344" s="13" t="str">
        <f t="shared" ca="1" si="23"/>
        <v>정상</v>
      </c>
      <c r="K344" s="11"/>
      <c r="L344" s="11"/>
      <c r="M344" s="10"/>
      <c r="N344" s="10" t="s">
        <v>33</v>
      </c>
      <c r="Q344" s="11"/>
      <c r="R344" s="11"/>
      <c r="S344" s="10"/>
    </row>
    <row r="345" spans="2:19" s="6" customFormat="1" ht="16.5" customHeight="1">
      <c r="B345" s="10">
        <f>IF(C345="","",COUNTA($C$2:C345))</f>
        <v>344</v>
      </c>
      <c r="C345" s="11" t="s">
        <v>511</v>
      </c>
      <c r="D345" s="10" t="s">
        <v>178</v>
      </c>
      <c r="E345" s="6" t="s">
        <v>17</v>
      </c>
      <c r="F345" s="6" t="s">
        <v>497</v>
      </c>
      <c r="G345" s="6" t="s">
        <v>512</v>
      </c>
      <c r="H345" s="25">
        <v>216900</v>
      </c>
      <c r="I345" s="6">
        <f t="shared" ca="1" si="24"/>
        <v>1</v>
      </c>
      <c r="J345" s="13" t="str">
        <f t="shared" ca="1" si="23"/>
        <v>정상</v>
      </c>
      <c r="K345" s="11"/>
      <c r="L345" s="11"/>
      <c r="M345" s="10"/>
      <c r="N345" s="10" t="s">
        <v>33</v>
      </c>
      <c r="Q345" s="11"/>
      <c r="R345" s="11"/>
      <c r="S345" s="10"/>
    </row>
    <row r="346" spans="2:19" s="6" customFormat="1" ht="16.5" customHeight="1">
      <c r="B346" s="10">
        <f>IF(C346="","",COUNTA($C$2:C346))</f>
        <v>345</v>
      </c>
      <c r="C346" s="11" t="s">
        <v>511</v>
      </c>
      <c r="D346" s="10" t="s">
        <v>178</v>
      </c>
      <c r="E346" s="6" t="s">
        <v>24</v>
      </c>
      <c r="F346" s="6" t="s">
        <v>107</v>
      </c>
      <c r="G346" s="6" t="s">
        <v>512</v>
      </c>
      <c r="H346" s="25">
        <v>4160000</v>
      </c>
      <c r="I346" s="6">
        <f t="shared" ca="1" si="24"/>
        <v>1</v>
      </c>
      <c r="J346" s="13" t="str">
        <f t="shared" ca="1" si="23"/>
        <v>정상</v>
      </c>
      <c r="K346" s="11"/>
      <c r="L346" s="11"/>
      <c r="M346" s="10"/>
      <c r="N346" s="10" t="s">
        <v>20</v>
      </c>
      <c r="O346" s="6" t="s">
        <v>58</v>
      </c>
      <c r="P346" s="6" t="s">
        <v>153</v>
      </c>
      <c r="Q346" s="11"/>
      <c r="R346" s="11"/>
      <c r="S346" s="10"/>
    </row>
    <row r="347" spans="2:19" s="6" customFormat="1" ht="16.5" customHeight="1">
      <c r="B347" s="10">
        <f>IF(C347="","",COUNTA($C$2:C347))</f>
        <v>346</v>
      </c>
      <c r="C347" s="11" t="s">
        <v>511</v>
      </c>
      <c r="D347" s="10" t="s">
        <v>178</v>
      </c>
      <c r="E347" s="6" t="s">
        <v>26</v>
      </c>
      <c r="F347" s="6" t="s">
        <v>498</v>
      </c>
      <c r="G347" s="6" t="s">
        <v>512</v>
      </c>
      <c r="H347" s="25">
        <v>1460000</v>
      </c>
      <c r="I347" s="6">
        <f t="shared" ca="1" si="24"/>
        <v>1</v>
      </c>
      <c r="J347" s="13" t="str">
        <f t="shared" ca="1" si="23"/>
        <v>정상</v>
      </c>
      <c r="K347" s="11"/>
      <c r="L347" s="11"/>
      <c r="M347" s="10"/>
      <c r="N347" s="10" t="s">
        <v>33</v>
      </c>
      <c r="Q347" s="11"/>
      <c r="R347" s="11"/>
      <c r="S347" s="10"/>
    </row>
    <row r="348" spans="2:19" s="6" customFormat="1" ht="16.5" customHeight="1">
      <c r="B348" s="10">
        <f>IF(C348="","",COUNTA($C$2:C348))</f>
        <v>347</v>
      </c>
      <c r="C348" s="11" t="s">
        <v>511</v>
      </c>
      <c r="D348" s="10" t="s">
        <v>178</v>
      </c>
      <c r="E348" s="6" t="s">
        <v>26</v>
      </c>
      <c r="F348" s="6" t="s">
        <v>499</v>
      </c>
      <c r="G348" s="6" t="s">
        <v>512</v>
      </c>
      <c r="H348" s="25">
        <v>720000</v>
      </c>
      <c r="I348" s="6">
        <f t="shared" ca="1" si="24"/>
        <v>1</v>
      </c>
      <c r="J348" s="13" t="str">
        <f t="shared" ca="1" si="23"/>
        <v>정상</v>
      </c>
      <c r="K348" s="11"/>
      <c r="L348" s="11"/>
      <c r="M348" s="10"/>
      <c r="N348" s="10" t="s">
        <v>33</v>
      </c>
      <c r="Q348" s="11"/>
      <c r="R348" s="11"/>
      <c r="S348" s="10"/>
    </row>
    <row r="349" spans="2:19" s="6" customFormat="1" ht="16.5" customHeight="1">
      <c r="B349" s="10">
        <f>IF(C349="","",COUNTA($C$2:C349))</f>
        <v>348</v>
      </c>
      <c r="C349" s="11" t="s">
        <v>511</v>
      </c>
      <c r="D349" s="10" t="s">
        <v>178</v>
      </c>
      <c r="E349" s="6" t="s">
        <v>375</v>
      </c>
      <c r="F349" s="6" t="s">
        <v>500</v>
      </c>
      <c r="G349" s="6" t="s">
        <v>512</v>
      </c>
      <c r="H349" s="25">
        <v>3380000</v>
      </c>
      <c r="I349" s="6">
        <f t="shared" ca="1" si="24"/>
        <v>1</v>
      </c>
      <c r="J349" s="13" t="str">
        <f t="shared" ca="1" si="23"/>
        <v>정상</v>
      </c>
      <c r="K349" s="11"/>
      <c r="L349" s="11"/>
      <c r="M349" s="10"/>
      <c r="N349" s="10" t="s">
        <v>33</v>
      </c>
      <c r="Q349" s="11"/>
      <c r="R349" s="11"/>
      <c r="S349" s="10"/>
    </row>
    <row r="350" spans="2:19" s="6" customFormat="1" ht="16.5" customHeight="1">
      <c r="B350" s="10">
        <f>IF(C350="","",COUNTA($C$2:C350))</f>
        <v>349</v>
      </c>
      <c r="C350" s="11" t="s">
        <v>511</v>
      </c>
      <c r="D350" s="10" t="s">
        <v>178</v>
      </c>
      <c r="E350" s="6" t="s">
        <v>126</v>
      </c>
      <c r="F350" s="6" t="s">
        <v>501</v>
      </c>
      <c r="G350" s="6" t="s">
        <v>512</v>
      </c>
      <c r="H350" s="25">
        <v>1230000</v>
      </c>
      <c r="I350" s="6">
        <f t="shared" ca="1" si="24"/>
        <v>1</v>
      </c>
      <c r="J350" s="13" t="str">
        <f t="shared" ref="J350:J367" ca="1" si="25">IF(I350="","",
 IF(G350="선급금",
   IF(I350&lt;=20,"정상",IF(I350&lt;=90,"관리","장기미수")),
 IF(G350="자재",
   IF(I350&lt;=40,"정상",IF(I350&lt;=90,"관리","장기미수")),
   IF(I350&lt;=30,"정상",IF(I350&lt;=90,"관리","장기미수"))
  )
 )
)</f>
        <v>정상</v>
      </c>
      <c r="K350" s="11"/>
      <c r="L350" s="11"/>
      <c r="M350" s="10"/>
      <c r="N350" s="10" t="s">
        <v>33</v>
      </c>
      <c r="Q350" s="11"/>
      <c r="R350" s="11"/>
      <c r="S350" s="10"/>
    </row>
    <row r="351" spans="2:19" s="6" customFormat="1" ht="16.5" customHeight="1">
      <c r="B351" s="10">
        <f>IF(C351="","",COUNTA($C$2:C351))</f>
        <v>350</v>
      </c>
      <c r="C351" s="11" t="s">
        <v>511</v>
      </c>
      <c r="D351" s="10" t="s">
        <v>178</v>
      </c>
      <c r="E351" s="6" t="s">
        <v>100</v>
      </c>
      <c r="F351" s="6" t="s">
        <v>478</v>
      </c>
      <c r="G351" s="6" t="s">
        <v>512</v>
      </c>
      <c r="H351" s="25">
        <v>2378500</v>
      </c>
      <c r="I351" s="6">
        <f t="shared" ca="1" si="24"/>
        <v>1</v>
      </c>
      <c r="J351" s="13" t="str">
        <f t="shared" ca="1" si="25"/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customHeight="1">
      <c r="B352" s="10">
        <f>IF(C352="","",COUNTA($C$2:C352))</f>
        <v>351</v>
      </c>
      <c r="C352" s="11" t="s">
        <v>511</v>
      </c>
      <c r="D352" s="10" t="s">
        <v>178</v>
      </c>
      <c r="E352" s="6" t="s">
        <v>434</v>
      </c>
      <c r="F352" s="6" t="s">
        <v>492</v>
      </c>
      <c r="G352" s="6" t="s">
        <v>512</v>
      </c>
      <c r="H352" s="25">
        <v>957000</v>
      </c>
      <c r="I352" s="6">
        <f t="shared" ca="1" si="24"/>
        <v>1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customHeight="1">
      <c r="B353" s="10">
        <f>IF(C353="","",COUNTA($C$2:C353))</f>
        <v>352</v>
      </c>
      <c r="C353" s="11" t="s">
        <v>511</v>
      </c>
      <c r="D353" s="10" t="s">
        <v>178</v>
      </c>
      <c r="E353" s="6" t="s">
        <v>56</v>
      </c>
      <c r="F353" s="6" t="s">
        <v>502</v>
      </c>
      <c r="G353" s="6" t="s">
        <v>512</v>
      </c>
      <c r="H353" s="25">
        <v>2975000</v>
      </c>
      <c r="I353" s="6">
        <f t="shared" ca="1" si="24"/>
        <v>1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customHeight="1">
      <c r="B354" s="10">
        <f>IF(C354="","",COUNTA($C$2:C354))</f>
        <v>353</v>
      </c>
      <c r="C354" s="11">
        <v>46115</v>
      </c>
      <c r="D354" s="10" t="s">
        <v>243</v>
      </c>
      <c r="E354" s="6" t="s">
        <v>513</v>
      </c>
      <c r="F354" s="6" t="s">
        <v>417</v>
      </c>
      <c r="G354" s="6" t="s">
        <v>514</v>
      </c>
      <c r="H354" s="4">
        <v>22230800</v>
      </c>
      <c r="I354" s="6">
        <f t="shared" ca="1" si="24"/>
        <v>4</v>
      </c>
      <c r="J354" s="13" t="str">
        <f t="shared" ca="1" si="25"/>
        <v>정상</v>
      </c>
      <c r="K354" s="11"/>
      <c r="L354" s="11"/>
      <c r="M354" s="10"/>
      <c r="N354" s="10" t="s">
        <v>33</v>
      </c>
      <c r="Q354" s="11"/>
      <c r="R354" s="11"/>
      <c r="S354" s="10"/>
    </row>
    <row r="355" spans="2:19" s="6" customFormat="1" ht="16.5" customHeight="1">
      <c r="B355" s="10">
        <f>IF(C355="","",COUNTA($C$2:C355))</f>
        <v>354</v>
      </c>
      <c r="C355" s="11">
        <v>46118</v>
      </c>
      <c r="D355" s="10" t="s">
        <v>243</v>
      </c>
      <c r="E355" s="6" t="s">
        <v>270</v>
      </c>
      <c r="F355" s="6" t="s">
        <v>515</v>
      </c>
      <c r="G355" s="6" t="s">
        <v>516</v>
      </c>
      <c r="H355" s="4">
        <v>26011000</v>
      </c>
      <c r="I355" s="6">
        <f t="shared" ca="1" si="24"/>
        <v>1</v>
      </c>
      <c r="J355" s="13" t="str">
        <f t="shared" ca="1" si="25"/>
        <v>정상</v>
      </c>
      <c r="K355" s="11"/>
      <c r="L355" s="11"/>
      <c r="M355" s="10"/>
      <c r="N355" s="10" t="s">
        <v>33</v>
      </c>
      <c r="Q355" s="11"/>
      <c r="R355" s="11"/>
      <c r="S355" s="10"/>
    </row>
    <row r="356" spans="2:19" s="6" customFormat="1" ht="16.5" customHeight="1">
      <c r="B356" s="10">
        <f>IF(C356="","",COUNTA($C$2:C356))</f>
        <v>355</v>
      </c>
      <c r="C356" s="11">
        <v>46113</v>
      </c>
      <c r="D356" s="10" t="s">
        <v>243</v>
      </c>
      <c r="E356" s="6" t="s">
        <v>228</v>
      </c>
      <c r="F356" s="6" t="s">
        <v>225</v>
      </c>
      <c r="G356" s="6" t="s">
        <v>517</v>
      </c>
      <c r="H356" s="4">
        <v>22092800</v>
      </c>
      <c r="I356" s="6">
        <f t="shared" ca="1" si="24"/>
        <v>6</v>
      </c>
      <c r="J356" s="13" t="str">
        <f t="shared" ca="1" si="25"/>
        <v>정상</v>
      </c>
      <c r="K356" s="11"/>
      <c r="L356" s="11"/>
      <c r="M356" s="10"/>
      <c r="N356" s="10" t="s">
        <v>33</v>
      </c>
      <c r="Q356" s="11"/>
      <c r="R356" s="11"/>
      <c r="S356" s="10"/>
    </row>
    <row r="357" spans="2:19" s="6" customFormat="1" ht="16.5" customHeight="1">
      <c r="B357" s="10">
        <f>IF(C357="","",COUNTA($C$2:C357))</f>
        <v>356</v>
      </c>
      <c r="C357" s="11">
        <v>46118</v>
      </c>
      <c r="D357" s="10" t="s">
        <v>243</v>
      </c>
      <c r="E357" s="6" t="s">
        <v>207</v>
      </c>
      <c r="F357" s="6" t="s">
        <v>518</v>
      </c>
      <c r="G357" s="6" t="s">
        <v>531</v>
      </c>
      <c r="H357" s="4">
        <v>10316800</v>
      </c>
      <c r="I357" s="6">
        <f t="shared" ca="1" si="24"/>
        <v>1</v>
      </c>
      <c r="J357" s="13" t="str">
        <f t="shared" ca="1" si="25"/>
        <v>정상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customHeight="1">
      <c r="B358" s="10">
        <f>IF(C358="","",COUNTA($C$2:C358))</f>
        <v>357</v>
      </c>
      <c r="C358" s="11">
        <v>46115</v>
      </c>
      <c r="D358" s="10" t="s">
        <v>243</v>
      </c>
      <c r="E358" s="6" t="s">
        <v>519</v>
      </c>
      <c r="F358" s="6" t="s">
        <v>272</v>
      </c>
      <c r="G358" s="6" t="s">
        <v>520</v>
      </c>
      <c r="H358" s="4">
        <v>39444000</v>
      </c>
      <c r="I358" s="6">
        <f t="shared" ca="1" si="24"/>
        <v>4</v>
      </c>
      <c r="J358" s="13" t="str">
        <f t="shared" ca="1" si="25"/>
        <v>정상</v>
      </c>
      <c r="K358" s="11"/>
      <c r="L358" s="11"/>
      <c r="M358" s="10"/>
      <c r="N358" s="10" t="s">
        <v>33</v>
      </c>
      <c r="Q358" s="11"/>
      <c r="R358" s="11"/>
      <c r="S358" s="10"/>
    </row>
    <row r="359" spans="2:19" s="6" customFormat="1" ht="16.5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521</v>
      </c>
      <c r="F359" s="6" t="s">
        <v>340</v>
      </c>
      <c r="G359" s="6" t="s">
        <v>520</v>
      </c>
      <c r="H359" s="4">
        <v>36998800</v>
      </c>
      <c r="I359" s="6">
        <f t="shared" ca="1" si="24"/>
        <v>4</v>
      </c>
      <c r="J359" s="13" t="str">
        <f t="shared" ca="1" si="25"/>
        <v>정상</v>
      </c>
      <c r="K359" s="11"/>
      <c r="L359" s="11"/>
      <c r="M359" s="10"/>
      <c r="N359" s="10" t="s">
        <v>33</v>
      </c>
      <c r="Q359" s="11"/>
      <c r="R359" s="11"/>
      <c r="S359" s="10"/>
    </row>
    <row r="360" spans="2:19" s="6" customFormat="1" ht="16.5" customHeight="1">
      <c r="B360" s="10">
        <f>IF(C360="","",COUNTA($C$2:C360))</f>
        <v>359</v>
      </c>
      <c r="C360" s="11">
        <v>46115</v>
      </c>
      <c r="D360" s="10" t="str">
        <f t="shared" ref="D360:D394" si="26">IF(G360="","",IF(OR(G360="선급금",G360="중도금",G360="잔금"),"A",IF(G360="자재","B",IF(G360="특허료","C",""))))</f>
        <v>A</v>
      </c>
      <c r="E360" s="6" t="s">
        <v>374</v>
      </c>
      <c r="F360" s="6" t="s">
        <v>371</v>
      </c>
      <c r="G360" s="6" t="s">
        <v>520</v>
      </c>
      <c r="H360" s="4">
        <v>18059200</v>
      </c>
      <c r="I360" s="6">
        <f t="shared" ca="1" si="24"/>
        <v>4</v>
      </c>
      <c r="J360" s="13" t="str">
        <f t="shared" ca="1" si="25"/>
        <v>정상</v>
      </c>
      <c r="K360" s="11"/>
      <c r="L360" s="11"/>
      <c r="M360" s="10"/>
      <c r="N360" s="10" t="s">
        <v>33</v>
      </c>
      <c r="Q360" s="11"/>
      <c r="R360" s="11"/>
      <c r="S360" s="10"/>
    </row>
    <row r="361" spans="2:19" s="6" customFormat="1" ht="16.5" customHeight="1">
      <c r="B361" s="10">
        <f>IF(C361="","",COUNTA($C$2:C361))</f>
        <v>360</v>
      </c>
      <c r="C361" s="11">
        <v>46113</v>
      </c>
      <c r="D361" s="10" t="str">
        <f t="shared" si="26"/>
        <v>A</v>
      </c>
      <c r="E361" s="6" t="s">
        <v>375</v>
      </c>
      <c r="F361" s="6" t="s">
        <v>372</v>
      </c>
      <c r="G361" s="6" t="s">
        <v>520</v>
      </c>
      <c r="H361" s="4">
        <v>12968800</v>
      </c>
      <c r="I361" s="6">
        <f t="shared" ca="1" si="24"/>
        <v>6</v>
      </c>
      <c r="J361" s="13" t="str">
        <f t="shared" ca="1" si="25"/>
        <v>정상</v>
      </c>
      <c r="K361" s="11"/>
      <c r="L361" s="11"/>
      <c r="M361" s="10"/>
      <c r="N361" s="10" t="s">
        <v>33</v>
      </c>
      <c r="Q361" s="11"/>
      <c r="R361" s="11"/>
      <c r="S361" s="10"/>
    </row>
    <row r="362" spans="2:19" s="6" customFormat="1" ht="16.5" customHeight="1">
      <c r="B362" s="10">
        <f>IF(C362="","",COUNTA($C$2:C362))</f>
        <v>361</v>
      </c>
      <c r="C362" s="11">
        <v>46114</v>
      </c>
      <c r="D362" s="10" t="str">
        <f t="shared" si="26"/>
        <v>A</v>
      </c>
      <c r="E362" s="6" t="s">
        <v>421</v>
      </c>
      <c r="F362" s="6" t="s">
        <v>420</v>
      </c>
      <c r="G362" s="6" t="s">
        <v>520</v>
      </c>
      <c r="H362" s="4">
        <v>16160000</v>
      </c>
      <c r="I362" s="6">
        <f t="shared" ca="1" si="24"/>
        <v>5</v>
      </c>
      <c r="J362" s="13" t="str">
        <f t="shared" ca="1" si="25"/>
        <v>정상</v>
      </c>
      <c r="K362" s="11"/>
      <c r="L362" s="11"/>
      <c r="M362" s="10"/>
      <c r="N362" s="10" t="s">
        <v>33</v>
      </c>
      <c r="Q362" s="11"/>
      <c r="R362" s="11"/>
      <c r="S362" s="10"/>
    </row>
    <row r="363" spans="2:19" s="6" customFormat="1" ht="16.5" customHeight="1">
      <c r="B363" s="10">
        <f>IF(C363="","",COUNTA($C$2:C363))</f>
        <v>362</v>
      </c>
      <c r="C363" s="11">
        <v>46118</v>
      </c>
      <c r="D363" s="10" t="str">
        <f t="shared" si="26"/>
        <v>A</v>
      </c>
      <c r="E363" s="6" t="s">
        <v>423</v>
      </c>
      <c r="F363" s="6" t="s">
        <v>424</v>
      </c>
      <c r="G363" s="6" t="s">
        <v>520</v>
      </c>
      <c r="H363" s="4">
        <v>5757600</v>
      </c>
      <c r="I363" s="6">
        <f t="shared" ca="1" si="24"/>
        <v>1</v>
      </c>
      <c r="J363" s="13" t="str">
        <f t="shared" ca="1" si="25"/>
        <v>정상</v>
      </c>
      <c r="K363" s="11"/>
      <c r="L363" s="11"/>
      <c r="M363" s="10"/>
      <c r="N363" s="10" t="s">
        <v>33</v>
      </c>
      <c r="Q363" s="11"/>
      <c r="R363" s="11"/>
      <c r="S363" s="10"/>
    </row>
    <row r="364" spans="2:19" s="6" customFormat="1" ht="16.5" customHeight="1">
      <c r="B364" s="10">
        <f>IF(C364="","",COUNTA($C$2:C364))</f>
        <v>363</v>
      </c>
      <c r="C364" s="11">
        <v>46113</v>
      </c>
      <c r="D364" s="10" t="str">
        <f t="shared" si="26"/>
        <v>A</v>
      </c>
      <c r="E364" s="6" t="s">
        <v>195</v>
      </c>
      <c r="F364" s="6" t="s">
        <v>522</v>
      </c>
      <c r="G364" s="6" t="s">
        <v>523</v>
      </c>
      <c r="H364" s="4">
        <v>17723800</v>
      </c>
      <c r="I364" s="6">
        <f t="shared" ca="1" si="24"/>
        <v>6</v>
      </c>
      <c r="J364" s="13" t="str">
        <f t="shared" ca="1" si="25"/>
        <v>정상</v>
      </c>
      <c r="K364" s="11"/>
      <c r="L364" s="11"/>
      <c r="M364" s="10"/>
      <c r="N364" s="10" t="s">
        <v>33</v>
      </c>
      <c r="Q364" s="11"/>
      <c r="R364" s="11"/>
      <c r="S364" s="10"/>
    </row>
    <row r="365" spans="2:19" s="6" customFormat="1" ht="16.5" customHeight="1">
      <c r="B365" s="10">
        <f>IF(C365="","",COUNTA($C$2:C365))</f>
        <v>364</v>
      </c>
      <c r="C365" s="11">
        <v>46113</v>
      </c>
      <c r="D365" s="10" t="s">
        <v>243</v>
      </c>
      <c r="E365" s="6" t="s">
        <v>208</v>
      </c>
      <c r="F365" s="6" t="s">
        <v>524</v>
      </c>
      <c r="G365" s="6" t="s">
        <v>523</v>
      </c>
      <c r="H365" s="4">
        <v>48448200</v>
      </c>
      <c r="I365" s="6">
        <f t="shared" ca="1" si="24"/>
        <v>6</v>
      </c>
      <c r="J365" s="13" t="str">
        <f t="shared" ca="1" si="25"/>
        <v>정상</v>
      </c>
      <c r="K365" s="11"/>
      <c r="L365" s="11"/>
      <c r="M365" s="10"/>
      <c r="N365" s="10" t="s">
        <v>33</v>
      </c>
      <c r="Q365" s="11"/>
      <c r="R365" s="11"/>
      <c r="S365" s="10"/>
    </row>
    <row r="366" spans="2:19" s="6" customFormat="1" ht="16.5" customHeight="1">
      <c r="B366" s="10">
        <f>IF(C366="","",COUNTA($C$2:C366))</f>
        <v>365</v>
      </c>
      <c r="C366" s="11">
        <v>46114</v>
      </c>
      <c r="D366" s="10" t="s">
        <v>243</v>
      </c>
      <c r="E366" s="6" t="s">
        <v>179</v>
      </c>
      <c r="F366" s="6" t="s">
        <v>525</v>
      </c>
      <c r="G366" s="6" t="s">
        <v>523</v>
      </c>
      <c r="H366" s="4">
        <v>23838400</v>
      </c>
      <c r="I366" s="6">
        <f t="shared" ca="1" si="24"/>
        <v>1</v>
      </c>
      <c r="J366" s="13" t="str">
        <f t="shared" ca="1" si="25"/>
        <v>정상</v>
      </c>
      <c r="K366" s="11"/>
      <c r="L366" s="11">
        <v>46115</v>
      </c>
      <c r="M366" s="10"/>
      <c r="N366" s="10" t="s">
        <v>33</v>
      </c>
      <c r="Q366" s="11"/>
      <c r="R366" s="11"/>
      <c r="S366" s="10"/>
    </row>
    <row r="367" spans="2:19" s="6" customFormat="1" ht="16.5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527</v>
      </c>
      <c r="F367" s="6" t="s">
        <v>526</v>
      </c>
      <c r="G367" s="6" t="s">
        <v>523</v>
      </c>
      <c r="H367" s="4">
        <v>23050000</v>
      </c>
      <c r="I367" s="6">
        <f t="shared" ca="1" si="24"/>
        <v>1</v>
      </c>
      <c r="J367" s="13" t="str">
        <f t="shared" ca="1" si="25"/>
        <v>정상</v>
      </c>
      <c r="K367" s="11"/>
      <c r="L367" s="11">
        <v>46115</v>
      </c>
      <c r="M367" s="10"/>
      <c r="N367" s="10" t="s">
        <v>33</v>
      </c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26"/>
        <v/>
      </c>
      <c r="H368" s="4"/>
      <c r="I368" s="6" t="str">
        <f t="shared" ca="1" si="24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26"/>
        <v/>
      </c>
      <c r="H369" s="4"/>
      <c r="I369" s="6" t="str">
        <f t="shared" ca="1" si="24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26"/>
        <v/>
      </c>
      <c r="H370" s="4"/>
      <c r="I370" s="6" t="str">
        <f t="shared" ca="1" si="24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26"/>
        <v/>
      </c>
      <c r="H371" s="4"/>
      <c r="I371" s="6" t="str">
        <f t="shared" ca="1" si="24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26"/>
        <v/>
      </c>
      <c r="H372" s="4"/>
      <c r="I372" s="6" t="str">
        <f t="shared" ca="1" si="24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26"/>
        <v/>
      </c>
      <c r="H373" s="4"/>
      <c r="I373" s="6" t="str">
        <f t="shared" ca="1" si="24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26"/>
        <v/>
      </c>
      <c r="H374" s="4"/>
      <c r="I374" s="6" t="str">
        <f t="shared" ca="1" si="24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26"/>
        <v/>
      </c>
      <c r="H375" s="4"/>
      <c r="I375" s="6" t="str">
        <f t="shared" ca="1" si="24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26"/>
        <v/>
      </c>
      <c r="H376" s="4"/>
      <c r="I376" s="6" t="str">
        <f t="shared" ca="1" si="24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26"/>
        <v/>
      </c>
      <c r="H377" s="4"/>
      <c r="I377" s="6" t="str">
        <f t="shared" ca="1" si="24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26"/>
        <v/>
      </c>
      <c r="H378" s="4"/>
      <c r="I378" s="6" t="str">
        <f t="shared" ca="1" si="24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26"/>
        <v/>
      </c>
      <c r="H379" s="4"/>
      <c r="I379" s="6" t="str">
        <f t="shared" ca="1" si="24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26"/>
        <v/>
      </c>
      <c r="H380" s="4"/>
      <c r="I380" s="6" t="str">
        <f t="shared" ca="1" si="24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26"/>
        <v/>
      </c>
      <c r="H381" s="4"/>
      <c r="I381" s="6" t="str">
        <f t="shared" ca="1" si="24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26"/>
        <v/>
      </c>
      <c r="H382" s="4"/>
      <c r="I382" s="6" t="str">
        <f t="shared" ref="I382:I405" ca="1" si="27">IF(C382="","",IF(L382="",TODAY()-C382,L382-C382))</f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26"/>
        <v/>
      </c>
      <c r="H383" s="4"/>
      <c r="I383" s="6" t="str">
        <f t="shared" ca="1" si="27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26"/>
        <v/>
      </c>
      <c r="H384" s="4"/>
      <c r="I384" s="6" t="str">
        <f t="shared" ca="1" si="27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26"/>
        <v/>
      </c>
      <c r="H385" s="4"/>
      <c r="I385" s="6" t="str">
        <f t="shared" ca="1" si="27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26"/>
        <v/>
      </c>
      <c r="H386" s="4"/>
      <c r="I386" s="6" t="str">
        <f t="shared" ca="1" si="27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26"/>
        <v/>
      </c>
      <c r="H387" s="4"/>
      <c r="I387" s="6" t="str">
        <f t="shared" ca="1" si="27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26"/>
        <v/>
      </c>
      <c r="H388" s="4"/>
      <c r="I388" s="6" t="str">
        <f t="shared" ca="1" si="27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26"/>
        <v/>
      </c>
      <c r="H389" s="4"/>
      <c r="I389" s="6" t="str">
        <f t="shared" ca="1" si="27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26"/>
        <v/>
      </c>
      <c r="H390" s="4"/>
      <c r="I390" s="6" t="str">
        <f t="shared" ca="1" si="27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26"/>
        <v/>
      </c>
      <c r="H391" s="4"/>
      <c r="I391" s="6" t="str">
        <f t="shared" ca="1" si="27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26"/>
        <v/>
      </c>
      <c r="H392" s="4"/>
      <c r="I392" s="6" t="str">
        <f t="shared" ca="1" si="27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26"/>
        <v/>
      </c>
      <c r="H393" s="4"/>
      <c r="I393" s="6" t="str">
        <f t="shared" ca="1" si="27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26"/>
        <v/>
      </c>
      <c r="H394" s="4"/>
      <c r="I394" s="6" t="str">
        <f t="shared" ca="1" si="27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ref="D395:D407" si="28">IF(G395="","",IF(OR(G395="선급금",G395="중도금",G395="잔금"),"A",IF(G395="자재","B",IF(G395="특허료","C",""))))</f>
        <v/>
      </c>
      <c r="H395" s="4"/>
      <c r="I395" s="6" t="str">
        <f t="shared" ca="1" si="27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si="28"/>
        <v/>
      </c>
      <c r="H396" s="4"/>
      <c r="I396" s="6" t="str">
        <f t="shared" ca="1" si="27"/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8"/>
        <v/>
      </c>
      <c r="H397" s="4"/>
      <c r="I397" s="6" t="str">
        <f t="shared" ca="1" si="27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8"/>
        <v/>
      </c>
      <c r="H398" s="4"/>
      <c r="I398" s="6" t="str">
        <f t="shared" ca="1" si="27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8"/>
        <v/>
      </c>
      <c r="H399" s="4"/>
      <c r="I399" s="6" t="str">
        <f t="shared" ca="1" si="27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8"/>
        <v/>
      </c>
      <c r="H400" s="4"/>
      <c r="I400" s="6" t="str">
        <f t="shared" ca="1" si="27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8"/>
        <v/>
      </c>
      <c r="H401" s="4"/>
      <c r="I401" s="6" t="str">
        <f t="shared" ca="1" si="27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>
      <c r="B402" s="10"/>
      <c r="C402" s="11"/>
      <c r="D402" s="1" t="str">
        <f t="shared" si="28"/>
        <v/>
      </c>
      <c r="I402" s="1" t="str">
        <f t="shared" ca="1" si="27"/>
        <v/>
      </c>
      <c r="K402" s="11"/>
      <c r="L402" s="11"/>
      <c r="Q402" s="11"/>
      <c r="R402" s="11"/>
    </row>
    <row r="403" spans="2:19">
      <c r="B403" s="10"/>
      <c r="C403" s="11"/>
      <c r="D403" s="1" t="str">
        <f t="shared" si="28"/>
        <v/>
      </c>
      <c r="I403" s="1" t="str">
        <f t="shared" ca="1" si="27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8"/>
        <v/>
      </c>
      <c r="I404" s="1" t="str">
        <f t="shared" ca="1" si="27"/>
        <v/>
      </c>
      <c r="Q404" s="11"/>
      <c r="R404" s="11"/>
    </row>
    <row r="405" spans="2:19">
      <c r="B405" s="10"/>
      <c r="C405" s="11"/>
      <c r="D405" s="1" t="str">
        <f t="shared" si="28"/>
        <v/>
      </c>
      <c r="I405" s="1" t="str">
        <f t="shared" ca="1" si="27"/>
        <v/>
      </c>
      <c r="Q405" s="11"/>
      <c r="R405" s="11"/>
    </row>
    <row r="406" spans="2:19">
      <c r="B406" s="10"/>
      <c r="C406" s="11"/>
      <c r="D406" s="1" t="str">
        <f t="shared" si="28"/>
        <v/>
      </c>
      <c r="Q406" s="11"/>
      <c r="R406" s="11"/>
    </row>
    <row r="407" spans="2:19">
      <c r="B407" s="10"/>
      <c r="C407" s="11"/>
      <c r="D407" s="1" t="str">
        <f t="shared" si="28"/>
        <v/>
      </c>
      <c r="Q407" s="11"/>
      <c r="R407" s="11"/>
    </row>
    <row r="408" spans="2:19" ht="16.5" customHeight="1">
      <c r="C408" s="35"/>
      <c r="F408" s="38"/>
    </row>
  </sheetData>
  <autoFilter ref="A1:S407"/>
  <phoneticPr fontId="5" type="noConversion"/>
  <conditionalFormatting sqref="E3 F57:F60 E37">
    <cfRule type="expression" dxfId="90" priority="120">
      <formula>$J3="잔금"</formula>
    </cfRule>
  </conditionalFormatting>
  <conditionalFormatting sqref="E8">
    <cfRule type="expression" dxfId="89" priority="119">
      <formula>$J8="잔금"</formula>
    </cfRule>
  </conditionalFormatting>
  <conditionalFormatting sqref="E4">
    <cfRule type="expression" dxfId="88" priority="118">
      <formula>$J4="잔금"</formula>
    </cfRule>
  </conditionalFormatting>
  <conditionalFormatting sqref="E9">
    <cfRule type="expression" dxfId="87" priority="117">
      <formula>$J9="잔금"</formula>
    </cfRule>
  </conditionalFormatting>
  <conditionalFormatting sqref="E41">
    <cfRule type="expression" dxfId="86" priority="112">
      <formula>$J41="잔금"</formula>
    </cfRule>
  </conditionalFormatting>
  <conditionalFormatting sqref="E98:E99 E187:F193 H187:H193 F113 C187:C193">
    <cfRule type="expression" dxfId="85" priority="102">
      <formula>$J98="잔금"</formula>
    </cfRule>
  </conditionalFormatting>
  <conditionalFormatting sqref="F98:F99">
    <cfRule type="expression" dxfId="84" priority="101">
      <formula>$J98="잔금"</formula>
    </cfRule>
  </conditionalFormatting>
  <conditionalFormatting sqref="F104:F105">
    <cfRule type="expression" dxfId="83" priority="99">
      <formula>$J104="잔금"</formula>
    </cfRule>
  </conditionalFormatting>
  <conditionalFormatting sqref="H104:H105">
    <cfRule type="expression" dxfId="82" priority="98">
      <formula>$J104="잔금"</formula>
    </cfRule>
  </conditionalFormatting>
  <conditionalFormatting sqref="E106:E108">
    <cfRule type="expression" dxfId="81" priority="97">
      <formula>$J106="잔금"</formula>
    </cfRule>
  </conditionalFormatting>
  <conditionalFormatting sqref="F106:F108">
    <cfRule type="expression" dxfId="80" priority="96">
      <formula>$J106="잔금"</formula>
    </cfRule>
  </conditionalFormatting>
  <conditionalFormatting sqref="H106:H108">
    <cfRule type="expression" dxfId="79" priority="95">
      <formula>$J106="잔금"</formula>
    </cfRule>
  </conditionalFormatting>
  <conditionalFormatting sqref="E110">
    <cfRule type="expression" dxfId="78" priority="94">
      <formula>$J110="잔금"</formula>
    </cfRule>
  </conditionalFormatting>
  <conditionalFormatting sqref="F110">
    <cfRule type="expression" dxfId="77" priority="93">
      <formula>$J110="잔금"</formula>
    </cfRule>
  </conditionalFormatting>
  <conditionalFormatting sqref="E111:E113">
    <cfRule type="expression" dxfId="76" priority="92">
      <formula>$J111="잔금"</formula>
    </cfRule>
  </conditionalFormatting>
  <conditionalFormatting sqref="F111">
    <cfRule type="expression" dxfId="75" priority="91">
      <formula>$J111="잔금"</formula>
    </cfRule>
  </conditionalFormatting>
  <conditionalFormatting sqref="F112">
    <cfRule type="expression" dxfId="74" priority="90">
      <formula>$J112="잔금"</formula>
    </cfRule>
  </conditionalFormatting>
  <conditionalFormatting sqref="H111:H113">
    <cfRule type="expression" dxfId="73" priority="89">
      <formula>$J111="잔금"</formula>
    </cfRule>
  </conditionalFormatting>
  <conditionalFormatting sqref="C111:C113">
    <cfRule type="expression" dxfId="72" priority="88">
      <formula>$J111="잔금"</formula>
    </cfRule>
  </conditionalFormatting>
  <conditionalFormatting sqref="E117">
    <cfRule type="expression" dxfId="71" priority="87">
      <formula>$J117="잔금"</formula>
    </cfRule>
  </conditionalFormatting>
  <conditionalFormatting sqref="F117">
    <cfRule type="expression" dxfId="70" priority="86">
      <formula>$J117="잔금"</formula>
    </cfRule>
  </conditionalFormatting>
  <conditionalFormatting sqref="F143:F150">
    <cfRule type="expression" dxfId="69" priority="85">
      <formula>$J143="잔금"</formula>
    </cfRule>
  </conditionalFormatting>
  <conditionalFormatting sqref="E143:E150">
    <cfRule type="expression" dxfId="68" priority="84">
      <formula>$J143="잔금"</formula>
    </cfRule>
  </conditionalFormatting>
  <conditionalFormatting sqref="H143:H150">
    <cfRule type="expression" dxfId="67" priority="83">
      <formula>$J143="잔금"</formula>
    </cfRule>
  </conditionalFormatting>
  <conditionalFormatting sqref="E152:E158">
    <cfRule type="expression" dxfId="66" priority="81">
      <formula>$J152="잔금"</formula>
    </cfRule>
  </conditionalFormatting>
  <conditionalFormatting sqref="F152:F158">
    <cfRule type="expression" dxfId="65" priority="80">
      <formula>$J152="잔금"</formula>
    </cfRule>
  </conditionalFormatting>
  <conditionalFormatting sqref="C152:C158">
    <cfRule type="expression" dxfId="64" priority="79">
      <formula>$J152="잔금"</formula>
    </cfRule>
  </conditionalFormatting>
  <conditionalFormatting sqref="H152:H158">
    <cfRule type="expression" dxfId="63" priority="78">
      <formula>$J152="잔금"</formula>
    </cfRule>
  </conditionalFormatting>
  <conditionalFormatting sqref="C159">
    <cfRule type="expression" dxfId="62" priority="77">
      <formula>$I159="잔금"</formula>
    </cfRule>
  </conditionalFormatting>
  <conditionalFormatting sqref="F160:F163">
    <cfRule type="expression" dxfId="61" priority="76">
      <formula>$J160="잔금"</formula>
    </cfRule>
  </conditionalFormatting>
  <conditionalFormatting sqref="E160:E163">
    <cfRule type="expression" dxfId="60" priority="75">
      <formula>$J160="잔금"</formula>
    </cfRule>
  </conditionalFormatting>
  <conditionalFormatting sqref="C160:C166">
    <cfRule type="expression" dxfId="59" priority="74">
      <formula>$J160="잔금"</formula>
    </cfRule>
  </conditionalFormatting>
  <conditionalFormatting sqref="H160:H163">
    <cfRule type="expression" dxfId="58" priority="73">
      <formula>$J160="잔금"</formula>
    </cfRule>
  </conditionalFormatting>
  <conditionalFormatting sqref="F167:F179">
    <cfRule type="expression" dxfId="57" priority="72">
      <formula>$J167="잔금"</formula>
    </cfRule>
  </conditionalFormatting>
  <conditionalFormatting sqref="F180:F186">
    <cfRule type="expression" dxfId="56" priority="71">
      <formula>$J180="잔금"</formula>
    </cfRule>
  </conditionalFormatting>
  <conditionalFormatting sqref="E167:E179">
    <cfRule type="expression" dxfId="55" priority="70">
      <formula>$J167="잔금"</formula>
    </cfRule>
  </conditionalFormatting>
  <conditionalFormatting sqref="E180:E186">
    <cfRule type="expression" dxfId="54" priority="69">
      <formula>$J180="잔금"</formula>
    </cfRule>
  </conditionalFormatting>
  <conditionalFormatting sqref="C180:C186">
    <cfRule type="expression" dxfId="53" priority="67">
      <formula>$J180="잔금"</formula>
    </cfRule>
  </conditionalFormatting>
  <conditionalFormatting sqref="H167:H179">
    <cfRule type="expression" dxfId="52" priority="66">
      <formula>$J167="잔금"</formula>
    </cfRule>
  </conditionalFormatting>
  <conditionalFormatting sqref="H180:H186">
    <cfRule type="expression" dxfId="51" priority="65">
      <formula>$J180="잔금"</formula>
    </cfRule>
  </conditionalFormatting>
  <conditionalFormatting sqref="F195:F201">
    <cfRule type="expression" dxfId="50" priority="60">
      <formula>$J195="잔금"</formula>
    </cfRule>
  </conditionalFormatting>
  <conditionalFormatting sqref="E195:E201">
    <cfRule type="expression" dxfId="49" priority="59">
      <formula>$J195="잔금"</formula>
    </cfRule>
  </conditionalFormatting>
  <conditionalFormatting sqref="C195:C202">
    <cfRule type="expression" dxfId="48" priority="58">
      <formula>$J195="잔금"</formula>
    </cfRule>
  </conditionalFormatting>
  <conditionalFormatting sqref="H195:H201">
    <cfRule type="expression" dxfId="47" priority="57">
      <formula>$J195="잔금"</formula>
    </cfRule>
  </conditionalFormatting>
  <conditionalFormatting sqref="C203:C216">
    <cfRule type="expression" dxfId="46" priority="56">
      <formula>$J203="잔금"</formula>
    </cfRule>
  </conditionalFormatting>
  <conditionalFormatting sqref="F203:F216">
    <cfRule type="expression" dxfId="45" priority="55">
      <formula>$J203="잔금"</formula>
    </cfRule>
  </conditionalFormatting>
  <conditionalFormatting sqref="H203:H216">
    <cfRule type="expression" dxfId="44" priority="54">
      <formula>$J203="잔금"</formula>
    </cfRule>
  </conditionalFormatting>
  <conditionalFormatting sqref="E203:E217">
    <cfRule type="expression" dxfId="43" priority="53">
      <formula>$J203="잔금"</formula>
    </cfRule>
  </conditionalFormatting>
  <conditionalFormatting sqref="C217">
    <cfRule type="expression" dxfId="42" priority="52">
      <formula>$I217="잔금"</formula>
    </cfRule>
  </conditionalFormatting>
  <conditionalFormatting sqref="H217">
    <cfRule type="expression" dxfId="41" priority="47">
      <formula>$I217="잔금"</formula>
    </cfRule>
  </conditionalFormatting>
  <conditionalFormatting sqref="C218">
    <cfRule type="expression" dxfId="40" priority="46">
      <formula>$I218="잔금"</formula>
    </cfRule>
  </conditionalFormatting>
  <conditionalFormatting sqref="C219">
    <cfRule type="expression" dxfId="39" priority="45">
      <formula>$I219="잔금"</formula>
    </cfRule>
  </conditionalFormatting>
  <conditionalFormatting sqref="C220">
    <cfRule type="expression" dxfId="38" priority="44">
      <formula>$I220="잔금"</formula>
    </cfRule>
  </conditionalFormatting>
  <conditionalFormatting sqref="F221:F230">
    <cfRule type="expression" dxfId="37" priority="43">
      <formula>$J221="잔금"</formula>
    </cfRule>
  </conditionalFormatting>
  <conditionalFormatting sqref="F231:F244">
    <cfRule type="expression" dxfId="36" priority="42">
      <formula>$J231="잔금"</formula>
    </cfRule>
  </conditionalFormatting>
  <conditionalFormatting sqref="E221:E230">
    <cfRule type="expression" dxfId="35" priority="41">
      <formula>$J221="잔금"</formula>
    </cfRule>
  </conditionalFormatting>
  <conditionalFormatting sqref="E231:E244">
    <cfRule type="expression" dxfId="34" priority="40">
      <formula>$J231="잔금"</formula>
    </cfRule>
  </conditionalFormatting>
  <conditionalFormatting sqref="H221:H230">
    <cfRule type="expression" dxfId="33" priority="39">
      <formula>$J221="잔금"</formula>
    </cfRule>
  </conditionalFormatting>
  <conditionalFormatting sqref="H231:H244">
    <cfRule type="expression" dxfId="32" priority="38">
      <formula>$J231="잔금"</formula>
    </cfRule>
  </conditionalFormatting>
  <conditionalFormatting sqref="C246">
    <cfRule type="expression" dxfId="31" priority="37">
      <formula>$I246="잔금"</formula>
    </cfRule>
  </conditionalFormatting>
  <conditionalFormatting sqref="C247">
    <cfRule type="expression" dxfId="30" priority="36">
      <formula>$I247="잔금"</formula>
    </cfRule>
  </conditionalFormatting>
  <conditionalFormatting sqref="C248">
    <cfRule type="expression" dxfId="29" priority="35">
      <formula>$I248="잔금"</formula>
    </cfRule>
  </conditionalFormatting>
  <conditionalFormatting sqref="F249:F253">
    <cfRule type="expression" dxfId="28" priority="34">
      <formula>$J249="잔금"</formula>
    </cfRule>
  </conditionalFormatting>
  <conditionalFormatting sqref="E249:E253">
    <cfRule type="expression" dxfId="27" priority="33">
      <formula>$J249="잔금"</formula>
    </cfRule>
  </conditionalFormatting>
  <conditionalFormatting sqref="C249:C253">
    <cfRule type="expression" dxfId="26" priority="32">
      <formula>$J249="잔금"</formula>
    </cfRule>
  </conditionalFormatting>
  <conditionalFormatting sqref="H249:H253">
    <cfRule type="expression" dxfId="25" priority="31">
      <formula>$J249="잔금"</formula>
    </cfRule>
  </conditionalFormatting>
  <conditionalFormatting sqref="C254:C257">
    <cfRule type="expression" dxfId="24" priority="30">
      <formula>$I254="잔금"</formula>
    </cfRule>
  </conditionalFormatting>
  <conditionalFormatting sqref="F258:F267">
    <cfRule type="expression" dxfId="23" priority="29">
      <formula>$J258="잔금"</formula>
    </cfRule>
  </conditionalFormatting>
  <conditionalFormatting sqref="F268:F276">
    <cfRule type="expression" dxfId="22" priority="28">
      <formula>$J268="잔금"</formula>
    </cfRule>
  </conditionalFormatting>
  <conditionalFormatting sqref="C115">
    <cfRule type="expression" dxfId="21" priority="22">
      <formula>$J115="잔금"</formula>
    </cfRule>
  </conditionalFormatting>
  <conditionalFormatting sqref="C114">
    <cfRule type="expression" dxfId="20" priority="23">
      <formula>$J114="잔금"</formula>
    </cfRule>
  </conditionalFormatting>
  <conditionalFormatting sqref="C167">
    <cfRule type="expression" dxfId="19" priority="21">
      <formula>$J167="잔금"</formula>
    </cfRule>
  </conditionalFormatting>
  <conditionalFormatting sqref="C168">
    <cfRule type="expression" dxfId="18" priority="20">
      <formula>$J168="잔금"</formula>
    </cfRule>
  </conditionalFormatting>
  <conditionalFormatting sqref="C169">
    <cfRule type="expression" dxfId="17" priority="19">
      <formula>$J169="잔금"</formula>
    </cfRule>
  </conditionalFormatting>
  <conditionalFormatting sqref="C170">
    <cfRule type="expression" dxfId="16" priority="18">
      <formula>$J170="잔금"</formula>
    </cfRule>
  </conditionalFormatting>
  <conditionalFormatting sqref="C171">
    <cfRule type="expression" dxfId="15" priority="17">
      <formula>$J171="잔금"</formula>
    </cfRule>
  </conditionalFormatting>
  <conditionalFormatting sqref="C172">
    <cfRule type="expression" dxfId="14" priority="16">
      <formula>$J172="잔금"</formula>
    </cfRule>
  </conditionalFormatting>
  <conditionalFormatting sqref="C173">
    <cfRule type="expression" dxfId="13" priority="15">
      <formula>$J173="잔금"</formula>
    </cfRule>
  </conditionalFormatting>
  <conditionalFormatting sqref="C174">
    <cfRule type="expression" dxfId="12" priority="14">
      <formula>$J174="잔금"</formula>
    </cfRule>
  </conditionalFormatting>
  <conditionalFormatting sqref="C175">
    <cfRule type="expression" dxfId="11" priority="12">
      <formula>$J175="잔금"</formula>
    </cfRule>
  </conditionalFormatting>
  <conditionalFormatting sqref="C176">
    <cfRule type="expression" dxfId="10" priority="11">
      <formula>$J176="잔금"</formula>
    </cfRule>
  </conditionalFormatting>
  <conditionalFormatting sqref="C177">
    <cfRule type="expression" dxfId="9" priority="10">
      <formula>$J177="잔금"</formula>
    </cfRule>
  </conditionalFormatting>
  <conditionalFormatting sqref="C178">
    <cfRule type="expression" dxfId="8" priority="9">
      <formula>$J178="잔금"</formula>
    </cfRule>
  </conditionalFormatting>
  <conditionalFormatting sqref="C179">
    <cfRule type="expression" dxfId="7" priority="8">
      <formula>$J179="잔금"</formula>
    </cfRule>
  </conditionalFormatting>
  <conditionalFormatting sqref="H309:H310">
    <cfRule type="expression" dxfId="6" priority="2">
      <formula>$J309="잔금"</formula>
    </cfRule>
  </conditionalFormatting>
  <conditionalFormatting sqref="F290:F303">
    <cfRule type="expression" dxfId="5" priority="7">
      <formula>$J290="잔금"</formula>
    </cfRule>
  </conditionalFormatting>
  <conditionalFormatting sqref="F304:F308">
    <cfRule type="expression" dxfId="4" priority="6">
      <formula>$J304="잔금"</formula>
    </cfRule>
  </conditionalFormatting>
  <conditionalFormatting sqref="F309:F310">
    <cfRule type="expression" dxfId="3" priority="5">
      <formula>$J309="잔금"</formula>
    </cfRule>
  </conditionalFormatting>
  <conditionalFormatting sqref="H290:H303">
    <cfRule type="expression" dxfId="2" priority="4">
      <formula>$J290="잔금"</formula>
    </cfRule>
  </conditionalFormatting>
  <conditionalFormatting sqref="H304:H308">
    <cfRule type="expression" dxfId="1" priority="3">
      <formula>$J304="잔금"</formula>
    </cfRule>
  </conditionalFormatting>
  <conditionalFormatting sqref="H312:H353">
    <cfRule type="expression" dxfId="0" priority="1">
      <formula>$J312="잔금"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367">
      <formula1>"Y,N"</formula1>
    </dataValidation>
    <dataValidation type="list" allowBlank="1" sqref="D2:D407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2026-04-07T06:30:22Z</dcterms:modified>
</cp:coreProperties>
</file>