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data!$A$1:$S$442</definedName>
    <definedName name="_xlnm._FilterDatabase">data!$A$1:$S$404</definedName>
  </definedNames>
  <calcPr calcId="162913"/>
</workbook>
</file>

<file path=xl/calcChain.xml><?xml version="1.0" encoding="utf-8"?>
<calcChain xmlns="http://schemas.openxmlformats.org/spreadsheetml/2006/main">
  <c r="I312" i="1" l="1"/>
  <c r="J312" i="1" s="1"/>
  <c r="B312" i="1"/>
  <c r="I439" i="1" l="1"/>
  <c r="J439" i="1" s="1"/>
  <c r="I440" i="1"/>
  <c r="J440" i="1" s="1"/>
  <c r="I441" i="1"/>
  <c r="J441" i="1" s="1"/>
  <c r="I442" i="1"/>
  <c r="J442" i="1" s="1"/>
  <c r="B439" i="1"/>
  <c r="B440" i="1"/>
  <c r="B441" i="1"/>
  <c r="B442" i="1"/>
  <c r="B438" i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B428" i="1"/>
  <c r="B429" i="1"/>
  <c r="B430" i="1"/>
  <c r="B431" i="1"/>
  <c r="B432" i="1"/>
  <c r="B433" i="1"/>
  <c r="B434" i="1"/>
  <c r="B435" i="1"/>
  <c r="B436" i="1"/>
  <c r="B437" i="1"/>
  <c r="I424" i="1" l="1"/>
  <c r="J424" i="1" s="1"/>
  <c r="I425" i="1"/>
  <c r="J425" i="1" s="1"/>
  <c r="I426" i="1"/>
  <c r="J426" i="1" s="1"/>
  <c r="I427" i="1"/>
  <c r="J427" i="1" s="1"/>
  <c r="D419" i="1"/>
  <c r="D420" i="1"/>
  <c r="D421" i="1"/>
  <c r="D422" i="1"/>
  <c r="D423" i="1"/>
  <c r="B424" i="1"/>
  <c r="B425" i="1"/>
  <c r="B426" i="1"/>
  <c r="B427" i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D404" i="1"/>
  <c r="I403" i="1" l="1"/>
  <c r="J403" i="1" s="1"/>
  <c r="B403" i="1"/>
  <c r="B402" i="1"/>
  <c r="B401" i="1"/>
  <c r="B400" i="1"/>
  <c r="D399" i="1"/>
  <c r="B398" i="1"/>
  <c r="B399" i="1"/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70" i="1" l="1"/>
  <c r="B369" i="1"/>
  <c r="B366" i="1" l="1"/>
  <c r="B367" i="1"/>
  <c r="B368" i="1"/>
  <c r="D365" i="1"/>
  <c r="D363" i="1"/>
  <c r="D364" i="1"/>
  <c r="B363" i="1"/>
  <c r="B364" i="1"/>
  <c r="B365" i="1"/>
  <c r="B362" i="1"/>
  <c r="D362" i="1"/>
  <c r="B360" i="1"/>
  <c r="B361" i="1"/>
  <c r="B359" i="1"/>
  <c r="B358" i="1"/>
  <c r="B357" i="1"/>
  <c r="B356" i="1"/>
  <c r="B355" i="1"/>
  <c r="B313" i="1" l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2" i="1" l="1"/>
  <c r="J402" i="1" s="1"/>
  <c r="I401" i="1"/>
  <c r="J401" i="1" s="1"/>
  <c r="I400" i="1"/>
  <c r="J400" i="1" s="1"/>
  <c r="I399" i="1"/>
  <c r="J399" i="1" s="1"/>
  <c r="I398" i="1"/>
  <c r="J398" i="1" s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D361" i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<sst xmlns="http://schemas.openxmlformats.org/spreadsheetml/2006/main" count="2276" uniqueCount="625">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</sst>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2"/>
  <sheetViews>
    <sheetView tabSelected="1" zoomScaleNormal="100" workbookViewId="0">
      <pane xSplit="5" ySplit="1" topLeftCell="F388" activePane="bottomRight" state="frozen"/>
      <selection pane="topRight"/>
      <selection pane="bottomLeft"/>
      <selection pane="bottomRight" activeCell="F408" sqref="F40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331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161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311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213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163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118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113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296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156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471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891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695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535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673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672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764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406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401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391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385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381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381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380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378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357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343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322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310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280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258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329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253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231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226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183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181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170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423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288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288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239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90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66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65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101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64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64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63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63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62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61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50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48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48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48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44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44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44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>
        <v>46126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42</v>
      </c>
      <c r="J144" s="13" t="str">
        <f t="shared" ca="1" si="13"/>
        <v>관리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42</v>
      </c>
      <c r="J145" s="13" t="str">
        <f t="shared" ca="1" si="13"/>
        <v>관리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42</v>
      </c>
      <c r="J147" s="13" t="str">
        <f t="shared" ca="1" si="13"/>
        <v>관리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42</v>
      </c>
      <c r="J148" s="13" t="str">
        <f t="shared" ca="1" si="13"/>
        <v>관리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42</v>
      </c>
      <c r="J149" s="13" t="str">
        <f t="shared" ca="1" si="13"/>
        <v>관리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42</v>
      </c>
      <c r="J150" s="13" t="str">
        <f t="shared" ca="1" si="13"/>
        <v>관리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>
        <v>46126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41</v>
      </c>
      <c r="J158" s="13" t="str">
        <f t="shared" ca="1" si="13"/>
        <v>관리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38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38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38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35</v>
      </c>
      <c r="J166" s="13" t="str">
        <f t="shared" ca="1" si="15"/>
        <v>관리</v>
      </c>
      <c r="K166" s="11"/>
      <c r="L166" s="11">
        <v>46127</v>
      </c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37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37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37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37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37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37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37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37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36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36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36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36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36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35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>
        <v>46126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35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35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35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35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34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34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34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34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34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30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30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30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30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30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30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30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30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>
        <v>46126</v>
      </c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30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30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30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30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28</v>
      </c>
      <c r="J217" s="13" t="str">
        <f t="shared" ca="1" si="17"/>
        <v>관리</v>
      </c>
      <c r="K217" s="11">
        <v>46127</v>
      </c>
      <c r="L217" s="11">
        <v>46127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29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29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29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29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28</v>
      </c>
      <c r="J229" s="13" t="str">
        <f t="shared" ca="1" si="19"/>
        <v>정상</v>
      </c>
      <c r="K229" s="11"/>
      <c r="L229" s="11">
        <v>46127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29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28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28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28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28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28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>
        <v>46126</v>
      </c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28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>
        <v>46126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28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>
        <v>46126</v>
      </c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28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26</v>
      </c>
      <c r="J247" s="13" t="str">
        <f t="shared" ca="1" si="19"/>
        <v>관리</v>
      </c>
      <c r="K247" s="11">
        <v>46127</v>
      </c>
      <c r="L247" s="11">
        <v>46127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27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27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23</v>
      </c>
      <c r="J254" s="13" t="str">
        <f t="shared" ca="1" si="19"/>
        <v>정상</v>
      </c>
      <c r="K254" s="11"/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8" ca="1" si="20">IF(C255="","",IF(L255="",TODAY()-C255,L255-C255))</f>
        <v>23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>
        <v>46127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22</v>
      </c>
      <c r="J257" s="13" t="str">
        <f t="shared" ca="1" si="21"/>
        <v>관리</v>
      </c>
      <c r="K257" s="11">
        <v>46127</v>
      </c>
      <c r="L257" s="11">
        <v>46127</v>
      </c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24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24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24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24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23</v>
      </c>
      <c r="J266" s="13" t="str">
        <f t="shared" ca="1" si="21"/>
        <v>정상</v>
      </c>
      <c r="K266" s="11"/>
      <c r="L266" s="11">
        <v>46127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24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24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23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23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23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23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23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22</v>
      </c>
      <c r="J274" s="13" t="str">
        <f t="shared" ca="1" si="21"/>
        <v>정상</v>
      </c>
      <c r="K274" s="11"/>
      <c r="L274" s="11">
        <v>46127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23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23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21</v>
      </c>
      <c r="J278" s="13" t="str">
        <f t="shared" ca="1" si="21"/>
        <v>관리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22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22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22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22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22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22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22</v>
      </c>
      <c r="J287" s="13" t="str">
        <f t="shared" ref="J287:J350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22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22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>
        <v>46126</v>
      </c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21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21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21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21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21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21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21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21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21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21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20</v>
      </c>
      <c r="J302" s="13" t="str">
        <f t="shared" ca="1" si="23"/>
        <v>정상</v>
      </c>
      <c r="K302" s="11"/>
      <c r="L302" s="11">
        <v>46127</v>
      </c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21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20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20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20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20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20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17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16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46112</v>
      </c>
      <c r="D312" s="10" t="s">
        <v>243</v>
      </c>
      <c r="E312" s="6" t="s">
        <v>624</v>
      </c>
      <c r="F312" s="6" t="s">
        <v>622</v>
      </c>
      <c r="G312" s="6" t="s">
        <v>623</v>
      </c>
      <c r="H312" s="4">
        <v>6562000</v>
      </c>
      <c r="I312" s="6">
        <f t="shared" ca="1" si="20"/>
        <v>15</v>
      </c>
      <c r="J312" s="13" t="str">
        <f t="shared" ca="1" si="23"/>
        <v>정상</v>
      </c>
      <c r="K312" s="11"/>
      <c r="L312" s="11">
        <v>46127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509</v>
      </c>
      <c r="D313" s="10" t="s">
        <v>178</v>
      </c>
      <c r="E313" s="6" t="s">
        <v>503</v>
      </c>
      <c r="F313" s="6" t="s">
        <v>471</v>
      </c>
      <c r="G313" s="6" t="s">
        <v>512</v>
      </c>
      <c r="H313" s="25">
        <v>380000</v>
      </c>
      <c r="I313" s="6">
        <f t="shared" ca="1" si="20"/>
        <v>0</v>
      </c>
      <c r="J313" s="13" t="str">
        <f t="shared" ca="1" si="23"/>
        <v>정상</v>
      </c>
      <c r="K313" s="11"/>
      <c r="L313" s="11">
        <v>46114</v>
      </c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126</v>
      </c>
      <c r="F314" s="6" t="s">
        <v>472</v>
      </c>
      <c r="G314" s="6" t="s">
        <v>512</v>
      </c>
      <c r="H314" s="25">
        <v>1182500</v>
      </c>
      <c r="I314" s="6">
        <f t="shared" ca="1" si="20"/>
        <v>13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504</v>
      </c>
      <c r="F315" s="6" t="s">
        <v>473</v>
      </c>
      <c r="G315" s="6" t="s">
        <v>512</v>
      </c>
      <c r="H315" s="25">
        <v>4300000</v>
      </c>
      <c r="I315" s="6">
        <f t="shared" ca="1" si="20"/>
        <v>13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505</v>
      </c>
      <c r="F316" s="6" t="s">
        <v>474</v>
      </c>
      <c r="G316" s="6" t="s">
        <v>512</v>
      </c>
      <c r="H316" s="25">
        <v>550950</v>
      </c>
      <c r="I316" s="6">
        <f t="shared" ca="1" si="20"/>
        <v>13</v>
      </c>
      <c r="J316" s="13" t="str">
        <f t="shared" ca="1" si="23"/>
        <v>정상</v>
      </c>
      <c r="K316" s="11"/>
      <c r="L316" s="11"/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506</v>
      </c>
      <c r="F317" s="6" t="s">
        <v>475</v>
      </c>
      <c r="G317" s="6" t="s">
        <v>512</v>
      </c>
      <c r="H317" s="25">
        <v>736000</v>
      </c>
      <c r="I317" s="6">
        <f t="shared" ca="1" si="20"/>
        <v>0</v>
      </c>
      <c r="J317" s="13" t="str">
        <f t="shared" ca="1" si="23"/>
        <v>정상</v>
      </c>
      <c r="K317" s="11"/>
      <c r="L317" s="11">
        <v>46115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128</v>
      </c>
      <c r="F318" s="6" t="s">
        <v>476</v>
      </c>
      <c r="G318" s="6" t="s">
        <v>512</v>
      </c>
      <c r="H318" s="25">
        <v>1432700</v>
      </c>
      <c r="I318" s="6">
        <f t="shared" ca="1" si="20"/>
        <v>3</v>
      </c>
      <c r="J318" s="13" t="str">
        <f t="shared" ca="1" si="23"/>
        <v>정상</v>
      </c>
      <c r="K318" s="11"/>
      <c r="L318" s="11">
        <v>46118</v>
      </c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395</v>
      </c>
      <c r="F319" s="6" t="s">
        <v>477</v>
      </c>
      <c r="G319" s="6" t="s">
        <v>512</v>
      </c>
      <c r="H319" s="25">
        <v>18900000</v>
      </c>
      <c r="I319" s="6">
        <f t="shared" ref="I319:I382" ca="1" si="24">IF(C319="","",IF(L319="",TODAY()-C319,L319-C319))</f>
        <v>13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100</v>
      </c>
      <c r="F320" s="6" t="s">
        <v>478</v>
      </c>
      <c r="G320" s="6" t="s">
        <v>512</v>
      </c>
      <c r="H320" s="25">
        <v>1478000</v>
      </c>
      <c r="I320" s="6">
        <f t="shared" ca="1" si="24"/>
        <v>13</v>
      </c>
      <c r="J320" s="13" t="str">
        <f t="shared" ca="1" si="23"/>
        <v>정상</v>
      </c>
      <c r="K320" s="11"/>
      <c r="L320" s="11"/>
      <c r="M320" s="10"/>
      <c r="N320" s="10" t="s">
        <v>33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2261000</v>
      </c>
      <c r="I321" s="6">
        <f t="shared" ca="1" si="24"/>
        <v>13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24</v>
      </c>
      <c r="F322" s="6" t="s">
        <v>433</v>
      </c>
      <c r="G322" s="6" t="s">
        <v>512</v>
      </c>
      <c r="H322" s="25">
        <v>5104500</v>
      </c>
      <c r="I322" s="6">
        <f t="shared" ca="1" si="24"/>
        <v>13</v>
      </c>
      <c r="J322" s="13" t="str">
        <f t="shared" ca="1" si="23"/>
        <v>정상</v>
      </c>
      <c r="K322" s="11"/>
      <c r="L322" s="11"/>
      <c r="M322" s="10"/>
      <c r="N322" s="10" t="s">
        <v>20</v>
      </c>
      <c r="O322" s="6" t="s">
        <v>58</v>
      </c>
      <c r="P322" s="6" t="s">
        <v>153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126</v>
      </c>
      <c r="F323" s="6" t="s">
        <v>479</v>
      </c>
      <c r="G323" s="6" t="s">
        <v>512</v>
      </c>
      <c r="H323" s="25">
        <v>1575000</v>
      </c>
      <c r="I323" s="6">
        <f t="shared" ca="1" si="24"/>
        <v>13</v>
      </c>
      <c r="J323" s="13" t="str">
        <f t="shared" ca="1" si="23"/>
        <v>정상</v>
      </c>
      <c r="K323" s="11"/>
      <c r="L323" s="11"/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366</v>
      </c>
      <c r="F324" s="6" t="s">
        <v>480</v>
      </c>
      <c r="G324" s="6" t="s">
        <v>512</v>
      </c>
      <c r="H324" s="25">
        <v>16446000</v>
      </c>
      <c r="I324" s="6">
        <f t="shared" ca="1" si="24"/>
        <v>3</v>
      </c>
      <c r="J324" s="13" t="str">
        <f t="shared" ca="1" si="23"/>
        <v>정상</v>
      </c>
      <c r="K324" s="11"/>
      <c r="L324" s="11">
        <v>46118</v>
      </c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207</v>
      </c>
      <c r="F325" s="6" t="s">
        <v>481</v>
      </c>
      <c r="G325" s="6" t="s">
        <v>512</v>
      </c>
      <c r="H325" s="25">
        <v>156900</v>
      </c>
      <c r="I325" s="6">
        <f t="shared" ca="1" si="24"/>
        <v>13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39</v>
      </c>
      <c r="F326" s="6" t="s">
        <v>482</v>
      </c>
      <c r="G326" s="6" t="s">
        <v>512</v>
      </c>
      <c r="H326" s="25">
        <v>2137500</v>
      </c>
      <c r="I326" s="6">
        <f t="shared" ca="1" si="24"/>
        <v>13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110</v>
      </c>
      <c r="F327" s="6" t="s">
        <v>483</v>
      </c>
      <c r="G327" s="6" t="s">
        <v>512</v>
      </c>
      <c r="H327" s="25">
        <v>1469400</v>
      </c>
      <c r="I327" s="6">
        <f t="shared" ca="1" si="24"/>
        <v>13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479</v>
      </c>
      <c r="G328" s="6" t="s">
        <v>512</v>
      </c>
      <c r="H328" s="25">
        <v>24591000</v>
      </c>
      <c r="I328" s="6">
        <f t="shared" ca="1" si="24"/>
        <v>13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484</v>
      </c>
      <c r="G329" s="6" t="s">
        <v>512</v>
      </c>
      <c r="H329" s="25">
        <v>4770000</v>
      </c>
      <c r="I329" s="6">
        <f t="shared" ca="1" si="24"/>
        <v>13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126</v>
      </c>
      <c r="F330" s="6" t="s">
        <v>485</v>
      </c>
      <c r="G330" s="6" t="s">
        <v>512</v>
      </c>
      <c r="H330" s="25">
        <v>5661500</v>
      </c>
      <c r="I330" s="6">
        <f t="shared" ca="1" si="24"/>
        <v>13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100</v>
      </c>
      <c r="F331" s="6" t="s">
        <v>478</v>
      </c>
      <c r="G331" s="6" t="s">
        <v>512</v>
      </c>
      <c r="H331" s="25">
        <v>1700000</v>
      </c>
      <c r="I331" s="6">
        <f t="shared" ca="1" si="24"/>
        <v>13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195</v>
      </c>
      <c r="F332" s="6" t="s">
        <v>486</v>
      </c>
      <c r="G332" s="6" t="s">
        <v>512</v>
      </c>
      <c r="H332" s="25">
        <v>5060000</v>
      </c>
      <c r="I332" s="6">
        <f t="shared" ca="1" si="24"/>
        <v>13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163</v>
      </c>
      <c r="F333" s="6" t="s">
        <v>487</v>
      </c>
      <c r="G333" s="6" t="s">
        <v>512</v>
      </c>
      <c r="H333" s="25">
        <v>6050000</v>
      </c>
      <c r="I333" s="6">
        <f t="shared" ca="1" si="24"/>
        <v>4</v>
      </c>
      <c r="J333" s="13" t="str">
        <f t="shared" ca="1" si="23"/>
        <v>정상</v>
      </c>
      <c r="K333" s="11"/>
      <c r="L333" s="11">
        <v>46119</v>
      </c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316</v>
      </c>
      <c r="F334" s="6" t="s">
        <v>488</v>
      </c>
      <c r="G334" s="6" t="s">
        <v>512</v>
      </c>
      <c r="H334" s="25">
        <v>585000</v>
      </c>
      <c r="I334" s="6">
        <f t="shared" ca="1" si="24"/>
        <v>13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510</v>
      </c>
      <c r="D335" s="10" t="s">
        <v>178</v>
      </c>
      <c r="E335" s="6" t="s">
        <v>434</v>
      </c>
      <c r="F335" s="6" t="s">
        <v>489</v>
      </c>
      <c r="G335" s="6" t="s">
        <v>512</v>
      </c>
      <c r="H335" s="25">
        <v>33428500</v>
      </c>
      <c r="I335" s="6">
        <f t="shared" ca="1" si="24"/>
        <v>13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461</v>
      </c>
      <c r="F336" s="6" t="s">
        <v>490</v>
      </c>
      <c r="G336" s="6" t="s">
        <v>512</v>
      </c>
      <c r="H336" s="25">
        <v>835000</v>
      </c>
      <c r="I336" s="6">
        <f t="shared" ca="1" si="24"/>
        <v>10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507</v>
      </c>
      <c r="F337" s="6" t="s">
        <v>491</v>
      </c>
      <c r="G337" s="6" t="s">
        <v>512</v>
      </c>
      <c r="H337" s="25">
        <v>1295800</v>
      </c>
      <c r="I337" s="6">
        <f t="shared" ca="1" si="24"/>
        <v>10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126</v>
      </c>
      <c r="F338" s="6" t="s">
        <v>485</v>
      </c>
      <c r="G338" s="6" t="s">
        <v>512</v>
      </c>
      <c r="H338" s="25">
        <v>3180000</v>
      </c>
      <c r="I338" s="6">
        <f t="shared" ca="1" si="24"/>
        <v>10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434</v>
      </c>
      <c r="F339" s="6" t="s">
        <v>492</v>
      </c>
      <c r="G339" s="6" t="s">
        <v>512</v>
      </c>
      <c r="H339" s="25">
        <v>40027000</v>
      </c>
      <c r="I339" s="6">
        <f t="shared" ca="1" si="24"/>
        <v>10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83</v>
      </c>
      <c r="F340" s="6" t="s">
        <v>493</v>
      </c>
      <c r="G340" s="6" t="s">
        <v>512</v>
      </c>
      <c r="H340" s="25">
        <v>63450600</v>
      </c>
      <c r="I340" s="6">
        <f t="shared" ca="1" si="24"/>
        <v>10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220</v>
      </c>
      <c r="F341" s="6" t="s">
        <v>215</v>
      </c>
      <c r="G341" s="6" t="s">
        <v>512</v>
      </c>
      <c r="H341" s="25">
        <v>3060000</v>
      </c>
      <c r="I341" s="6">
        <f t="shared" ca="1" si="24"/>
        <v>4</v>
      </c>
      <c r="J341" s="13" t="str">
        <f t="shared" ca="1" si="23"/>
        <v>정상</v>
      </c>
      <c r="K341" s="11"/>
      <c r="L341" s="11">
        <v>46122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195</v>
      </c>
      <c r="F342" s="6" t="s">
        <v>486</v>
      </c>
      <c r="G342" s="6" t="s">
        <v>512</v>
      </c>
      <c r="H342" s="25">
        <v>310800</v>
      </c>
      <c r="I342" s="6">
        <f t="shared" ca="1" si="24"/>
        <v>9</v>
      </c>
      <c r="J342" s="13" t="str">
        <f t="shared" ca="1" si="23"/>
        <v>정상</v>
      </c>
      <c r="K342" s="11"/>
      <c r="L342" s="11">
        <v>46127</v>
      </c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30</v>
      </c>
      <c r="F343" s="6" t="s">
        <v>494</v>
      </c>
      <c r="G343" s="6" t="s">
        <v>512</v>
      </c>
      <c r="H343" s="25">
        <v>381000</v>
      </c>
      <c r="I343" s="6">
        <f t="shared" ca="1" si="24"/>
        <v>10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508</v>
      </c>
      <c r="F344" s="6" t="s">
        <v>495</v>
      </c>
      <c r="G344" s="6" t="s">
        <v>512</v>
      </c>
      <c r="H344" s="25">
        <v>295000</v>
      </c>
      <c r="I344" s="6">
        <f t="shared" ca="1" si="24"/>
        <v>10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207</v>
      </c>
      <c r="F345" s="6" t="s">
        <v>496</v>
      </c>
      <c r="G345" s="6" t="s">
        <v>512</v>
      </c>
      <c r="H345" s="25">
        <v>5664000</v>
      </c>
      <c r="I345" s="6">
        <f t="shared" ca="1" si="24"/>
        <v>10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17</v>
      </c>
      <c r="F346" s="6" t="s">
        <v>497</v>
      </c>
      <c r="G346" s="6" t="s">
        <v>512</v>
      </c>
      <c r="H346" s="25">
        <v>216900</v>
      </c>
      <c r="I346" s="6">
        <f t="shared" ca="1" si="24"/>
        <v>1</v>
      </c>
      <c r="J346" s="13" t="str">
        <f t="shared" ca="1" si="23"/>
        <v>정상</v>
      </c>
      <c r="K346" s="11"/>
      <c r="L346" s="11">
        <v>46119</v>
      </c>
      <c r="M346" s="10"/>
      <c r="N346" s="10" t="s">
        <v>33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24</v>
      </c>
      <c r="F347" s="6" t="s">
        <v>107</v>
      </c>
      <c r="G347" s="6" t="s">
        <v>512</v>
      </c>
      <c r="H347" s="25">
        <v>4160000</v>
      </c>
      <c r="I347" s="6">
        <f t="shared" ca="1" si="24"/>
        <v>10</v>
      </c>
      <c r="J347" s="13" t="str">
        <f t="shared" ca="1" si="23"/>
        <v>정상</v>
      </c>
      <c r="K347" s="11"/>
      <c r="L347" s="11"/>
      <c r="M347" s="10"/>
      <c r="N347" s="10" t="s">
        <v>20</v>
      </c>
      <c r="O347" s="6" t="s">
        <v>58</v>
      </c>
      <c r="P347" s="6" t="s">
        <v>153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498</v>
      </c>
      <c r="G348" s="6" t="s">
        <v>512</v>
      </c>
      <c r="H348" s="25">
        <v>1460000</v>
      </c>
      <c r="I348" s="6">
        <f t="shared" ca="1" si="24"/>
        <v>10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26</v>
      </c>
      <c r="F349" s="6" t="s">
        <v>499</v>
      </c>
      <c r="G349" s="6" t="s">
        <v>512</v>
      </c>
      <c r="H349" s="25">
        <v>720000</v>
      </c>
      <c r="I349" s="6">
        <f t="shared" ca="1" si="24"/>
        <v>10</v>
      </c>
      <c r="J349" s="13" t="str">
        <f t="shared" ca="1" si="23"/>
        <v>정상</v>
      </c>
      <c r="K349" s="11"/>
      <c r="L349" s="11"/>
      <c r="M349" s="10"/>
      <c r="N349" s="10" t="s">
        <v>33</v>
      </c>
      <c r="P349" s="6" t="s">
        <v>80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375</v>
      </c>
      <c r="F350" s="6" t="s">
        <v>500</v>
      </c>
      <c r="G350" s="6" t="s">
        <v>512</v>
      </c>
      <c r="H350" s="25">
        <v>3380000</v>
      </c>
      <c r="I350" s="6">
        <f t="shared" ca="1" si="24"/>
        <v>9</v>
      </c>
      <c r="J350" s="13" t="str">
        <f t="shared" ca="1" si="23"/>
        <v>정상</v>
      </c>
      <c r="K350" s="11"/>
      <c r="L350" s="11">
        <v>46127</v>
      </c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126</v>
      </c>
      <c r="F351" s="6" t="s">
        <v>501</v>
      </c>
      <c r="G351" s="6" t="s">
        <v>512</v>
      </c>
      <c r="H351" s="25">
        <v>1230000</v>
      </c>
      <c r="I351" s="6">
        <f t="shared" ca="1" si="24"/>
        <v>10</v>
      </c>
      <c r="J351" s="13" t="str">
        <f t="shared" ref="J351:J414" ca="1" si="25">IF(I351="","",
 IF(G351="선급금",
   IF(I351&lt;=20,"정상",IF(I351&lt;=90,"관리","장기미수")),
 IF(G351="자재",
   IF(I351&lt;=40,"정상",IF(I351&lt;=90,"관리","장기미수")),
   IF(I351&lt;=30,"정상",IF(I351&lt;=90,"관리","장기미수"))
  )
 )
)</f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100</v>
      </c>
      <c r="F352" s="6" t="s">
        <v>478</v>
      </c>
      <c r="G352" s="6" t="s">
        <v>512</v>
      </c>
      <c r="H352" s="25">
        <v>2378500</v>
      </c>
      <c r="I352" s="6">
        <f t="shared" ca="1" si="24"/>
        <v>10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434</v>
      </c>
      <c r="F353" s="6" t="s">
        <v>492</v>
      </c>
      <c r="G353" s="6" t="s">
        <v>512</v>
      </c>
      <c r="H353" s="25">
        <v>957000</v>
      </c>
      <c r="I353" s="6">
        <f t="shared" ca="1" si="24"/>
        <v>10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 t="s">
        <v>511</v>
      </c>
      <c r="D354" s="10" t="s">
        <v>178</v>
      </c>
      <c r="E354" s="6" t="s">
        <v>56</v>
      </c>
      <c r="F354" s="6" t="s">
        <v>502</v>
      </c>
      <c r="G354" s="6" t="s">
        <v>512</v>
      </c>
      <c r="H354" s="25">
        <v>2975000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46115</v>
      </c>
      <c r="D355" s="10" t="s">
        <v>243</v>
      </c>
      <c r="E355" s="6" t="s">
        <v>513</v>
      </c>
      <c r="F355" s="6" t="s">
        <v>417</v>
      </c>
      <c r="G355" s="6" t="s">
        <v>514</v>
      </c>
      <c r="H355" s="4">
        <v>22230800</v>
      </c>
      <c r="I355" s="6">
        <f t="shared" ca="1" si="24"/>
        <v>12</v>
      </c>
      <c r="J355" s="13" t="str">
        <f t="shared" ca="1" si="25"/>
        <v>정상</v>
      </c>
      <c r="K355" s="11"/>
      <c r="L355" s="11">
        <v>46127</v>
      </c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46118</v>
      </c>
      <c r="D356" s="10" t="s">
        <v>243</v>
      </c>
      <c r="E356" s="6" t="s">
        <v>270</v>
      </c>
      <c r="F356" s="6" t="s">
        <v>515</v>
      </c>
      <c r="G356" s="6" t="s">
        <v>516</v>
      </c>
      <c r="H356" s="4">
        <v>26011000</v>
      </c>
      <c r="I356" s="6">
        <f t="shared" ca="1" si="24"/>
        <v>10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46113</v>
      </c>
      <c r="D357" s="10" t="s">
        <v>243</v>
      </c>
      <c r="E357" s="6" t="s">
        <v>228</v>
      </c>
      <c r="F357" s="6" t="s">
        <v>225</v>
      </c>
      <c r="G357" s="6" t="s">
        <v>517</v>
      </c>
      <c r="H357" s="4">
        <v>22092800</v>
      </c>
      <c r="I357" s="6">
        <f t="shared" ca="1" si="24"/>
        <v>15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46118</v>
      </c>
      <c r="D358" s="10" t="s">
        <v>243</v>
      </c>
      <c r="E358" s="6" t="s">
        <v>207</v>
      </c>
      <c r="F358" s="6" t="s">
        <v>518</v>
      </c>
      <c r="G358" s="6" t="s">
        <v>531</v>
      </c>
      <c r="H358" s="4">
        <v>10316800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519</v>
      </c>
      <c r="F359" s="6" t="s">
        <v>272</v>
      </c>
      <c r="G359" s="6" t="s">
        <v>520</v>
      </c>
      <c r="H359" s="4">
        <v>39444000</v>
      </c>
      <c r="I359" s="6">
        <f t="shared" ca="1" si="24"/>
        <v>12</v>
      </c>
      <c r="J359" s="13" t="str">
        <f t="shared" ca="1" si="25"/>
        <v>정상</v>
      </c>
      <c r="K359" s="11"/>
      <c r="L359" s="11">
        <v>46127</v>
      </c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">
        <v>243</v>
      </c>
      <c r="E360" s="6" t="s">
        <v>521</v>
      </c>
      <c r="F360" s="6" t="s">
        <v>340</v>
      </c>
      <c r="G360" s="6" t="s">
        <v>520</v>
      </c>
      <c r="H360" s="4">
        <v>36998800</v>
      </c>
      <c r="I360" s="6">
        <f t="shared" ca="1" si="24"/>
        <v>13</v>
      </c>
      <c r="J360" s="13" t="str">
        <f t="shared" ca="1" si="25"/>
        <v>정상</v>
      </c>
      <c r="K360" s="11">
        <v>46142</v>
      </c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46115</v>
      </c>
      <c r="D361" s="10" t="str">
        <f t="shared" ref="D361:D365" si="26">IF(G361="","",IF(OR(G361="선급금",G361="중도금",G361="잔금"),"A",IF(G361="자재","B",IF(G361="특허료","C",""))))</f>
        <v>A</v>
      </c>
      <c r="E361" s="6" t="s">
        <v>374</v>
      </c>
      <c r="F361" s="6" t="s">
        <v>371</v>
      </c>
      <c r="G361" s="6" t="s">
        <v>520</v>
      </c>
      <c r="H361" s="4">
        <v>18059200</v>
      </c>
      <c r="I361" s="6">
        <f t="shared" ca="1" si="24"/>
        <v>13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46113</v>
      </c>
      <c r="D362" s="10" t="str">
        <f t="shared" si="26"/>
        <v>A</v>
      </c>
      <c r="E362" s="6" t="s">
        <v>375</v>
      </c>
      <c r="F362" s="6" t="s">
        <v>372</v>
      </c>
      <c r="G362" s="6" t="s">
        <v>520</v>
      </c>
      <c r="H362" s="4">
        <v>12968800</v>
      </c>
      <c r="I362" s="6">
        <f t="shared" ca="1" si="24"/>
        <v>14</v>
      </c>
      <c r="J362" s="13" t="str">
        <f t="shared" ca="1" si="25"/>
        <v>정상</v>
      </c>
      <c r="K362" s="11">
        <v>46127</v>
      </c>
      <c r="L362" s="11">
        <v>46127</v>
      </c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46114</v>
      </c>
      <c r="D363" s="10" t="str">
        <f t="shared" si="26"/>
        <v>A</v>
      </c>
      <c r="E363" s="6" t="s">
        <v>421</v>
      </c>
      <c r="F363" s="6" t="s">
        <v>420</v>
      </c>
      <c r="G363" s="6" t="s">
        <v>520</v>
      </c>
      <c r="H363" s="4">
        <v>16160000</v>
      </c>
      <c r="I363" s="6">
        <f t="shared" ca="1" si="24"/>
        <v>14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46118</v>
      </c>
      <c r="D364" s="10" t="str">
        <f t="shared" si="26"/>
        <v>A</v>
      </c>
      <c r="E364" s="6" t="s">
        <v>423</v>
      </c>
      <c r="F364" s="6" t="s">
        <v>424</v>
      </c>
      <c r="G364" s="6" t="s">
        <v>520</v>
      </c>
      <c r="H364" s="4">
        <v>5757600</v>
      </c>
      <c r="I364" s="6">
        <f t="shared" ca="1" si="24"/>
        <v>10</v>
      </c>
      <c r="J364" s="13" t="str">
        <f t="shared" ca="1" si="25"/>
        <v>정상</v>
      </c>
      <c r="K364" s="11">
        <v>46142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tr">
        <f t="shared" si="26"/>
        <v>A</v>
      </c>
      <c r="E365" s="6" t="s">
        <v>195</v>
      </c>
      <c r="F365" s="6" t="s">
        <v>522</v>
      </c>
      <c r="G365" s="6" t="s">
        <v>523</v>
      </c>
      <c r="H365" s="4">
        <v>17723800</v>
      </c>
      <c r="I365" s="6">
        <f t="shared" ca="1" si="24"/>
        <v>13</v>
      </c>
      <c r="J365" s="13" t="str">
        <f t="shared" ca="1" si="25"/>
        <v>정상</v>
      </c>
      <c r="K365" s="11">
        <v>46122</v>
      </c>
      <c r="L365" s="11">
        <v>46126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46113</v>
      </c>
      <c r="D366" s="10" t="s">
        <v>243</v>
      </c>
      <c r="E366" s="6" t="s">
        <v>208</v>
      </c>
      <c r="F366" s="6" t="s">
        <v>524</v>
      </c>
      <c r="G366" s="6" t="s">
        <v>523</v>
      </c>
      <c r="H366" s="4">
        <v>48448200</v>
      </c>
      <c r="I366" s="6">
        <f t="shared" ca="1" si="24"/>
        <v>14</v>
      </c>
      <c r="J366" s="13" t="str">
        <f t="shared" ca="1" si="25"/>
        <v>정상</v>
      </c>
      <c r="K366" s="11">
        <v>46127</v>
      </c>
      <c r="L366" s="11">
        <v>46127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179</v>
      </c>
      <c r="F367" s="6" t="s">
        <v>525</v>
      </c>
      <c r="G367" s="6" t="s">
        <v>523</v>
      </c>
      <c r="H367" s="4">
        <v>23838400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46114</v>
      </c>
      <c r="D368" s="10" t="s">
        <v>243</v>
      </c>
      <c r="E368" s="6" t="s">
        <v>527</v>
      </c>
      <c r="F368" s="6" t="s">
        <v>526</v>
      </c>
      <c r="G368" s="6" t="s">
        <v>523</v>
      </c>
      <c r="H368" s="4">
        <v>23050000</v>
      </c>
      <c r="I368" s="6">
        <f t="shared" ca="1" si="24"/>
        <v>1</v>
      </c>
      <c r="J368" s="13" t="str">
        <f t="shared" ca="1" si="25"/>
        <v>정상</v>
      </c>
      <c r="K368" s="11"/>
      <c r="L368" s="11">
        <v>46115</v>
      </c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394</v>
      </c>
      <c r="F369" s="6" t="s">
        <v>391</v>
      </c>
      <c r="G369" s="6" t="s">
        <v>532</v>
      </c>
      <c r="H369" s="4">
        <v>4218000</v>
      </c>
      <c r="I369" s="6">
        <f t="shared" ca="1" si="24"/>
        <v>9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>
        <v>46119</v>
      </c>
      <c r="D370" s="10" t="s">
        <v>243</v>
      </c>
      <c r="E370" s="6" t="s">
        <v>567</v>
      </c>
      <c r="F370" s="6" t="s">
        <v>533</v>
      </c>
      <c r="G370" s="6" t="s">
        <v>534</v>
      </c>
      <c r="H370" s="4">
        <v>2040000</v>
      </c>
      <c r="I370" s="6">
        <f t="shared" ca="1" si="24"/>
        <v>8</v>
      </c>
      <c r="J370" s="13" t="str">
        <f t="shared" ca="1" si="25"/>
        <v>정상</v>
      </c>
      <c r="K370" s="11"/>
      <c r="L370" s="11">
        <v>46127</v>
      </c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521</v>
      </c>
      <c r="F371" s="6" t="s">
        <v>535</v>
      </c>
      <c r="G371" s="6" t="s">
        <v>544</v>
      </c>
      <c r="H371" s="4">
        <v>1019800</v>
      </c>
      <c r="I371" s="6">
        <f t="shared" ca="1" si="24"/>
        <v>8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126</v>
      </c>
      <c r="F372" s="6" t="s">
        <v>479</v>
      </c>
      <c r="G372" s="6" t="s">
        <v>544</v>
      </c>
      <c r="H372" s="4">
        <v>565000</v>
      </c>
      <c r="I372" s="6">
        <f t="shared" ca="1" si="24"/>
        <v>8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221</v>
      </c>
      <c r="F373" s="6" t="s">
        <v>216</v>
      </c>
      <c r="G373" s="6" t="s">
        <v>544</v>
      </c>
      <c r="H373" s="4">
        <v>102368000</v>
      </c>
      <c r="I373" s="6">
        <f t="shared" ca="1" si="24"/>
        <v>8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266</v>
      </c>
      <c r="F374" s="6" t="s">
        <v>536</v>
      </c>
      <c r="G374" s="6" t="s">
        <v>544</v>
      </c>
      <c r="H374" s="4">
        <v>11000000</v>
      </c>
      <c r="I374" s="6">
        <f t="shared" ca="1" si="24"/>
        <v>8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249</v>
      </c>
      <c r="F375" s="6" t="s">
        <v>536</v>
      </c>
      <c r="G375" s="6" t="s">
        <v>544</v>
      </c>
      <c r="H375" s="4">
        <v>22000000</v>
      </c>
      <c r="I375" s="6">
        <f t="shared" ca="1" si="24"/>
        <v>8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208</v>
      </c>
      <c r="F376" s="6" t="s">
        <v>537</v>
      </c>
      <c r="G376" s="6" t="s">
        <v>544</v>
      </c>
      <c r="H376" s="12">
        <v>22000000</v>
      </c>
      <c r="I376" s="6">
        <f t="shared" ca="1" si="24"/>
        <v>7</v>
      </c>
      <c r="J376" s="13" t="str">
        <f t="shared" ca="1" si="25"/>
        <v>정상</v>
      </c>
      <c r="K376" s="11"/>
      <c r="L376" s="11">
        <v>46127</v>
      </c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126</v>
      </c>
      <c r="F377" s="6" t="s">
        <v>425</v>
      </c>
      <c r="G377" s="6" t="s">
        <v>544</v>
      </c>
      <c r="H377" s="12">
        <v>3689400</v>
      </c>
      <c r="I377" s="6">
        <f t="shared" ca="1" si="24"/>
        <v>8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416000</v>
      </c>
      <c r="I378" s="6">
        <f t="shared" ca="1" si="24"/>
        <v>8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24</v>
      </c>
      <c r="F379" s="6" t="s">
        <v>107</v>
      </c>
      <c r="G379" s="6" t="s">
        <v>544</v>
      </c>
      <c r="H379" s="12">
        <v>1754000</v>
      </c>
      <c r="I379" s="6">
        <f t="shared" ca="1" si="24"/>
        <v>8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541</v>
      </c>
      <c r="F380" s="6" t="s">
        <v>538</v>
      </c>
      <c r="G380" s="6" t="s">
        <v>544</v>
      </c>
      <c r="H380" s="12">
        <v>6917000</v>
      </c>
      <c r="I380" s="6">
        <f t="shared" ca="1" si="24"/>
        <v>8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542</v>
      </c>
      <c r="F381" s="6" t="s">
        <v>539</v>
      </c>
      <c r="G381" s="6" t="s">
        <v>544</v>
      </c>
      <c r="H381" s="12">
        <v>13478000</v>
      </c>
      <c r="I381" s="6">
        <f t="shared" ca="1" si="24"/>
        <v>2</v>
      </c>
      <c r="J381" s="13" t="str">
        <f t="shared" ca="1" si="25"/>
        <v>정상</v>
      </c>
      <c r="K381" s="11"/>
      <c r="L381" s="11">
        <v>46122</v>
      </c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540</v>
      </c>
      <c r="G382" s="6" t="s">
        <v>544</v>
      </c>
      <c r="H382" s="12">
        <v>11211800</v>
      </c>
      <c r="I382" s="6">
        <f t="shared" ca="1" si="24"/>
        <v>8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543</v>
      </c>
      <c r="D383" s="10" t="s">
        <v>178</v>
      </c>
      <c r="E383" s="6" t="s">
        <v>126</v>
      </c>
      <c r="F383" s="6" t="s">
        <v>485</v>
      </c>
      <c r="G383" s="6" t="s">
        <v>544</v>
      </c>
      <c r="H383" s="12">
        <v>3180000</v>
      </c>
      <c r="I383" s="6">
        <f t="shared" ref="I383:I442" ca="1" si="27">IF(C383="","",IF(L383="",TODAY()-C383,L383-C383))</f>
        <v>8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545</v>
      </c>
      <c r="G384" s="6" t="s">
        <v>546</v>
      </c>
      <c r="H384" s="12">
        <v>20237900</v>
      </c>
      <c r="I384" s="6">
        <f t="shared" ca="1" si="27"/>
        <v>8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548</v>
      </c>
      <c r="F385" s="6" t="s">
        <v>547</v>
      </c>
      <c r="G385" s="6" t="s">
        <v>549</v>
      </c>
      <c r="H385" s="12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24</v>
      </c>
      <c r="F386" s="6" t="s">
        <v>550</v>
      </c>
      <c r="G386" s="6" t="s">
        <v>565</v>
      </c>
      <c r="H386" s="12">
        <v>4492000</v>
      </c>
      <c r="I386" s="6">
        <f t="shared" ca="1" si="27"/>
        <v>7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551</v>
      </c>
      <c r="G387" s="6" t="s">
        <v>565</v>
      </c>
      <c r="H387" s="12">
        <v>31045500</v>
      </c>
      <c r="I387" s="6">
        <f t="shared" ca="1" si="27"/>
        <v>7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542</v>
      </c>
      <c r="F388" s="6" t="s">
        <v>552</v>
      </c>
      <c r="G388" s="6" t="s">
        <v>565</v>
      </c>
      <c r="H388" s="12">
        <v>574800</v>
      </c>
      <c r="I388" s="6">
        <f t="shared" ca="1" si="27"/>
        <v>7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128</v>
      </c>
      <c r="F389" s="6" t="s">
        <v>553</v>
      </c>
      <c r="G389" s="6" t="s">
        <v>565</v>
      </c>
      <c r="H389" s="12">
        <v>3687500</v>
      </c>
      <c r="I389" s="6">
        <f t="shared" ca="1" si="27"/>
        <v>5</v>
      </c>
      <c r="J389" s="13" t="str">
        <f t="shared" ca="1" si="25"/>
        <v>정상</v>
      </c>
      <c r="K389" s="11"/>
      <c r="L389" s="11">
        <v>46126</v>
      </c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208</v>
      </c>
      <c r="F390" s="6" t="s">
        <v>554</v>
      </c>
      <c r="G390" s="6" t="s">
        <v>565</v>
      </c>
      <c r="H390" s="12">
        <v>21780000</v>
      </c>
      <c r="I390" s="6">
        <f t="shared" ca="1" si="27"/>
        <v>6</v>
      </c>
      <c r="J390" s="13" t="str">
        <f t="shared" ca="1" si="25"/>
        <v>정상</v>
      </c>
      <c r="K390" s="11"/>
      <c r="L390" s="11">
        <v>46127</v>
      </c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561</v>
      </c>
      <c r="F391" s="6" t="s">
        <v>555</v>
      </c>
      <c r="G391" s="6" t="s">
        <v>565</v>
      </c>
      <c r="H391" s="12">
        <v>1630000</v>
      </c>
      <c r="I391" s="6">
        <f t="shared" ca="1" si="27"/>
        <v>7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395</v>
      </c>
      <c r="F392" s="6" t="s">
        <v>556</v>
      </c>
      <c r="G392" s="6" t="s">
        <v>565</v>
      </c>
      <c r="H392" s="12">
        <v>20219600</v>
      </c>
      <c r="I392" s="6">
        <f t="shared" ca="1" si="27"/>
        <v>7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126</v>
      </c>
      <c r="F393" s="6" t="s">
        <v>557</v>
      </c>
      <c r="G393" s="6" t="s">
        <v>565</v>
      </c>
      <c r="H393" s="12">
        <v>963200</v>
      </c>
      <c r="I393" s="6">
        <f t="shared" ca="1" si="27"/>
        <v>7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563</v>
      </c>
      <c r="D394" s="10" t="s">
        <v>178</v>
      </c>
      <c r="E394" s="6" t="s">
        <v>562</v>
      </c>
      <c r="F394" s="6" t="s">
        <v>558</v>
      </c>
      <c r="G394" s="6" t="s">
        <v>565</v>
      </c>
      <c r="H394" s="12">
        <v>1380000</v>
      </c>
      <c r="I394" s="6">
        <f t="shared" ca="1" si="27"/>
        <v>7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62</v>
      </c>
      <c r="F395" s="6" t="s">
        <v>559</v>
      </c>
      <c r="G395" s="6" t="s">
        <v>565</v>
      </c>
      <c r="H395" s="12">
        <v>410000</v>
      </c>
      <c r="I395" s="6">
        <f t="shared" ca="1" si="27"/>
        <v>6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126</v>
      </c>
      <c r="F396" s="6" t="s">
        <v>485</v>
      </c>
      <c r="G396" s="6" t="s">
        <v>565</v>
      </c>
      <c r="H396" s="12">
        <v>464000</v>
      </c>
      <c r="I396" s="6">
        <f t="shared" ca="1" si="27"/>
        <v>6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">
        <v>178</v>
      </c>
      <c r="E397" s="6" t="s">
        <v>207</v>
      </c>
      <c r="F397" s="6" t="s">
        <v>560</v>
      </c>
      <c r="G397" s="6" t="s">
        <v>565</v>
      </c>
      <c r="H397" s="12">
        <v>1261000</v>
      </c>
      <c r="I397" s="6">
        <f t="shared" ca="1" si="27"/>
        <v>6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>
        <f>IF(C398="","",COUNTA($C$2:C398))</f>
        <v>397</v>
      </c>
      <c r="C398" s="11" t="s">
        <v>564</v>
      </c>
      <c r="D398" s="10" t="str">
        <f t="shared" ref="D398:D423" si="28">IF(G398="","",IF(OR(G398="선급금",G398="중도금",G398="잔금"),"A",IF(G398="자재","B",IF(G398="특허료","C",""))))</f>
        <v>B</v>
      </c>
      <c r="E398" s="6" t="s">
        <v>124</v>
      </c>
      <c r="F398" s="6" t="s">
        <v>568</v>
      </c>
      <c r="G398" s="6" t="s">
        <v>172</v>
      </c>
      <c r="H398" s="12">
        <v>866400</v>
      </c>
      <c r="I398" s="6">
        <f t="shared" ca="1" si="27"/>
        <v>0</v>
      </c>
      <c r="J398" s="13" t="str">
        <f t="shared" ca="1" si="25"/>
        <v>정상</v>
      </c>
      <c r="K398" s="11"/>
      <c r="L398" s="11">
        <v>46122</v>
      </c>
      <c r="M398" s="10"/>
      <c r="N398" s="10" t="s">
        <v>33</v>
      </c>
      <c r="Q398" s="11"/>
      <c r="R398" s="11"/>
      <c r="S398" s="10"/>
    </row>
    <row r="399" spans="2:19" s="18" customFormat="1" ht="13.5">
      <c r="B399" s="10">
        <f>IF(C399="","",COUNTA($C$2:C399))</f>
        <v>398</v>
      </c>
      <c r="C399" s="11" t="s">
        <v>564</v>
      </c>
      <c r="D399" s="10" t="str">
        <f t="shared" si="28"/>
        <v>B</v>
      </c>
      <c r="E399" s="18" t="s">
        <v>126</v>
      </c>
      <c r="F399" s="18" t="s">
        <v>569</v>
      </c>
      <c r="G399" s="6" t="s">
        <v>172</v>
      </c>
      <c r="H399" s="12">
        <v>-785400</v>
      </c>
      <c r="I399" s="18">
        <f t="shared" ca="1" si="27"/>
        <v>6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 t="s">
        <v>564</v>
      </c>
      <c r="D400" s="10" t="s">
        <v>181</v>
      </c>
      <c r="E400" s="18" t="s">
        <v>421</v>
      </c>
      <c r="F400" s="18" t="s">
        <v>570</v>
      </c>
      <c r="G400" s="6" t="s">
        <v>571</v>
      </c>
      <c r="H400" s="12">
        <v>2421500</v>
      </c>
      <c r="I400" s="18">
        <f t="shared" ca="1" si="27"/>
        <v>5</v>
      </c>
      <c r="J400" s="13" t="str">
        <f t="shared" ca="1" si="25"/>
        <v>정상</v>
      </c>
      <c r="K400" s="11"/>
      <c r="L400" s="11">
        <v>46127</v>
      </c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43" t="s">
        <v>573</v>
      </c>
      <c r="F401" s="43" t="s">
        <v>572</v>
      </c>
      <c r="G401" s="6" t="s">
        <v>230</v>
      </c>
      <c r="H401" s="12">
        <v>72676000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126</v>
      </c>
      <c r="F402" s="18" t="s">
        <v>420</v>
      </c>
      <c r="G402" s="18" t="s">
        <v>574</v>
      </c>
      <c r="H402" s="12">
        <v>14760000</v>
      </c>
      <c r="I402" s="18">
        <f t="shared" ca="1" si="27"/>
        <v>6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11">
        <v>46122</v>
      </c>
      <c r="D403" s="42" t="s">
        <v>243</v>
      </c>
      <c r="E403" s="18" t="s">
        <v>423</v>
      </c>
      <c r="F403" s="18" t="s">
        <v>575</v>
      </c>
      <c r="G403" s="18" t="s">
        <v>574</v>
      </c>
      <c r="H403" s="12">
        <v>2480000</v>
      </c>
      <c r="I403" s="18">
        <f t="shared" ca="1" si="27"/>
        <v>5</v>
      </c>
      <c r="J403" s="13" t="str">
        <f t="shared" ca="1" si="25"/>
        <v>정상</v>
      </c>
      <c r="K403" s="44"/>
      <c r="L403" s="44">
        <v>46127</v>
      </c>
      <c r="M403" s="42"/>
      <c r="N403" s="10" t="s">
        <v>33</v>
      </c>
      <c r="Q403" s="11"/>
      <c r="R403" s="11"/>
    </row>
    <row r="404" spans="2:18" s="18" customFormat="1" ht="13.5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126</v>
      </c>
      <c r="F404" s="18" t="s">
        <v>479</v>
      </c>
      <c r="G404" s="6" t="s">
        <v>598</v>
      </c>
      <c r="H404" s="12">
        <v>52695000</v>
      </c>
      <c r="I404" s="18">
        <f t="shared" ca="1" si="27"/>
        <v>2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11"/>
      <c r="R404" s="11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577</v>
      </c>
      <c r="F405" s="38" t="s">
        <v>588</v>
      </c>
      <c r="G405" s="6" t="s">
        <v>598</v>
      </c>
      <c r="H405" s="12">
        <v>1217300</v>
      </c>
      <c r="I405" s="18">
        <f t="shared" ca="1" si="27"/>
        <v>2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375</v>
      </c>
      <c r="F406" s="18" t="s">
        <v>500</v>
      </c>
      <c r="G406" s="6" t="s">
        <v>598</v>
      </c>
      <c r="H406" s="12">
        <v>23634000</v>
      </c>
      <c r="I406" s="18">
        <f t="shared" ca="1" si="27"/>
        <v>2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578</v>
      </c>
      <c r="F407" s="18" t="s">
        <v>589</v>
      </c>
      <c r="G407" s="6" t="s">
        <v>598</v>
      </c>
      <c r="H407" s="12">
        <v>7826000</v>
      </c>
      <c r="I407" s="18">
        <f t="shared" ca="1" si="27"/>
        <v>1</v>
      </c>
      <c r="J407" s="13" t="str">
        <f t="shared" ca="1" si="25"/>
        <v>정상</v>
      </c>
      <c r="K407" s="44"/>
      <c r="L407" s="44">
        <v>46127</v>
      </c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586</v>
      </c>
      <c r="D408" s="42" t="str">
        <f t="shared" si="28"/>
        <v>B</v>
      </c>
      <c r="E408" s="18" t="s">
        <v>579</v>
      </c>
      <c r="F408" s="18" t="s">
        <v>590</v>
      </c>
      <c r="G408" s="6" t="s">
        <v>598</v>
      </c>
      <c r="H408" s="12">
        <v>13317700</v>
      </c>
      <c r="I408" s="18">
        <f t="shared" ca="1" si="27"/>
        <v>2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45" t="s">
        <v>587</v>
      </c>
      <c r="D409" s="42" t="str">
        <f t="shared" si="28"/>
        <v>B</v>
      </c>
      <c r="E409" s="18" t="s">
        <v>249</v>
      </c>
      <c r="F409" s="18" t="s">
        <v>428</v>
      </c>
      <c r="G409" s="6" t="s">
        <v>598</v>
      </c>
      <c r="H409" s="12">
        <v>44522500</v>
      </c>
      <c r="I409" s="18">
        <f t="shared" ca="1" si="27"/>
        <v>3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580</v>
      </c>
      <c r="F410" s="18" t="s">
        <v>591</v>
      </c>
      <c r="G410" s="6" t="s">
        <v>598</v>
      </c>
      <c r="H410" s="12">
        <v>10572000</v>
      </c>
      <c r="I410" s="18">
        <f t="shared" ca="1" si="27"/>
        <v>1</v>
      </c>
      <c r="J410" s="13" t="str">
        <f t="shared" ca="1" si="25"/>
        <v>정상</v>
      </c>
      <c r="K410" s="44"/>
      <c r="L410" s="44">
        <v>46126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581</v>
      </c>
      <c r="F411" s="18" t="s">
        <v>211</v>
      </c>
      <c r="G411" s="6" t="s">
        <v>598</v>
      </c>
      <c r="H411" s="12">
        <v>280000</v>
      </c>
      <c r="I411" s="18">
        <f t="shared" ca="1" si="27"/>
        <v>0</v>
      </c>
      <c r="J411" s="13" t="str">
        <f t="shared" ca="1" si="25"/>
        <v>정상</v>
      </c>
      <c r="K411" s="44"/>
      <c r="L411" s="44">
        <v>46125</v>
      </c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395</v>
      </c>
      <c r="F412" s="18" t="s">
        <v>477</v>
      </c>
      <c r="G412" s="6" t="s">
        <v>598</v>
      </c>
      <c r="H412" s="12">
        <v>7665000</v>
      </c>
      <c r="I412" s="18">
        <f t="shared" ca="1" si="27"/>
        <v>3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582</v>
      </c>
      <c r="F413" s="18" t="s">
        <v>592</v>
      </c>
      <c r="G413" s="6" t="s">
        <v>598</v>
      </c>
      <c r="H413" s="12">
        <v>481100</v>
      </c>
      <c r="I413" s="18">
        <f t="shared" ca="1" si="27"/>
        <v>3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434</v>
      </c>
      <c r="F414" s="18" t="s">
        <v>432</v>
      </c>
      <c r="G414" s="6" t="s">
        <v>598</v>
      </c>
      <c r="H414" s="12">
        <v>3109500</v>
      </c>
      <c r="I414" s="18">
        <f t="shared" ca="1" si="27"/>
        <v>3</v>
      </c>
      <c r="J414" s="13" t="str">
        <f t="shared" ca="1" si="25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583</v>
      </c>
      <c r="F415" s="18" t="s">
        <v>588</v>
      </c>
      <c r="G415" s="6" t="s">
        <v>598</v>
      </c>
      <c r="H415" s="12">
        <v>399900</v>
      </c>
      <c r="I415" s="18">
        <f t="shared" ca="1" si="27"/>
        <v>3</v>
      </c>
      <c r="J415" s="13" t="str">
        <f t="shared" ref="J415:J442" ca="1" si="29">IF(I415="","",
 IF(G415="선급금",
   IF(I415&lt;=20,"정상",IF(I415&lt;=90,"관리","장기미수")),
 IF(G415="자재",
   IF(I415&lt;=40,"정상",IF(I415&lt;=90,"관리","장기미수")),
   IF(I415&lt;=30,"정상",IF(I415&lt;=90,"관리","장기미수"))
  )
 )
)</f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593</v>
      </c>
      <c r="G416" s="6" t="s">
        <v>598</v>
      </c>
      <c r="H416" s="12">
        <v>4678300</v>
      </c>
      <c r="I416" s="18">
        <f t="shared" ca="1" si="27"/>
        <v>3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584</v>
      </c>
      <c r="F417" s="18" t="s">
        <v>594</v>
      </c>
      <c r="G417" s="6" t="s">
        <v>598</v>
      </c>
      <c r="H417" s="12">
        <v>941200</v>
      </c>
      <c r="I417" s="18">
        <f t="shared" ca="1" si="27"/>
        <v>3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128</v>
      </c>
      <c r="F418" s="18" t="s">
        <v>129</v>
      </c>
      <c r="G418" s="6" t="s">
        <v>598</v>
      </c>
      <c r="H418" s="12">
        <v>1885800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>IF(G419="","",IF(OR(G419="선급금",G419="중도금",G419="잔금"),"A",IF(G419="자재","B",IF(G419="특허료","C",""))))</f>
        <v>B</v>
      </c>
      <c r="E419" s="18" t="s">
        <v>39</v>
      </c>
      <c r="F419" s="18" t="s">
        <v>595</v>
      </c>
      <c r="G419" s="6" t="s">
        <v>598</v>
      </c>
      <c r="H419" s="12">
        <v>332400</v>
      </c>
      <c r="I419" s="18">
        <f t="shared" ca="1" si="27"/>
        <v>3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585</v>
      </c>
      <c r="F420" s="18" t="s">
        <v>596</v>
      </c>
      <c r="G420" s="6" t="s">
        <v>598</v>
      </c>
      <c r="H420" s="12">
        <v>1254000</v>
      </c>
      <c r="I420" s="18">
        <f t="shared" ca="1" si="27"/>
        <v>1</v>
      </c>
      <c r="J420" s="13" t="str">
        <f t="shared" ca="1" si="29"/>
        <v>정상</v>
      </c>
      <c r="K420" s="44"/>
      <c r="L420" s="44">
        <v>46126</v>
      </c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83</v>
      </c>
      <c r="F421" s="18" t="s">
        <v>493</v>
      </c>
      <c r="G421" s="6" t="s">
        <v>598</v>
      </c>
      <c r="H421" s="12">
        <v>7680000</v>
      </c>
      <c r="I421" s="18">
        <f t="shared" ca="1" si="27"/>
        <v>3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587</v>
      </c>
      <c r="D422" s="42" t="str">
        <f t="shared" si="28"/>
        <v>B</v>
      </c>
      <c r="E422" s="18" t="s">
        <v>195</v>
      </c>
      <c r="F422" s="18" t="s">
        <v>597</v>
      </c>
      <c r="G422" s="6" t="s">
        <v>598</v>
      </c>
      <c r="H422" s="12">
        <v>720200</v>
      </c>
      <c r="I422" s="18">
        <f t="shared" ca="1" si="27"/>
        <v>3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30" t="s">
        <v>543</v>
      </c>
      <c r="D423" s="42" t="str">
        <f t="shared" si="28"/>
        <v>B</v>
      </c>
      <c r="E423" s="18" t="s">
        <v>126</v>
      </c>
      <c r="F423" s="18" t="s">
        <v>485</v>
      </c>
      <c r="G423" s="6" t="s">
        <v>598</v>
      </c>
      <c r="H423" s="12">
        <v>-3180000</v>
      </c>
      <c r="I423" s="18">
        <f t="shared" ca="1" si="27"/>
        <v>8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519</v>
      </c>
      <c r="F424" s="18" t="s">
        <v>272</v>
      </c>
      <c r="G424" s="18" t="s">
        <v>600</v>
      </c>
      <c r="H424" s="12">
        <v>59166000</v>
      </c>
      <c r="I424" s="18">
        <f t="shared" ca="1" si="27"/>
        <v>3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243</v>
      </c>
      <c r="E425" s="18" t="s">
        <v>375</v>
      </c>
      <c r="F425" s="18" t="s">
        <v>372</v>
      </c>
      <c r="G425" s="18" t="s">
        <v>601</v>
      </c>
      <c r="H425" s="12">
        <v>12618800</v>
      </c>
      <c r="I425" s="18">
        <f t="shared" ca="1" si="27"/>
        <v>3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243</v>
      </c>
      <c r="E426" s="18" t="s">
        <v>548</v>
      </c>
      <c r="F426" s="18" t="s">
        <v>547</v>
      </c>
      <c r="G426" s="18" t="s">
        <v>602</v>
      </c>
      <c r="H426" s="12">
        <v>12026400</v>
      </c>
      <c r="I426" s="18">
        <f t="shared" ca="1" si="27"/>
        <v>3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10">
        <f>IF(C427="","",COUNTA($C$2:C427))</f>
        <v>426</v>
      </c>
      <c r="C427" s="44">
        <v>46125</v>
      </c>
      <c r="D427" s="42" t="s">
        <v>243</v>
      </c>
      <c r="E427" s="18" t="s">
        <v>394</v>
      </c>
      <c r="F427" s="18" t="s">
        <v>599</v>
      </c>
      <c r="G427" s="18" t="s">
        <v>603</v>
      </c>
      <c r="H427" s="12">
        <v>5365000</v>
      </c>
      <c r="I427" s="18">
        <f t="shared" ca="1" si="27"/>
        <v>3</v>
      </c>
      <c r="J427" s="13" t="str">
        <f t="shared" ca="1" si="29"/>
        <v>정상</v>
      </c>
      <c r="K427" s="44"/>
      <c r="L427" s="44"/>
      <c r="M427" s="42"/>
      <c r="N427" s="10" t="s">
        <v>33</v>
      </c>
      <c r="Q427" s="46"/>
      <c r="R427" s="46"/>
    </row>
    <row r="428" spans="2:18" s="18" customFormat="1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579</v>
      </c>
      <c r="F428" s="18" t="s">
        <v>590</v>
      </c>
      <c r="G428" s="18" t="s">
        <v>607</v>
      </c>
      <c r="H428" s="12">
        <v>15635000</v>
      </c>
      <c r="I428" s="18">
        <f t="shared" ca="1" si="27"/>
        <v>2</v>
      </c>
      <c r="J428" s="13" t="str">
        <f t="shared" ca="1" si="29"/>
        <v>정상</v>
      </c>
      <c r="K428" s="44"/>
      <c r="L428" s="44"/>
      <c r="M428" s="42"/>
      <c r="N428" s="10" t="s">
        <v>33</v>
      </c>
      <c r="Q428" s="46"/>
      <c r="R428" s="46"/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195</v>
      </c>
      <c r="F429" s="18" t="s">
        <v>597</v>
      </c>
      <c r="G429" s="18" t="s">
        <v>607</v>
      </c>
      <c r="H429" s="4">
        <v>802000</v>
      </c>
      <c r="I429" s="18">
        <f t="shared" ca="1" si="27"/>
        <v>2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521</v>
      </c>
      <c r="F430" s="18" t="s">
        <v>535</v>
      </c>
      <c r="G430" s="18" t="s">
        <v>607</v>
      </c>
      <c r="H430" s="4">
        <v>990000</v>
      </c>
      <c r="I430" s="18">
        <f t="shared" ca="1" si="27"/>
        <v>2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606</v>
      </c>
      <c r="F431" s="18" t="s">
        <v>604</v>
      </c>
      <c r="G431" s="18" t="s">
        <v>607</v>
      </c>
      <c r="H431" s="4">
        <v>3592300</v>
      </c>
      <c r="I431" s="18">
        <f t="shared" ca="1" si="27"/>
        <v>0</v>
      </c>
      <c r="J431" s="13" t="str">
        <f t="shared" ca="1" si="29"/>
        <v>정상</v>
      </c>
      <c r="L431" s="44">
        <v>46126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585</v>
      </c>
      <c r="F432" s="18" t="s">
        <v>596</v>
      </c>
      <c r="G432" s="18" t="s">
        <v>607</v>
      </c>
      <c r="H432" s="4">
        <v>11000000</v>
      </c>
      <c r="I432" s="18">
        <f t="shared" ca="1" si="27"/>
        <v>2</v>
      </c>
      <c r="J432" s="13" t="str">
        <f t="shared" ca="1" si="29"/>
        <v>정상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100</v>
      </c>
      <c r="F433" s="18" t="s">
        <v>605</v>
      </c>
      <c r="G433" s="18" t="s">
        <v>607</v>
      </c>
      <c r="H433" s="4">
        <v>11295600</v>
      </c>
      <c r="I433" s="18">
        <f t="shared" ca="1" si="27"/>
        <v>2</v>
      </c>
      <c r="J433" s="13" t="str">
        <f t="shared" ca="1" si="29"/>
        <v>정상</v>
      </c>
      <c r="N433" s="10" t="s">
        <v>33</v>
      </c>
    </row>
    <row r="434" spans="2:18" ht="16.5" customHeight="1">
      <c r="B434" s="10">
        <f>IF(C434="","",COUNTA($C$2:C434))</f>
        <v>433</v>
      </c>
      <c r="C434" s="44" t="s">
        <v>586</v>
      </c>
      <c r="D434" s="42" t="s">
        <v>178</v>
      </c>
      <c r="E434" s="18" t="s">
        <v>126</v>
      </c>
      <c r="F434" s="18" t="s">
        <v>479</v>
      </c>
      <c r="G434" s="18" t="s">
        <v>607</v>
      </c>
      <c r="H434" s="4">
        <v>52695000</v>
      </c>
      <c r="I434" s="18">
        <f t="shared" ca="1" si="27"/>
        <v>2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44" t="s">
        <v>586</v>
      </c>
      <c r="D435" s="42" t="s">
        <v>178</v>
      </c>
      <c r="E435" s="18" t="s">
        <v>577</v>
      </c>
      <c r="F435" s="18" t="s">
        <v>588</v>
      </c>
      <c r="G435" s="18" t="s">
        <v>607</v>
      </c>
      <c r="H435" s="4">
        <v>1217300</v>
      </c>
      <c r="I435" s="18">
        <f t="shared" ca="1" si="27"/>
        <v>2</v>
      </c>
      <c r="J435" s="13" t="str">
        <f t="shared" ca="1" si="29"/>
        <v>정상</v>
      </c>
      <c r="N435" s="10" t="s">
        <v>33</v>
      </c>
    </row>
    <row r="436" spans="2:18" ht="16.5" customHeight="1">
      <c r="B436" s="10">
        <f>IF(C436="","",COUNTA($C$2:C436))</f>
        <v>435</v>
      </c>
      <c r="C436" s="44" t="s">
        <v>586</v>
      </c>
      <c r="D436" s="42" t="s">
        <v>178</v>
      </c>
      <c r="E436" s="18" t="s">
        <v>375</v>
      </c>
      <c r="F436" s="18" t="s">
        <v>500</v>
      </c>
      <c r="G436" s="18" t="s">
        <v>607</v>
      </c>
      <c r="H436" s="4">
        <v>23634000</v>
      </c>
      <c r="I436" s="18">
        <f t="shared" ca="1" si="27"/>
        <v>1</v>
      </c>
      <c r="J436" s="13" t="str">
        <f t="shared" ca="1" si="29"/>
        <v>정상</v>
      </c>
      <c r="L436" s="44">
        <v>46127</v>
      </c>
      <c r="N436" s="10" t="s">
        <v>33</v>
      </c>
    </row>
    <row r="437" spans="2:18" ht="16.5" customHeight="1">
      <c r="B437" s="10">
        <f>IF(C437="","",COUNTA($C$2:C437))</f>
        <v>436</v>
      </c>
      <c r="C437" s="44" t="s">
        <v>586</v>
      </c>
      <c r="D437" s="42" t="s">
        <v>178</v>
      </c>
      <c r="E437" s="18" t="s">
        <v>578</v>
      </c>
      <c r="F437" s="18" t="s">
        <v>589</v>
      </c>
      <c r="G437" s="18" t="s">
        <v>607</v>
      </c>
      <c r="H437" s="4">
        <v>7826000</v>
      </c>
      <c r="I437" s="18">
        <f t="shared" ca="1" si="27"/>
        <v>2</v>
      </c>
      <c r="J437" s="13" t="str">
        <f t="shared" ca="1" si="29"/>
        <v>정상</v>
      </c>
      <c r="N437" s="10" t="s">
        <v>33</v>
      </c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181</v>
      </c>
      <c r="E438" s="18" t="s">
        <v>609</v>
      </c>
      <c r="F438" s="18" t="s">
        <v>608</v>
      </c>
      <c r="G438" s="18" t="s">
        <v>610</v>
      </c>
      <c r="H438" s="12">
        <v>299600</v>
      </c>
      <c r="I438" s="18">
        <f t="shared" ca="1" si="27"/>
        <v>2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s="18" customFormat="1" ht="16.5" customHeight="1">
      <c r="B439" s="10">
        <f>IF(C439="","",COUNTA($C$2:C439))</f>
        <v>438</v>
      </c>
      <c r="C439" s="44" t="s">
        <v>586</v>
      </c>
      <c r="D439" s="42" t="s">
        <v>243</v>
      </c>
      <c r="E439" s="18" t="s">
        <v>618</v>
      </c>
      <c r="F439" s="18" t="s">
        <v>614</v>
      </c>
      <c r="G439" s="18" t="s">
        <v>611</v>
      </c>
      <c r="H439" s="12">
        <v>8608400</v>
      </c>
      <c r="I439" s="18">
        <f t="shared" ca="1" si="27"/>
        <v>2</v>
      </c>
      <c r="J439" s="13" t="str">
        <f t="shared" ca="1" si="29"/>
        <v>정상</v>
      </c>
      <c r="K439" s="44"/>
      <c r="L439" s="44"/>
      <c r="M439" s="42"/>
      <c r="N439" s="10" t="s">
        <v>33</v>
      </c>
      <c r="Q439" s="46"/>
      <c r="R439" s="46"/>
    </row>
    <row r="440" spans="2:18" s="18" customFormat="1" ht="16.5" customHeight="1">
      <c r="B440" s="10">
        <f>IF(C440="","",COUNTA($C$2:C440))</f>
        <v>439</v>
      </c>
      <c r="C440" s="44" t="s">
        <v>586</v>
      </c>
      <c r="D440" s="42" t="s">
        <v>243</v>
      </c>
      <c r="E440" s="18" t="s">
        <v>619</v>
      </c>
      <c r="F440" s="18" t="s">
        <v>615</v>
      </c>
      <c r="G440" s="18" t="s">
        <v>612</v>
      </c>
      <c r="H440" s="12">
        <v>70476400</v>
      </c>
      <c r="I440" s="18">
        <f t="shared" ca="1" si="27"/>
        <v>2</v>
      </c>
      <c r="J440" s="13" t="str">
        <f t="shared" ca="1" si="29"/>
        <v>정상</v>
      </c>
      <c r="K440" s="44"/>
      <c r="L440" s="44"/>
      <c r="M440" s="42"/>
      <c r="N440" s="10" t="s">
        <v>33</v>
      </c>
      <c r="Q440" s="46"/>
      <c r="R440" s="46"/>
    </row>
    <row r="441" spans="2:18" s="18" customFormat="1" ht="16.5" customHeight="1">
      <c r="B441" s="10">
        <f>IF(C441="","",COUNTA($C$2:C441))</f>
        <v>440</v>
      </c>
      <c r="C441" s="44" t="s">
        <v>586</v>
      </c>
      <c r="D441" s="42" t="s">
        <v>243</v>
      </c>
      <c r="E441" s="18" t="s">
        <v>620</v>
      </c>
      <c r="F441" s="18" t="s">
        <v>616</v>
      </c>
      <c r="G441" s="18" t="s">
        <v>611</v>
      </c>
      <c r="H441" s="12">
        <v>3657600</v>
      </c>
      <c r="I441" s="18">
        <f t="shared" ca="1" si="27"/>
        <v>2</v>
      </c>
      <c r="J441" s="13" t="str">
        <f t="shared" ca="1" si="29"/>
        <v>정상</v>
      </c>
      <c r="K441" s="44"/>
      <c r="L441" s="44"/>
      <c r="M441" s="42"/>
      <c r="N441" s="10" t="s">
        <v>33</v>
      </c>
      <c r="Q441" s="46"/>
      <c r="R441" s="46"/>
    </row>
    <row r="442" spans="2:18" s="18" customFormat="1" ht="16.5" customHeight="1">
      <c r="B442" s="10">
        <f>IF(C442="","",COUNTA($C$2:C442))</f>
        <v>441</v>
      </c>
      <c r="C442" s="44" t="s">
        <v>586</v>
      </c>
      <c r="D442" s="42" t="s">
        <v>243</v>
      </c>
      <c r="E442" s="18" t="s">
        <v>621</v>
      </c>
      <c r="F442" s="18" t="s">
        <v>617</v>
      </c>
      <c r="G442" s="18" t="s">
        <v>613</v>
      </c>
      <c r="H442" s="12">
        <v>4080000</v>
      </c>
      <c r="I442" s="18">
        <f t="shared" ca="1" si="27"/>
        <v>2</v>
      </c>
      <c r="J442" s="13" t="str">
        <f t="shared" ca="1" si="29"/>
        <v>정상</v>
      </c>
      <c r="K442" s="44"/>
      <c r="L442" s="44"/>
      <c r="M442" s="42"/>
      <c r="N442" s="10" t="s">
        <v>33</v>
      </c>
      <c r="Q442" s="46"/>
      <c r="R442" s="46"/>
    </row>
  </sheetData>
  <autoFilter ref="A1:S442"/>
  <phoneticPr fontId="5" type="noConversion"/>
  <conditionalFormatting sqref="E3 F57:F60 E37">
    <cfRule type="expression" dxfId="91" priority="122">
      <formula>$J3="잔금"</formula>
    </cfRule>
  </conditionalFormatting>
  <conditionalFormatting sqref="E8">
    <cfRule type="expression" dxfId="90" priority="121">
      <formula>$J8="잔금"</formula>
    </cfRule>
  </conditionalFormatting>
  <conditionalFormatting sqref="E4">
    <cfRule type="expression" dxfId="89" priority="120">
      <formula>$J4="잔금"</formula>
    </cfRule>
  </conditionalFormatting>
  <conditionalFormatting sqref="E9">
    <cfRule type="expression" dxfId="88" priority="119">
      <formula>$J9="잔금"</formula>
    </cfRule>
  </conditionalFormatting>
  <conditionalFormatting sqref="E41">
    <cfRule type="expression" dxfId="87" priority="114">
      <formula>$J41="잔금"</formula>
    </cfRule>
  </conditionalFormatting>
  <conditionalFormatting sqref="E98:E99 E187:F193 H187:H193 F113 C187:C193 C423">
    <cfRule type="expression" dxfId="86" priority="104">
      <formula>$J98="잔금"</formula>
    </cfRule>
  </conditionalFormatting>
  <conditionalFormatting sqref="F98:F99">
    <cfRule type="expression" dxfId="85" priority="103">
      <formula>$J98="잔금"</formula>
    </cfRule>
  </conditionalFormatting>
  <conditionalFormatting sqref="F104:F105">
    <cfRule type="expression" dxfId="84" priority="101">
      <formula>$J104="잔금"</formula>
    </cfRule>
  </conditionalFormatting>
  <conditionalFormatting sqref="H104:H105">
    <cfRule type="expression" dxfId="83" priority="100">
      <formula>$J104="잔금"</formula>
    </cfRule>
  </conditionalFormatting>
  <conditionalFormatting sqref="E106:E108">
    <cfRule type="expression" dxfId="82" priority="99">
      <formula>$J106="잔금"</formula>
    </cfRule>
  </conditionalFormatting>
  <conditionalFormatting sqref="F106:F108">
    <cfRule type="expression" dxfId="81" priority="98">
      <formula>$J106="잔금"</formula>
    </cfRule>
  </conditionalFormatting>
  <conditionalFormatting sqref="H106:H108">
    <cfRule type="expression" dxfId="80" priority="97">
      <formula>$J106="잔금"</formula>
    </cfRule>
  </conditionalFormatting>
  <conditionalFormatting sqref="E110">
    <cfRule type="expression" dxfId="79" priority="96">
      <formula>$J110="잔금"</formula>
    </cfRule>
  </conditionalFormatting>
  <conditionalFormatting sqref="F110">
    <cfRule type="expression" dxfId="78" priority="95">
      <formula>$J110="잔금"</formula>
    </cfRule>
  </conditionalFormatting>
  <conditionalFormatting sqref="E111:E113">
    <cfRule type="expression" dxfId="77" priority="94">
      <formula>$J111="잔금"</formula>
    </cfRule>
  </conditionalFormatting>
  <conditionalFormatting sqref="F111">
    <cfRule type="expression" dxfId="76" priority="93">
      <formula>$J111="잔금"</formula>
    </cfRule>
  </conditionalFormatting>
  <conditionalFormatting sqref="F112">
    <cfRule type="expression" dxfId="75" priority="92">
      <formula>$J112="잔금"</formula>
    </cfRule>
  </conditionalFormatting>
  <conditionalFormatting sqref="H111:H113">
    <cfRule type="expression" dxfId="74" priority="91">
      <formula>$J111="잔금"</formula>
    </cfRule>
  </conditionalFormatting>
  <conditionalFormatting sqref="C111:C113">
    <cfRule type="expression" dxfId="73" priority="90">
      <formula>$J111="잔금"</formula>
    </cfRule>
  </conditionalFormatting>
  <conditionalFormatting sqref="E117">
    <cfRule type="expression" dxfId="72" priority="89">
      <formula>$J117="잔금"</formula>
    </cfRule>
  </conditionalFormatting>
  <conditionalFormatting sqref="F117">
    <cfRule type="expression" dxfId="71" priority="88">
      <formula>$J117="잔금"</formula>
    </cfRule>
  </conditionalFormatting>
  <conditionalFormatting sqref="F143:F150">
    <cfRule type="expression" dxfId="70" priority="87">
      <formula>$J143="잔금"</formula>
    </cfRule>
  </conditionalFormatting>
  <conditionalFormatting sqref="E143:E150">
    <cfRule type="expression" dxfId="69" priority="86">
      <formula>$J143="잔금"</formula>
    </cfRule>
  </conditionalFormatting>
  <conditionalFormatting sqref="H143:H150">
    <cfRule type="expression" dxfId="68" priority="85">
      <formula>$J143="잔금"</formula>
    </cfRule>
  </conditionalFormatting>
  <conditionalFormatting sqref="E152:E158">
    <cfRule type="expression" dxfId="67" priority="83">
      <formula>$J152="잔금"</formula>
    </cfRule>
  </conditionalFormatting>
  <conditionalFormatting sqref="F152:F158">
    <cfRule type="expression" dxfId="66" priority="82">
      <formula>$J152="잔금"</formula>
    </cfRule>
  </conditionalFormatting>
  <conditionalFormatting sqref="C152:C158">
    <cfRule type="expression" dxfId="65" priority="81">
      <formula>$J152="잔금"</formula>
    </cfRule>
  </conditionalFormatting>
  <conditionalFormatting sqref="H152:H158">
    <cfRule type="expression" dxfId="64" priority="80">
      <formula>$J152="잔금"</formula>
    </cfRule>
  </conditionalFormatting>
  <conditionalFormatting sqref="C159">
    <cfRule type="expression" dxfId="63" priority="79">
      <formula>$I159="잔금"</formula>
    </cfRule>
  </conditionalFormatting>
  <conditionalFormatting sqref="F160:F163">
    <cfRule type="expression" dxfId="62" priority="78">
      <formula>$J160="잔금"</formula>
    </cfRule>
  </conditionalFormatting>
  <conditionalFormatting sqref="E160:E163">
    <cfRule type="expression" dxfId="61" priority="77">
      <formula>$J160="잔금"</formula>
    </cfRule>
  </conditionalFormatting>
  <conditionalFormatting sqref="C160:C166">
    <cfRule type="expression" dxfId="60" priority="76">
      <formula>$J160="잔금"</formula>
    </cfRule>
  </conditionalFormatting>
  <conditionalFormatting sqref="H160:H163">
    <cfRule type="expression" dxfId="59" priority="75">
      <formula>$J160="잔금"</formula>
    </cfRule>
  </conditionalFormatting>
  <conditionalFormatting sqref="F167:F179">
    <cfRule type="expression" dxfId="58" priority="74">
      <formula>$J167="잔금"</formula>
    </cfRule>
  </conditionalFormatting>
  <conditionalFormatting sqref="F180:F186">
    <cfRule type="expression" dxfId="57" priority="73">
      <formula>$J180="잔금"</formula>
    </cfRule>
  </conditionalFormatting>
  <conditionalFormatting sqref="E167:E179">
    <cfRule type="expression" dxfId="56" priority="72">
      <formula>$J167="잔금"</formula>
    </cfRule>
  </conditionalFormatting>
  <conditionalFormatting sqref="E180:E186">
    <cfRule type="expression" dxfId="55" priority="71">
      <formula>$J180="잔금"</formula>
    </cfRule>
  </conditionalFormatting>
  <conditionalFormatting sqref="C180:C186">
    <cfRule type="expression" dxfId="54" priority="69">
      <formula>$J180="잔금"</formula>
    </cfRule>
  </conditionalFormatting>
  <conditionalFormatting sqref="H167:H179">
    <cfRule type="expression" dxfId="53" priority="68">
      <formula>$J167="잔금"</formula>
    </cfRule>
  </conditionalFormatting>
  <conditionalFormatting sqref="H180:H186">
    <cfRule type="expression" dxfId="52" priority="67">
      <formula>$J180="잔금"</formula>
    </cfRule>
  </conditionalFormatting>
  <conditionalFormatting sqref="F195:F201">
    <cfRule type="expression" dxfId="51" priority="62">
      <formula>$J195="잔금"</formula>
    </cfRule>
  </conditionalFormatting>
  <conditionalFormatting sqref="E195:E201">
    <cfRule type="expression" dxfId="50" priority="61">
      <formula>$J195="잔금"</formula>
    </cfRule>
  </conditionalFormatting>
  <conditionalFormatting sqref="C195:C202">
    <cfRule type="expression" dxfId="49" priority="60">
      <formula>$J195="잔금"</formula>
    </cfRule>
  </conditionalFormatting>
  <conditionalFormatting sqref="H195:H201">
    <cfRule type="expression" dxfId="48" priority="59">
      <formula>$J195="잔금"</formula>
    </cfRule>
  </conditionalFormatting>
  <conditionalFormatting sqref="C203:C216">
    <cfRule type="expression" dxfId="47" priority="58">
      <formula>$J203="잔금"</formula>
    </cfRule>
  </conditionalFormatting>
  <conditionalFormatting sqref="F203:F216">
    <cfRule type="expression" dxfId="46" priority="57">
      <formula>$J203="잔금"</formula>
    </cfRule>
  </conditionalFormatting>
  <conditionalFormatting sqref="H203:H216">
    <cfRule type="expression" dxfId="45" priority="56">
      <formula>$J203="잔금"</formula>
    </cfRule>
  </conditionalFormatting>
  <conditionalFormatting sqref="E203:E217">
    <cfRule type="expression" dxfId="44" priority="55">
      <formula>$J203="잔금"</formula>
    </cfRule>
  </conditionalFormatting>
  <conditionalFormatting sqref="C217">
    <cfRule type="expression" dxfId="43" priority="54">
      <formula>$I217="잔금"</formula>
    </cfRule>
  </conditionalFormatting>
  <conditionalFormatting sqref="H217">
    <cfRule type="expression" dxfId="42" priority="49">
      <formula>$I217="잔금"</formula>
    </cfRule>
  </conditionalFormatting>
  <conditionalFormatting sqref="C218">
    <cfRule type="expression" dxfId="41" priority="48">
      <formula>$I218="잔금"</formula>
    </cfRule>
  </conditionalFormatting>
  <conditionalFormatting sqref="C219">
    <cfRule type="expression" dxfId="40" priority="47">
      <formula>$I219="잔금"</formula>
    </cfRule>
  </conditionalFormatting>
  <conditionalFormatting sqref="C220">
    <cfRule type="expression" dxfId="39" priority="46">
      <formula>$I220="잔금"</formula>
    </cfRule>
  </conditionalFormatting>
  <conditionalFormatting sqref="F221:F230">
    <cfRule type="expression" dxfId="38" priority="45">
      <formula>$J221="잔금"</formula>
    </cfRule>
  </conditionalFormatting>
  <conditionalFormatting sqref="F231:F244">
    <cfRule type="expression" dxfId="37" priority="44">
      <formula>$J231="잔금"</formula>
    </cfRule>
  </conditionalFormatting>
  <conditionalFormatting sqref="E221:E230">
    <cfRule type="expression" dxfId="36" priority="43">
      <formula>$J221="잔금"</formula>
    </cfRule>
  </conditionalFormatting>
  <conditionalFormatting sqref="E231:E244">
    <cfRule type="expression" dxfId="35" priority="42">
      <formula>$J231="잔금"</formula>
    </cfRule>
  </conditionalFormatting>
  <conditionalFormatting sqref="H221:H230">
    <cfRule type="expression" dxfId="34" priority="41">
      <formula>$J221="잔금"</formula>
    </cfRule>
  </conditionalFormatting>
  <conditionalFormatting sqref="H231:H244">
    <cfRule type="expression" dxfId="33" priority="40">
      <formula>$J231="잔금"</formula>
    </cfRule>
  </conditionalFormatting>
  <conditionalFormatting sqref="C246">
    <cfRule type="expression" dxfId="32" priority="39">
      <formula>$I246="잔금"</formula>
    </cfRule>
  </conditionalFormatting>
  <conditionalFormatting sqref="C247">
    <cfRule type="expression" dxfId="31" priority="38">
      <formula>$I247="잔금"</formula>
    </cfRule>
  </conditionalFormatting>
  <conditionalFormatting sqref="C248">
    <cfRule type="expression" dxfId="30" priority="37">
      <formula>$I248="잔금"</formula>
    </cfRule>
  </conditionalFormatting>
  <conditionalFormatting sqref="F249:F253">
    <cfRule type="expression" dxfId="29" priority="36">
      <formula>$J249="잔금"</formula>
    </cfRule>
  </conditionalFormatting>
  <conditionalFormatting sqref="E249:E253">
    <cfRule type="expression" dxfId="28" priority="35">
      <formula>$J249="잔금"</formula>
    </cfRule>
  </conditionalFormatting>
  <conditionalFormatting sqref="C249:C253">
    <cfRule type="expression" dxfId="27" priority="34">
      <formula>$J249="잔금"</formula>
    </cfRule>
  </conditionalFormatting>
  <conditionalFormatting sqref="H249:H253">
    <cfRule type="expression" dxfId="26" priority="33">
      <formula>$J249="잔금"</formula>
    </cfRule>
  </conditionalFormatting>
  <conditionalFormatting sqref="C254:C257">
    <cfRule type="expression" dxfId="25" priority="32">
      <formula>$I254="잔금"</formula>
    </cfRule>
  </conditionalFormatting>
  <conditionalFormatting sqref="F258:F267">
    <cfRule type="expression" dxfId="24" priority="31">
      <formula>$J258="잔금"</formula>
    </cfRule>
  </conditionalFormatting>
  <conditionalFormatting sqref="F268:F276">
    <cfRule type="expression" dxfId="23" priority="30">
      <formula>$J268="잔금"</formula>
    </cfRule>
  </conditionalFormatting>
  <conditionalFormatting sqref="C115">
    <cfRule type="expression" dxfId="22" priority="24">
      <formula>$J115="잔금"</formula>
    </cfRule>
  </conditionalFormatting>
  <conditionalFormatting sqref="C114">
    <cfRule type="expression" dxfId="21" priority="25">
      <formula>$J114="잔금"</formula>
    </cfRule>
  </conditionalFormatting>
  <conditionalFormatting sqref="C167">
    <cfRule type="expression" dxfId="20" priority="23">
      <formula>$J167="잔금"</formula>
    </cfRule>
  </conditionalFormatting>
  <conditionalFormatting sqref="C168">
    <cfRule type="expression" dxfId="19" priority="22">
      <formula>$J168="잔금"</formula>
    </cfRule>
  </conditionalFormatting>
  <conditionalFormatting sqref="C169">
    <cfRule type="expression" dxfId="18" priority="21">
      <formula>$J169="잔금"</formula>
    </cfRule>
  </conditionalFormatting>
  <conditionalFormatting sqref="C170">
    <cfRule type="expression" dxfId="17" priority="20">
      <formula>$J170="잔금"</formula>
    </cfRule>
  </conditionalFormatting>
  <conditionalFormatting sqref="C171">
    <cfRule type="expression" dxfId="16" priority="19">
      <formula>$J171="잔금"</formula>
    </cfRule>
  </conditionalFormatting>
  <conditionalFormatting sqref="C172">
    <cfRule type="expression" dxfId="15" priority="18">
      <formula>$J172="잔금"</formula>
    </cfRule>
  </conditionalFormatting>
  <conditionalFormatting sqref="C173">
    <cfRule type="expression" dxfId="14" priority="17">
      <formula>$J173="잔금"</formula>
    </cfRule>
  </conditionalFormatting>
  <conditionalFormatting sqref="C174">
    <cfRule type="expression" dxfId="13" priority="16">
      <formula>$J174="잔금"</formula>
    </cfRule>
  </conditionalFormatting>
  <conditionalFormatting sqref="C175">
    <cfRule type="expression" dxfId="12" priority="14">
      <formula>$J175="잔금"</formula>
    </cfRule>
  </conditionalFormatting>
  <conditionalFormatting sqref="C176">
    <cfRule type="expression" dxfId="11" priority="13">
      <formula>$J176="잔금"</formula>
    </cfRule>
  </conditionalFormatting>
  <conditionalFormatting sqref="C177">
    <cfRule type="expression" dxfId="10" priority="12">
      <formula>$J177="잔금"</formula>
    </cfRule>
  </conditionalFormatting>
  <conditionalFormatting sqref="C178">
    <cfRule type="expression" dxfId="9" priority="11">
      <formula>$J178="잔금"</formula>
    </cfRule>
  </conditionalFormatting>
  <conditionalFormatting sqref="C179">
    <cfRule type="expression" dxfId="8" priority="10">
      <formula>$J179="잔금"</formula>
    </cfRule>
  </conditionalFormatting>
  <conditionalFormatting sqref="H309:H310">
    <cfRule type="expression" dxfId="7" priority="4">
      <formula>$J309="잔금"</formula>
    </cfRule>
  </conditionalFormatting>
  <conditionalFormatting sqref="F290:F303">
    <cfRule type="expression" dxfId="6" priority="9">
      <formula>$J290="잔금"</formula>
    </cfRule>
  </conditionalFormatting>
  <conditionalFormatting sqref="F304:F308">
    <cfRule type="expression" dxfId="5" priority="8">
      <formula>$J304="잔금"</formula>
    </cfRule>
  </conditionalFormatting>
  <conditionalFormatting sqref="F309:F310">
    <cfRule type="expression" dxfId="4" priority="7">
      <formula>$J309="잔금"</formula>
    </cfRule>
  </conditionalFormatting>
  <conditionalFormatting sqref="H290:H303">
    <cfRule type="expression" dxfId="3" priority="6">
      <formula>$J290="잔금"</formula>
    </cfRule>
  </conditionalFormatting>
  <conditionalFormatting sqref="H304:H308">
    <cfRule type="expression" dxfId="2" priority="5">
      <formula>$J304="잔금"</formula>
    </cfRule>
  </conditionalFormatting>
  <conditionalFormatting sqref="H313:H354">
    <cfRule type="expression" dxfId="1" priority="3">
      <formula>$J313="잔금"</formula>
    </cfRule>
  </conditionalFormatting>
  <conditionalFormatting sqref="C404:C422">
    <cfRule type="expression" dxfId="0" priority="2">
      <formula>$J404="잔금"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42">
      <formula1>"Y,N"</formula1>
    </dataValidation>
    <dataValidation type="list" allowBlank="1" sqref="D2:D442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2026-04-16T01:39:31Z</dcterms:modified>
</cp:coreProperties>
</file>