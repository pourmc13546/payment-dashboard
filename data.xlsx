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<sst xmlns="http://schemas.openxmlformats.org/spreadsheetml/2006/main" count="1092" uniqueCount="335">
  <si>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</si>
  <si>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</si>
  <si>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</si>
  <si>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</si>
  <si>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</si>
  <si>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</si>
  <si>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</si>
  <si>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</si>
  <si>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</si>
  <si>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</si>
  <si>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</si>
  <si>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</si>
  <si>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</si>
  <si>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</si>
  <si>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</si>
  <si>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</si>
  <si>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</si>
  <si>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</si>
  <si>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</si>
  <si>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</si>
  <si>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</si>
  <si>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</si>
  <si>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</si>
  <si>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</si>
  <si>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</si>
  <si>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</si>
  <si>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</si>
  <si>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</si>
  <si>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</si>
  <si>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</si>
  <si>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</si>
  <si>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</si>
  <si>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</si>
  <si>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</si>
  <si>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</si>
  <si>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</si>
  <si>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</si>
  <si>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</si>
  <si>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</si>
  <si>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</si>
  <si>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</si>
  <si>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</si>
  <si>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</si>
  <si>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</si>
  <si>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</si>
  <si>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</si>
  <si>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</si>
  <si>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</si>
  <si>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</si>
  <si>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</si>
  <si>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</si>
  <si>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</si>
  <si>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</si>
  <si>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</si>
  <si>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</si>
  <si>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</si>
  <si>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</si>
  <si>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</si>
  <si>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</si>
  <si>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</si>
  <si>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</si>
  <si>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</si>
  <si>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</si>
  <si>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</si>
  <si>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</si>
  <si>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</si>
  <si>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</si>
  <si>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</si>
  <si>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</si>
  <si>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</si>
  <si>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</si>
  <si>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</si>
  <si>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</si>
  <si>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</si>
  <si>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</si>
  <si>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</si>
  <si>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</si>
  <si>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</si>
  <si>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</si>
  <si>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</si>
  <si>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</si>
  <si>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</si>
  <si>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</si>
  <si>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</si>
  <si>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</si>
  <si>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</si>
  <si>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</si>
  <si>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</si>
  <si>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</si>
  <si>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</si>
  <si>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</si>
  <si>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</si>
  <si>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</si>
  <si>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</si>
  <si>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</si>
  <si>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</si>
  <si>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</si>
  <si>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</si>
  <si>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</si>
  <si>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</si>
  <si>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</si>
  <si>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</si>
  <si>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</si>
  <si>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</si>
  <si>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</si>
  <si>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</si>
  <si>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</si>
  <si>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</si>
  <si>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</si>
  <si>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</si>
  <si>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</si>
  <si>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</si>
  <si>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</si>
  <si>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</si>
  <si>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</si>
  <si>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</si>
  <si>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</si>
  <si>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</si>
  <si>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</si>
  <si>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</si>
  <si>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</si>
  <si>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</si>
  <si>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</si>
  <si>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</si>
  <si>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</si>
  <si>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</si>
  <si>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</si>
  <si>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</si>
  <si>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</si>
  <si>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</si>
  <si>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</si>
  <si>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</si>
  <si>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</si>
  <si>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</si>
  <si>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</si>
  <si>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</si>
  <si>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</si>
  <si>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</si>
  <si>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</si>
  <si>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</si>
  <si>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</si>
  <si>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</si>
  <si>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</si>
  <si>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</si>
  <si>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</si>
  <si>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</si>
  <si>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</si>
  <si>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</si>
  <si>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</si>
  <si>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</si>
  <si>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</si>
  <si>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</si>
  <si>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</si>
  <si>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</si>
  <si>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</si>
  <si>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</si>
  <si>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</si>
  <si>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</si>
  <si>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</si>
  <si>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</si>
  <si>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</si>
  <si>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</si>
  <si>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</si>
  <si>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</si>
  <si>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</si>
  <si>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</si>
  <si>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</si>
  <si>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</si>
  <si>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</si>
  <si>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</si>
  <si>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</si>
  <si>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</si>
  <si>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</si>
  <si>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</si>
  <si>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</si>
  <si>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</si>
  <si>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</si>
  <si>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</si>
  <si>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</si>
  <si>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</si>
  <si>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</si>
  <si>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</si>
  <si>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</si>
  <si>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</si>
  <si>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</si>
  <si>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</si>
  <si>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</si>
  <si>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</si>
  <si>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</si>
  <si>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</si>
  <si>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</si>
  <si>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</si>
  <si>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</si>
  <si>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</si>
  <si>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</si>
  <si>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</si>
  <si>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</si>
  <si>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</si>
  <si>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</si>
  <si>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</si>
  <si>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</si>
  <si>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</si>
  <si>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</si>
  <si>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</si>
  <si>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</si>
  <si>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</si>
  <si>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</si>
  <si>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</si>
  <si>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</si>
  <si>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</si>
  <si>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</si>
  <si>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</si>
  <si>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</si>
  <si>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</si>
  <si>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</si>
  <si>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</si>
  <si>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</si>
  <si>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</si>
  <si>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</si>
  <si>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</si>
  <si>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</si>
  <si>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</si>
  <si>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</si>
  <si>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</si>
  <si>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</si>
  <si>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</si>
  <si>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</si>
  <si>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</si>
  <si>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</si>
  <si>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</si>
  <si>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</si>
  <si>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</si>
  <si>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</si>
  <si>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</si>
  <si>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</si>
  <si>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</si>
  <si>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</si>
  <si>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</si>
  <si>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</si>
  <si>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</si>
  <si>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</si>
  <si>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</si>
  <si>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</si>
  <si>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</si>
  <si>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</si>
  <si>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</si>
  <si>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</si>
  <si>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</si>
  <si>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</si>
  <si>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</si>
  <si>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</si>
  <si>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</si>
  <si>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</si>
  <si>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</si>
  <si>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</si>
  <si>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</si>
  <si>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</si>
  <si>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</si>
  <si>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</si>
  <si>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</si>
  <si>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</si>
  <si>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</si>
  <si>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</si>
  <si>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</si>
  <si>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</si>
  <si>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</si>
  <si>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</si>
  <si>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</si>
  <si>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</si>
  <si>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</si>
  <si>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</si>
  <si>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</si>
  <si>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</si>
  <si>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</si>
  <si>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</si>
  <si>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</si>
  <si>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</si>
  <si>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</si>
  <si>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</si>
  <si>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</si>
  <si>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</si>
  <si>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</si>
  <si>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</si>
  <si>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</si>
  <si>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</si>
  <si>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</si>
  <si>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</si>
  <si>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</si>
  <si>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</si>
  <si>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</si>
  <si>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</si>
  <si>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</si>
  <si>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</si>
  <si>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</si>
  <si>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</si>
  <si>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</si>
  <si>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</si>
  <si>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</si>
  <si>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</si>
  <si>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</si>
  <si>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</si>
  <si>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</si>
  <si>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</si>
  <si>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</si>
  <si>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</si>
  <si>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</si>
  <si>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</si>
  <si>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</si>
  <si>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</si>
  <si>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</si>
  <si>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</si>
  <si>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</si>
  <si>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</si>
  <si>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</si>
  <si>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</si>
  <si>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</si>
  <si>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궁전빌라파트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</si>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</sst>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174" activePane="bottomRight" state="frozen"/>
      <selection pane="topRight"/>
      <selection pane="bottomLeft"/>
      <selection pane="bottomRight" activeCell="E195" sqref="E195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257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88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70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59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55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53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53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49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46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46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42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35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34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33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32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32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31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21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20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19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17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17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17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17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17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13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13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13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13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13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13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12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11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11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11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11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11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11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11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11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11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10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10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10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10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10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7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7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7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5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6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6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6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6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6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6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6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6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5</v>
      </c>
      <c r="J179" s="13" t="str">
        <f t="shared" ref="J179:J201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5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5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5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5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5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5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320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319</v>
      </c>
      <c r="D187" s="10" t="str">
        <f t="shared" si="12"/>
        <v>B</v>
      </c>
      <c r="E187" s="23" t="s">
        <v>283</v>
      </c>
      <c r="F187" s="23" t="s">
        <v>316</v>
      </c>
      <c r="G187" s="6" t="s">
        <v>320</v>
      </c>
      <c r="H187" s="25">
        <v>500500</v>
      </c>
      <c r="I187" s="6">
        <f t="shared" ca="1" si="13"/>
        <v>4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319</v>
      </c>
      <c r="D188" s="10" t="str">
        <f t="shared" si="12"/>
        <v>B</v>
      </c>
      <c r="E188" s="23" t="s">
        <v>30</v>
      </c>
      <c r="F188" s="23" t="s">
        <v>312</v>
      </c>
      <c r="G188" s="6" t="s">
        <v>320</v>
      </c>
      <c r="H188" s="25">
        <v>1000500</v>
      </c>
      <c r="I188" s="6">
        <f t="shared" ca="1" si="13"/>
        <v>4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319</v>
      </c>
      <c r="D189" s="10" t="str">
        <f t="shared" si="12"/>
        <v>B</v>
      </c>
      <c r="E189" s="23" t="s">
        <v>203</v>
      </c>
      <c r="F189" s="23" t="s">
        <v>317</v>
      </c>
      <c r="G189" s="6" t="s">
        <v>320</v>
      </c>
      <c r="H189" s="25">
        <v>5775000</v>
      </c>
      <c r="I189" s="6">
        <f t="shared" ca="1" si="13"/>
        <v>4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319</v>
      </c>
      <c r="D190" s="10" t="str">
        <f t="shared" si="12"/>
        <v>B</v>
      </c>
      <c r="E190" s="23" t="s">
        <v>207</v>
      </c>
      <c r="F190" s="23" t="s">
        <v>313</v>
      </c>
      <c r="G190" s="6" t="s">
        <v>320</v>
      </c>
      <c r="H190" s="25">
        <v>1190000</v>
      </c>
      <c r="I190" s="6">
        <f t="shared" ca="1" si="13"/>
        <v>4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319</v>
      </c>
      <c r="D191" s="10" t="str">
        <f t="shared" si="12"/>
        <v>B</v>
      </c>
      <c r="E191" s="23" t="s">
        <v>101</v>
      </c>
      <c r="F191" s="23" t="s">
        <v>318</v>
      </c>
      <c r="G191" s="6" t="s">
        <v>320</v>
      </c>
      <c r="H191" s="25">
        <v>11147800</v>
      </c>
      <c r="I191" s="6">
        <f t="shared" ca="1" si="13"/>
        <v>4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319</v>
      </c>
      <c r="D192" s="10" t="str">
        <f t="shared" si="12"/>
        <v>B</v>
      </c>
      <c r="E192" s="23" t="s">
        <v>227</v>
      </c>
      <c r="F192" s="23" t="s">
        <v>314</v>
      </c>
      <c r="G192" s="6" t="s">
        <v>320</v>
      </c>
      <c r="H192" s="25">
        <v>2613000</v>
      </c>
      <c r="I192" s="6">
        <f t="shared" ca="1" si="13"/>
        <v>4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5" t="s">
        <v>319</v>
      </c>
      <c r="D193" s="10" t="str">
        <f t="shared" si="12"/>
        <v>B</v>
      </c>
      <c r="E193" s="23" t="s">
        <v>112</v>
      </c>
      <c r="F193" s="23" t="s">
        <v>315</v>
      </c>
      <c r="G193" s="6" t="s">
        <v>320</v>
      </c>
      <c r="H193" s="25">
        <v>7339000</v>
      </c>
      <c r="I193" s="6">
        <f t="shared" ca="1" si="13"/>
        <v>4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2"/>
        <v>C</v>
      </c>
      <c r="E194" s="6" t="s">
        <v>321</v>
      </c>
      <c r="F194" s="6" t="s">
        <v>322</v>
      </c>
      <c r="G194" s="6" t="s">
        <v>323</v>
      </c>
      <c r="H194" s="4">
        <v>1291250</v>
      </c>
      <c r="I194" s="6">
        <f t="shared" ca="1" si="13"/>
        <v>3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333</v>
      </c>
      <c r="D195" s="10" t="str">
        <f t="shared" si="12"/>
        <v>B</v>
      </c>
      <c r="E195" s="23" t="s">
        <v>331</v>
      </c>
      <c r="F195" s="23" t="s">
        <v>324</v>
      </c>
      <c r="G195" s="6" t="s">
        <v>334</v>
      </c>
      <c r="H195" s="25">
        <v>500500</v>
      </c>
      <c r="I195" s="6">
        <f t="shared" ca="1" si="13"/>
        <v>3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333</v>
      </c>
      <c r="D196" s="10" t="str">
        <f t="shared" si="12"/>
        <v>B</v>
      </c>
      <c r="E196" s="23" t="s">
        <v>24</v>
      </c>
      <c r="F196" s="23" t="s">
        <v>325</v>
      </c>
      <c r="G196" s="6" t="s">
        <v>334</v>
      </c>
      <c r="H196" s="25">
        <v>3448000</v>
      </c>
      <c r="I196" s="6">
        <f t="shared" ca="1" si="13"/>
        <v>3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333</v>
      </c>
      <c r="D197" s="10" t="str">
        <f t="shared" si="12"/>
        <v>B</v>
      </c>
      <c r="E197" s="23" t="s">
        <v>24</v>
      </c>
      <c r="F197" s="23" t="s">
        <v>326</v>
      </c>
      <c r="G197" s="6" t="s">
        <v>334</v>
      </c>
      <c r="H197" s="25">
        <v>28750000</v>
      </c>
      <c r="I197" s="6">
        <f t="shared" ca="1" si="13"/>
        <v>3</v>
      </c>
      <c r="J197" s="13" t="str">
        <f t="shared" ca="1" si="14"/>
        <v>정상</v>
      </c>
      <c r="K197" s="11"/>
      <c r="L197" s="11"/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333</v>
      </c>
      <c r="D198" s="10" t="str">
        <f t="shared" si="12"/>
        <v>B</v>
      </c>
      <c r="E198" s="23" t="s">
        <v>229</v>
      </c>
      <c r="F198" s="23" t="s">
        <v>327</v>
      </c>
      <c r="G198" s="6" t="s">
        <v>334</v>
      </c>
      <c r="H198" s="25">
        <v>3430000</v>
      </c>
      <c r="I198" s="6">
        <f t="shared" ca="1" si="13"/>
        <v>3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333</v>
      </c>
      <c r="D199" s="10" t="str">
        <f t="shared" si="12"/>
        <v>B</v>
      </c>
      <c r="E199" s="23" t="s">
        <v>227</v>
      </c>
      <c r="F199" s="23" t="s">
        <v>328</v>
      </c>
      <c r="G199" s="6" t="s">
        <v>334</v>
      </c>
      <c r="H199" s="25">
        <v>14700000</v>
      </c>
      <c r="I199" s="6">
        <f t="shared" ca="1" si="13"/>
        <v>3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333</v>
      </c>
      <c r="D200" s="10" t="str">
        <f t="shared" si="12"/>
        <v>B</v>
      </c>
      <c r="E200" s="23" t="s">
        <v>332</v>
      </c>
      <c r="F200" s="23" t="s">
        <v>329</v>
      </c>
      <c r="G200" s="6" t="s">
        <v>334</v>
      </c>
      <c r="H200" s="25">
        <v>780000</v>
      </c>
      <c r="I200" s="6">
        <f t="shared" ca="1" si="13"/>
        <v>3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5" t="s">
        <v>333</v>
      </c>
      <c r="D201" s="10" t="str">
        <f t="shared" si="12"/>
        <v>B</v>
      </c>
      <c r="E201" s="23" t="s">
        <v>39</v>
      </c>
      <c r="F201" s="23" t="s">
        <v>330</v>
      </c>
      <c r="G201" s="6" t="s">
        <v>334</v>
      </c>
      <c r="H201" s="25">
        <v>220100</v>
      </c>
      <c r="I201" s="6">
        <f t="shared" ca="1" si="13"/>
        <v>3</v>
      </c>
      <c r="J201" s="13" t="str">
        <f t="shared" ca="1" si="14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5">IF(G204="","",IF(OR(G204="선급금",G204="중도금",G204="잔금"),"A",IF(G204="자재","B",IF(G204="특허료","C",""))))</f>
        <v/>
      </c>
      <c r="H204" s="4"/>
      <c r="I204" s="6" t="str">
        <f t="shared" ref="I204:I267" ca="1" si="16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5"/>
        <v/>
      </c>
      <c r="H267" s="4"/>
      <c r="I267" s="6" t="str">
        <f t="shared" ca="1" si="16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7">IF(G268="","",IF(OR(G268="선급금",G268="중도금",G268="잔금"),"A",IF(G268="자재","B",IF(G268="특허료","C",""))))</f>
        <v/>
      </c>
      <c r="H268" s="4"/>
      <c r="I268" s="6" t="str">
        <f t="shared" ref="I268:I331" ca="1" si="18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7"/>
        <v/>
      </c>
      <c r="H331" s="4"/>
      <c r="I331" s="6" t="str">
        <f t="shared" ca="1" si="18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9">IF(G332="","",IF(OR(G332="선급금",G332="중도금",G332="잔금"),"A",IF(G332="자재","B",IF(G332="특허료","C",""))))</f>
        <v/>
      </c>
      <c r="H332" s="4"/>
      <c r="I332" s="6" t="str">
        <f t="shared" ref="I332:I395" ca="1" si="20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9"/>
        <v/>
      </c>
      <c r="H395" s="4"/>
      <c r="I395" s="6" t="str">
        <f t="shared" ca="1" si="20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1">IF(G396="","",IF(OR(G396="선급금",G396="중도금",G396="잔금"),"A",IF(G396="자재","B",IF(G396="특허료","C",""))))</f>
        <v/>
      </c>
      <c r="H396" s="4"/>
      <c r="I396" s="6" t="str">
        <f t="shared" ref="I396:I406" ca="1" si="22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1"/>
        <v/>
      </c>
      <c r="H402" s="4"/>
      <c r="I402" s="6" t="str">
        <f t="shared" ca="1" si="22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1"/>
        <v/>
      </c>
      <c r="I404" s="1" t="str">
        <f t="shared" ca="1" si="22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>
      <c r="B406" s="10"/>
      <c r="C406" s="11"/>
      <c r="D406" s="1" t="str">
        <f t="shared" si="21"/>
        <v/>
      </c>
      <c r="I406" s="1" t="str">
        <f t="shared" ca="1" si="22"/>
        <v/>
      </c>
      <c r="Q406" s="11"/>
      <c r="R406" s="11"/>
    </row>
    <row r="407" spans="2:19">
      <c r="B407" s="10"/>
      <c r="C407" s="11"/>
      <c r="D407" s="1" t="str">
        <f t="shared" si="21"/>
        <v/>
      </c>
      <c r="Q407" s="11"/>
      <c r="R407" s="11"/>
    </row>
    <row r="408" spans="2:19">
      <c r="B408" s="10"/>
      <c r="C408" s="11"/>
      <c r="D408" s="1" t="str">
        <f t="shared" si="21"/>
        <v/>
      </c>
      <c r="Q408" s="11"/>
      <c r="R408" s="11"/>
    </row>
    <row r="409" spans="2:19" ht="16.5" customHeight="1">
      <c r="C409" s="58"/>
      <c r="F409" s="62"/>
    </row>
  </sheetData>
  <autoFilter ref="A1:S408"/>
  <phoneticPr fontId="5" type="noConversion"/>
  <conditionalFormatting sqref="E3 F57:F60">
    <cfRule type="expression" dxfId="48" priority="64">
      <formula>$J3="잔금"</formula>
    </cfRule>
  </conditionalFormatting>
  <conditionalFormatting sqref="E8">
    <cfRule type="expression" dxfId="47" priority="63">
      <formula>$J8="잔금"</formula>
    </cfRule>
  </conditionalFormatting>
  <conditionalFormatting sqref="E4">
    <cfRule type="expression" dxfId="46" priority="62">
      <formula>$J4="잔금"</formula>
    </cfRule>
  </conditionalFormatting>
  <conditionalFormatting sqref="E9">
    <cfRule type="expression" dxfId="45" priority="61">
      <formula>$J9="잔금"</formula>
    </cfRule>
  </conditionalFormatting>
  <conditionalFormatting sqref="E41 E37">
    <cfRule type="expression" dxfId="44" priority="56">
      <formula>$J37="잔금"</formula>
    </cfRule>
  </conditionalFormatting>
  <conditionalFormatting sqref="E98:E99">
    <cfRule type="expression" dxfId="43" priority="46">
      <formula>$J98="잔금"</formula>
    </cfRule>
  </conditionalFormatting>
  <conditionalFormatting sqref="F98:F99">
    <cfRule type="expression" dxfId="42" priority="45">
      <formula>$J98="잔금"</formula>
    </cfRule>
  </conditionalFormatting>
  <conditionalFormatting sqref="F104:F105">
    <cfRule type="expression" dxfId="41" priority="43">
      <formula>$J104="잔금"</formula>
    </cfRule>
  </conditionalFormatting>
  <conditionalFormatting sqref="H104:H105">
    <cfRule type="expression" dxfId="40" priority="42">
      <formula>$J104="잔금"</formula>
    </cfRule>
  </conditionalFormatting>
  <conditionalFormatting sqref="E106:E108">
    <cfRule type="expression" dxfId="39" priority="41">
      <formula>$J106="잔금"</formula>
    </cfRule>
  </conditionalFormatting>
  <conditionalFormatting sqref="F106:F108">
    <cfRule type="expression" dxfId="38" priority="40">
      <formula>$J106="잔금"</formula>
    </cfRule>
  </conditionalFormatting>
  <conditionalFormatting sqref="H106:H108">
    <cfRule type="expression" dxfId="37" priority="39">
      <formula>$J106="잔금"</formula>
    </cfRule>
  </conditionalFormatting>
  <conditionalFormatting sqref="E110">
    <cfRule type="expression" dxfId="36" priority="38">
      <formula>$J110="잔금"</formula>
    </cfRule>
  </conditionalFormatting>
  <conditionalFormatting sqref="F110">
    <cfRule type="expression" dxfId="35" priority="37">
      <formula>$J110="잔금"</formula>
    </cfRule>
  </conditionalFormatting>
  <conditionalFormatting sqref="E111:E113">
    <cfRule type="expression" dxfId="34" priority="36">
      <formula>$J111="잔금"</formula>
    </cfRule>
  </conditionalFormatting>
  <conditionalFormatting sqref="F111 F113">
    <cfRule type="expression" dxfId="33" priority="35">
      <formula>$J111="잔금"</formula>
    </cfRule>
  </conditionalFormatting>
  <conditionalFormatting sqref="F112">
    <cfRule type="expression" dxfId="32" priority="34">
      <formula>$J112="잔금"</formula>
    </cfRule>
  </conditionalFormatting>
  <conditionalFormatting sqref="H111:H113">
    <cfRule type="expression" dxfId="31" priority="33">
      <formula>$J111="잔금"</formula>
    </cfRule>
  </conditionalFormatting>
  <conditionalFormatting sqref="C111:C113">
    <cfRule type="expression" dxfId="30" priority="32">
      <formula>$J111="잔금"</formula>
    </cfRule>
  </conditionalFormatting>
  <conditionalFormatting sqref="E117">
    <cfRule type="expression" dxfId="29" priority="31">
      <formula>$J117="잔금"</formula>
    </cfRule>
  </conditionalFormatting>
  <conditionalFormatting sqref="F117">
    <cfRule type="expression" dxfId="28" priority="30">
      <formula>$J117="잔금"</formula>
    </cfRule>
  </conditionalFormatting>
  <conditionalFormatting sqref="F142:F149">
    <cfRule type="expression" dxfId="27" priority="29">
      <formula>$J142="잔금"</formula>
    </cfRule>
  </conditionalFormatting>
  <conditionalFormatting sqref="E142:E149">
    <cfRule type="expression" dxfId="26" priority="28">
      <formula>$J142="잔금"</formula>
    </cfRule>
  </conditionalFormatting>
  <conditionalFormatting sqref="H142:H149">
    <cfRule type="expression" dxfId="25" priority="27">
      <formula>$J142="잔금"</formula>
    </cfRule>
  </conditionalFormatting>
  <conditionalFormatting sqref="E151:E157">
    <cfRule type="expression" dxfId="24" priority="25">
      <formula>$J151="잔금"</formula>
    </cfRule>
  </conditionalFormatting>
  <conditionalFormatting sqref="F151:F157">
    <cfRule type="expression" dxfId="23" priority="24">
      <formula>$J151="잔금"</formula>
    </cfRule>
  </conditionalFormatting>
  <conditionalFormatting sqref="C151:C157">
    <cfRule type="expression" dxfId="22" priority="23">
      <formula>$J151="잔금"</formula>
    </cfRule>
  </conditionalFormatting>
  <conditionalFormatting sqref="H151:H157">
    <cfRule type="expression" dxfId="21" priority="22">
      <formula>$J151="잔금"</formula>
    </cfRule>
  </conditionalFormatting>
  <conditionalFormatting sqref="C158">
    <cfRule type="expression" dxfId="20" priority="21">
      <formula>$I158="잔금"</formula>
    </cfRule>
  </conditionalFormatting>
  <conditionalFormatting sqref="F159:F162">
    <cfRule type="expression" dxfId="19" priority="20">
      <formula>$J159="잔금"</formula>
    </cfRule>
  </conditionalFormatting>
  <conditionalFormatting sqref="E159:E162">
    <cfRule type="expression" dxfId="18" priority="19">
      <formula>$J159="잔금"</formula>
    </cfRule>
  </conditionalFormatting>
  <conditionalFormatting sqref="C159:C165">
    <cfRule type="expression" dxfId="17" priority="18">
      <formula>$J159="잔금"</formula>
    </cfRule>
  </conditionalFormatting>
  <conditionalFormatting sqref="H159:H162">
    <cfRule type="expression" dxfId="16" priority="17">
      <formula>$J159="잔금"</formula>
    </cfRule>
  </conditionalFormatting>
  <conditionalFormatting sqref="F166:F178">
    <cfRule type="expression" dxfId="15" priority="16">
      <formula>$J166="잔금"</formula>
    </cfRule>
  </conditionalFormatting>
  <conditionalFormatting sqref="F179:F185">
    <cfRule type="expression" dxfId="14" priority="15">
      <formula>$J179="잔금"</formula>
    </cfRule>
  </conditionalFormatting>
  <conditionalFormatting sqref="E166:E178">
    <cfRule type="expression" dxfId="13" priority="14">
      <formula>$J166="잔금"</formula>
    </cfRule>
  </conditionalFormatting>
  <conditionalFormatting sqref="E179:E185">
    <cfRule type="expression" dxfId="12" priority="13">
      <formula>$J179="잔금"</formula>
    </cfRule>
  </conditionalFormatting>
  <conditionalFormatting sqref="C166:C178">
    <cfRule type="expression" dxfId="11" priority="12">
      <formula>$J166="잔금"</formula>
    </cfRule>
  </conditionalFormatting>
  <conditionalFormatting sqref="C179:C185">
    <cfRule type="expression" dxfId="10" priority="11">
      <formula>$J179="잔금"</formula>
    </cfRule>
  </conditionalFormatting>
  <conditionalFormatting sqref="H166:H178">
    <cfRule type="expression" dxfId="9" priority="10">
      <formula>$J166="잔금"</formula>
    </cfRule>
  </conditionalFormatting>
  <conditionalFormatting sqref="H179:H185">
    <cfRule type="expression" dxfId="8" priority="9">
      <formula>$J179="잔금"</formula>
    </cfRule>
  </conditionalFormatting>
  <conditionalFormatting sqref="F186:F193">
    <cfRule type="expression" dxfId="7" priority="8">
      <formula>$J186="잔금"</formula>
    </cfRule>
  </conditionalFormatting>
  <conditionalFormatting sqref="E186:E193">
    <cfRule type="expression" dxfId="6" priority="7">
      <formula>$J186="잔금"</formula>
    </cfRule>
  </conditionalFormatting>
  <conditionalFormatting sqref="H186:H193">
    <cfRule type="expression" dxfId="5" priority="6">
      <formula>$J186="잔금"</formula>
    </cfRule>
  </conditionalFormatting>
  <conditionalFormatting sqref="C186:C193">
    <cfRule type="expression" dxfId="4" priority="5">
      <formula>$J186="잔금"</formula>
    </cfRule>
  </conditionalFormatting>
  <conditionalFormatting sqref="F195:F201">
    <cfRule type="expression" dxfId="3" priority="4">
      <formula>$J195="잔금"</formula>
    </cfRule>
  </conditionalFormatting>
  <conditionalFormatting sqref="E195:E201">
    <cfRule type="expression" dxfId="2" priority="3">
      <formula>$J195="잔금"</formula>
    </cfRule>
  </conditionalFormatting>
  <conditionalFormatting sqref="C195:C201">
    <cfRule type="expression" dxfId="1" priority="2">
      <formula>$J195="잔금"</formula>
    </cfRule>
  </conditionalFormatting>
  <conditionalFormatting sqref="H195:H201">
    <cfRule type="expression" dxfId="0" priority="1">
      <formula>$J195="잔금"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01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2026-03-16T09:11:03Z</dcterms:modified>
</cp:coreProperties>
</file>