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<sst xmlns="http://schemas.openxmlformats.org/spreadsheetml/2006/main" count="1347" uniqueCount="406">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</sst>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6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29" activePane="bottomRight" state="frozen"/>
      <selection pane="topRight"/>
      <selection pane="bottomLeft"/>
      <selection pane="bottomRight" activeCell="M181" sqref="M18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91</v>
      </c>
      <c r="J10" s="13" t="str">
        <f t="shared" ca="1" si="2"/>
        <v>장기미수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231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189</v>
      </c>
      <c r="J40" s="13" t="str">
        <f t="shared" ca="1" si="2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161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137</v>
      </c>
      <c r="J47" s="13" t="str">
        <f t="shared" ca="1" si="2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134</v>
      </c>
      <c r="J48" s="13" t="str">
        <f t="shared" ca="1" si="2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401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266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217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97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79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79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76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68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64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62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62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58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55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55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51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44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43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43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79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42</v>
      </c>
      <c r="J104" s="13" t="str">
        <f t="shared" ca="1" si="5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42</v>
      </c>
      <c r="J105" s="13" t="str">
        <f t="shared" ca="1" si="5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41</v>
      </c>
      <c r="J106" s="13" t="str">
        <f t="shared" ca="1" si="5"/>
        <v>관리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41</v>
      </c>
      <c r="J108" s="13" t="str">
        <f t="shared" ca="1" si="5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40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39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33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30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30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29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28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26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26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26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26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22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22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22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22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22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22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20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20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20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20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20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20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20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20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20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19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19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19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19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19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16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16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16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14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15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15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15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15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15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15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15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15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9</v>
      </c>
      <c r="J179" s="13" t="str">
        <f t="shared" ref="J179:J242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14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9</v>
      </c>
      <c r="J181" s="13" t="str">
        <f t="shared" ca="1" si="14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14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14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14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14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13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13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13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13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13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13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12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12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12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12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12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12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12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9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8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8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8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8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8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8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8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8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7</v>
      </c>
      <c r="J210" s="13" t="str">
        <f t="shared" ca="1" si="14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8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8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8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8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8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63">
        <v>46099</v>
      </c>
      <c r="D216" s="10" t="str">
        <f t="shared" si="15"/>
        <v>A</v>
      </c>
      <c r="E216" s="23" t="s">
        <v>353</v>
      </c>
      <c r="F216" s="65" t="s">
        <v>352</v>
      </c>
      <c r="G216" s="6" t="s">
        <v>354</v>
      </c>
      <c r="H216" s="64">
        <v>4354200</v>
      </c>
      <c r="I216" s="6">
        <f t="shared" ca="1" si="16"/>
        <v>7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6" t="s">
        <v>118</v>
      </c>
      <c r="F217" s="6" t="s">
        <v>355</v>
      </c>
      <c r="G217" s="6" t="s">
        <v>354</v>
      </c>
      <c r="H217" s="4">
        <v>28530900</v>
      </c>
      <c r="I217" s="6">
        <f t="shared" ca="1" si="16"/>
        <v>7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358</v>
      </c>
      <c r="F218" s="6" t="s">
        <v>356</v>
      </c>
      <c r="G218" s="6" t="s">
        <v>354</v>
      </c>
      <c r="H218" s="4">
        <v>26089600</v>
      </c>
      <c r="I218" s="6">
        <f t="shared" ca="1" si="16"/>
        <v>0</v>
      </c>
      <c r="J218" s="13" t="str">
        <f t="shared" ca="1" si="14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359</v>
      </c>
      <c r="F219" s="6" t="s">
        <v>357</v>
      </c>
      <c r="G219" s="6" t="s">
        <v>354</v>
      </c>
      <c r="H219" s="4">
        <v>27749100</v>
      </c>
      <c r="I219" s="6">
        <f t="shared" ca="1" si="16"/>
        <v>7</v>
      </c>
      <c r="J219" s="13" t="str">
        <f t="shared" ca="1" si="14"/>
        <v>정상</v>
      </c>
      <c r="K219" s="11"/>
      <c r="L219" s="11"/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 t="s">
        <v>385</v>
      </c>
      <c r="D220" s="10" t="str">
        <f t="shared" si="15"/>
        <v>B</v>
      </c>
      <c r="E220" s="23" t="s">
        <v>56</v>
      </c>
      <c r="F220" s="23" t="s">
        <v>360</v>
      </c>
      <c r="G220" s="6" t="s">
        <v>387</v>
      </c>
      <c r="H220" s="25">
        <v>1842500</v>
      </c>
      <c r="I220" s="6">
        <f t="shared" ca="1" si="16"/>
        <v>1</v>
      </c>
      <c r="J220" s="13" t="str">
        <f t="shared" ca="1" si="14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128</v>
      </c>
      <c r="F221" s="23" t="s">
        <v>361</v>
      </c>
      <c r="G221" s="6" t="s">
        <v>387</v>
      </c>
      <c r="H221" s="25">
        <v>6583500</v>
      </c>
      <c r="I221" s="6">
        <f t="shared" ca="1" si="16"/>
        <v>7</v>
      </c>
      <c r="J221" s="13" t="str">
        <f t="shared" ca="1" si="14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70</v>
      </c>
      <c r="F222" s="23" t="s">
        <v>362</v>
      </c>
      <c r="G222" s="6" t="s">
        <v>387</v>
      </c>
      <c r="H222" s="25">
        <v>2038700</v>
      </c>
      <c r="I222" s="6">
        <f t="shared" ca="1" si="16"/>
        <v>7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124</v>
      </c>
      <c r="F223" s="23" t="s">
        <v>363</v>
      </c>
      <c r="G223" s="6" t="s">
        <v>387</v>
      </c>
      <c r="H223" s="25">
        <v>4750000</v>
      </c>
      <c r="I223" s="6">
        <f t="shared" ca="1" si="16"/>
        <v>7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128</v>
      </c>
      <c r="F224" s="23" t="s">
        <v>364</v>
      </c>
      <c r="G224" s="6" t="s">
        <v>387</v>
      </c>
      <c r="H224" s="25">
        <v>3572000</v>
      </c>
      <c r="I224" s="6">
        <f t="shared" ca="1" si="16"/>
        <v>7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24</v>
      </c>
      <c r="F225" s="23" t="s">
        <v>365</v>
      </c>
      <c r="G225" s="6" t="s">
        <v>387</v>
      </c>
      <c r="H225" s="25">
        <v>435000</v>
      </c>
      <c r="I225" s="6">
        <f t="shared" ca="1" si="16"/>
        <v>7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382</v>
      </c>
      <c r="F226" s="23" t="s">
        <v>366</v>
      </c>
      <c r="G226" s="6" t="s">
        <v>387</v>
      </c>
      <c r="H226" s="25">
        <v>637000</v>
      </c>
      <c r="I226" s="6">
        <f t="shared" ca="1" si="16"/>
        <v>7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383</v>
      </c>
      <c r="F227" s="23" t="s">
        <v>367</v>
      </c>
      <c r="G227" s="6" t="s">
        <v>387</v>
      </c>
      <c r="H227" s="25">
        <v>34583000</v>
      </c>
      <c r="I227" s="6">
        <f t="shared" ca="1" si="16"/>
        <v>7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216</v>
      </c>
      <c r="F228" s="23" t="s">
        <v>368</v>
      </c>
      <c r="G228" s="6" t="s">
        <v>387</v>
      </c>
      <c r="H228" s="25">
        <v>6600000</v>
      </c>
      <c r="I228" s="6">
        <f t="shared" ca="1" si="16"/>
        <v>7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230</v>
      </c>
      <c r="F229" s="23" t="s">
        <v>369</v>
      </c>
      <c r="G229" s="6" t="s">
        <v>387</v>
      </c>
      <c r="H229" s="25">
        <v>15802000</v>
      </c>
      <c r="I229" s="6">
        <f t="shared" ca="1" si="16"/>
        <v>7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386</v>
      </c>
      <c r="D230" s="10" t="str">
        <f t="shared" si="15"/>
        <v>B</v>
      </c>
      <c r="E230" s="23" t="s">
        <v>227</v>
      </c>
      <c r="F230" s="23" t="s">
        <v>370</v>
      </c>
      <c r="G230" s="6" t="s">
        <v>387</v>
      </c>
      <c r="H230" s="25">
        <v>9450000</v>
      </c>
      <c r="I230" s="6">
        <f t="shared" ca="1" si="16"/>
        <v>6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128</v>
      </c>
      <c r="F231" s="23" t="s">
        <v>364</v>
      </c>
      <c r="G231" s="6" t="s">
        <v>387</v>
      </c>
      <c r="H231" s="25">
        <v>521000</v>
      </c>
      <c r="I231" s="6">
        <f t="shared" ca="1" si="16"/>
        <v>6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39</v>
      </c>
      <c r="F232" s="23" t="s">
        <v>371</v>
      </c>
      <c r="G232" s="6" t="s">
        <v>387</v>
      </c>
      <c r="H232" s="25">
        <v>333000</v>
      </c>
      <c r="I232" s="6">
        <f t="shared" ca="1" si="16"/>
        <v>6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82</v>
      </c>
      <c r="F233" s="23" t="s">
        <v>372</v>
      </c>
      <c r="G233" s="6" t="s">
        <v>387</v>
      </c>
      <c r="H233" s="25">
        <v>2835000</v>
      </c>
      <c r="I233" s="6">
        <f t="shared" ca="1" si="16"/>
        <v>6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130</v>
      </c>
      <c r="F234" s="23" t="s">
        <v>373</v>
      </c>
      <c r="G234" s="6" t="s">
        <v>387</v>
      </c>
      <c r="H234" s="25">
        <v>351900</v>
      </c>
      <c r="I234" s="6">
        <f t="shared" ca="1" si="16"/>
        <v>0</v>
      </c>
      <c r="J234" s="13" t="str">
        <f t="shared" ca="1" si="14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17</v>
      </c>
      <c r="F235" s="23" t="s">
        <v>374</v>
      </c>
      <c r="G235" s="6" t="s">
        <v>387</v>
      </c>
      <c r="H235" s="25">
        <v>839000</v>
      </c>
      <c r="I235" s="6">
        <f t="shared" ca="1" si="16"/>
        <v>6</v>
      </c>
      <c r="J235" s="13" t="str">
        <f t="shared" ca="1" si="14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384</v>
      </c>
      <c r="F236" s="23" t="s">
        <v>375</v>
      </c>
      <c r="G236" s="6" t="s">
        <v>387</v>
      </c>
      <c r="H236" s="25">
        <v>1507200</v>
      </c>
      <c r="I236" s="6">
        <f t="shared" ca="1" si="16"/>
        <v>6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228</v>
      </c>
      <c r="F237" s="23" t="s">
        <v>376</v>
      </c>
      <c r="G237" s="6" t="s">
        <v>387</v>
      </c>
      <c r="H237" s="25">
        <v>585000</v>
      </c>
      <c r="I237" s="6">
        <f t="shared" ca="1" si="16"/>
        <v>6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230</v>
      </c>
      <c r="F238" s="23" t="s">
        <v>369</v>
      </c>
      <c r="G238" s="6" t="s">
        <v>387</v>
      </c>
      <c r="H238" s="25">
        <v>615000</v>
      </c>
      <c r="I238" s="6">
        <f t="shared" ca="1" si="16"/>
        <v>6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228</v>
      </c>
      <c r="F239" s="23" t="s">
        <v>377</v>
      </c>
      <c r="G239" s="6" t="s">
        <v>387</v>
      </c>
      <c r="H239" s="25">
        <v>44793500</v>
      </c>
      <c r="I239" s="6">
        <f t="shared" ca="1" si="16"/>
        <v>6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39</v>
      </c>
      <c r="F240" s="23" t="s">
        <v>378</v>
      </c>
      <c r="G240" s="6" t="s">
        <v>387</v>
      </c>
      <c r="H240" s="25">
        <v>602300</v>
      </c>
      <c r="I240" s="6">
        <f t="shared" ca="1" si="16"/>
        <v>6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227</v>
      </c>
      <c r="F241" s="23" t="s">
        <v>379</v>
      </c>
      <c r="G241" s="6" t="s">
        <v>387</v>
      </c>
      <c r="H241" s="25">
        <v>1180000</v>
      </c>
      <c r="I241" s="6">
        <f t="shared" ca="1" si="16"/>
        <v>6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350</v>
      </c>
      <c r="F242" s="23" t="s">
        <v>380</v>
      </c>
      <c r="G242" s="6" t="s">
        <v>387</v>
      </c>
      <c r="H242" s="25">
        <v>3300000</v>
      </c>
      <c r="I242" s="6">
        <f t="shared" ca="1" si="16"/>
        <v>6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227</v>
      </c>
      <c r="F243" s="23" t="s">
        <v>381</v>
      </c>
      <c r="G243" s="6" t="s">
        <v>387</v>
      </c>
      <c r="H243" s="25">
        <v>1548500</v>
      </c>
      <c r="I243" s="6">
        <f t="shared" ca="1" si="16"/>
        <v>6</v>
      </c>
      <c r="J243" s="13" t="str">
        <f t="shared" ref="J243:J252" ca="1" si="17">IF(I243="","",
 IF(G243="선급금",
   IF(I243&lt;=20,"정상",IF(I243&lt;=90,"관리","장기미수")),
 IF(G243="자재",
   IF(I243&lt;=40,"정상",IF(I243&lt;=90,"관리","장기미수")),
   IF(I243&lt;=30,"정상",IF(I243&lt;=90,"관리","장기미수"))
  )
 )
)</f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253</v>
      </c>
      <c r="E244" s="6" t="s">
        <v>389</v>
      </c>
      <c r="F244" s="6" t="s">
        <v>388</v>
      </c>
      <c r="G244" s="6" t="s">
        <v>396</v>
      </c>
      <c r="H244" s="4">
        <v>10716800</v>
      </c>
      <c r="I244" s="6">
        <f t="shared" ca="1" si="16"/>
        <v>5</v>
      </c>
      <c r="J244" s="13" t="str">
        <f t="shared" ca="1" si="17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63">
        <v>46101</v>
      </c>
      <c r="D245" s="10" t="s">
        <v>253</v>
      </c>
      <c r="E245" s="6" t="s">
        <v>393</v>
      </c>
      <c r="F245" s="6" t="s">
        <v>390</v>
      </c>
      <c r="G245" s="6" t="s">
        <v>243</v>
      </c>
      <c r="H245" s="4">
        <v>9029600</v>
      </c>
      <c r="I245" s="6">
        <f t="shared" ca="1" si="16"/>
        <v>5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253</v>
      </c>
      <c r="E246" s="6" t="s">
        <v>394</v>
      </c>
      <c r="F246" s="6" t="s">
        <v>391</v>
      </c>
      <c r="G246" s="6" t="s">
        <v>243</v>
      </c>
      <c r="H246" s="4">
        <v>6484400</v>
      </c>
      <c r="I246" s="6">
        <f t="shared" ca="1" si="16"/>
        <v>5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253</v>
      </c>
      <c r="E247" s="6" t="s">
        <v>395</v>
      </c>
      <c r="F247" s="6" t="s">
        <v>392</v>
      </c>
      <c r="G247" s="6" t="s">
        <v>243</v>
      </c>
      <c r="H247" s="4">
        <v>52857300</v>
      </c>
      <c r="I247" s="6">
        <f t="shared" ca="1" si="16"/>
        <v>5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5" t="s">
        <v>404</v>
      </c>
      <c r="D248" s="10" t="s">
        <v>182</v>
      </c>
      <c r="E248" s="23" t="s">
        <v>402</v>
      </c>
      <c r="F248" s="23" t="s">
        <v>397</v>
      </c>
      <c r="G248" s="6" t="s">
        <v>405</v>
      </c>
      <c r="H248" s="25">
        <v>114000</v>
      </c>
      <c r="I248" s="6">
        <f t="shared" ca="1" si="16"/>
        <v>5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5" t="s">
        <v>404</v>
      </c>
      <c r="D249" s="10" t="s">
        <v>182</v>
      </c>
      <c r="E249" s="23" t="s">
        <v>24</v>
      </c>
      <c r="F249" s="23" t="s">
        <v>398</v>
      </c>
      <c r="G249" s="6" t="s">
        <v>405</v>
      </c>
      <c r="H249" s="25">
        <v>9563000</v>
      </c>
      <c r="I249" s="6">
        <f t="shared" ca="1" si="16"/>
        <v>5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5" t="s">
        <v>404</v>
      </c>
      <c r="D250" s="10" t="s">
        <v>182</v>
      </c>
      <c r="E250" s="23" t="s">
        <v>101</v>
      </c>
      <c r="F250" s="23" t="s">
        <v>399</v>
      </c>
      <c r="G250" s="6" t="s">
        <v>405</v>
      </c>
      <c r="H250" s="25">
        <v>2270000</v>
      </c>
      <c r="I250" s="6">
        <f t="shared" ca="1" si="16"/>
        <v>5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5" t="s">
        <v>404</v>
      </c>
      <c r="D251" s="10" t="s">
        <v>182</v>
      </c>
      <c r="E251" s="23" t="s">
        <v>403</v>
      </c>
      <c r="F251" s="23" t="s">
        <v>400</v>
      </c>
      <c r="G251" s="6" t="s">
        <v>405</v>
      </c>
      <c r="H251" s="25">
        <v>121500</v>
      </c>
      <c r="I251" s="6">
        <f t="shared" ca="1" si="16"/>
        <v>0</v>
      </c>
      <c r="J251" s="13" t="str">
        <f t="shared" ca="1" si="17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5" t="s">
        <v>404</v>
      </c>
      <c r="D252" s="10" t="s">
        <v>182</v>
      </c>
      <c r="E252" s="23" t="s">
        <v>124</v>
      </c>
      <c r="F252" s="23" t="s">
        <v>401</v>
      </c>
      <c r="G252" s="6" t="s">
        <v>405</v>
      </c>
      <c r="H252" s="25">
        <v>658000</v>
      </c>
      <c r="I252" s="6">
        <f t="shared" ca="1" si="16"/>
        <v>5</v>
      </c>
      <c r="J252" s="13" t="str">
        <f t="shared" ca="1" si="17"/>
        <v>정상</v>
      </c>
      <c r="K252" s="11"/>
      <c r="L252" s="11"/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8">IF(G267="","",IF(OR(G267="선급금",G267="중도금",G267="잔금"),"A",IF(G267="자재","B",IF(G267="특허료","C",""))))</f>
        <v/>
      </c>
      <c r="H267" s="4"/>
      <c r="I267" s="6" t="str">
        <f t="shared" ref="I267:I330" ca="1" si="19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8"/>
        <v/>
      </c>
      <c r="H268" s="4"/>
      <c r="I268" s="6" t="str">
        <f t="shared" ca="1" si="19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8"/>
        <v/>
      </c>
      <c r="H269" s="4"/>
      <c r="I269" s="6" t="str">
        <f t="shared" ca="1" si="19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8"/>
        <v/>
      </c>
      <c r="H270" s="4"/>
      <c r="I270" s="6" t="str">
        <f t="shared" ca="1" si="19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8"/>
        <v/>
      </c>
      <c r="H271" s="4"/>
      <c r="I271" s="6" t="str">
        <f t="shared" ca="1" si="19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8"/>
        <v/>
      </c>
      <c r="H272" s="4"/>
      <c r="I272" s="6" t="str">
        <f t="shared" ca="1" si="19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8"/>
        <v/>
      </c>
      <c r="H273" s="4"/>
      <c r="I273" s="6" t="str">
        <f t="shared" ca="1" si="19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8"/>
        <v/>
      </c>
      <c r="H274" s="4"/>
      <c r="I274" s="6" t="str">
        <f t="shared" ca="1" si="19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8"/>
        <v/>
      </c>
      <c r="H275" s="4"/>
      <c r="I275" s="6" t="str">
        <f t="shared" ca="1" si="19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8"/>
        <v/>
      </c>
      <c r="H276" s="4"/>
      <c r="I276" s="6" t="str">
        <f t="shared" ca="1" si="19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20">IF(G331="","",IF(OR(G331="선급금",G331="중도금",G331="잔금"),"A",IF(G331="자재","B",IF(G331="특허료","C",""))))</f>
        <v/>
      </c>
      <c r="H331" s="4"/>
      <c r="I331" s="6" t="str">
        <f t="shared" ref="I331:I394" ca="1" si="21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20"/>
        <v/>
      </c>
      <c r="H332" s="4"/>
      <c r="I332" s="6" t="str">
        <f t="shared" ca="1" si="21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2">IF(G395="","",IF(OR(G395="선급금",G395="중도금",G395="잔금"),"A",IF(G395="자재","B",IF(G395="특허료","C",""))))</f>
        <v/>
      </c>
      <c r="H395" s="4"/>
      <c r="I395" s="6" t="str">
        <f t="shared" ref="I395:I405" ca="1" si="23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2"/>
        <v/>
      </c>
      <c r="H396" s="4"/>
      <c r="I396" s="6" t="str">
        <f t="shared" ca="1" si="23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2"/>
        <v/>
      </c>
      <c r="I402" s="1" t="str">
        <f t="shared" ca="1" si="23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66" priority="90">
      <formula>$J3="잔금"</formula>
    </cfRule>
  </conditionalFormatting>
  <conditionalFormatting sqref="E8">
    <cfRule type="expression" dxfId="65" priority="89">
      <formula>$J8="잔금"</formula>
    </cfRule>
  </conditionalFormatting>
  <conditionalFormatting sqref="E4">
    <cfRule type="expression" dxfId="64" priority="88">
      <formula>$J4="잔금"</formula>
    </cfRule>
  </conditionalFormatting>
  <conditionalFormatting sqref="E9">
    <cfRule type="expression" dxfId="63" priority="87">
      <formula>$J9="잔금"</formula>
    </cfRule>
  </conditionalFormatting>
  <conditionalFormatting sqref="E41 E37">
    <cfRule type="expression" dxfId="62" priority="82">
      <formula>$J37="잔금"</formula>
    </cfRule>
  </conditionalFormatting>
  <conditionalFormatting sqref="E98:E99 E186:F192 H186:H192 C186:C192">
    <cfRule type="expression" dxfId="61" priority="72">
      <formula>$J98="잔금"</formula>
    </cfRule>
  </conditionalFormatting>
  <conditionalFormatting sqref="F98:F99">
    <cfRule type="expression" dxfId="60" priority="71">
      <formula>$J98="잔금"</formula>
    </cfRule>
  </conditionalFormatting>
  <conditionalFormatting sqref="F104:F105">
    <cfRule type="expression" dxfId="59" priority="69">
      <formula>$J104="잔금"</formula>
    </cfRule>
  </conditionalFormatting>
  <conditionalFormatting sqref="H104:H105">
    <cfRule type="expression" dxfId="58" priority="68">
      <formula>$J104="잔금"</formula>
    </cfRule>
  </conditionalFormatting>
  <conditionalFormatting sqref="E106:E108">
    <cfRule type="expression" dxfId="57" priority="67">
      <formula>$J106="잔금"</formula>
    </cfRule>
  </conditionalFormatting>
  <conditionalFormatting sqref="F106:F108">
    <cfRule type="expression" dxfId="56" priority="66">
      <formula>$J106="잔금"</formula>
    </cfRule>
  </conditionalFormatting>
  <conditionalFormatting sqref="H106:H108">
    <cfRule type="expression" dxfId="55" priority="65">
      <formula>$J106="잔금"</formula>
    </cfRule>
  </conditionalFormatting>
  <conditionalFormatting sqref="E110">
    <cfRule type="expression" dxfId="54" priority="64">
      <formula>$J110="잔금"</formula>
    </cfRule>
  </conditionalFormatting>
  <conditionalFormatting sqref="F110">
    <cfRule type="expression" dxfId="53" priority="63">
      <formula>$J110="잔금"</formula>
    </cfRule>
  </conditionalFormatting>
  <conditionalFormatting sqref="E111:E113">
    <cfRule type="expression" dxfId="52" priority="62">
      <formula>$J111="잔금"</formula>
    </cfRule>
  </conditionalFormatting>
  <conditionalFormatting sqref="F111 F113">
    <cfRule type="expression" dxfId="51" priority="61">
      <formula>$J111="잔금"</formula>
    </cfRule>
  </conditionalFormatting>
  <conditionalFormatting sqref="F112">
    <cfRule type="expression" dxfId="50" priority="60">
      <formula>$J112="잔금"</formula>
    </cfRule>
  </conditionalFormatting>
  <conditionalFormatting sqref="H111:H113">
    <cfRule type="expression" dxfId="49" priority="59">
      <formula>$J111="잔금"</formula>
    </cfRule>
  </conditionalFormatting>
  <conditionalFormatting sqref="C111:C113">
    <cfRule type="expression" dxfId="48" priority="58">
      <formula>$J111="잔금"</formula>
    </cfRule>
  </conditionalFormatting>
  <conditionalFormatting sqref="E117">
    <cfRule type="expression" dxfId="47" priority="57">
      <formula>$J117="잔금"</formula>
    </cfRule>
  </conditionalFormatting>
  <conditionalFormatting sqref="F117">
    <cfRule type="expression" dxfId="46" priority="56">
      <formula>$J117="잔금"</formula>
    </cfRule>
  </conditionalFormatting>
  <conditionalFormatting sqref="F142:F149">
    <cfRule type="expression" dxfId="45" priority="55">
      <formula>$J142="잔금"</formula>
    </cfRule>
  </conditionalFormatting>
  <conditionalFormatting sqref="E142:E149">
    <cfRule type="expression" dxfId="44" priority="54">
      <formula>$J142="잔금"</formula>
    </cfRule>
  </conditionalFormatting>
  <conditionalFormatting sqref="H142:H149">
    <cfRule type="expression" dxfId="43" priority="53">
      <formula>$J142="잔금"</formula>
    </cfRule>
  </conditionalFormatting>
  <conditionalFormatting sqref="E151:E157">
    <cfRule type="expression" dxfId="42" priority="51">
      <formula>$J151="잔금"</formula>
    </cfRule>
  </conditionalFormatting>
  <conditionalFormatting sqref="F151:F157">
    <cfRule type="expression" dxfId="41" priority="50">
      <formula>$J151="잔금"</formula>
    </cfRule>
  </conditionalFormatting>
  <conditionalFormatting sqref="C151:C157">
    <cfRule type="expression" dxfId="40" priority="49">
      <formula>$J151="잔금"</formula>
    </cfRule>
  </conditionalFormatting>
  <conditionalFormatting sqref="H151:H157">
    <cfRule type="expression" dxfId="39" priority="48">
      <formula>$J151="잔금"</formula>
    </cfRule>
  </conditionalFormatting>
  <conditionalFormatting sqref="C158">
    <cfRule type="expression" dxfId="38" priority="47">
      <formula>$I158="잔금"</formula>
    </cfRule>
  </conditionalFormatting>
  <conditionalFormatting sqref="F159:F162">
    <cfRule type="expression" dxfId="37" priority="46">
      <formula>$J159="잔금"</formula>
    </cfRule>
  </conditionalFormatting>
  <conditionalFormatting sqref="E159:E162">
    <cfRule type="expression" dxfId="36" priority="45">
      <formula>$J159="잔금"</formula>
    </cfRule>
  </conditionalFormatting>
  <conditionalFormatting sqref="C159:C165">
    <cfRule type="expression" dxfId="35" priority="44">
      <formula>$J159="잔금"</formula>
    </cfRule>
  </conditionalFormatting>
  <conditionalFormatting sqref="H159:H162">
    <cfRule type="expression" dxfId="34" priority="43">
      <formula>$J159="잔금"</formula>
    </cfRule>
  </conditionalFormatting>
  <conditionalFormatting sqref="F166:F178">
    <cfRule type="expression" dxfId="33" priority="42">
      <formula>$J166="잔금"</formula>
    </cfRule>
  </conditionalFormatting>
  <conditionalFormatting sqref="F179:F185">
    <cfRule type="expression" dxfId="32" priority="41">
      <formula>$J179="잔금"</formula>
    </cfRule>
  </conditionalFormatting>
  <conditionalFormatting sqref="E166:E178">
    <cfRule type="expression" dxfId="31" priority="40">
      <formula>$J166="잔금"</formula>
    </cfRule>
  </conditionalFormatting>
  <conditionalFormatting sqref="E179:E185">
    <cfRule type="expression" dxfId="30" priority="39">
      <formula>$J179="잔금"</formula>
    </cfRule>
  </conditionalFormatting>
  <conditionalFormatting sqref="C166:C178">
    <cfRule type="expression" dxfId="29" priority="38">
      <formula>$J166="잔금"</formula>
    </cfRule>
  </conditionalFormatting>
  <conditionalFormatting sqref="C179:C185">
    <cfRule type="expression" dxfId="28" priority="37">
      <formula>$J179="잔금"</formula>
    </cfRule>
  </conditionalFormatting>
  <conditionalFormatting sqref="H166:H178">
    <cfRule type="expression" dxfId="27" priority="36">
      <formula>$J166="잔금"</formula>
    </cfRule>
  </conditionalFormatting>
  <conditionalFormatting sqref="H179:H185">
    <cfRule type="expression" dxfId="26" priority="35">
      <formula>$J179="잔금"</formula>
    </cfRule>
  </conditionalFormatting>
  <conditionalFormatting sqref="F194:F200">
    <cfRule type="expression" dxfId="25" priority="30">
      <formula>$J194="잔금"</formula>
    </cfRule>
  </conditionalFormatting>
  <conditionalFormatting sqref="E194:E200">
    <cfRule type="expression" dxfId="24" priority="29">
      <formula>$J194="잔금"</formula>
    </cfRule>
  </conditionalFormatting>
  <conditionalFormatting sqref="C194:C201">
    <cfRule type="expression" dxfId="23" priority="28">
      <formula>$J194="잔금"</formula>
    </cfRule>
  </conditionalFormatting>
  <conditionalFormatting sqref="H194:H200">
    <cfRule type="expression" dxfId="22" priority="27">
      <formula>$J194="잔금"</formula>
    </cfRule>
  </conditionalFormatting>
  <conditionalFormatting sqref="C202:C215">
    <cfRule type="expression" dxfId="21" priority="26">
      <formula>$J202="잔금"</formula>
    </cfRule>
  </conditionalFormatting>
  <conditionalFormatting sqref="F202:F215">
    <cfRule type="expression" dxfId="20" priority="25">
      <formula>$J202="잔금"</formula>
    </cfRule>
  </conditionalFormatting>
  <conditionalFormatting sqref="H202:H215">
    <cfRule type="expression" dxfId="19" priority="24">
      <formula>$J202="잔금"</formula>
    </cfRule>
  </conditionalFormatting>
  <conditionalFormatting sqref="E202:E216">
    <cfRule type="expression" dxfId="18" priority="23">
      <formula>$J202="잔금"</formula>
    </cfRule>
  </conditionalFormatting>
  <conditionalFormatting sqref="C216">
    <cfRule type="expression" dxfId="17" priority="22">
      <formula>$I216="잔금"</formula>
    </cfRule>
  </conditionalFormatting>
  <conditionalFormatting sqref="H216">
    <cfRule type="expression" dxfId="16" priority="17">
      <formula>$I216="잔금"</formula>
    </cfRule>
  </conditionalFormatting>
  <conditionalFormatting sqref="C217">
    <cfRule type="expression" dxfId="15" priority="16">
      <formula>$I217="잔금"</formula>
    </cfRule>
  </conditionalFormatting>
  <conditionalFormatting sqref="C218">
    <cfRule type="expression" dxfId="14" priority="15">
      <formula>$I218="잔금"</formula>
    </cfRule>
  </conditionalFormatting>
  <conditionalFormatting sqref="C219">
    <cfRule type="expression" dxfId="13" priority="14">
      <formula>$I219="잔금"</formula>
    </cfRule>
  </conditionalFormatting>
  <conditionalFormatting sqref="F220:F229">
    <cfRule type="expression" dxfId="12" priority="13">
      <formula>$J220="잔금"</formula>
    </cfRule>
  </conditionalFormatting>
  <conditionalFormatting sqref="F230:F243">
    <cfRule type="expression" dxfId="11" priority="12">
      <formula>$J230="잔금"</formula>
    </cfRule>
  </conditionalFormatting>
  <conditionalFormatting sqref="E220:E229">
    <cfRule type="expression" dxfId="10" priority="11">
      <formula>$J220="잔금"</formula>
    </cfRule>
  </conditionalFormatting>
  <conditionalFormatting sqref="E230:E243">
    <cfRule type="expression" dxfId="9" priority="10">
      <formula>$J230="잔금"</formula>
    </cfRule>
  </conditionalFormatting>
  <conditionalFormatting sqref="H220:H229">
    <cfRule type="expression" dxfId="8" priority="9">
      <formula>$J220="잔금"</formula>
    </cfRule>
  </conditionalFormatting>
  <conditionalFormatting sqref="H230:H243">
    <cfRule type="expression" dxfId="7" priority="8">
      <formula>$J230="잔금"</formula>
    </cfRule>
  </conditionalFormatting>
  <conditionalFormatting sqref="C245">
    <cfRule type="expression" dxfId="6" priority="7">
      <formula>$I245="잔금"</formula>
    </cfRule>
  </conditionalFormatting>
  <conditionalFormatting sqref="C246">
    <cfRule type="expression" dxfId="5" priority="6">
      <formula>$I246="잔금"</formula>
    </cfRule>
  </conditionalFormatting>
  <conditionalFormatting sqref="C247">
    <cfRule type="expression" dxfId="4" priority="5">
      <formula>$I247="잔금"</formula>
    </cfRule>
  </conditionalFormatting>
  <conditionalFormatting sqref="F248:F252">
    <cfRule type="expression" dxfId="3" priority="4">
      <formula>$J248="잔금"</formula>
    </cfRule>
  </conditionalFormatting>
  <conditionalFormatting sqref="E248:E252">
    <cfRule type="expression" dxfId="2" priority="3">
      <formula>$J248="잔금"</formula>
    </cfRule>
  </conditionalFormatting>
  <conditionalFormatting sqref="C248:C252">
    <cfRule type="expression" dxfId="1" priority="2">
      <formula>$J248="잔금"</formula>
    </cfRule>
  </conditionalFormatting>
  <conditionalFormatting sqref="H248:H252">
    <cfRule type="expression" dxfId="0" priority="1">
      <formula>$J248="잔금"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52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2026-03-25T00:17:44Z</dcterms:modified>
</cp:coreProperties>
</file>