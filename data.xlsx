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data!$A$1:$S$547</definedName>
    <definedName name="_xlnm._FilterDatabase">data!$A$1:$S$402</definedName>
  </definedNames>
  <calcPr calcId="162913" iterateDelta="1E-4"/>
</workbook>
</file>

<file path=xl/calcChain.xml><?xml version="1.0" encoding="utf-8"?>
<calcChain xmlns="http://schemas.openxmlformats.org/spreadsheetml/2006/main"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H8" i="1" l="1"/>
  <c r="I471" i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<sst xmlns="http://schemas.openxmlformats.org/spreadsheetml/2006/main" count="2899" uniqueCount="765">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</sst>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2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7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L19" sqref="L1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344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174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324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226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131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126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309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169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484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904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708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548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686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685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777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419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414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404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398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394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394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393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391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370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356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335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323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293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271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342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266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244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239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196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194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183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436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301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301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252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107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79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78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114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77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77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76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76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75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74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63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61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61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57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57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55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55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55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55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55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54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51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51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50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50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50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50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50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50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49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49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49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49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48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48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48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48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48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47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47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47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47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47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43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43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43</v>
      </c>
      <c r="J206" s="13" t="str">
        <f t="shared" ca="1" si="17"/>
        <v>관리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43</v>
      </c>
      <c r="J212" s="13" t="str">
        <f t="shared" ca="1" si="17"/>
        <v>관리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43</v>
      </c>
      <c r="J213" s="13" t="str">
        <f t="shared" ca="1" si="17"/>
        <v>관리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43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42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42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42</v>
      </c>
      <c r="J229" s="13" t="str">
        <f t="shared" ca="1" si="19"/>
        <v>관리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41</v>
      </c>
      <c r="J230" s="13" t="str">
        <f t="shared" ca="1" si="19"/>
        <v>관리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41</v>
      </c>
      <c r="J233" s="13" t="str">
        <f t="shared" ca="1" si="19"/>
        <v>관리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41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41</v>
      </c>
      <c r="J238" s="13" t="str">
        <f t="shared" ca="1" si="19"/>
        <v>관리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41</v>
      </c>
      <c r="J241" s="13" t="str">
        <f t="shared" ca="1" si="19"/>
        <v>관리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41</v>
      </c>
      <c r="J243" s="13" t="str">
        <f t="shared" ca="1" si="19"/>
        <v>관리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40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40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37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37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37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37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36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36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36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36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34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35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35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35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35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34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34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34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34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34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34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34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34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34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33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33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33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33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30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26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26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26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26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26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26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26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26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26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26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26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26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26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26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26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26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26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23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23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23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23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23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23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23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23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23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23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23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23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23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23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23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23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23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26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26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27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23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22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21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21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21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21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21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21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21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21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21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20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20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20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20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20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20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19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19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19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19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15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15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16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16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16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16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16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16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16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16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16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16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16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16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16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16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ht="16.5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15</v>
      </c>
      <c r="J423" s="13" t="str">
        <f t="shared" ca="1" si="29"/>
        <v>정상</v>
      </c>
      <c r="N423" s="10" t="s">
        <v>33</v>
      </c>
    </row>
    <row r="424" spans="2:18" ht="16.5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15</v>
      </c>
      <c r="J424" s="13" t="str">
        <f t="shared" ca="1" si="29"/>
        <v>정상</v>
      </c>
      <c r="N424" s="10" t="s">
        <v>33</v>
      </c>
    </row>
    <row r="425" spans="2:18" ht="16.5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15</v>
      </c>
      <c r="J427" s="13" t="str">
        <f t="shared" ca="1" si="29"/>
        <v>정상</v>
      </c>
      <c r="N427" s="10" t="s">
        <v>33</v>
      </c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15</v>
      </c>
      <c r="J429" s="13" t="str">
        <f t="shared" ca="1" si="29"/>
        <v>정상</v>
      </c>
      <c r="K429" s="44"/>
      <c r="L429" s="44"/>
      <c r="M429" s="42"/>
      <c r="N429" s="10" t="s">
        <v>33</v>
      </c>
      <c r="Q429" s="46"/>
      <c r="R429" s="46"/>
    </row>
    <row r="430" spans="2:18" s="18" customFormat="1" ht="16.5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15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15</v>
      </c>
      <c r="J431" s="13" t="str">
        <f t="shared" ca="1" si="29"/>
        <v>정상</v>
      </c>
      <c r="K431" s="44"/>
      <c r="L431" s="44"/>
      <c r="M431" s="42"/>
      <c r="N431" s="10" t="s">
        <v>33</v>
      </c>
      <c r="Q431" s="46"/>
      <c r="R431" s="46"/>
    </row>
    <row r="432" spans="2:18" s="18" customFormat="1" ht="16.5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15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customHeight="1">
      <c r="B433" s="10">
        <f>IF(C433="","",COUNTA($C$2:C433))</f>
        <v>432</v>
      </c>
      <c r="C433" s="44" t="s">
        <v>586</v>
      </c>
      <c r="D433" s="42" t="s">
        <v>243</v>
      </c>
      <c r="E433" s="18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15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14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14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14</v>
      </c>
      <c r="J436" s="13" t="str">
        <f t="shared" ca="1" si="29"/>
        <v>정상</v>
      </c>
      <c r="N436" s="10" t="s">
        <v>33</v>
      </c>
    </row>
    <row r="437" spans="2:18" ht="16.5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14</v>
      </c>
      <c r="J437" s="13" t="str">
        <f t="shared" ca="1" si="29"/>
        <v>정상</v>
      </c>
      <c r="N437" s="10" t="s">
        <v>33</v>
      </c>
    </row>
    <row r="438" spans="2:18" ht="16.5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14</v>
      </c>
      <c r="J438" s="13" t="str">
        <f t="shared" ca="1" si="29"/>
        <v>정상</v>
      </c>
      <c r="N438" s="10" t="s">
        <v>33</v>
      </c>
    </row>
    <row r="439" spans="2:18" ht="16.5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14</v>
      </c>
      <c r="J439" s="13" t="str">
        <f t="shared" ca="1" si="29"/>
        <v>정상</v>
      </c>
      <c r="N439" s="10" t="s">
        <v>33</v>
      </c>
    </row>
    <row r="440" spans="2:18" ht="16.5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14</v>
      </c>
      <c r="J440" s="13" t="str">
        <f t="shared" ca="1" si="29"/>
        <v>정상</v>
      </c>
      <c r="N440" s="10" t="s">
        <v>33</v>
      </c>
    </row>
    <row r="441" spans="2:18" ht="16.5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14</v>
      </c>
      <c r="J441" s="13" t="str">
        <f t="shared" ca="1" si="29"/>
        <v>정상</v>
      </c>
      <c r="N441" s="10" t="s">
        <v>33</v>
      </c>
    </row>
    <row r="442" spans="2:18" ht="16.5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13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13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13</v>
      </c>
      <c r="J445" s="13" t="str">
        <f t="shared" ca="1" si="29"/>
        <v>정상</v>
      </c>
      <c r="N445" s="10" t="s">
        <v>33</v>
      </c>
    </row>
    <row r="446" spans="2:18" s="18" customFormat="1" ht="16.5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12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12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12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9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9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9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9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9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9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9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9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9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8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8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8</v>
      </c>
      <c r="J465" s="13" t="str">
        <f t="shared" ca="1" si="29"/>
        <v>정상</v>
      </c>
      <c r="K465" s="44"/>
      <c r="L465" s="44"/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8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8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8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12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9</v>
      </c>
      <c r="J472" s="13" t="str">
        <f t="shared" ca="1" si="31"/>
        <v>정상</v>
      </c>
      <c r="N472" s="10" t="s">
        <v>33</v>
      </c>
    </row>
    <row r="473" spans="2:18" ht="16.5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8</v>
      </c>
      <c r="J474" s="13" t="str">
        <f t="shared" ca="1" si="31"/>
        <v>정상</v>
      </c>
      <c r="N474" s="10" t="s">
        <v>33</v>
      </c>
    </row>
    <row r="475" spans="2:18" ht="16.5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8</v>
      </c>
      <c r="J475" s="13" t="str">
        <f t="shared" ca="1" si="31"/>
        <v>정상</v>
      </c>
      <c r="N475" s="10" t="s">
        <v>33</v>
      </c>
    </row>
    <row r="476" spans="2:18" ht="16.5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8</v>
      </c>
      <c r="J476" s="13" t="str">
        <f t="shared" ca="1" si="31"/>
        <v>정상</v>
      </c>
      <c r="N476" s="10" t="s">
        <v>33</v>
      </c>
    </row>
    <row r="477" spans="2:18" ht="16.5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8</v>
      </c>
      <c r="J477" s="13" t="str">
        <f t="shared" ca="1" si="31"/>
        <v>정상</v>
      </c>
      <c r="N477" s="10" t="s">
        <v>33</v>
      </c>
    </row>
    <row r="478" spans="2:18" ht="16.5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8</v>
      </c>
      <c r="J478" s="13" t="str">
        <f t="shared" ca="1" si="31"/>
        <v>정상</v>
      </c>
      <c r="N478" s="10" t="s">
        <v>33</v>
      </c>
    </row>
    <row r="479" spans="2:18" ht="16.5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8</v>
      </c>
      <c r="J479" s="13" t="str">
        <f t="shared" ca="1" si="31"/>
        <v>정상</v>
      </c>
      <c r="N479" s="10" t="s">
        <v>33</v>
      </c>
    </row>
    <row r="480" spans="2:18" ht="16.5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7</v>
      </c>
      <c r="J480" s="13" t="str">
        <f t="shared" ca="1" si="31"/>
        <v>정상</v>
      </c>
      <c r="N480" s="10" t="s">
        <v>33</v>
      </c>
    </row>
    <row r="481" spans="2:14" ht="16.5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7</v>
      </c>
      <c r="J481" s="13" t="str">
        <f t="shared" ca="1" si="31"/>
        <v>정상</v>
      </c>
      <c r="N481" s="10" t="s">
        <v>33</v>
      </c>
    </row>
    <row r="482" spans="2:14" ht="16.5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7</v>
      </c>
      <c r="J482" s="13" t="str">
        <f t="shared" ca="1" si="31"/>
        <v>정상</v>
      </c>
      <c r="N482" s="10" t="s">
        <v>33</v>
      </c>
    </row>
    <row r="483" spans="2:14" ht="16.5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7</v>
      </c>
      <c r="J483" s="13" t="str">
        <f t="shared" ca="1" si="31"/>
        <v>정상</v>
      </c>
      <c r="N483" s="10" t="s">
        <v>33</v>
      </c>
    </row>
    <row r="484" spans="2:14" ht="16.5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7</v>
      </c>
      <c r="J484" s="13" t="str">
        <f t="shared" ca="1" si="31"/>
        <v>정상</v>
      </c>
      <c r="N484" s="10" t="s">
        <v>33</v>
      </c>
    </row>
    <row r="485" spans="2:14" ht="16.5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7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7</v>
      </c>
      <c r="J486" s="13" t="str">
        <f t="shared" ca="1" si="31"/>
        <v>정상</v>
      </c>
      <c r="N486" s="10" t="s">
        <v>33</v>
      </c>
    </row>
    <row r="487" spans="2:14" ht="16.5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7</v>
      </c>
      <c r="J487" s="13" t="str">
        <f t="shared" ca="1" si="31"/>
        <v>정상</v>
      </c>
      <c r="N487" s="10" t="s">
        <v>33</v>
      </c>
    </row>
    <row r="488" spans="2:14" ht="16.5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7</v>
      </c>
      <c r="J488" s="13" t="str">
        <f t="shared" ca="1" si="31"/>
        <v>정상</v>
      </c>
      <c r="N488" s="10" t="s">
        <v>33</v>
      </c>
    </row>
    <row r="489" spans="2:14" ht="16.5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7</v>
      </c>
      <c r="J489" s="13" t="str">
        <f t="shared" ca="1" si="31"/>
        <v>정상</v>
      </c>
      <c r="N489" s="10" t="s">
        <v>33</v>
      </c>
    </row>
    <row r="490" spans="2:14" ht="16.5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7</v>
      </c>
      <c r="J490" s="13" t="str">
        <f t="shared" ca="1" si="31"/>
        <v>정상</v>
      </c>
      <c r="N490" s="10" t="s">
        <v>33</v>
      </c>
    </row>
    <row r="491" spans="2:14" ht="16.5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7</v>
      </c>
      <c r="J491" s="13" t="str">
        <f t="shared" ca="1" si="31"/>
        <v>정상</v>
      </c>
      <c r="N491" s="10" t="s">
        <v>33</v>
      </c>
    </row>
    <row r="492" spans="2:14" ht="16.5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7</v>
      </c>
      <c r="J492" s="13" t="str">
        <f t="shared" ca="1" si="31"/>
        <v>정상</v>
      </c>
      <c r="N492" s="10" t="s">
        <v>33</v>
      </c>
    </row>
    <row r="493" spans="2:14" ht="16.5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6</v>
      </c>
      <c r="J493" s="13" t="str">
        <f t="shared" ca="1" si="31"/>
        <v>정상</v>
      </c>
      <c r="N493" s="10" t="s">
        <v>33</v>
      </c>
    </row>
    <row r="494" spans="2:14" ht="16.5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6</v>
      </c>
      <c r="J494" s="13" t="str">
        <f t="shared" ca="1" si="31"/>
        <v>정상</v>
      </c>
      <c r="N494" s="10" t="s">
        <v>33</v>
      </c>
    </row>
    <row r="495" spans="2:14" ht="16.5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6</v>
      </c>
      <c r="J496" s="13" t="str">
        <f t="shared" ca="1" si="31"/>
        <v>정상</v>
      </c>
      <c r="N496" s="10" t="s">
        <v>33</v>
      </c>
    </row>
    <row r="497" spans="2:14" ht="16.5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6</v>
      </c>
      <c r="J497" s="13" t="str">
        <f t="shared" ca="1" si="31"/>
        <v>정상</v>
      </c>
      <c r="N497" s="10" t="s">
        <v>33</v>
      </c>
    </row>
    <row r="498" spans="2:14" ht="16.5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N498" s="10" t="s">
        <v>33</v>
      </c>
    </row>
    <row r="499" spans="2:14" ht="16.5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6</v>
      </c>
      <c r="J499" s="13" t="str">
        <f t="shared" ca="1" si="31"/>
        <v>정상</v>
      </c>
      <c r="N499" s="10" t="s">
        <v>33</v>
      </c>
    </row>
    <row r="500" spans="2:14" ht="16.5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46" ca="1" si="32">IF(C500="","",IF(L500="",TODAY()-C500,L500-C500))</f>
        <v>6</v>
      </c>
      <c r="J500" s="13" t="str">
        <f t="shared" ca="1" si="31"/>
        <v>정상</v>
      </c>
      <c r="N500" s="10" t="s">
        <v>33</v>
      </c>
    </row>
    <row r="501" spans="2:14" ht="16.5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6</v>
      </c>
      <c r="J501" s="13" t="str">
        <f t="shared" ca="1" si="31"/>
        <v>정상</v>
      </c>
      <c r="N501" s="10" t="s">
        <v>33</v>
      </c>
    </row>
    <row r="502" spans="2:14" ht="16.5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6</v>
      </c>
      <c r="J502" s="13" t="str">
        <f t="shared" ca="1" si="31"/>
        <v>정상</v>
      </c>
      <c r="N502" s="10" t="s">
        <v>33</v>
      </c>
    </row>
    <row r="503" spans="2:14" ht="16.5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6</v>
      </c>
      <c r="J503" s="13" t="str">
        <f t="shared" ca="1" si="31"/>
        <v>정상</v>
      </c>
      <c r="N503" s="10" t="s">
        <v>33</v>
      </c>
    </row>
    <row r="504" spans="2:14" ht="16.5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6</v>
      </c>
      <c r="J505" s="13" t="str">
        <f t="shared" ca="1" si="31"/>
        <v>정상</v>
      </c>
      <c r="N505" s="10" t="s">
        <v>33</v>
      </c>
    </row>
    <row r="506" spans="2:14" ht="16.5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6</v>
      </c>
      <c r="J506" s="13" t="str">
        <f t="shared" ca="1" si="31"/>
        <v>정상</v>
      </c>
      <c r="N506" s="10" t="s">
        <v>33</v>
      </c>
    </row>
    <row r="507" spans="2:14" ht="16.5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6</v>
      </c>
      <c r="J507" s="13" t="str">
        <f t="shared" ca="1" si="31"/>
        <v>정상</v>
      </c>
      <c r="N507" s="10" t="s">
        <v>33</v>
      </c>
    </row>
    <row r="508" spans="2:14" ht="16.5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6</v>
      </c>
      <c r="J508" s="13" t="str">
        <f t="shared" ca="1" si="31"/>
        <v>정상</v>
      </c>
      <c r="N508" s="10" t="s">
        <v>33</v>
      </c>
    </row>
    <row r="509" spans="2:14" ht="16.5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6</v>
      </c>
      <c r="J509" s="13" t="str">
        <f t="shared" ca="1" si="31"/>
        <v>정상</v>
      </c>
      <c r="N509" s="10" t="s">
        <v>33</v>
      </c>
    </row>
    <row r="510" spans="2:14" ht="16.5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6</v>
      </c>
      <c r="J510" s="13" t="str">
        <f t="shared" ca="1" si="31"/>
        <v>정상</v>
      </c>
      <c r="N510" s="10" t="s">
        <v>33</v>
      </c>
    </row>
    <row r="511" spans="2:14" ht="16.5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6</v>
      </c>
      <c r="J511" s="13" t="str">
        <f t="shared" ca="1" si="31"/>
        <v>정상</v>
      </c>
      <c r="N511" s="10" t="s">
        <v>33</v>
      </c>
    </row>
    <row r="512" spans="2:14" ht="16.5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7</v>
      </c>
      <c r="J512" s="13" t="str">
        <f t="shared" ca="1" si="31"/>
        <v>정상</v>
      </c>
      <c r="N512" s="10" t="s">
        <v>33</v>
      </c>
    </row>
    <row r="513" spans="2:14" ht="16.5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7</v>
      </c>
      <c r="J513" s="13" t="str">
        <f t="shared" ca="1" si="31"/>
        <v>정상</v>
      </c>
      <c r="N513" s="10" t="s">
        <v>33</v>
      </c>
    </row>
    <row r="514" spans="2:14" ht="16.5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7</v>
      </c>
      <c r="J514" s="13" t="str">
        <f t="shared" ca="1" si="31"/>
        <v>정상</v>
      </c>
      <c r="N514" s="10" t="s">
        <v>33</v>
      </c>
    </row>
    <row r="515" spans="2:14" ht="16.5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5</v>
      </c>
      <c r="J515" s="13" t="str">
        <f t="shared" ca="1" si="31"/>
        <v>정상</v>
      </c>
      <c r="N515" s="10" t="s">
        <v>33</v>
      </c>
    </row>
    <row r="516" spans="2:14" ht="16.5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5</v>
      </c>
      <c r="J516" s="13" t="str">
        <f t="shared" ca="1" si="31"/>
        <v>정상</v>
      </c>
      <c r="N516" s="10" t="s">
        <v>33</v>
      </c>
    </row>
    <row r="517" spans="2:14" ht="16.5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5</v>
      </c>
      <c r="J519" s="13" t="str">
        <f t="shared" ca="1" si="31"/>
        <v>정상</v>
      </c>
      <c r="N519" s="10" t="s">
        <v>33</v>
      </c>
    </row>
    <row r="520" spans="2:14" ht="16.5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5</v>
      </c>
      <c r="J520" s="13" t="str">
        <f t="shared" ca="1" si="31"/>
        <v>정상</v>
      </c>
      <c r="N520" s="10" t="s">
        <v>33</v>
      </c>
    </row>
    <row r="521" spans="2:14" ht="16.5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5</v>
      </c>
      <c r="J522" s="13" t="str">
        <f t="shared" ca="1" si="31"/>
        <v>정상</v>
      </c>
      <c r="N522" s="10" t="s">
        <v>33</v>
      </c>
    </row>
    <row r="523" spans="2:14" ht="16.5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5</v>
      </c>
      <c r="J523" s="13" t="str">
        <f t="shared" ca="1" si="31"/>
        <v>정상</v>
      </c>
      <c r="N523" s="10" t="s">
        <v>33</v>
      </c>
    </row>
    <row r="524" spans="2:14" ht="16.5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5</v>
      </c>
      <c r="J524" s="13" t="str">
        <f t="shared" ca="1" si="31"/>
        <v>정상</v>
      </c>
      <c r="N524" s="10" t="s">
        <v>33</v>
      </c>
    </row>
    <row r="525" spans="2:14" ht="16.5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2</v>
      </c>
      <c r="J525" s="13" t="str">
        <f t="shared" ca="1" si="31"/>
        <v>정상</v>
      </c>
      <c r="N525" s="10" t="s">
        <v>33</v>
      </c>
    </row>
    <row r="526" spans="2:14" ht="16.5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2</v>
      </c>
      <c r="J526" s="13" t="str">
        <f t="shared" ca="1" si="31"/>
        <v>정상</v>
      </c>
      <c r="N526" s="10" t="s">
        <v>33</v>
      </c>
    </row>
    <row r="527" spans="2:14" ht="16.5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2</v>
      </c>
      <c r="J527" s="13" t="str">
        <f t="shared" ca="1" si="31"/>
        <v>정상</v>
      </c>
      <c r="N527" s="10" t="s">
        <v>33</v>
      </c>
    </row>
    <row r="528" spans="2:14" ht="16.5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2</v>
      </c>
      <c r="J528" s="13" t="str">
        <f t="shared" ca="1" si="31"/>
        <v>정상</v>
      </c>
      <c r="N528" s="10" t="s">
        <v>33</v>
      </c>
    </row>
    <row r="529" spans="2:14" ht="16.5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N529" s="10" t="s">
        <v>33</v>
      </c>
    </row>
    <row r="530" spans="2:14" ht="16.5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1</v>
      </c>
      <c r="J531" s="13" t="str">
        <f t="shared" ca="1" si="31"/>
        <v>정상</v>
      </c>
      <c r="N531" s="10" t="s">
        <v>33</v>
      </c>
    </row>
    <row r="532" spans="2:14" ht="16.5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1</v>
      </c>
      <c r="J532" s="13" t="str">
        <f t="shared" ref="J532:J546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1</v>
      </c>
      <c r="J533" s="13" t="str">
        <f t="shared" ca="1" si="33"/>
        <v>정상</v>
      </c>
      <c r="N533" s="10" t="s">
        <v>33</v>
      </c>
    </row>
    <row r="534" spans="2:14" ht="16.5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1</v>
      </c>
      <c r="J534" s="13" t="str">
        <f t="shared" ca="1" si="33"/>
        <v>정상</v>
      </c>
      <c r="N534" s="10" t="s">
        <v>33</v>
      </c>
    </row>
    <row r="535" spans="2:14" ht="16.5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2</v>
      </c>
      <c r="J535" s="13" t="str">
        <f t="shared" ca="1" si="33"/>
        <v>정상</v>
      </c>
      <c r="N535" s="10" t="s">
        <v>33</v>
      </c>
    </row>
    <row r="536" spans="2:14" ht="16.5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2</v>
      </c>
      <c r="J536" s="13" t="str">
        <f t="shared" ca="1" si="33"/>
        <v>정상</v>
      </c>
      <c r="N536" s="10" t="s">
        <v>33</v>
      </c>
    </row>
    <row r="537" spans="2:14" ht="16.5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2</v>
      </c>
      <c r="J537" s="13" t="str">
        <f t="shared" ca="1" si="33"/>
        <v>정상</v>
      </c>
      <c r="N537" s="10" t="s">
        <v>33</v>
      </c>
    </row>
    <row r="538" spans="2:14" ht="16.5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2</v>
      </c>
      <c r="J538" s="13" t="str">
        <f t="shared" ca="1" si="33"/>
        <v>정상</v>
      </c>
      <c r="N538" s="10" t="s">
        <v>33</v>
      </c>
    </row>
    <row r="539" spans="2:14" ht="16.5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2</v>
      </c>
      <c r="J539" s="13" t="str">
        <f t="shared" ca="1" si="33"/>
        <v>정상</v>
      </c>
      <c r="N539" s="10" t="s">
        <v>33</v>
      </c>
    </row>
    <row r="540" spans="2:14" ht="16.5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2</v>
      </c>
      <c r="J541" s="13" t="str">
        <f t="shared" ca="1" si="33"/>
        <v>정상</v>
      </c>
      <c r="N541" s="10" t="s">
        <v>33</v>
      </c>
    </row>
    <row r="542" spans="2:14" ht="16.5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2</v>
      </c>
      <c r="J542" s="13" t="str">
        <f t="shared" ca="1" si="33"/>
        <v>정상</v>
      </c>
      <c r="N542" s="10" t="s">
        <v>33</v>
      </c>
    </row>
    <row r="543" spans="2:14" ht="16.5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2</v>
      </c>
      <c r="J543" s="13" t="str">
        <f t="shared" ca="1" si="33"/>
        <v>정상</v>
      </c>
      <c r="N543" s="10" t="s">
        <v>33</v>
      </c>
    </row>
    <row r="544" spans="2:14" ht="16.5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2</v>
      </c>
      <c r="J544" s="13" t="str">
        <f t="shared" ca="1" si="33"/>
        <v>정상</v>
      </c>
      <c r="N544" s="10" t="s">
        <v>33</v>
      </c>
    </row>
    <row r="545" spans="2:14" ht="16.5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2</v>
      </c>
      <c r="J545" s="13" t="str">
        <f t="shared" ca="1" si="33"/>
        <v>정상</v>
      </c>
      <c r="N545" s="10" t="s">
        <v>33</v>
      </c>
    </row>
    <row r="546" spans="2:14" ht="16.5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2</v>
      </c>
      <c r="J546" s="13" t="str">
        <f t="shared" ca="1" si="33"/>
        <v>정상</v>
      </c>
      <c r="N546" s="10" t="s">
        <v>33</v>
      </c>
    </row>
    <row r="547" spans="2:14" ht="16.5" customHeight="1">
      <c r="B547" s="10" t="str">
        <f>IF(C547="","",COUNTA($C$2:C547))</f>
        <v/>
      </c>
    </row>
  </sheetData>
  <autoFilter ref="A1:S547"/>
  <phoneticPr fontId="5" type="noConversion"/>
  <conditionalFormatting sqref="E3 F57:F60 E37">
    <cfRule type="expression" dxfId="123" priority="157">
      <formula>$J3="잔금"</formula>
    </cfRule>
  </conditionalFormatting>
  <conditionalFormatting sqref="E8">
    <cfRule type="expression" dxfId="122" priority="156">
      <formula>$J8="잔금"</formula>
    </cfRule>
  </conditionalFormatting>
  <conditionalFormatting sqref="E4">
    <cfRule type="expression" dxfId="121" priority="155">
      <formula>$J4="잔금"</formula>
    </cfRule>
  </conditionalFormatting>
  <conditionalFormatting sqref="E9">
    <cfRule type="expression" dxfId="120" priority="154">
      <formula>$J9="잔금"</formula>
    </cfRule>
  </conditionalFormatting>
  <conditionalFormatting sqref="E41">
    <cfRule type="expression" dxfId="119" priority="149">
      <formula>$J41="잔금"</formula>
    </cfRule>
  </conditionalFormatting>
  <conditionalFormatting sqref="E98:E99 E186:F192 H186:H192 F113 C186:C192 C402:C418">
    <cfRule type="expression" dxfId="118" priority="139">
      <formula>$J98="잔금"</formula>
    </cfRule>
  </conditionalFormatting>
  <conditionalFormatting sqref="F98:F99">
    <cfRule type="expression" dxfId="117" priority="138">
      <formula>$J98="잔금"</formula>
    </cfRule>
  </conditionalFormatting>
  <conditionalFormatting sqref="F104:F105">
    <cfRule type="expression" dxfId="116" priority="136">
      <formula>$J104="잔금"</formula>
    </cfRule>
  </conditionalFormatting>
  <conditionalFormatting sqref="H104:H105">
    <cfRule type="expression" dxfId="115" priority="135">
      <formula>$J104="잔금"</formula>
    </cfRule>
  </conditionalFormatting>
  <conditionalFormatting sqref="E106:E108">
    <cfRule type="expression" dxfId="114" priority="134">
      <formula>$J106="잔금"</formula>
    </cfRule>
  </conditionalFormatting>
  <conditionalFormatting sqref="F106:F108">
    <cfRule type="expression" dxfId="113" priority="133">
      <formula>$J106="잔금"</formula>
    </cfRule>
  </conditionalFormatting>
  <conditionalFormatting sqref="H106:H108">
    <cfRule type="expression" dxfId="112" priority="132">
      <formula>$J106="잔금"</formula>
    </cfRule>
  </conditionalFormatting>
  <conditionalFormatting sqref="E110">
    <cfRule type="expression" dxfId="111" priority="131">
      <formula>$J110="잔금"</formula>
    </cfRule>
  </conditionalFormatting>
  <conditionalFormatting sqref="F110">
    <cfRule type="expression" dxfId="110" priority="130">
      <formula>$J110="잔금"</formula>
    </cfRule>
  </conditionalFormatting>
  <conditionalFormatting sqref="E111:E113">
    <cfRule type="expression" dxfId="109" priority="129">
      <formula>$J111="잔금"</formula>
    </cfRule>
  </conditionalFormatting>
  <conditionalFormatting sqref="F111">
    <cfRule type="expression" dxfId="108" priority="128">
      <formula>$J111="잔금"</formula>
    </cfRule>
  </conditionalFormatting>
  <conditionalFormatting sqref="F112">
    <cfRule type="expression" dxfId="107" priority="127">
      <formula>$J112="잔금"</formula>
    </cfRule>
  </conditionalFormatting>
  <conditionalFormatting sqref="H111:H113">
    <cfRule type="expression" dxfId="106" priority="126">
      <formula>$J111="잔금"</formula>
    </cfRule>
  </conditionalFormatting>
  <conditionalFormatting sqref="C111:C113">
    <cfRule type="expression" dxfId="105" priority="125">
      <formula>$J111="잔금"</formula>
    </cfRule>
  </conditionalFormatting>
  <conditionalFormatting sqref="E117">
    <cfRule type="expression" dxfId="104" priority="124">
      <formula>$J117="잔금"</formula>
    </cfRule>
  </conditionalFormatting>
  <conditionalFormatting sqref="F117">
    <cfRule type="expression" dxfId="103" priority="123">
      <formula>$J117="잔금"</formula>
    </cfRule>
  </conditionalFormatting>
  <conditionalFormatting sqref="F142:F149">
    <cfRule type="expression" dxfId="102" priority="122">
      <formula>$J142="잔금"</formula>
    </cfRule>
  </conditionalFormatting>
  <conditionalFormatting sqref="E142:E149">
    <cfRule type="expression" dxfId="101" priority="121">
      <formula>$J142="잔금"</formula>
    </cfRule>
  </conditionalFormatting>
  <conditionalFormatting sqref="H142:H149">
    <cfRule type="expression" dxfId="100" priority="120">
      <formula>$J142="잔금"</formula>
    </cfRule>
  </conditionalFormatting>
  <conditionalFormatting sqref="E151:E157">
    <cfRule type="expression" dxfId="99" priority="118">
      <formula>$J151="잔금"</formula>
    </cfRule>
  </conditionalFormatting>
  <conditionalFormatting sqref="F151:F157">
    <cfRule type="expression" dxfId="98" priority="117">
      <formula>$J151="잔금"</formula>
    </cfRule>
  </conditionalFormatting>
  <conditionalFormatting sqref="C151:C157">
    <cfRule type="expression" dxfId="97" priority="116">
      <formula>$J151="잔금"</formula>
    </cfRule>
  </conditionalFormatting>
  <conditionalFormatting sqref="H151:H157">
    <cfRule type="expression" dxfId="96" priority="115">
      <formula>$J151="잔금"</formula>
    </cfRule>
  </conditionalFormatting>
  <conditionalFormatting sqref="C158">
    <cfRule type="expression" dxfId="95" priority="114">
      <formula>$I158="잔금"</formula>
    </cfRule>
  </conditionalFormatting>
  <conditionalFormatting sqref="F159:F162">
    <cfRule type="expression" dxfId="94" priority="113">
      <formula>$J159="잔금"</formula>
    </cfRule>
  </conditionalFormatting>
  <conditionalFormatting sqref="E159:E162">
    <cfRule type="expression" dxfId="93" priority="112">
      <formula>$J159="잔금"</formula>
    </cfRule>
  </conditionalFormatting>
  <conditionalFormatting sqref="C159:C165">
    <cfRule type="expression" dxfId="92" priority="111">
      <formula>$J159="잔금"</formula>
    </cfRule>
  </conditionalFormatting>
  <conditionalFormatting sqref="H159:H162">
    <cfRule type="expression" dxfId="91" priority="110">
      <formula>$J159="잔금"</formula>
    </cfRule>
  </conditionalFormatting>
  <conditionalFormatting sqref="F166:F178">
    <cfRule type="expression" dxfId="90" priority="109">
      <formula>$J166="잔금"</formula>
    </cfRule>
  </conditionalFormatting>
  <conditionalFormatting sqref="F179:F185">
    <cfRule type="expression" dxfId="89" priority="108">
      <formula>$J179="잔금"</formula>
    </cfRule>
  </conditionalFormatting>
  <conditionalFormatting sqref="E166:E178">
    <cfRule type="expression" dxfId="88" priority="107">
      <formula>$J166="잔금"</formula>
    </cfRule>
  </conditionalFormatting>
  <conditionalFormatting sqref="E179:E185">
    <cfRule type="expression" dxfId="87" priority="106">
      <formula>$J179="잔금"</formula>
    </cfRule>
  </conditionalFormatting>
  <conditionalFormatting sqref="C179:C185">
    <cfRule type="expression" dxfId="86" priority="104">
      <formula>$J179="잔금"</formula>
    </cfRule>
  </conditionalFormatting>
  <conditionalFormatting sqref="H166:H178">
    <cfRule type="expression" dxfId="85" priority="103">
      <formula>$J166="잔금"</formula>
    </cfRule>
  </conditionalFormatting>
  <conditionalFormatting sqref="H179:H185">
    <cfRule type="expression" dxfId="84" priority="102">
      <formula>$J179="잔금"</formula>
    </cfRule>
  </conditionalFormatting>
  <conditionalFormatting sqref="F194:F200">
    <cfRule type="expression" dxfId="83" priority="97">
      <formula>$J194="잔금"</formula>
    </cfRule>
  </conditionalFormatting>
  <conditionalFormatting sqref="E194:E200">
    <cfRule type="expression" dxfId="82" priority="96">
      <formula>$J194="잔금"</formula>
    </cfRule>
  </conditionalFormatting>
  <conditionalFormatting sqref="C194:C201">
    <cfRule type="expression" dxfId="81" priority="95">
      <formula>$J194="잔금"</formula>
    </cfRule>
  </conditionalFormatting>
  <conditionalFormatting sqref="H194:H200">
    <cfRule type="expression" dxfId="80" priority="94">
      <formula>$J194="잔금"</formula>
    </cfRule>
  </conditionalFormatting>
  <conditionalFormatting sqref="C202:C215">
    <cfRule type="expression" dxfId="79" priority="93">
      <formula>$J202="잔금"</formula>
    </cfRule>
  </conditionalFormatting>
  <conditionalFormatting sqref="F202:F215">
    <cfRule type="expression" dxfId="78" priority="92">
      <formula>$J202="잔금"</formula>
    </cfRule>
  </conditionalFormatting>
  <conditionalFormatting sqref="H202:H215">
    <cfRule type="expression" dxfId="77" priority="91">
      <formula>$J202="잔금"</formula>
    </cfRule>
  </conditionalFormatting>
  <conditionalFormatting sqref="E202:E216">
    <cfRule type="expression" dxfId="76" priority="90">
      <formula>$J202="잔금"</formula>
    </cfRule>
  </conditionalFormatting>
  <conditionalFormatting sqref="C216">
    <cfRule type="expression" dxfId="75" priority="89">
      <formula>$I216="잔금"</formula>
    </cfRule>
  </conditionalFormatting>
  <conditionalFormatting sqref="H216">
    <cfRule type="expression" dxfId="74" priority="84">
      <formula>$I216="잔금"</formula>
    </cfRule>
  </conditionalFormatting>
  <conditionalFormatting sqref="C217">
    <cfRule type="expression" dxfId="73" priority="83">
      <formula>$I217="잔금"</formula>
    </cfRule>
  </conditionalFormatting>
  <conditionalFormatting sqref="C218">
    <cfRule type="expression" dxfId="72" priority="82">
      <formula>$I218="잔금"</formula>
    </cfRule>
  </conditionalFormatting>
  <conditionalFormatting sqref="C219">
    <cfRule type="expression" dxfId="71" priority="81">
      <formula>$I219="잔금"</formula>
    </cfRule>
  </conditionalFormatting>
  <conditionalFormatting sqref="F220:F229">
    <cfRule type="expression" dxfId="70" priority="80">
      <formula>$J220="잔금"</formula>
    </cfRule>
  </conditionalFormatting>
  <conditionalFormatting sqref="F230:F243">
    <cfRule type="expression" dxfId="69" priority="79">
      <formula>$J230="잔금"</formula>
    </cfRule>
  </conditionalFormatting>
  <conditionalFormatting sqref="E220:E229">
    <cfRule type="expression" dxfId="68" priority="78">
      <formula>$J220="잔금"</formula>
    </cfRule>
  </conditionalFormatting>
  <conditionalFormatting sqref="E230:E243">
    <cfRule type="expression" dxfId="67" priority="77">
      <formula>$J230="잔금"</formula>
    </cfRule>
  </conditionalFormatting>
  <conditionalFormatting sqref="H220:H229">
    <cfRule type="expression" dxfId="66" priority="76">
      <formula>$J220="잔금"</formula>
    </cfRule>
  </conditionalFormatting>
  <conditionalFormatting sqref="H230:H243">
    <cfRule type="expression" dxfId="65" priority="75">
      <formula>$J230="잔금"</formula>
    </cfRule>
  </conditionalFormatting>
  <conditionalFormatting sqref="C245">
    <cfRule type="expression" dxfId="64" priority="74">
      <formula>$I245="잔금"</formula>
    </cfRule>
  </conditionalFormatting>
  <conditionalFormatting sqref="C246">
    <cfRule type="expression" dxfId="63" priority="73">
      <formula>$I246="잔금"</formula>
    </cfRule>
  </conditionalFormatting>
  <conditionalFormatting sqref="C247">
    <cfRule type="expression" dxfId="62" priority="72">
      <formula>$I247="잔금"</formula>
    </cfRule>
  </conditionalFormatting>
  <conditionalFormatting sqref="F248:F252">
    <cfRule type="expression" dxfId="61" priority="71">
      <formula>$J248="잔금"</formula>
    </cfRule>
  </conditionalFormatting>
  <conditionalFormatting sqref="E248:E252">
    <cfRule type="expression" dxfId="60" priority="70">
      <formula>$J248="잔금"</formula>
    </cfRule>
  </conditionalFormatting>
  <conditionalFormatting sqref="C248:C252">
    <cfRule type="expression" dxfId="59" priority="69">
      <formula>$J248="잔금"</formula>
    </cfRule>
  </conditionalFormatting>
  <conditionalFormatting sqref="H248:H252">
    <cfRule type="expression" dxfId="58" priority="68">
      <formula>$J248="잔금"</formula>
    </cfRule>
  </conditionalFormatting>
  <conditionalFormatting sqref="C253:C256">
    <cfRule type="expression" dxfId="57" priority="67">
      <formula>$I253="잔금"</formula>
    </cfRule>
  </conditionalFormatting>
  <conditionalFormatting sqref="F257:F266">
    <cfRule type="expression" dxfId="56" priority="66">
      <formula>$J257="잔금"</formula>
    </cfRule>
  </conditionalFormatting>
  <conditionalFormatting sqref="F267:F275">
    <cfRule type="expression" dxfId="55" priority="65">
      <formula>$J267="잔금"</formula>
    </cfRule>
  </conditionalFormatting>
  <conditionalFormatting sqref="C115">
    <cfRule type="expression" dxfId="54" priority="59">
      <formula>$J115="잔금"</formula>
    </cfRule>
  </conditionalFormatting>
  <conditionalFormatting sqref="C114">
    <cfRule type="expression" dxfId="53" priority="60">
      <formula>$J114="잔금"</formula>
    </cfRule>
  </conditionalFormatting>
  <conditionalFormatting sqref="C166">
    <cfRule type="expression" dxfId="52" priority="58">
      <formula>$J166="잔금"</formula>
    </cfRule>
  </conditionalFormatting>
  <conditionalFormatting sqref="C167">
    <cfRule type="expression" dxfId="51" priority="57">
      <formula>$J167="잔금"</formula>
    </cfRule>
  </conditionalFormatting>
  <conditionalFormatting sqref="C168">
    <cfRule type="expression" dxfId="50" priority="56">
      <formula>$J168="잔금"</formula>
    </cfRule>
  </conditionalFormatting>
  <conditionalFormatting sqref="C169">
    <cfRule type="expression" dxfId="49" priority="55">
      <formula>$J169="잔금"</formula>
    </cfRule>
  </conditionalFormatting>
  <conditionalFormatting sqref="C170">
    <cfRule type="expression" dxfId="48" priority="54">
      <formula>$J170="잔금"</formula>
    </cfRule>
  </conditionalFormatting>
  <conditionalFormatting sqref="C171">
    <cfRule type="expression" dxfId="47" priority="53">
      <formula>$J171="잔금"</formula>
    </cfRule>
  </conditionalFormatting>
  <conditionalFormatting sqref="C172">
    <cfRule type="expression" dxfId="46" priority="52">
      <formula>$J172="잔금"</formula>
    </cfRule>
  </conditionalFormatting>
  <conditionalFormatting sqref="C173">
    <cfRule type="expression" dxfId="45" priority="51">
      <formula>$J173="잔금"</formula>
    </cfRule>
  </conditionalFormatting>
  <conditionalFormatting sqref="C174">
    <cfRule type="expression" dxfId="44" priority="49">
      <formula>$J174="잔금"</formula>
    </cfRule>
  </conditionalFormatting>
  <conditionalFormatting sqref="C175">
    <cfRule type="expression" dxfId="43" priority="48">
      <formula>$J175="잔금"</formula>
    </cfRule>
  </conditionalFormatting>
  <conditionalFormatting sqref="C176">
    <cfRule type="expression" dxfId="42" priority="47">
      <formula>$J176="잔금"</formula>
    </cfRule>
  </conditionalFormatting>
  <conditionalFormatting sqref="C177">
    <cfRule type="expression" dxfId="41" priority="46">
      <formula>$J177="잔금"</formula>
    </cfRule>
  </conditionalFormatting>
  <conditionalFormatting sqref="C178">
    <cfRule type="expression" dxfId="40" priority="45">
      <formula>$J178="잔금"</formula>
    </cfRule>
  </conditionalFormatting>
  <conditionalFormatting sqref="H308:H309">
    <cfRule type="expression" dxfId="39" priority="39">
      <formula>$J308="잔금"</formula>
    </cfRule>
  </conditionalFormatting>
  <conditionalFormatting sqref="F289:F302">
    <cfRule type="expression" dxfId="38" priority="44">
      <formula>$J289="잔금"</formula>
    </cfRule>
  </conditionalFormatting>
  <conditionalFormatting sqref="F303:F307">
    <cfRule type="expression" dxfId="37" priority="43">
      <formula>$J303="잔금"</formula>
    </cfRule>
  </conditionalFormatting>
  <conditionalFormatting sqref="F308:F309">
    <cfRule type="expression" dxfId="36" priority="42">
      <formula>$J308="잔금"</formula>
    </cfRule>
  </conditionalFormatting>
  <conditionalFormatting sqref="H289:H302">
    <cfRule type="expression" dxfId="35" priority="41">
      <formula>$J289="잔금"</formula>
    </cfRule>
  </conditionalFormatting>
  <conditionalFormatting sqref="H303:H307">
    <cfRule type="expression" dxfId="34" priority="40">
      <formula>$J303="잔금"</formula>
    </cfRule>
  </conditionalFormatting>
  <conditionalFormatting sqref="H312:H353">
    <cfRule type="expression" dxfId="33" priority="38">
      <formula>$J312="잔금"</formula>
    </cfRule>
  </conditionalFormatting>
  <conditionalFormatting sqref="F434:F441">
    <cfRule type="expression" dxfId="32" priority="34">
      <formula>$J434="잔금"</formula>
    </cfRule>
  </conditionalFormatting>
  <conditionalFormatting sqref="F442:F446">
    <cfRule type="expression" dxfId="31" priority="33">
      <formula>$J442="잔금"</formula>
    </cfRule>
  </conditionalFormatting>
  <conditionalFormatting sqref="E434:E441">
    <cfRule type="expression" dxfId="30" priority="31">
      <formula>$J434="잔금"</formula>
    </cfRule>
  </conditionalFormatting>
  <conditionalFormatting sqref="E442:E446">
    <cfRule type="expression" dxfId="29" priority="30">
      <formula>$J442="잔금"</formula>
    </cfRule>
  </conditionalFormatting>
  <conditionalFormatting sqref="C434:C441">
    <cfRule type="expression" dxfId="28" priority="29">
      <formula>$J434="잔금"</formula>
    </cfRule>
  </conditionalFormatting>
  <conditionalFormatting sqref="C442:C447">
    <cfRule type="expression" dxfId="27" priority="28">
      <formula>$J442="잔금"</formula>
    </cfRule>
  </conditionalFormatting>
  <conditionalFormatting sqref="E448:E470 E472">
    <cfRule type="expression" dxfId="26" priority="27">
      <formula>$J448="잔금"</formula>
    </cfRule>
  </conditionalFormatting>
  <conditionalFormatting sqref="C448:C470">
    <cfRule type="expression" dxfId="25" priority="26">
      <formula>$J448="잔금"</formula>
    </cfRule>
  </conditionalFormatting>
  <conditionalFormatting sqref="E473:E478">
    <cfRule type="expression" dxfId="24" priority="25">
      <formula>$J473="잔금"</formula>
    </cfRule>
  </conditionalFormatting>
  <conditionalFormatting sqref="F473:F478">
    <cfRule type="expression" dxfId="23" priority="24">
      <formula>$J473="잔금"</formula>
    </cfRule>
  </conditionalFormatting>
  <conditionalFormatting sqref="C473:C478">
    <cfRule type="expression" dxfId="22" priority="23">
      <formula>$J473="잔금"</formula>
    </cfRule>
  </conditionalFormatting>
  <conditionalFormatting sqref="C479">
    <cfRule type="expression" dxfId="21" priority="22">
      <formula>$J479="잔금"</formula>
    </cfRule>
  </conditionalFormatting>
  <conditionalFormatting sqref="F480:F514">
    <cfRule type="expression" dxfId="20" priority="21">
      <formula>$J480="잔금"</formula>
    </cfRule>
  </conditionalFormatting>
  <conditionalFormatting sqref="E480:E514">
    <cfRule type="expression" dxfId="19" priority="20">
      <formula>$J480="잔금"</formula>
    </cfRule>
  </conditionalFormatting>
  <conditionalFormatting sqref="C480:C514">
    <cfRule type="expression" dxfId="18" priority="19">
      <formula>$J480="잔금"</formula>
    </cfRule>
  </conditionalFormatting>
  <conditionalFormatting sqref="H480:H511">
    <cfRule type="expression" dxfId="17" priority="18">
      <formula>$J480="잔금"</formula>
    </cfRule>
  </conditionalFormatting>
  <conditionalFormatting sqref="E515:E524">
    <cfRule type="expression" dxfId="16" priority="17">
      <formula>$J515="잔금"</formula>
    </cfRule>
  </conditionalFormatting>
  <conditionalFormatting sqref="E525:E528">
    <cfRule type="expression" dxfId="15" priority="16">
      <formula>$J525="잔금"</formula>
    </cfRule>
  </conditionalFormatting>
  <conditionalFormatting sqref="C515:C524">
    <cfRule type="expression" dxfId="14" priority="15">
      <formula>$J515="잔금"</formula>
    </cfRule>
  </conditionalFormatting>
  <conditionalFormatting sqref="C525:C528">
    <cfRule type="expression" dxfId="13" priority="14">
      <formula>$J525="잔금"</formula>
    </cfRule>
  </conditionalFormatting>
  <conditionalFormatting sqref="H515:H524">
    <cfRule type="expression" dxfId="12" priority="13">
      <formula>$J515="잔금"</formula>
    </cfRule>
  </conditionalFormatting>
  <conditionalFormatting sqref="H525:H528">
    <cfRule type="expression" dxfId="11" priority="12">
      <formula>$J525="잔금"</formula>
    </cfRule>
  </conditionalFormatting>
  <conditionalFormatting sqref="C529:C534">
    <cfRule type="expression" dxfId="10" priority="11">
      <formula>$J529="잔금"</formula>
    </cfRule>
  </conditionalFormatting>
  <conditionalFormatting sqref="E529:E534">
    <cfRule type="expression" dxfId="9" priority="10">
      <formula>$J529="잔금"</formula>
    </cfRule>
  </conditionalFormatting>
  <conditionalFormatting sqref="H529:H534">
    <cfRule type="expression" dxfId="8" priority="9">
      <formula>$J529="잔금"</formula>
    </cfRule>
  </conditionalFormatting>
  <conditionalFormatting sqref="F529:F534">
    <cfRule type="expression" dxfId="7" priority="8">
      <formula>$J529="잔금"</formula>
    </cfRule>
  </conditionalFormatting>
  <conditionalFormatting sqref="C535:C542">
    <cfRule type="expression" dxfId="6" priority="7">
      <formula>$J535="잔금"</formula>
    </cfRule>
  </conditionalFormatting>
  <conditionalFormatting sqref="E535:E546">
    <cfRule type="expression" dxfId="5" priority="6">
      <formula>$J535="잔금"</formula>
    </cfRule>
  </conditionalFormatting>
  <conditionalFormatting sqref="F535:F546">
    <cfRule type="expression" dxfId="4" priority="5">
      <formula>$J535="잔금"</formula>
    </cfRule>
  </conditionalFormatting>
  <conditionalFormatting sqref="C543">
    <cfRule type="expression" dxfId="3" priority="4">
      <formula>$J543="잔금"</formula>
    </cfRule>
  </conditionalFormatting>
  <conditionalFormatting sqref="C544">
    <cfRule type="expression" dxfId="2" priority="3">
      <formula>$J544="잔금"</formula>
    </cfRule>
  </conditionalFormatting>
  <conditionalFormatting sqref="C545">
    <cfRule type="expression" dxfId="1" priority="2">
      <formula>$J545="잔금"</formula>
    </cfRule>
  </conditionalFormatting>
  <conditionalFormatting sqref="C546">
    <cfRule type="expression" dxfId="0" priority="1">
      <formula>$J546="잔금"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46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2026-04-29T05:55:02Z</dcterms:modified>
</cp:coreProperties>
</file>