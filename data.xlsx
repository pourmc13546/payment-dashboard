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386" i="1" l="1"/>
  <c r="B387" i="1"/>
  <c r="B388" i="1"/>
  <c r="B389" i="1"/>
  <c r="B390" i="1"/>
  <c r="B391" i="1"/>
  <c r="B392" i="1"/>
  <c r="B393" i="1"/>
  <c r="B394" i="1"/>
  <c r="B395" i="1"/>
  <c r="B396" i="1"/>
  <c r="B397" i="1"/>
  <c r="B385" i="1" l="1"/>
  <c r="B384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<sst xmlns="http://schemas.openxmlformats.org/spreadsheetml/2006/main" count="2034" uniqueCount="567">
  <si>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</si>
  <si>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</si>
  <si>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</si>
  <si>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</si>
  <si>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</si>
  <si>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</si>
  <si>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</si>
  <si>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</si>
  <si>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</si>
  <si>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</si>
  <si>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</si>
  <si>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</si>
  <si>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</si>
  <si>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</si>
  <si>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</si>
  <si>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</si>
  <si>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</si>
  <si>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</si>
  <si>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</si>
  <si>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</si>
  <si>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</si>
  <si>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</si>
  <si>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</si>
  <si>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</si>
  <si>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</si>
  <si>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</si>
  <si>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</si>
  <si>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</si>
  <si>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</si>
  <si>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</si>
  <si>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</si>
  <si>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</si>
  <si>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</si>
  <si>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</si>
  <si>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</si>
  <si>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</si>
  <si>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</si>
  <si>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</si>
  <si>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</si>
  <si>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</si>
  <si>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</si>
  <si>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</si>
  <si>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</si>
  <si>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</si>
  <si>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</si>
  <si>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</si>
  <si>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</si>
  <si>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</si>
  <si>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</si>
  <si>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</si>
  <si>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</si>
  <si>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</si>
  <si>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</si>
  <si>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</si>
  <si>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</si>
  <si>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</si>
  <si>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</si>
  <si>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</si>
  <si>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</si>
  <si>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</si>
  <si>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</si>
  <si>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</si>
  <si>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</si>
  <si>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</si>
  <si>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</si>
  <si>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</si>
  <si>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</si>
  <si>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</si>
  <si>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</si>
  <si>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</si>
  <si>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</si>
  <si>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</si>
  <si>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</si>
  <si>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</si>
  <si>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</si>
  <si>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</si>
  <si>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</si>
  <si>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</si>
  <si>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</si>
  <si>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</si>
  <si>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</si>
  <si>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</si>
  <si>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</si>
  <si>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</si>
  <si>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</si>
  <si>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</si>
  <si>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</si>
  <si>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</si>
  <si>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</si>
  <si>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</si>
  <si>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</si>
  <si>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</si>
  <si>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</si>
  <si>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</si>
  <si>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</si>
  <si>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</si>
  <si>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</si>
  <si>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</si>
  <si>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</si>
  <si>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</si>
  <si>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</si>
  <si>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</si>
  <si>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</si>
  <si>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</si>
  <si>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</si>
  <si>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</si>
  <si>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</si>
  <si>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</si>
  <si>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</si>
  <si>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</si>
  <si>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</si>
  <si>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</si>
  <si>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</si>
  <si>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</si>
  <si>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</si>
  <si>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</si>
  <si>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</si>
  <si>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</si>
  <si>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</si>
  <si>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</si>
  <si>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</si>
  <si>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</si>
  <si>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</si>
  <si>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</si>
  <si>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</si>
  <si>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</si>
  <si>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</si>
  <si>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</si>
  <si>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</si>
  <si>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</si>
  <si>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</si>
  <si>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</si>
  <si>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</si>
  <si>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</si>
  <si>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</si>
  <si>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</si>
  <si>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</si>
  <si>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</si>
  <si>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</si>
  <si>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</si>
  <si>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</si>
  <si>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</si>
  <si>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</si>
  <si>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</si>
  <si>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</si>
  <si>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</si>
  <si>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</si>
  <si>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</si>
  <si>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</si>
  <si>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</si>
  <si>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</si>
  <si>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</si>
  <si>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</si>
  <si>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</si>
  <si>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</si>
  <si>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</si>
  <si>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</si>
  <si>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</si>
  <si>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</si>
  <si>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</si>
  <si>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</si>
  <si>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</si>
  <si>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</si>
  <si>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</si>
  <si>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</si>
  <si>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</si>
  <si>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</si>
  <si>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</si>
  <si>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</si>
  <si>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</si>
  <si>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</si>
  <si>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</si>
  <si>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</si>
  <si>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</si>
  <si>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</si>
  <si>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</si>
  <si>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</si>
  <si>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</si>
  <si>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</si>
  <si>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</si>
  <si>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</si>
  <si>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</si>
  <si>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</si>
  <si>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</si>
  <si>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</si>
  <si>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</si>
  <si>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</si>
  <si>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</si>
  <si>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</si>
  <si>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</si>
  <si>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</si>
  <si>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</si>
  <si>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</si>
  <si>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</si>
  <si>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</si>
  <si>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</si>
  <si>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</si>
  <si>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</si>
  <si>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</si>
  <si>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</si>
  <si>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</si>
  <si>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</si>
  <si>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</si>
  <si>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</si>
  <si>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</si>
  <si>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</si>
  <si>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</si>
  <si>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</si>
  <si>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</si>
  <si>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</si>
  <si>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</si>
  <si>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</si>
  <si>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</si>
  <si>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</si>
  <si>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</si>
  <si>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</si>
  <si>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</si>
  <si>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</si>
  <si>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</si>
  <si>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</si>
  <si>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</si>
  <si>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</si>
  <si>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</si>
  <si>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</si>
  <si>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</si>
  <si>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</si>
  <si>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</si>
  <si>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</si>
  <si>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</si>
  <si>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</si>
  <si>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</si>
  <si>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</si>
  <si>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</si>
  <si>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</si>
  <si>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</si>
  <si>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</si>
  <si>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</si>
  <si>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</si>
  <si>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</si>
  <si>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</si>
  <si>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</si>
  <si>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</si>
  <si>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</si>
  <si>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</si>
  <si>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</si>
  <si>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</si>
  <si>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</si>
  <si>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</si>
  <si>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</si>
  <si>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</si>
  <si>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</si>
  <si>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</si>
  <si>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</si>
  <si>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</si>
  <si>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</si>
  <si>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</si>
  <si>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</si>
  <si>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</si>
  <si>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</si>
  <si>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</si>
  <si>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</si>
  <si>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</si>
  <si>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</si>
  <si>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</si>
  <si>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</si>
  <si>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</si>
  <si>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</si>
  <si>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</si>
  <si>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</si>
  <si>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</si>
  <si>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</si>
  <si>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</si>
  <si>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</si>
  <si>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</si>
  <si>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</si>
  <si>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</si>
  <si>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</si>
  <si>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</si>
  <si>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</si>
  <si>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</si>
  <si>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</si>
  <si>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</si>
  <si>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</si>
  <si>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</si>
  <si>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</si>
  <si>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</si>
  <si>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</si>
  <si>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</si>
  <si>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</si>
  <si>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</si>
  <si>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</si>
  <si>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</si>
  <si>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</si>
  <si>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</si>
  <si>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</si>
  <si>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</si>
  <si>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</si>
  <si>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</si>
  <si>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</si>
  <si>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</si>
  <si>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</si>
  <si>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</si>
  <si>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</si>
  <si>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</si>
  <si>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</si>
  <si>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</si>
  <si>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</si>
  <si>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</si>
  <si>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</si>
  <si>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</si>
  <si>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</si>
  <si>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</si>
  <si>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</si>
  <si>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</si>
  <si>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</si>
  <si>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</si>
  <si>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</si>
  <si>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</si>
  <si>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</si>
  <si>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</si>
  <si>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</si>
  <si>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</si>
  <si>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</si>
  <si>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</si>
  <si>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</si>
  <si>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</si>
  <si>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</si>
  <si>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</si>
  <si>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</si>
  <si>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</si>
  <si>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</si>
  <si>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</si>
  <si>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</si>
  <si>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</si>
  <si>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</si>
  <si>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</si>
  <si>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</si>
  <si>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</si>
  <si>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</si>
  <si>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</si>
  <si>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</si>
  <si>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</si>
  <si>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</si>
  <si>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</si>
  <si>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</si>
  <si>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</si>
  <si>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</si>
  <si>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</si>
  <si>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</si>
  <si>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</si>
  <si>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</si>
  <si>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</si>
  <si>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</si>
  <si>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</si>
  <si>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</si>
  <si>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</si>
  <si>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</si>
  <si>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</si>
  <si>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</si>
  <si>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</si>
  <si>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</si>
  <si>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</si>
  <si>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</si>
  <si>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</si>
  <si>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</si>
  <si>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</si>
  <si>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</si>
  <si>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</si>
  <si>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</si>
  <si>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</si>
  <si>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</si>
  <si>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</si>
  <si>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</si>
  <si>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</si>
  <si>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</si>
  <si>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</si>
  <si>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</si>
  <si>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</si>
  <si>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</si>
  <si>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</si>
  <si>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</si>
  <si>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</si>
  <si>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</si>
  <si>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</si>
  <si>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</si>
  <si>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</si>
  <si>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</si>
  <si>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</si>
  <si>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</si>
  <si>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</si>
  <si>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</si>
  <si>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</si>
  <si>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</si>
  <si>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</si>
  <si>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</si>
  <si>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</si>
  <si>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</si>
  <si>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</si>
  <si>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</si>
  <si>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</si>
  <si>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</si>
  <si>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</si>
  <si>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</si>
  <si>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</si>
  <si>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</si>
  <si>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</si>
  <si>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</si>
  <si>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</si>
  <si>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</si>
  <si>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</si>
  <si>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</si>
  <si>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</si>
  <si>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</si>
  <si>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</si>
  <si>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</si>
  <si>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</si>
  <si>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</si>
  <si>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</si>
  <si>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</si>
  <si>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</si>
  <si>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</si>
  <si>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</si>
  <si>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</si>
  <si>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</si>
  <si>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</si>
  <si>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</si>
  <si>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</si>
  <si>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</si>
  <si>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</si>
  <si>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</si>
  <si>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</si>
  <si>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</si>
  <si>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</si>
  <si>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</si>
  <si>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</si>
  <si>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</si>
  <si>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</si>
  <si>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</si>
  <si>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</si>
  <si>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</si>
  <si>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</si>
  <si>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</si>
  <si>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</si>
  <si>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</si>
  <si>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</si>
  <si>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</si>
  <si>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</si>
  <si>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</si>
  <si>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</si>
  <si>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</si>
  <si>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</si>
  <si>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</si>
  <si>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</si>
  <si>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</si>
  <si>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</si>
  <si>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</si>
  <si>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</si>
  <si>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</si>
  <si>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</si>
  <si>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</si>
  <si>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</si>
  <si>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</si>
  <si>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</si>
  <si>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</si>
  <si>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</si>
  <si>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</si>
  <si>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</si>
  <si>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</si>
  <si>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</si>
  <si>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</si>
  <si>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</si>
  <si>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</si>
  <si>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</si>
  <si>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</si>
  <si>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</si>
  <si>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</si>
  <si>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</si>
  <si>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</si>
  <si>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</si>
  <si>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</si>
  <si>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</si>
  <si>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</si>
  <si>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</si>
  <si>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</si>
  <si>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</si>
  <si>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</si>
  <si>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</si>
  <si>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</si>
  <si>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</si>
  <si>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</si>
  <si>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</si>
  <si>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</si>
  <si>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</si>
  <si>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</si>
  <si>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</si>
  <si>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</si>
  <si>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</si>
  <si>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</si>
  <si>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</si>
  <si>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</si>
  <si>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</si>
  <si>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</si>
  <si>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</si>
  <si>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</si>
  <si>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</si>
  <si>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</si>
  <si>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</si>
  <si>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</si>
  <si>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</si>
  <si>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</si>
  <si>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</si>
  <si>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</si>
  <si>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</si>
  <si>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</si>
  <si>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</si>
  <si>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</si>
  <si>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</si>
  <si>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</si>
  <si>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</si>
  <si>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</si>
  <si>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</si>
  <si>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</si>
  <si>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</si>
  <si>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</si>
  <si>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</si>
  <si>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</si>
  <si>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</si>
  <si>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</si>
  <si>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</si>
  <si>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</si>
  <si>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</si>
  <si>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</si>
  <si>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</si>
  <si>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</si>
  <si>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</si>
  <si>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</si>
  <si>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</si>
  <si>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</si>
  <si>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</si>
  <si>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</si>
  <si>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</si>
  <si>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삼정그린코아포레스트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</si>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</sst>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1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121" activePane="bottomRight" state="frozen"/>
      <selection pane="topRight"/>
      <selection pane="bottomLeft"/>
      <selection pane="bottomRight" activeCell="F139" sqref="F139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325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155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305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207</v>
      </c>
      <c r="J7" s="13" t="str">
        <f t="shared" ca="1" si="2"/>
        <v>장기미수</v>
      </c>
      <c r="K7" s="11"/>
      <c r="L7" s="11"/>
      <c r="M7" s="10" t="s">
        <v>151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157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112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107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290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150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465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885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689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529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667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666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758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400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395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385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379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375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375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374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372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351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337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316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304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274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252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323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247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225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220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177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175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164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417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282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282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233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45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116</v>
      </c>
      <c r="F81" s="6" t="s">
        <v>117</v>
      </c>
      <c r="G81" s="6" t="s">
        <v>48</v>
      </c>
      <c r="H81" s="4">
        <v>280000</v>
      </c>
      <c r="I81" s="6">
        <f t="shared" ca="1" si="6"/>
        <v>84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78</v>
      </c>
      <c r="J86" s="13" t="str">
        <f t="shared" ca="1" si="7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60</v>
      </c>
      <c r="J96" s="13" t="str">
        <f t="shared" ca="1" si="7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59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59</v>
      </c>
      <c r="J99" s="13" t="str">
        <f t="shared" ca="1" si="11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436</v>
      </c>
      <c r="H100" s="4">
        <v>16130000</v>
      </c>
      <c r="I100" s="6">
        <f t="shared" ca="1" si="10"/>
        <v>95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58</v>
      </c>
      <c r="J104" s="13" t="str">
        <f t="shared" ca="1" si="11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58</v>
      </c>
      <c r="J105" s="13" t="str">
        <f t="shared" ca="1" si="11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57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57</v>
      </c>
      <c r="J108" s="13" t="str">
        <f t="shared" ca="1" si="11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56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55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44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42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42</v>
      </c>
      <c r="J123" s="13" t="str">
        <f t="shared" ca="1" si="11"/>
        <v>관리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42</v>
      </c>
      <c r="J125" s="13" t="str">
        <f t="shared" ca="1" si="11"/>
        <v>관리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38</v>
      </c>
      <c r="J128" s="13" t="str">
        <f t="shared" ca="1" si="13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38</v>
      </c>
      <c r="J130" s="13" t="str">
        <f t="shared" ca="1" si="13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38</v>
      </c>
      <c r="J135" s="13" t="str">
        <f t="shared" ca="1" si="13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38</v>
      </c>
      <c r="J136" s="13" t="str">
        <f t="shared" ca="1" si="13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418</v>
      </c>
      <c r="F139" s="38" t="s">
        <v>417</v>
      </c>
      <c r="G139" s="6" t="s">
        <v>419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36</v>
      </c>
      <c r="J142" s="13" t="str">
        <f t="shared" ca="1" si="13"/>
        <v>관리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36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36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36</v>
      </c>
      <c r="J145" s="13" t="str">
        <f t="shared" ca="1" si="13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36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36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36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36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35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35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32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32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32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30</v>
      </c>
      <c r="J166" s="13" t="str">
        <f t="shared" ca="1" si="15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31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31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31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31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31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31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31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31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69</v>
      </c>
      <c r="F181" s="23" t="s">
        <v>288</v>
      </c>
      <c r="G181" s="6" t="s">
        <v>296</v>
      </c>
      <c r="H181" s="25">
        <v>16818900</v>
      </c>
      <c r="I181" s="6">
        <f t="shared" ca="1" si="12"/>
        <v>30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30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30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30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30</v>
      </c>
      <c r="J186" s="13" t="str">
        <f t="shared" ca="1" si="15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29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29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29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29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29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29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28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28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28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28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28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24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24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24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24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24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24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24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24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24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24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24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24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24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23</v>
      </c>
      <c r="J217" s="13" t="str">
        <f t="shared" ca="1" si="17"/>
        <v>관리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16</v>
      </c>
      <c r="J218" s="13" t="str">
        <f t="shared" ca="1" si="17"/>
        <v>정상</v>
      </c>
      <c r="K218" s="11"/>
      <c r="L218" s="11">
        <v>46115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16</v>
      </c>
      <c r="J220" s="13" t="str">
        <f t="shared" ca="1" si="17"/>
        <v>정상</v>
      </c>
      <c r="K220" s="11"/>
      <c r="L220" s="11">
        <v>46115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23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23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23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23</v>
      </c>
      <c r="J226" s="13" t="str">
        <f t="shared" ca="1" si="19"/>
        <v>정상</v>
      </c>
      <c r="K226" s="11"/>
      <c r="L226" s="11"/>
      <c r="M226" s="10"/>
      <c r="N226" s="10" t="s">
        <v>20</v>
      </c>
      <c r="O226" s="6" t="s">
        <v>58</v>
      </c>
      <c r="P226" s="6" t="s">
        <v>153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23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23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23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22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22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22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22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22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22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22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22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22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22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22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13</v>
      </c>
      <c r="J246" s="13" t="str">
        <f t="shared" ca="1" si="19"/>
        <v>정상</v>
      </c>
      <c r="K246" s="11"/>
      <c r="L246" s="11">
        <v>46114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21</v>
      </c>
      <c r="J247" s="13" t="str">
        <f t="shared" ca="1" si="19"/>
        <v>관리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21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21</v>
      </c>
      <c r="J250" s="13" t="str">
        <f t="shared" ca="1" si="19"/>
        <v>정상</v>
      </c>
      <c r="K250" s="11"/>
      <c r="L250" s="11"/>
      <c r="M250" s="10"/>
      <c r="N250" s="10" t="s">
        <v>20</v>
      </c>
      <c r="O250" s="6" t="s">
        <v>58</v>
      </c>
      <c r="P250" s="6" t="s">
        <v>153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21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21</v>
      </c>
      <c r="J253" s="13" t="str">
        <f t="shared" ca="1" si="19"/>
        <v>정상</v>
      </c>
      <c r="K253" s="11"/>
      <c r="L253" s="11"/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18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7" ca="1" si="20">IF(C255="","",IF(L255="",TODAY()-C255,L255-C255))</f>
        <v>18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/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17</v>
      </c>
      <c r="J257" s="13" t="str">
        <f t="shared" ca="1" si="21"/>
        <v>정상</v>
      </c>
      <c r="K257" s="11"/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397</v>
      </c>
      <c r="G258" s="6" t="s">
        <v>416</v>
      </c>
      <c r="H258" s="4">
        <v>4290000</v>
      </c>
      <c r="I258" s="6">
        <f t="shared" ca="1" si="20"/>
        <v>18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530</v>
      </c>
      <c r="F259" s="23" t="s">
        <v>398</v>
      </c>
      <c r="G259" s="6" t="s">
        <v>416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399</v>
      </c>
      <c r="G260" s="6" t="s">
        <v>416</v>
      </c>
      <c r="H260" s="4">
        <v>465000</v>
      </c>
      <c r="I260" s="6">
        <f t="shared" ca="1" si="20"/>
        <v>18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400</v>
      </c>
      <c r="G261" s="6" t="s">
        <v>416</v>
      </c>
      <c r="H261" s="4">
        <v>5765500</v>
      </c>
      <c r="I261" s="6">
        <f t="shared" ca="1" si="20"/>
        <v>18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401</v>
      </c>
      <c r="G262" s="6" t="s">
        <v>416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402</v>
      </c>
      <c r="G263" s="6" t="s">
        <v>416</v>
      </c>
      <c r="H263" s="4">
        <v>1866000</v>
      </c>
      <c r="I263" s="6">
        <f t="shared" ca="1" si="20"/>
        <v>18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403</v>
      </c>
      <c r="G264" s="6" t="s">
        <v>416</v>
      </c>
      <c r="H264" s="4">
        <v>798500</v>
      </c>
      <c r="I264" s="6">
        <f t="shared" ca="1" si="20"/>
        <v>18</v>
      </c>
      <c r="J264" s="13" t="str">
        <f t="shared" ca="1" si="21"/>
        <v>정상</v>
      </c>
      <c r="K264" s="11"/>
      <c r="L264" s="11"/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395</v>
      </c>
      <c r="F265" s="23" t="s">
        <v>404</v>
      </c>
      <c r="G265" s="6" t="s">
        <v>416</v>
      </c>
      <c r="H265" s="4">
        <v>5442500</v>
      </c>
      <c r="I265" s="6">
        <f t="shared" ca="1" si="20"/>
        <v>18</v>
      </c>
      <c r="J265" s="13" t="str">
        <f t="shared" ca="1" si="21"/>
        <v>정상</v>
      </c>
      <c r="K265" s="11"/>
      <c r="L265" s="11"/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405</v>
      </c>
      <c r="G266" s="6" t="s">
        <v>416</v>
      </c>
      <c r="H266" s="4">
        <v>2969500</v>
      </c>
      <c r="I266" s="6">
        <f t="shared" ca="1" si="20"/>
        <v>18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406</v>
      </c>
      <c r="G267" s="6" t="s">
        <v>416</v>
      </c>
      <c r="H267" s="4">
        <v>10451300</v>
      </c>
      <c r="I267" s="6">
        <f t="shared" ca="1" si="20"/>
        <v>18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407</v>
      </c>
      <c r="G268" s="6" t="s">
        <v>416</v>
      </c>
      <c r="H268" s="4">
        <v>2250000</v>
      </c>
      <c r="I268" s="6">
        <f t="shared" ca="1" si="20"/>
        <v>18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408</v>
      </c>
      <c r="G269" s="6" t="s">
        <v>416</v>
      </c>
      <c r="H269" s="4">
        <v>2711000</v>
      </c>
      <c r="I269" s="6">
        <f t="shared" ca="1" si="20"/>
        <v>17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409</v>
      </c>
      <c r="G270" s="6" t="s">
        <v>416</v>
      </c>
      <c r="H270" s="4">
        <v>10539000</v>
      </c>
      <c r="I270" s="6">
        <f t="shared" ca="1" si="20"/>
        <v>17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396</v>
      </c>
      <c r="F271" s="23" t="s">
        <v>410</v>
      </c>
      <c r="G271" s="6" t="s">
        <v>416</v>
      </c>
      <c r="H271" s="4">
        <v>1021000</v>
      </c>
      <c r="I271" s="6">
        <f t="shared" ca="1" si="20"/>
        <v>17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411</v>
      </c>
      <c r="G272" s="6" t="s">
        <v>416</v>
      </c>
      <c r="H272" s="4">
        <v>427800</v>
      </c>
      <c r="I272" s="6">
        <f t="shared" ca="1" si="20"/>
        <v>17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412</v>
      </c>
      <c r="G273" s="6" t="s">
        <v>416</v>
      </c>
      <c r="H273" s="4">
        <v>1180000</v>
      </c>
      <c r="I273" s="6">
        <f t="shared" ca="1" si="20"/>
        <v>17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413</v>
      </c>
      <c r="G274" s="6" t="s">
        <v>416</v>
      </c>
      <c r="H274" s="4">
        <v>4520000</v>
      </c>
      <c r="I274" s="6">
        <f t="shared" ca="1" si="20"/>
        <v>17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414</v>
      </c>
      <c r="G275" s="6" t="s">
        <v>416</v>
      </c>
      <c r="H275" s="4">
        <v>157000</v>
      </c>
      <c r="I275" s="6">
        <f t="shared" ca="1" si="20"/>
        <v>17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415</v>
      </c>
      <c r="G276" s="6" t="s">
        <v>416</v>
      </c>
      <c r="H276" s="4">
        <v>2380000</v>
      </c>
      <c r="I276" s="6">
        <f t="shared" ca="1" si="20"/>
        <v>17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421</v>
      </c>
      <c r="F277" s="6" t="s">
        <v>420</v>
      </c>
      <c r="G277" s="6" t="s">
        <v>422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423</v>
      </c>
      <c r="F278" s="6" t="s">
        <v>424</v>
      </c>
      <c r="G278" s="6" t="s">
        <v>422</v>
      </c>
      <c r="H278" s="4">
        <v>2878800</v>
      </c>
      <c r="I278" s="6">
        <f t="shared" ca="1" si="20"/>
        <v>15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435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425</v>
      </c>
      <c r="G280" s="6" t="s">
        <v>435</v>
      </c>
      <c r="H280" s="4">
        <v>4748300</v>
      </c>
      <c r="I280" s="6">
        <f t="shared" ca="1" si="20"/>
        <v>16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426</v>
      </c>
      <c r="G281" s="6" t="s">
        <v>435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427</v>
      </c>
      <c r="G282" s="6" t="s">
        <v>435</v>
      </c>
      <c r="H282" s="4">
        <v>1414500</v>
      </c>
      <c r="I282" s="6">
        <f t="shared" ca="1" si="20"/>
        <v>16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428</v>
      </c>
      <c r="G283" s="6" t="s">
        <v>435</v>
      </c>
      <c r="H283" s="4">
        <v>936000</v>
      </c>
      <c r="I283" s="6">
        <f t="shared" ca="1" si="20"/>
        <v>16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429</v>
      </c>
      <c r="G284" s="6" t="s">
        <v>435</v>
      </c>
      <c r="H284" s="4">
        <v>8336500</v>
      </c>
      <c r="I284" s="6">
        <f t="shared" ca="1" si="20"/>
        <v>16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430</v>
      </c>
      <c r="G285" s="6" t="s">
        <v>435</v>
      </c>
      <c r="H285" s="4">
        <v>555000</v>
      </c>
      <c r="I285" s="6">
        <f t="shared" ca="1" si="20"/>
        <v>16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431</v>
      </c>
      <c r="G286" s="6" t="s">
        <v>435</v>
      </c>
      <c r="H286" s="4">
        <v>508400</v>
      </c>
      <c r="I286" s="6">
        <f t="shared" ca="1" si="20"/>
        <v>16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434</v>
      </c>
      <c r="F287" s="6" t="s">
        <v>432</v>
      </c>
      <c r="G287" s="6" t="s">
        <v>435</v>
      </c>
      <c r="H287" s="4">
        <v>6771000</v>
      </c>
      <c r="I287" s="6">
        <f t="shared" ca="1" si="20"/>
        <v>16</v>
      </c>
      <c r="J287" s="13" t="str">
        <f t="shared" ref="J287:J349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433</v>
      </c>
      <c r="G288" s="6" t="s">
        <v>435</v>
      </c>
      <c r="H288" s="4">
        <v>2997000</v>
      </c>
      <c r="I288" s="6">
        <f t="shared" ca="1" si="20"/>
        <v>16</v>
      </c>
      <c r="J288" s="13" t="str">
        <f t="shared" ca="1" si="23"/>
        <v>정상</v>
      </c>
      <c r="K288" s="11"/>
      <c r="L288" s="11"/>
      <c r="M288" s="10"/>
      <c r="N288" s="10" t="s">
        <v>20</v>
      </c>
      <c r="O288" s="6" t="s">
        <v>58</v>
      </c>
      <c r="P288" s="6" t="s">
        <v>153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437</v>
      </c>
      <c r="E289" s="6" t="s">
        <v>234</v>
      </c>
      <c r="F289" s="6" t="s">
        <v>232</v>
      </c>
      <c r="G289" s="6" t="s">
        <v>438</v>
      </c>
      <c r="H289" s="4">
        <v>30186600</v>
      </c>
      <c r="I289" s="6">
        <f t="shared" ca="1" si="20"/>
        <v>16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219</v>
      </c>
      <c r="F290" s="23" t="s">
        <v>439</v>
      </c>
      <c r="G290" s="6" t="s">
        <v>458</v>
      </c>
      <c r="H290" s="25">
        <v>111000</v>
      </c>
      <c r="I290" s="6">
        <f t="shared" ca="1" si="20"/>
        <v>15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221</v>
      </c>
      <c r="F291" s="23" t="s">
        <v>440</v>
      </c>
      <c r="G291" s="6" t="s">
        <v>458</v>
      </c>
      <c r="H291" s="25">
        <v>1135000</v>
      </c>
      <c r="I291" s="6">
        <f t="shared" ca="1" si="20"/>
        <v>15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249</v>
      </c>
      <c r="F292" s="23" t="s">
        <v>441</v>
      </c>
      <c r="G292" s="6" t="s">
        <v>458</v>
      </c>
      <c r="H292" s="25">
        <v>14380000</v>
      </c>
      <c r="I292" s="6">
        <f t="shared" ca="1" si="20"/>
        <v>15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221</v>
      </c>
      <c r="F293" s="23" t="s">
        <v>440</v>
      </c>
      <c r="G293" s="6" t="s">
        <v>458</v>
      </c>
      <c r="H293" s="25">
        <v>4895400</v>
      </c>
      <c r="I293" s="6">
        <f t="shared" ca="1" si="20"/>
        <v>15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209</v>
      </c>
      <c r="F294" s="23" t="s">
        <v>442</v>
      </c>
      <c r="G294" s="6" t="s">
        <v>458</v>
      </c>
      <c r="H294" s="25">
        <v>5473000</v>
      </c>
      <c r="I294" s="6">
        <f t="shared" ca="1" si="20"/>
        <v>15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24</v>
      </c>
      <c r="F295" s="23" t="s">
        <v>443</v>
      </c>
      <c r="G295" s="6" t="s">
        <v>458</v>
      </c>
      <c r="H295" s="25">
        <v>52914000</v>
      </c>
      <c r="I295" s="6">
        <f t="shared" ca="1" si="20"/>
        <v>15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69</v>
      </c>
      <c r="F296" s="23" t="s">
        <v>444</v>
      </c>
      <c r="G296" s="6" t="s">
        <v>458</v>
      </c>
      <c r="H296" s="25">
        <v>427500</v>
      </c>
      <c r="I296" s="6">
        <f t="shared" ca="1" si="20"/>
        <v>15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195</v>
      </c>
      <c r="F297" s="23" t="s">
        <v>445</v>
      </c>
      <c r="G297" s="6" t="s">
        <v>458</v>
      </c>
      <c r="H297" s="25">
        <v>5032500</v>
      </c>
      <c r="I297" s="6">
        <f t="shared" ca="1" si="20"/>
        <v>15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56</v>
      </c>
      <c r="F298" s="23" t="s">
        <v>446</v>
      </c>
      <c r="G298" s="6" t="s">
        <v>458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459</v>
      </c>
      <c r="F299" s="23" t="s">
        <v>447</v>
      </c>
      <c r="G299" s="6" t="s">
        <v>458</v>
      </c>
      <c r="H299" s="25">
        <v>2884600</v>
      </c>
      <c r="I299" s="6">
        <f t="shared" ca="1" si="20"/>
        <v>15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98</v>
      </c>
      <c r="F300" s="23" t="s">
        <v>448</v>
      </c>
      <c r="G300" s="6" t="s">
        <v>458</v>
      </c>
      <c r="H300" s="25">
        <v>180000</v>
      </c>
      <c r="I300" s="6">
        <f t="shared" ca="1" si="20"/>
        <v>15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126</v>
      </c>
      <c r="F301" s="23" t="s">
        <v>449</v>
      </c>
      <c r="G301" s="6" t="s">
        <v>458</v>
      </c>
      <c r="H301" s="25">
        <v>24591000</v>
      </c>
      <c r="I301" s="6">
        <f t="shared" ca="1" si="20"/>
        <v>15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208</v>
      </c>
      <c r="F302" s="23" t="s">
        <v>450</v>
      </c>
      <c r="G302" s="6" t="s">
        <v>458</v>
      </c>
      <c r="H302" s="25">
        <v>3390000</v>
      </c>
      <c r="I302" s="6">
        <f t="shared" ca="1" si="20"/>
        <v>15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464</v>
      </c>
      <c r="D303" s="10" t="str">
        <f t="shared" si="22"/>
        <v>B</v>
      </c>
      <c r="E303" s="6" t="s">
        <v>222</v>
      </c>
      <c r="F303" s="23" t="s">
        <v>451</v>
      </c>
      <c r="G303" s="6" t="s">
        <v>458</v>
      </c>
      <c r="H303" s="25">
        <v>4637500</v>
      </c>
      <c r="I303" s="6">
        <f t="shared" ca="1" si="20"/>
        <v>15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81</v>
      </c>
      <c r="F304" s="23" t="s">
        <v>452</v>
      </c>
      <c r="G304" s="6" t="s">
        <v>458</v>
      </c>
      <c r="H304" s="25">
        <v>121500</v>
      </c>
      <c r="I304" s="6">
        <f t="shared" ca="1" si="20"/>
        <v>14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460</v>
      </c>
      <c r="F305" s="23" t="s">
        <v>453</v>
      </c>
      <c r="G305" s="6" t="s">
        <v>458</v>
      </c>
      <c r="H305" s="25">
        <v>13647200</v>
      </c>
      <c r="I305" s="6">
        <f t="shared" ca="1" si="20"/>
        <v>14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1810000</v>
      </c>
      <c r="I306" s="6">
        <f t="shared" ca="1" si="20"/>
        <v>14</v>
      </c>
      <c r="J306" s="13" t="str">
        <f t="shared" ca="1" si="23"/>
        <v>정상</v>
      </c>
      <c r="K306" s="11"/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108</v>
      </c>
      <c r="F307" s="23" t="s">
        <v>454</v>
      </c>
      <c r="G307" s="6" t="s">
        <v>458</v>
      </c>
      <c r="H307" s="25">
        <v>33000000</v>
      </c>
      <c r="I307" s="6">
        <f t="shared" ca="1" si="20"/>
        <v>14</v>
      </c>
      <c r="J307" s="13" t="str">
        <f t="shared" ca="1" si="23"/>
        <v>정상</v>
      </c>
      <c r="K307" s="11"/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465</v>
      </c>
      <c r="D308" s="10" t="str">
        <f t="shared" si="22"/>
        <v>B</v>
      </c>
      <c r="E308" s="6" t="s">
        <v>461</v>
      </c>
      <c r="F308" s="23" t="s">
        <v>455</v>
      </c>
      <c r="G308" s="6" t="s">
        <v>458</v>
      </c>
      <c r="H308" s="25">
        <v>548000</v>
      </c>
      <c r="I308" s="6">
        <f t="shared" ca="1" si="20"/>
        <v>14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tr">
        <f>IF(G310="","",IF(OR(G310="선급금",G310="중도금",G310="잔금"),"A",IF(G310="자재","B",IF(G310="특허료","C",""))))</f>
        <v>B</v>
      </c>
      <c r="E309" s="6" t="s">
        <v>462</v>
      </c>
      <c r="F309" s="23" t="s">
        <v>456</v>
      </c>
      <c r="G309" s="6" t="s">
        <v>458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466</v>
      </c>
      <c r="D310" s="10" t="s">
        <v>178</v>
      </c>
      <c r="E310" s="6" t="s">
        <v>463</v>
      </c>
      <c r="F310" s="23" t="s">
        <v>457</v>
      </c>
      <c r="G310" s="6" t="s">
        <v>458</v>
      </c>
      <c r="H310" s="25">
        <v>35839300</v>
      </c>
      <c r="I310" s="6">
        <f t="shared" ca="1" si="20"/>
        <v>11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469</v>
      </c>
      <c r="F311" s="6" t="s">
        <v>467</v>
      </c>
      <c r="G311" s="6" t="s">
        <v>468</v>
      </c>
      <c r="H311" s="4">
        <v>109031200</v>
      </c>
      <c r="I311" s="6">
        <f t="shared" ca="1" si="20"/>
        <v>11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7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7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7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7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7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7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7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7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7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7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7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7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7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7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7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7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7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7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4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4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4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4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4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/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4</v>
      </c>
      <c r="J341" s="13" t="str">
        <f t="shared" ca="1" si="23"/>
        <v>정상</v>
      </c>
      <c r="K341" s="11"/>
      <c r="L341" s="11"/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4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4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4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4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4</v>
      </c>
      <c r="J347" s="13" t="str">
        <f t="shared" ca="1" si="23"/>
        <v>정상</v>
      </c>
      <c r="K347" s="11"/>
      <c r="L347" s="11"/>
      <c r="M347" s="10"/>
      <c r="N347" s="10" t="s">
        <v>33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4</v>
      </c>
      <c r="J348" s="13" t="str">
        <f t="shared" ca="1" si="23"/>
        <v>정상</v>
      </c>
      <c r="K348" s="11"/>
      <c r="L348" s="11"/>
      <c r="M348" s="10"/>
      <c r="N348" s="10" t="s">
        <v>33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4</v>
      </c>
      <c r="J349" s="13" t="str">
        <f t="shared" ca="1" si="23"/>
        <v>정상</v>
      </c>
      <c r="K349" s="11"/>
      <c r="L349" s="11"/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4</v>
      </c>
      <c r="J350" s="13" t="str">
        <f t="shared" ref="J350:J397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4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4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4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7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4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9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4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7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7</v>
      </c>
      <c r="J359" s="13" t="str">
        <f t="shared" ca="1" si="25"/>
        <v>정상</v>
      </c>
      <c r="K359" s="11"/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9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7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9</v>
      </c>
      <c r="J361" s="13" t="str">
        <f t="shared" ca="1" si="25"/>
        <v>정상</v>
      </c>
      <c r="K361" s="11"/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8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4</v>
      </c>
      <c r="J363" s="13" t="str">
        <f t="shared" ca="1" si="25"/>
        <v>정상</v>
      </c>
      <c r="K363" s="11"/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9</v>
      </c>
      <c r="J364" s="13" t="str">
        <f t="shared" ca="1" si="25"/>
        <v>정상</v>
      </c>
      <c r="K364" s="11"/>
      <c r="L364" s="11"/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9</v>
      </c>
      <c r="J365" s="13" t="str">
        <f t="shared" ca="1" si="25"/>
        <v>정상</v>
      </c>
      <c r="K365" s="11"/>
      <c r="L365" s="11"/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3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527</v>
      </c>
      <c r="F369" s="6" t="s">
        <v>533</v>
      </c>
      <c r="G369" s="6" t="s">
        <v>534</v>
      </c>
      <c r="H369" s="4">
        <v>2040000</v>
      </c>
      <c r="I369" s="6">
        <f t="shared" ca="1" si="24"/>
        <v>3</v>
      </c>
      <c r="J369" s="13" t="str">
        <f t="shared" ca="1" si="25"/>
        <v>정상</v>
      </c>
      <c r="K369" s="11"/>
      <c r="L369" s="11"/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>
        <f>IF(C370="","",COUNTA($C$2:C370))</f>
        <v>369</v>
      </c>
      <c r="C370" s="11" t="s">
        <v>544</v>
      </c>
      <c r="D370" s="10" t="s">
        <v>178</v>
      </c>
      <c r="E370" s="6" t="s">
        <v>521</v>
      </c>
      <c r="F370" s="6" t="s">
        <v>535</v>
      </c>
      <c r="G370" s="6" t="s">
        <v>545</v>
      </c>
      <c r="H370" s="4">
        <v>1019800</v>
      </c>
      <c r="I370" s="6">
        <f t="shared" ca="1" si="24"/>
        <v>2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customHeight="1">
      <c r="B371" s="10">
        <f>IF(C371="","",COUNTA($C$2:C371))</f>
        <v>370</v>
      </c>
      <c r="C371" s="11" t="s">
        <v>544</v>
      </c>
      <c r="D371" s="10" t="s">
        <v>178</v>
      </c>
      <c r="E371" s="6" t="s">
        <v>126</v>
      </c>
      <c r="F371" s="6" t="s">
        <v>479</v>
      </c>
      <c r="G371" s="6" t="s">
        <v>545</v>
      </c>
      <c r="H371" s="4">
        <v>565000</v>
      </c>
      <c r="I371" s="6">
        <f t="shared" ca="1" si="24"/>
        <v>2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customHeight="1">
      <c r="B372" s="10">
        <f>IF(C372="","",COUNTA($C$2:C372))</f>
        <v>371</v>
      </c>
      <c r="C372" s="11" t="s">
        <v>544</v>
      </c>
      <c r="D372" s="10" t="s">
        <v>178</v>
      </c>
      <c r="E372" s="6" t="s">
        <v>221</v>
      </c>
      <c r="F372" s="6" t="s">
        <v>216</v>
      </c>
      <c r="G372" s="6" t="s">
        <v>545</v>
      </c>
      <c r="H372" s="4">
        <v>119168000</v>
      </c>
      <c r="I372" s="6">
        <f t="shared" ca="1" si="24"/>
        <v>2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customHeight="1">
      <c r="B373" s="10">
        <f>IF(C373="","",COUNTA($C$2:C373))</f>
        <v>372</v>
      </c>
      <c r="C373" s="11" t="s">
        <v>544</v>
      </c>
      <c r="D373" s="10" t="s">
        <v>178</v>
      </c>
      <c r="E373" s="6" t="s">
        <v>266</v>
      </c>
      <c r="F373" s="6" t="s">
        <v>536</v>
      </c>
      <c r="G373" s="6" t="s">
        <v>545</v>
      </c>
      <c r="H373" s="4">
        <v>11000000</v>
      </c>
      <c r="I373" s="6">
        <f t="shared" ca="1" si="24"/>
        <v>2</v>
      </c>
      <c r="J373" s="13" t="str">
        <f t="shared" ca="1" si="25"/>
        <v>정상</v>
      </c>
      <c r="K373" s="11"/>
      <c r="L373" s="11"/>
      <c r="M373" s="10"/>
      <c r="N373" s="10" t="s">
        <v>33</v>
      </c>
      <c r="Q373" s="11"/>
      <c r="R373" s="11"/>
      <c r="S373" s="10"/>
    </row>
    <row r="374" spans="2:19" s="6" customFormat="1" ht="16.5" customHeight="1">
      <c r="B374" s="10">
        <f>IF(C374="","",COUNTA($C$2:C374))</f>
        <v>373</v>
      </c>
      <c r="C374" s="11" t="s">
        <v>544</v>
      </c>
      <c r="D374" s="10" t="s">
        <v>178</v>
      </c>
      <c r="E374" s="6" t="s">
        <v>249</v>
      </c>
      <c r="F374" s="6" t="s">
        <v>536</v>
      </c>
      <c r="G374" s="6" t="s">
        <v>545</v>
      </c>
      <c r="H374" s="4">
        <v>22000000</v>
      </c>
      <c r="I374" s="6">
        <f t="shared" ca="1" si="24"/>
        <v>2</v>
      </c>
      <c r="J374" s="13" t="str">
        <f t="shared" ca="1" si="25"/>
        <v>정상</v>
      </c>
      <c r="K374" s="11"/>
      <c r="L374" s="11"/>
      <c r="M374" s="10"/>
      <c r="N374" s="10" t="s">
        <v>33</v>
      </c>
      <c r="Q374" s="11"/>
      <c r="R374" s="11"/>
      <c r="S374" s="10"/>
    </row>
    <row r="375" spans="2:19" s="6" customFormat="1" ht="16.5" customHeight="1">
      <c r="B375" s="10">
        <f>IF(C375="","",COUNTA($C$2:C375))</f>
        <v>374</v>
      </c>
      <c r="C375" s="11" t="s">
        <v>544</v>
      </c>
      <c r="D375" s="10" t="s">
        <v>178</v>
      </c>
      <c r="E375" s="6" t="s">
        <v>208</v>
      </c>
      <c r="F375" s="6" t="s">
        <v>537</v>
      </c>
      <c r="G375" s="6" t="s">
        <v>545</v>
      </c>
      <c r="H375" s="4">
        <v>22000000</v>
      </c>
      <c r="I375" s="6">
        <f t="shared" ca="1" si="24"/>
        <v>2</v>
      </c>
      <c r="J375" s="13" t="str">
        <f t="shared" ca="1" si="25"/>
        <v>정상</v>
      </c>
      <c r="K375" s="11"/>
      <c r="L375" s="11"/>
      <c r="M375" s="10"/>
      <c r="N375" s="10" t="s">
        <v>33</v>
      </c>
      <c r="Q375" s="11"/>
      <c r="R375" s="11"/>
      <c r="S375" s="10"/>
    </row>
    <row r="376" spans="2:19" s="6" customFormat="1" ht="16.5" customHeight="1">
      <c r="B376" s="10">
        <f>IF(C376="","",COUNTA($C$2:C376))</f>
        <v>375</v>
      </c>
      <c r="C376" s="11" t="s">
        <v>544</v>
      </c>
      <c r="D376" s="10" t="s">
        <v>178</v>
      </c>
      <c r="E376" s="6" t="s">
        <v>126</v>
      </c>
      <c r="F376" s="6" t="s">
        <v>425</v>
      </c>
      <c r="G376" s="6" t="s">
        <v>545</v>
      </c>
      <c r="H376" s="4">
        <v>3689400</v>
      </c>
      <c r="I376" s="6">
        <f t="shared" ca="1" si="24"/>
        <v>2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544</v>
      </c>
      <c r="D377" s="10" t="s">
        <v>178</v>
      </c>
      <c r="E377" s="6" t="s">
        <v>24</v>
      </c>
      <c r="F377" s="6" t="s">
        <v>107</v>
      </c>
      <c r="G377" s="6" t="s">
        <v>545</v>
      </c>
      <c r="H377" s="4">
        <v>416000</v>
      </c>
      <c r="I377" s="6">
        <f t="shared" ca="1" si="24"/>
        <v>2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544</v>
      </c>
      <c r="D378" s="10" t="s">
        <v>178</v>
      </c>
      <c r="E378" s="6" t="s">
        <v>24</v>
      </c>
      <c r="F378" s="6" t="s">
        <v>107</v>
      </c>
      <c r="G378" s="6" t="s">
        <v>545</v>
      </c>
      <c r="H378" s="4">
        <v>1754000</v>
      </c>
      <c r="I378" s="6">
        <f t="shared" ca="1" si="24"/>
        <v>2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customHeight="1">
      <c r="B379" s="10">
        <f>IF(C379="","",COUNTA($C$2:C379))</f>
        <v>378</v>
      </c>
      <c r="C379" s="11" t="s">
        <v>544</v>
      </c>
      <c r="D379" s="10" t="s">
        <v>178</v>
      </c>
      <c r="E379" s="6" t="s">
        <v>542</v>
      </c>
      <c r="F379" s="6" t="s">
        <v>538</v>
      </c>
      <c r="G379" s="6" t="s">
        <v>545</v>
      </c>
      <c r="H379" s="4">
        <v>6917000</v>
      </c>
      <c r="I379" s="6">
        <f t="shared" ca="1" si="24"/>
        <v>2</v>
      </c>
      <c r="J379" s="13" t="str">
        <f t="shared" ca="1" si="25"/>
        <v>정상</v>
      </c>
      <c r="K379" s="11"/>
      <c r="L379" s="11"/>
      <c r="M379" s="10"/>
      <c r="N379" s="10" t="s">
        <v>33</v>
      </c>
      <c r="Q379" s="11"/>
      <c r="R379" s="11"/>
      <c r="S379" s="10"/>
    </row>
    <row r="380" spans="2:19" s="6" customFormat="1" ht="16.5" customHeight="1">
      <c r="B380" s="10">
        <f>IF(C380="","",COUNTA($C$2:C380))</f>
        <v>379</v>
      </c>
      <c r="C380" s="11" t="s">
        <v>544</v>
      </c>
      <c r="D380" s="10" t="s">
        <v>178</v>
      </c>
      <c r="E380" s="6" t="s">
        <v>543</v>
      </c>
      <c r="F380" s="6" t="s">
        <v>539</v>
      </c>
      <c r="G380" s="6" t="s">
        <v>545</v>
      </c>
      <c r="H380" s="4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/>
      <c r="M380" s="10"/>
      <c r="N380" s="10" t="s">
        <v>33</v>
      </c>
      <c r="Q380" s="11"/>
      <c r="R380" s="11"/>
      <c r="S380" s="10"/>
    </row>
    <row r="381" spans="2:19" s="6" customFormat="1" ht="16.5" customHeight="1">
      <c r="B381" s="10">
        <f>IF(C381="","",COUNTA($C$2:C381))</f>
        <v>380</v>
      </c>
      <c r="C381" s="11" t="s">
        <v>544</v>
      </c>
      <c r="D381" s="10" t="s">
        <v>178</v>
      </c>
      <c r="E381" s="6" t="s">
        <v>126</v>
      </c>
      <c r="F381" s="6" t="s">
        <v>540</v>
      </c>
      <c r="G381" s="6" t="s">
        <v>545</v>
      </c>
      <c r="H381" s="4">
        <v>11211800</v>
      </c>
      <c r="I381" s="6">
        <f t="shared" ca="1" si="24"/>
        <v>2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 t="s">
        <v>544</v>
      </c>
      <c r="D382" s="10" t="s">
        <v>178</v>
      </c>
      <c r="E382" s="6" t="s">
        <v>507</v>
      </c>
      <c r="F382" s="6" t="s">
        <v>541</v>
      </c>
      <c r="G382" s="6" t="s">
        <v>545</v>
      </c>
      <c r="H382" s="4">
        <v>1295800</v>
      </c>
      <c r="I382" s="6">
        <f t="shared" ref="I382:I405" ca="1" si="27">IF(C382="","",IF(L382="",TODAY()-C382,L382-C382))</f>
        <v>2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 t="s">
        <v>544</v>
      </c>
      <c r="D383" s="10" t="s">
        <v>178</v>
      </c>
      <c r="E383" s="6" t="s">
        <v>126</v>
      </c>
      <c r="F383" s="6" t="s">
        <v>485</v>
      </c>
      <c r="G383" s="6" t="s">
        <v>545</v>
      </c>
      <c r="H383" s="4">
        <v>3180000</v>
      </c>
      <c r="I383" s="6">
        <f t="shared" ca="1" si="27"/>
        <v>2</v>
      </c>
      <c r="J383" s="13" t="str">
        <f t="shared" ca="1" si="25"/>
        <v>정상</v>
      </c>
      <c r="K383" s="11"/>
      <c r="L383" s="11"/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>
        <v>46120</v>
      </c>
      <c r="D384" s="10" t="s">
        <v>243</v>
      </c>
      <c r="E384" s="6" t="s">
        <v>270</v>
      </c>
      <c r="F384" s="6" t="s">
        <v>546</v>
      </c>
      <c r="G384" s="6" t="s">
        <v>547</v>
      </c>
      <c r="H384" s="4">
        <v>20237900</v>
      </c>
      <c r="I384" s="6">
        <f t="shared" ca="1" si="27"/>
        <v>2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customHeight="1">
      <c r="B385" s="10">
        <f>IF(C385="","",COUNTA($C$2:C385))</f>
        <v>384</v>
      </c>
      <c r="C385" s="11">
        <v>46120</v>
      </c>
      <c r="D385" s="10" t="s">
        <v>243</v>
      </c>
      <c r="E385" s="6" t="s">
        <v>549</v>
      </c>
      <c r="F385" s="6" t="s">
        <v>548</v>
      </c>
      <c r="G385" s="6" t="s">
        <v>550</v>
      </c>
      <c r="H385" s="4">
        <v>6013200</v>
      </c>
      <c r="I385" s="6">
        <f t="shared" ca="1" si="27"/>
        <v>1</v>
      </c>
      <c r="J385" s="13" t="str">
        <f t="shared" ca="1" si="25"/>
        <v>정상</v>
      </c>
      <c r="K385" s="11"/>
      <c r="L385" s="11">
        <v>46121</v>
      </c>
      <c r="M385" s="10"/>
      <c r="N385" s="10" t="s">
        <v>33</v>
      </c>
      <c r="Q385" s="11"/>
      <c r="R385" s="11"/>
      <c r="S385" s="10"/>
    </row>
    <row r="386" spans="2:19" s="6" customFormat="1" ht="16.5" customHeight="1">
      <c r="B386" s="10">
        <f>IF(C386="","",COUNTA($C$2:C386))</f>
        <v>385</v>
      </c>
      <c r="C386" s="11" t="s">
        <v>564</v>
      </c>
      <c r="D386" s="10" t="s">
        <v>178</v>
      </c>
      <c r="E386" s="6" t="s">
        <v>24</v>
      </c>
      <c r="F386" s="6" t="s">
        <v>551</v>
      </c>
      <c r="G386" s="6" t="s">
        <v>566</v>
      </c>
      <c r="H386" s="4">
        <v>4492000</v>
      </c>
      <c r="I386" s="6">
        <f t="shared" ca="1" si="27"/>
        <v>1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customHeight="1">
      <c r="B387" s="10">
        <f>IF(C387="","",COUNTA($C$2:C387))</f>
        <v>386</v>
      </c>
      <c r="C387" s="11" t="s">
        <v>564</v>
      </c>
      <c r="D387" s="10" t="s">
        <v>178</v>
      </c>
      <c r="E387" s="6" t="s">
        <v>543</v>
      </c>
      <c r="F387" s="6" t="s">
        <v>552</v>
      </c>
      <c r="G387" s="6" t="s">
        <v>566</v>
      </c>
      <c r="H387" s="4">
        <v>31045500</v>
      </c>
      <c r="I387" s="6">
        <f t="shared" ca="1" si="27"/>
        <v>1</v>
      </c>
      <c r="J387" s="13" t="str">
        <f t="shared" ca="1" si="25"/>
        <v>정상</v>
      </c>
      <c r="K387" s="11"/>
      <c r="L387" s="11"/>
      <c r="M387" s="10"/>
      <c r="N387" s="10" t="s">
        <v>33</v>
      </c>
      <c r="Q387" s="11"/>
      <c r="R387" s="11"/>
      <c r="S387" s="10"/>
    </row>
    <row r="388" spans="2:19" s="6" customFormat="1" ht="16.5" customHeight="1">
      <c r="B388" s="10">
        <f>IF(C388="","",COUNTA($C$2:C388))</f>
        <v>387</v>
      </c>
      <c r="C388" s="11" t="s">
        <v>564</v>
      </c>
      <c r="D388" s="10" t="s">
        <v>178</v>
      </c>
      <c r="E388" s="6" t="s">
        <v>543</v>
      </c>
      <c r="F388" s="6" t="s">
        <v>553</v>
      </c>
      <c r="G388" s="6" t="s">
        <v>566</v>
      </c>
      <c r="H388" s="4">
        <v>574800</v>
      </c>
      <c r="I388" s="6">
        <f t="shared" ca="1" si="27"/>
        <v>1</v>
      </c>
      <c r="J388" s="13" t="str">
        <f t="shared" ca="1" si="25"/>
        <v>정상</v>
      </c>
      <c r="K388" s="11"/>
      <c r="L388" s="11"/>
      <c r="M388" s="10"/>
      <c r="N388" s="10" t="s">
        <v>33</v>
      </c>
      <c r="Q388" s="11"/>
      <c r="R388" s="11"/>
      <c r="S388" s="10"/>
    </row>
    <row r="389" spans="2:19" s="6" customFormat="1" ht="16.5" customHeight="1">
      <c r="B389" s="10">
        <f>IF(C389="","",COUNTA($C$2:C389))</f>
        <v>388</v>
      </c>
      <c r="C389" s="11" t="s">
        <v>564</v>
      </c>
      <c r="D389" s="10" t="s">
        <v>178</v>
      </c>
      <c r="E389" s="6" t="s">
        <v>128</v>
      </c>
      <c r="F389" s="6" t="s">
        <v>554</v>
      </c>
      <c r="G389" s="6" t="s">
        <v>566</v>
      </c>
      <c r="H389" s="4">
        <v>3687500</v>
      </c>
      <c r="I389" s="6">
        <f t="shared" ca="1" si="27"/>
        <v>1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customHeight="1">
      <c r="B390" s="10">
        <f>IF(C390="","",COUNTA($C$2:C390))</f>
        <v>389</v>
      </c>
      <c r="C390" s="11" t="s">
        <v>564</v>
      </c>
      <c r="D390" s="10" t="s">
        <v>178</v>
      </c>
      <c r="E390" s="6" t="s">
        <v>208</v>
      </c>
      <c r="F390" s="6" t="s">
        <v>555</v>
      </c>
      <c r="G390" s="6" t="s">
        <v>566</v>
      </c>
      <c r="H390" s="4">
        <v>21780000</v>
      </c>
      <c r="I390" s="6">
        <f t="shared" ca="1" si="27"/>
        <v>1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customHeight="1">
      <c r="B391" s="10">
        <f>IF(C391="","",COUNTA($C$2:C391))</f>
        <v>390</v>
      </c>
      <c r="C391" s="11" t="s">
        <v>564</v>
      </c>
      <c r="D391" s="10" t="s">
        <v>178</v>
      </c>
      <c r="E391" s="6" t="s">
        <v>562</v>
      </c>
      <c r="F391" s="6" t="s">
        <v>556</v>
      </c>
      <c r="G391" s="6" t="s">
        <v>566</v>
      </c>
      <c r="H391" s="4">
        <v>1630000</v>
      </c>
      <c r="I391" s="6">
        <f t="shared" ca="1" si="27"/>
        <v>1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customHeight="1">
      <c r="B392" s="10">
        <f>IF(C392="","",COUNTA($C$2:C392))</f>
        <v>391</v>
      </c>
      <c r="C392" s="11" t="s">
        <v>564</v>
      </c>
      <c r="D392" s="10" t="s">
        <v>178</v>
      </c>
      <c r="E392" s="6" t="s">
        <v>395</v>
      </c>
      <c r="F392" s="6" t="s">
        <v>557</v>
      </c>
      <c r="G392" s="6" t="s">
        <v>566</v>
      </c>
      <c r="H392" s="4">
        <v>20219600</v>
      </c>
      <c r="I392" s="6">
        <f t="shared" ca="1" si="27"/>
        <v>1</v>
      </c>
      <c r="J392" s="13" t="str">
        <f t="shared" ca="1" si="25"/>
        <v>정상</v>
      </c>
      <c r="K392" s="11"/>
      <c r="L392" s="11"/>
      <c r="M392" s="10"/>
      <c r="N392" s="10" t="s">
        <v>33</v>
      </c>
      <c r="Q392" s="11"/>
      <c r="R392" s="11"/>
      <c r="S392" s="10"/>
    </row>
    <row r="393" spans="2:19" s="6" customFormat="1" ht="16.5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126</v>
      </c>
      <c r="F393" s="6" t="s">
        <v>558</v>
      </c>
      <c r="G393" s="6" t="s">
        <v>566</v>
      </c>
      <c r="H393" s="4">
        <v>963200</v>
      </c>
      <c r="I393" s="6">
        <f t="shared" ca="1" si="27"/>
        <v>1</v>
      </c>
      <c r="J393" s="13" t="str">
        <f t="shared" ca="1" si="25"/>
        <v>정상</v>
      </c>
      <c r="K393" s="11"/>
      <c r="L393" s="11"/>
      <c r="M393" s="10"/>
      <c r="N393" s="10" t="s">
        <v>33</v>
      </c>
      <c r="Q393" s="11"/>
      <c r="R393" s="11"/>
      <c r="S393" s="10"/>
    </row>
    <row r="394" spans="2:19" s="6" customFormat="1" ht="16.5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563</v>
      </c>
      <c r="F394" s="6" t="s">
        <v>559</v>
      </c>
      <c r="G394" s="6" t="s">
        <v>566</v>
      </c>
      <c r="H394" s="4">
        <v>1380000</v>
      </c>
      <c r="I394" s="6">
        <f t="shared" ca="1" si="27"/>
        <v>1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customHeight="1">
      <c r="B395" s="10">
        <f>IF(C395="","",COUNTA($C$2:C395))</f>
        <v>394</v>
      </c>
      <c r="C395" s="11" t="s">
        <v>565</v>
      </c>
      <c r="D395" s="10" t="s">
        <v>178</v>
      </c>
      <c r="E395" s="6" t="s">
        <v>62</v>
      </c>
      <c r="F395" s="6" t="s">
        <v>560</v>
      </c>
      <c r="G395" s="6" t="s">
        <v>566</v>
      </c>
      <c r="H395" s="4">
        <v>410000</v>
      </c>
      <c r="I395" s="6">
        <f t="shared" ca="1" si="27"/>
        <v>0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customHeight="1">
      <c r="B396" s="10">
        <f>IF(C396="","",COUNTA($C$2:C396))</f>
        <v>395</v>
      </c>
      <c r="C396" s="11" t="s">
        <v>565</v>
      </c>
      <c r="D396" s="10" t="s">
        <v>178</v>
      </c>
      <c r="E396" s="6" t="s">
        <v>126</v>
      </c>
      <c r="F396" s="6" t="s">
        <v>485</v>
      </c>
      <c r="G396" s="6" t="s">
        <v>566</v>
      </c>
      <c r="H396" s="4">
        <v>464000</v>
      </c>
      <c r="I396" s="6">
        <f t="shared" ca="1" si="27"/>
        <v>0</v>
      </c>
      <c r="J396" s="13" t="str">
        <f t="shared" ca="1" si="25"/>
        <v>정상</v>
      </c>
      <c r="K396" s="11"/>
      <c r="L396" s="11"/>
      <c r="M396" s="10"/>
      <c r="N396" s="10" t="s">
        <v>33</v>
      </c>
      <c r="Q396" s="11"/>
      <c r="R396" s="11"/>
      <c r="S396" s="10"/>
    </row>
    <row r="397" spans="2:19" s="6" customFormat="1" ht="16.5" customHeight="1">
      <c r="B397" s="10">
        <f>IF(C397="","",COUNTA($C$2:C397))</f>
        <v>396</v>
      </c>
      <c r="C397" s="11" t="s">
        <v>565</v>
      </c>
      <c r="D397" s="10" t="s">
        <v>178</v>
      </c>
      <c r="E397" s="6" t="s">
        <v>207</v>
      </c>
      <c r="F397" s="6" t="s">
        <v>561</v>
      </c>
      <c r="G397" s="6" t="s">
        <v>566</v>
      </c>
      <c r="H397" s="4">
        <v>1261000</v>
      </c>
      <c r="I397" s="6">
        <f t="shared" ca="1" si="27"/>
        <v>0</v>
      </c>
      <c r="J397" s="13" t="str">
        <f t="shared" ca="1" si="25"/>
        <v>정상</v>
      </c>
      <c r="K397" s="11"/>
      <c r="L397" s="11"/>
      <c r="M397" s="10"/>
      <c r="N397" s="10" t="s">
        <v>33</v>
      </c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ref="D395:D407" si="28">IF(G398="","",IF(OR(G398="선급금",G398="중도금",G398="잔금"),"A",IF(G398="자재","B",IF(G398="특허료","C",""))))</f>
        <v/>
      </c>
      <c r="H398" s="4"/>
      <c r="I398" s="6" t="str">
        <f t="shared" ca="1" si="27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8"/>
        <v/>
      </c>
      <c r="H399" s="4"/>
      <c r="I399" s="6" t="str">
        <f t="shared" ca="1" si="27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8"/>
        <v/>
      </c>
      <c r="H400" s="4"/>
      <c r="I400" s="6" t="str">
        <f t="shared" ca="1" si="27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8"/>
        <v/>
      </c>
      <c r="H401" s="4"/>
      <c r="I401" s="6" t="str">
        <f t="shared" ca="1" si="27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8"/>
        <v/>
      </c>
      <c r="I402" s="1" t="str">
        <f t="shared" ca="1" si="27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8"/>
        <v/>
      </c>
      <c r="I403" s="1" t="str">
        <f t="shared" ca="1" si="27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8"/>
        <v/>
      </c>
      <c r="I404" s="1" t="str">
        <f t="shared" ca="1" si="27"/>
        <v/>
      </c>
      <c r="Q404" s="11"/>
      <c r="R404" s="11"/>
    </row>
    <row r="405" spans="2:19">
      <c r="B405" s="10"/>
      <c r="C405" s="11"/>
      <c r="D405" s="1" t="str">
        <f t="shared" si="28"/>
        <v/>
      </c>
      <c r="I405" s="1" t="str">
        <f t="shared" ca="1" si="27"/>
        <v/>
      </c>
      <c r="Q405" s="11"/>
      <c r="R405" s="11"/>
    </row>
    <row r="406" spans="2:19">
      <c r="B406" s="10"/>
      <c r="C406" s="11"/>
      <c r="D406" s="1" t="str">
        <f t="shared" si="28"/>
        <v/>
      </c>
      <c r="Q406" s="11"/>
      <c r="R406" s="11"/>
    </row>
    <row r="407" spans="2:19">
      <c r="B407" s="10"/>
      <c r="C407" s="11"/>
      <c r="D407" s="1" t="str">
        <f t="shared" si="28"/>
        <v/>
      </c>
      <c r="Q407" s="11"/>
      <c r="R407" s="11"/>
    </row>
    <row r="408" spans="2:19" ht="16.5" customHeight="1">
      <c r="C408" s="35"/>
      <c r="F408" s="38"/>
    </row>
  </sheetData>
  <autoFilter ref="A1:S407"/>
  <phoneticPr fontId="5" type="noConversion"/>
  <conditionalFormatting sqref="E3 F57:F60 E37">
    <cfRule type="expression" dxfId="90" priority="120">
      <formula>$J3="잔금"</formula>
    </cfRule>
  </conditionalFormatting>
  <conditionalFormatting sqref="E8">
    <cfRule type="expression" dxfId="89" priority="119">
      <formula>$J8="잔금"</formula>
    </cfRule>
  </conditionalFormatting>
  <conditionalFormatting sqref="E4">
    <cfRule type="expression" dxfId="88" priority="118">
      <formula>$J4="잔금"</formula>
    </cfRule>
  </conditionalFormatting>
  <conditionalFormatting sqref="E9">
    <cfRule type="expression" dxfId="87" priority="117">
      <formula>$J9="잔금"</formula>
    </cfRule>
  </conditionalFormatting>
  <conditionalFormatting sqref="E41">
    <cfRule type="expression" dxfId="86" priority="112">
      <formula>$J41="잔금"</formula>
    </cfRule>
  </conditionalFormatting>
  <conditionalFormatting sqref="E98:E99 E187:F193 H187:H193 F113 C187:C193">
    <cfRule type="expression" dxfId="85" priority="102">
      <formula>$J98="잔금"</formula>
    </cfRule>
  </conditionalFormatting>
  <conditionalFormatting sqref="F98:F99">
    <cfRule type="expression" dxfId="84" priority="101">
      <formula>$J98="잔금"</formula>
    </cfRule>
  </conditionalFormatting>
  <conditionalFormatting sqref="F104:F105">
    <cfRule type="expression" dxfId="83" priority="99">
      <formula>$J104="잔금"</formula>
    </cfRule>
  </conditionalFormatting>
  <conditionalFormatting sqref="H104:H105">
    <cfRule type="expression" dxfId="82" priority="98">
      <formula>$J104="잔금"</formula>
    </cfRule>
  </conditionalFormatting>
  <conditionalFormatting sqref="E106:E108">
    <cfRule type="expression" dxfId="81" priority="97">
      <formula>$J106="잔금"</formula>
    </cfRule>
  </conditionalFormatting>
  <conditionalFormatting sqref="F106:F108">
    <cfRule type="expression" dxfId="80" priority="96">
      <formula>$J106="잔금"</formula>
    </cfRule>
  </conditionalFormatting>
  <conditionalFormatting sqref="H106:H108">
    <cfRule type="expression" dxfId="79" priority="95">
      <formula>$J106="잔금"</formula>
    </cfRule>
  </conditionalFormatting>
  <conditionalFormatting sqref="E110">
    <cfRule type="expression" dxfId="78" priority="94">
      <formula>$J110="잔금"</formula>
    </cfRule>
  </conditionalFormatting>
  <conditionalFormatting sqref="F110">
    <cfRule type="expression" dxfId="77" priority="93">
      <formula>$J110="잔금"</formula>
    </cfRule>
  </conditionalFormatting>
  <conditionalFormatting sqref="E111:E113">
    <cfRule type="expression" dxfId="76" priority="92">
      <formula>$J111="잔금"</formula>
    </cfRule>
  </conditionalFormatting>
  <conditionalFormatting sqref="F111">
    <cfRule type="expression" dxfId="75" priority="91">
      <formula>$J111="잔금"</formula>
    </cfRule>
  </conditionalFormatting>
  <conditionalFormatting sqref="F112">
    <cfRule type="expression" dxfId="74" priority="90">
      <formula>$J112="잔금"</formula>
    </cfRule>
  </conditionalFormatting>
  <conditionalFormatting sqref="H111:H113">
    <cfRule type="expression" dxfId="73" priority="89">
      <formula>$J111="잔금"</formula>
    </cfRule>
  </conditionalFormatting>
  <conditionalFormatting sqref="C111:C113">
    <cfRule type="expression" dxfId="72" priority="88">
      <formula>$J111="잔금"</formula>
    </cfRule>
  </conditionalFormatting>
  <conditionalFormatting sqref="E117">
    <cfRule type="expression" dxfId="71" priority="87">
      <formula>$J117="잔금"</formula>
    </cfRule>
  </conditionalFormatting>
  <conditionalFormatting sqref="F117">
    <cfRule type="expression" dxfId="70" priority="86">
      <formula>$J117="잔금"</formula>
    </cfRule>
  </conditionalFormatting>
  <conditionalFormatting sqref="F143:F150">
    <cfRule type="expression" dxfId="69" priority="85">
      <formula>$J143="잔금"</formula>
    </cfRule>
  </conditionalFormatting>
  <conditionalFormatting sqref="E143:E150">
    <cfRule type="expression" dxfId="68" priority="84">
      <formula>$J143="잔금"</formula>
    </cfRule>
  </conditionalFormatting>
  <conditionalFormatting sqref="H143:H150">
    <cfRule type="expression" dxfId="67" priority="83">
      <formula>$J143="잔금"</formula>
    </cfRule>
  </conditionalFormatting>
  <conditionalFormatting sqref="E152:E158">
    <cfRule type="expression" dxfId="66" priority="81">
      <formula>$J152="잔금"</formula>
    </cfRule>
  </conditionalFormatting>
  <conditionalFormatting sqref="F152:F158">
    <cfRule type="expression" dxfId="65" priority="80">
      <formula>$J152="잔금"</formula>
    </cfRule>
  </conditionalFormatting>
  <conditionalFormatting sqref="C152:C158">
    <cfRule type="expression" dxfId="64" priority="79">
      <formula>$J152="잔금"</formula>
    </cfRule>
  </conditionalFormatting>
  <conditionalFormatting sqref="H152:H158">
    <cfRule type="expression" dxfId="63" priority="78">
      <formula>$J152="잔금"</formula>
    </cfRule>
  </conditionalFormatting>
  <conditionalFormatting sqref="C159">
    <cfRule type="expression" dxfId="62" priority="77">
      <formula>$I159="잔금"</formula>
    </cfRule>
  </conditionalFormatting>
  <conditionalFormatting sqref="F160:F163">
    <cfRule type="expression" dxfId="61" priority="76">
      <formula>$J160="잔금"</formula>
    </cfRule>
  </conditionalFormatting>
  <conditionalFormatting sqref="E160:E163">
    <cfRule type="expression" dxfId="60" priority="75">
      <formula>$J160="잔금"</formula>
    </cfRule>
  </conditionalFormatting>
  <conditionalFormatting sqref="C160:C166">
    <cfRule type="expression" dxfId="59" priority="74">
      <formula>$J160="잔금"</formula>
    </cfRule>
  </conditionalFormatting>
  <conditionalFormatting sqref="H160:H163">
    <cfRule type="expression" dxfId="58" priority="73">
      <formula>$J160="잔금"</formula>
    </cfRule>
  </conditionalFormatting>
  <conditionalFormatting sqref="F167:F179">
    <cfRule type="expression" dxfId="57" priority="72">
      <formula>$J167="잔금"</formula>
    </cfRule>
  </conditionalFormatting>
  <conditionalFormatting sqref="F180:F186">
    <cfRule type="expression" dxfId="56" priority="71">
      <formula>$J180="잔금"</formula>
    </cfRule>
  </conditionalFormatting>
  <conditionalFormatting sqref="E167:E179">
    <cfRule type="expression" dxfId="55" priority="70">
      <formula>$J167="잔금"</formula>
    </cfRule>
  </conditionalFormatting>
  <conditionalFormatting sqref="E180:E186">
    <cfRule type="expression" dxfId="54" priority="69">
      <formula>$J180="잔금"</formula>
    </cfRule>
  </conditionalFormatting>
  <conditionalFormatting sqref="C180:C186">
    <cfRule type="expression" dxfId="53" priority="67">
      <formula>$J180="잔금"</formula>
    </cfRule>
  </conditionalFormatting>
  <conditionalFormatting sqref="H167:H179">
    <cfRule type="expression" dxfId="52" priority="66">
      <formula>$J167="잔금"</formula>
    </cfRule>
  </conditionalFormatting>
  <conditionalFormatting sqref="H180:H186">
    <cfRule type="expression" dxfId="51" priority="65">
      <formula>$J180="잔금"</formula>
    </cfRule>
  </conditionalFormatting>
  <conditionalFormatting sqref="F195:F201">
    <cfRule type="expression" dxfId="50" priority="60">
      <formula>$J195="잔금"</formula>
    </cfRule>
  </conditionalFormatting>
  <conditionalFormatting sqref="E195:E201">
    <cfRule type="expression" dxfId="49" priority="59">
      <formula>$J195="잔금"</formula>
    </cfRule>
  </conditionalFormatting>
  <conditionalFormatting sqref="C195:C202">
    <cfRule type="expression" dxfId="48" priority="58">
      <formula>$J195="잔금"</formula>
    </cfRule>
  </conditionalFormatting>
  <conditionalFormatting sqref="H195:H201">
    <cfRule type="expression" dxfId="47" priority="57">
      <formula>$J195="잔금"</formula>
    </cfRule>
  </conditionalFormatting>
  <conditionalFormatting sqref="C203:C216">
    <cfRule type="expression" dxfId="46" priority="56">
      <formula>$J203="잔금"</formula>
    </cfRule>
  </conditionalFormatting>
  <conditionalFormatting sqref="F203:F216">
    <cfRule type="expression" dxfId="45" priority="55">
      <formula>$J203="잔금"</formula>
    </cfRule>
  </conditionalFormatting>
  <conditionalFormatting sqref="H203:H216">
    <cfRule type="expression" dxfId="44" priority="54">
      <formula>$J203="잔금"</formula>
    </cfRule>
  </conditionalFormatting>
  <conditionalFormatting sqref="E203:E217">
    <cfRule type="expression" dxfId="43" priority="53">
      <formula>$J203="잔금"</formula>
    </cfRule>
  </conditionalFormatting>
  <conditionalFormatting sqref="C217">
    <cfRule type="expression" dxfId="42" priority="52">
      <formula>$I217="잔금"</formula>
    </cfRule>
  </conditionalFormatting>
  <conditionalFormatting sqref="H217">
    <cfRule type="expression" dxfId="41" priority="47">
      <formula>$I217="잔금"</formula>
    </cfRule>
  </conditionalFormatting>
  <conditionalFormatting sqref="C218">
    <cfRule type="expression" dxfId="40" priority="46">
      <formula>$I218="잔금"</formula>
    </cfRule>
  </conditionalFormatting>
  <conditionalFormatting sqref="C219">
    <cfRule type="expression" dxfId="39" priority="45">
      <formula>$I219="잔금"</formula>
    </cfRule>
  </conditionalFormatting>
  <conditionalFormatting sqref="C220">
    <cfRule type="expression" dxfId="38" priority="44">
      <formula>$I220="잔금"</formula>
    </cfRule>
  </conditionalFormatting>
  <conditionalFormatting sqref="F221:F230">
    <cfRule type="expression" dxfId="37" priority="43">
      <formula>$J221="잔금"</formula>
    </cfRule>
  </conditionalFormatting>
  <conditionalFormatting sqref="F231:F244">
    <cfRule type="expression" dxfId="36" priority="42">
      <formula>$J231="잔금"</formula>
    </cfRule>
  </conditionalFormatting>
  <conditionalFormatting sqref="E221:E230">
    <cfRule type="expression" dxfId="35" priority="41">
      <formula>$J221="잔금"</formula>
    </cfRule>
  </conditionalFormatting>
  <conditionalFormatting sqref="E231:E244">
    <cfRule type="expression" dxfId="34" priority="40">
      <formula>$J231="잔금"</formula>
    </cfRule>
  </conditionalFormatting>
  <conditionalFormatting sqref="H221:H230">
    <cfRule type="expression" dxfId="33" priority="39">
      <formula>$J221="잔금"</formula>
    </cfRule>
  </conditionalFormatting>
  <conditionalFormatting sqref="H231:H244">
    <cfRule type="expression" dxfId="32" priority="38">
      <formula>$J231="잔금"</formula>
    </cfRule>
  </conditionalFormatting>
  <conditionalFormatting sqref="C246">
    <cfRule type="expression" dxfId="31" priority="37">
      <formula>$I246="잔금"</formula>
    </cfRule>
  </conditionalFormatting>
  <conditionalFormatting sqref="C247">
    <cfRule type="expression" dxfId="30" priority="36">
      <formula>$I247="잔금"</formula>
    </cfRule>
  </conditionalFormatting>
  <conditionalFormatting sqref="C248">
    <cfRule type="expression" dxfId="29" priority="35">
      <formula>$I248="잔금"</formula>
    </cfRule>
  </conditionalFormatting>
  <conditionalFormatting sqref="F249:F253">
    <cfRule type="expression" dxfId="28" priority="34">
      <formula>$J249="잔금"</formula>
    </cfRule>
  </conditionalFormatting>
  <conditionalFormatting sqref="E249:E253">
    <cfRule type="expression" dxfId="27" priority="33">
      <formula>$J249="잔금"</formula>
    </cfRule>
  </conditionalFormatting>
  <conditionalFormatting sqref="C249:C253">
    <cfRule type="expression" dxfId="26" priority="32">
      <formula>$J249="잔금"</formula>
    </cfRule>
  </conditionalFormatting>
  <conditionalFormatting sqref="H249:H253">
    <cfRule type="expression" dxfId="25" priority="31">
      <formula>$J249="잔금"</formula>
    </cfRule>
  </conditionalFormatting>
  <conditionalFormatting sqref="C254:C257">
    <cfRule type="expression" dxfId="24" priority="30">
      <formula>$I254="잔금"</formula>
    </cfRule>
  </conditionalFormatting>
  <conditionalFormatting sqref="F258:F267">
    <cfRule type="expression" dxfId="23" priority="29">
      <formula>$J258="잔금"</formula>
    </cfRule>
  </conditionalFormatting>
  <conditionalFormatting sqref="F268:F276">
    <cfRule type="expression" dxfId="22" priority="28">
      <formula>$J268="잔금"</formula>
    </cfRule>
  </conditionalFormatting>
  <conditionalFormatting sqref="C115">
    <cfRule type="expression" dxfId="21" priority="22">
      <formula>$J115="잔금"</formula>
    </cfRule>
  </conditionalFormatting>
  <conditionalFormatting sqref="C114">
    <cfRule type="expression" dxfId="20" priority="23">
      <formula>$J114="잔금"</formula>
    </cfRule>
  </conditionalFormatting>
  <conditionalFormatting sqref="C167">
    <cfRule type="expression" dxfId="19" priority="21">
      <formula>$J167="잔금"</formula>
    </cfRule>
  </conditionalFormatting>
  <conditionalFormatting sqref="C168">
    <cfRule type="expression" dxfId="18" priority="20">
      <formula>$J168="잔금"</formula>
    </cfRule>
  </conditionalFormatting>
  <conditionalFormatting sqref="C169">
    <cfRule type="expression" dxfId="17" priority="19">
      <formula>$J169="잔금"</formula>
    </cfRule>
  </conditionalFormatting>
  <conditionalFormatting sqref="C170">
    <cfRule type="expression" dxfId="16" priority="18">
      <formula>$J170="잔금"</formula>
    </cfRule>
  </conditionalFormatting>
  <conditionalFormatting sqref="C171">
    <cfRule type="expression" dxfId="15" priority="17">
      <formula>$J171="잔금"</formula>
    </cfRule>
  </conditionalFormatting>
  <conditionalFormatting sqref="C172">
    <cfRule type="expression" dxfId="14" priority="16">
      <formula>$J172="잔금"</formula>
    </cfRule>
  </conditionalFormatting>
  <conditionalFormatting sqref="C173">
    <cfRule type="expression" dxfId="13" priority="15">
      <formula>$J173="잔금"</formula>
    </cfRule>
  </conditionalFormatting>
  <conditionalFormatting sqref="C174">
    <cfRule type="expression" dxfId="12" priority="14">
      <formula>$J174="잔금"</formula>
    </cfRule>
  </conditionalFormatting>
  <conditionalFormatting sqref="C175">
    <cfRule type="expression" dxfId="11" priority="12">
      <formula>$J175="잔금"</formula>
    </cfRule>
  </conditionalFormatting>
  <conditionalFormatting sqref="C176">
    <cfRule type="expression" dxfId="10" priority="11">
      <formula>$J176="잔금"</formula>
    </cfRule>
  </conditionalFormatting>
  <conditionalFormatting sqref="C177">
    <cfRule type="expression" dxfId="9" priority="10">
      <formula>$J177="잔금"</formula>
    </cfRule>
  </conditionalFormatting>
  <conditionalFormatting sqref="C178">
    <cfRule type="expression" dxfId="8" priority="9">
      <formula>$J178="잔금"</formula>
    </cfRule>
  </conditionalFormatting>
  <conditionalFormatting sqref="C179">
    <cfRule type="expression" dxfId="7" priority="8">
      <formula>$J179="잔금"</formula>
    </cfRule>
  </conditionalFormatting>
  <conditionalFormatting sqref="H309:H310">
    <cfRule type="expression" dxfId="6" priority="2">
      <formula>$J309="잔금"</formula>
    </cfRule>
  </conditionalFormatting>
  <conditionalFormatting sqref="F290:F303">
    <cfRule type="expression" dxfId="5" priority="7">
      <formula>$J290="잔금"</formula>
    </cfRule>
  </conditionalFormatting>
  <conditionalFormatting sqref="F304:F308">
    <cfRule type="expression" dxfId="4" priority="6">
      <formula>$J304="잔금"</formula>
    </cfRule>
  </conditionalFormatting>
  <conditionalFormatting sqref="F309:F310">
    <cfRule type="expression" dxfId="3" priority="5">
      <formula>$J309="잔금"</formula>
    </cfRule>
  </conditionalFormatting>
  <conditionalFormatting sqref="H290:H303">
    <cfRule type="expression" dxfId="2" priority="4">
      <formula>$J290="잔금"</formula>
    </cfRule>
  </conditionalFormatting>
  <conditionalFormatting sqref="H304:H308">
    <cfRule type="expression" dxfId="1" priority="3">
      <formula>$J304="잔금"</formula>
    </cfRule>
  </conditionalFormatting>
  <conditionalFormatting sqref="H312:H353">
    <cfRule type="expression" dxfId="0" priority="1">
      <formula>$J312="잔금"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397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2026-04-10T09:22:58Z</dcterms:modified>
</cp:coreProperties>
</file>