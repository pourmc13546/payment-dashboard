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data!$A$1:$S$521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I520" i="1" l="1"/>
  <c r="J520" i="1" s="1"/>
  <c r="I521" i="1"/>
  <c r="J521" i="1" s="1"/>
  <c r="B520" i="1"/>
  <c r="B521" i="1"/>
  <c r="I519" i="1"/>
  <c r="J519" i="1" s="1"/>
  <c r="B519" i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I486" i="1" l="1"/>
  <c r="J486" i="1" s="1"/>
  <c r="B486" i="1"/>
  <c r="I485" i="1"/>
  <c r="J485" i="1" s="1"/>
  <c r="B485" i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B479" i="1"/>
  <c r="B480" i="1"/>
  <c r="B481" i="1"/>
  <c r="B482" i="1"/>
  <c r="B483" i="1"/>
  <c r="B484" i="1"/>
  <c r="B337" i="1"/>
  <c r="I337" i="1"/>
  <c r="J337" i="1" s="1"/>
  <c r="H8" i="1" l="1"/>
  <c r="I477" i="1"/>
  <c r="J477" i="1" s="1"/>
  <c r="I478" i="1"/>
  <c r="J478" i="1" s="1"/>
  <c r="B477" i="1"/>
  <c r="B478" i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I452" i="1" l="1"/>
  <c r="J452" i="1" s="1"/>
  <c r="I453" i="1"/>
  <c r="J453" i="1" s="1"/>
  <c r="B453" i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I311" i="1" l="1"/>
  <c r="J311" i="1" s="1"/>
  <c r="B311" i="1"/>
  <c r="I435" i="1" l="1"/>
  <c r="J435" i="1" s="1"/>
  <c r="I436" i="1"/>
  <c r="J436" i="1" s="1"/>
  <c r="I437" i="1"/>
  <c r="J437" i="1" s="1"/>
  <c r="I438" i="1"/>
  <c r="J438" i="1" s="1"/>
  <c r="B435" i="1"/>
  <c r="B436" i="1"/>
  <c r="B437" i="1"/>
  <c r="B438" i="1"/>
  <c r="B434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B425" i="1"/>
  <c r="B426" i="1"/>
  <c r="B427" i="1"/>
  <c r="B428" i="1"/>
  <c r="B429" i="1"/>
  <c r="B430" i="1"/>
  <c r="B431" i="1"/>
  <c r="B432" i="1"/>
  <c r="B433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<sst xmlns="http://schemas.openxmlformats.org/spreadsheetml/2006/main" count="2746" uniqueCount="729">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</sst>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1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521"/>
  <sheetViews>
    <sheetView tabSelected="1" zoomScaleNormal="100" workbookViewId="0">
      <pane xSplit="5" ySplit="1" topLeftCell="F366" activePane="bottomRight" state="frozen"/>
      <selection pane="topRight"/>
      <selection pane="bottomLeft"/>
      <selection pane="bottomRight" activeCell="H438" sqref="H43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339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319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221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171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126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121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304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164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479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899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703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543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681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680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772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414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409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399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393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389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389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388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386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365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351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330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318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288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266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337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261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239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234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191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189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178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431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296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296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247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74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73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109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72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72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71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71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70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69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58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56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56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52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52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50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50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50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50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50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50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49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46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46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45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45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45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45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45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45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44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44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44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44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43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43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43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43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43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42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42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42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42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42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38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38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38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38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38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38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38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38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38</v>
      </c>
      <c r="J212" s="13" t="str">
        <f t="shared" ca="1" si="17"/>
        <v>정상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38</v>
      </c>
      <c r="J213" s="13" t="str">
        <f t="shared" ca="1" si="17"/>
        <v>정상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38</v>
      </c>
      <c r="J214" s="13" t="str">
        <f t="shared" ca="1" si="17"/>
        <v>정상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37</v>
      </c>
      <c r="J221" s="13" t="str">
        <f t="shared" ca="1" si="17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37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37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37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37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36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36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36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36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36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36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36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35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35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32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32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32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32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32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32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31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31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31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31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31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31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31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29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30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30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30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30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30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30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30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30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30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29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29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29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29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29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728</v>
      </c>
      <c r="F295" s="23" t="s">
        <v>444</v>
      </c>
      <c r="G295" s="6" t="s">
        <v>458</v>
      </c>
      <c r="H295" s="25">
        <v>427500</v>
      </c>
      <c r="I295" s="6">
        <f t="shared" ca="1" si="20"/>
        <v>29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29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29</v>
      </c>
      <c r="J298" s="13" t="str">
        <f t="shared" ca="1" si="23"/>
        <v>정상</v>
      </c>
      <c r="K298" s="11"/>
      <c r="L298" s="11"/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29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29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29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28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28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28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28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25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21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21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21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21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21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21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21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21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21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21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21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21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21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21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21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21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21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21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18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18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18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18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18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18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18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18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18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18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18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18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18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18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18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18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18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21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21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22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18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17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16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16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16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16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16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16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16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16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2" ca="1" si="27">IF(C382="","",IF(L382="",TODAY()-C382,L382-C382))</f>
        <v>16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15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15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15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15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15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689</v>
      </c>
      <c r="G391" s="6" t="s">
        <v>565</v>
      </c>
      <c r="H391" s="12">
        <v>963200</v>
      </c>
      <c r="I391" s="6">
        <f t="shared" ca="1" si="27"/>
        <v>15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14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14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14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10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10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10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10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11</v>
      </c>
      <c r="J407" s="13" t="str">
        <f t="shared" ca="1" si="25"/>
        <v>정상</v>
      </c>
      <c r="K407" s="44">
        <v>46173</v>
      </c>
      <c r="L407" s="44"/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11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11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11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11</v>
      </c>
      <c r="J413" s="13" t="str">
        <f t="shared" ref="J413:J474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11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11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11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11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11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11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11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11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11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10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10</v>
      </c>
      <c r="J426" s="13" t="str">
        <f t="shared" ca="1" si="29"/>
        <v>정상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10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hidden="1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10</v>
      </c>
      <c r="J429" s="13" t="str">
        <f t="shared" ca="1" si="29"/>
        <v>정상</v>
      </c>
      <c r="N429" s="10" t="s">
        <v>33</v>
      </c>
    </row>
    <row r="430" spans="2:18" ht="16.5" hidden="1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10</v>
      </c>
      <c r="J430" s="13" t="str">
        <f t="shared" ca="1" si="29"/>
        <v>정상</v>
      </c>
      <c r="N430" s="10" t="s">
        <v>33</v>
      </c>
    </row>
    <row r="431" spans="2:18" ht="16.5" hidden="1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577</v>
      </c>
      <c r="F431" s="18" t="s">
        <v>588</v>
      </c>
      <c r="G431" s="18" t="s">
        <v>607</v>
      </c>
      <c r="H431" s="4">
        <v>1217300</v>
      </c>
      <c r="I431" s="18">
        <f t="shared" ca="1" si="27"/>
        <v>10</v>
      </c>
      <c r="J431" s="13" t="str">
        <f t="shared" ca="1" si="29"/>
        <v>정상</v>
      </c>
      <c r="N431" s="10" t="s">
        <v>33</v>
      </c>
    </row>
    <row r="432" spans="2:18" ht="16.5" hidden="1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375</v>
      </c>
      <c r="F432" s="18" t="s">
        <v>500</v>
      </c>
      <c r="G432" s="18" t="s">
        <v>607</v>
      </c>
      <c r="H432" s="4">
        <v>23634000</v>
      </c>
      <c r="I432" s="18">
        <f t="shared" ca="1" si="27"/>
        <v>1</v>
      </c>
      <c r="J432" s="13" t="str">
        <f t="shared" ca="1" si="29"/>
        <v>정상</v>
      </c>
      <c r="L432" s="44">
        <v>46127</v>
      </c>
      <c r="N432" s="10" t="s">
        <v>33</v>
      </c>
    </row>
    <row r="433" spans="2:18" ht="16.5" hidden="1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578</v>
      </c>
      <c r="F433" s="18" t="s">
        <v>589</v>
      </c>
      <c r="G433" s="18" t="s">
        <v>607</v>
      </c>
      <c r="H433" s="4">
        <v>7826000</v>
      </c>
      <c r="I433" s="18">
        <f t="shared" ca="1" si="27"/>
        <v>10</v>
      </c>
      <c r="J433" s="13" t="str">
        <f t="shared" ca="1" si="29"/>
        <v>정상</v>
      </c>
      <c r="N433" s="10" t="s">
        <v>33</v>
      </c>
    </row>
    <row r="434" spans="2:18" s="18" customFormat="1" ht="16.5" hidden="1" customHeight="1">
      <c r="B434" s="10">
        <f>IF(C434="","",COUNTA($C$2:C434))</f>
        <v>433</v>
      </c>
      <c r="C434" s="44" t="s">
        <v>586</v>
      </c>
      <c r="D434" s="42" t="s">
        <v>181</v>
      </c>
      <c r="E434" s="18" t="s">
        <v>609</v>
      </c>
      <c r="F434" s="18" t="s">
        <v>608</v>
      </c>
      <c r="G434" s="18" t="s">
        <v>610</v>
      </c>
      <c r="H434" s="12">
        <v>299600</v>
      </c>
      <c r="I434" s="18">
        <f t="shared" ca="1" si="27"/>
        <v>10</v>
      </c>
      <c r="J434" s="13" t="str">
        <f t="shared" ca="1" si="29"/>
        <v>정상</v>
      </c>
      <c r="K434" s="44"/>
      <c r="L434" s="44"/>
      <c r="M434" s="42"/>
      <c r="N434" s="10" t="s">
        <v>33</v>
      </c>
      <c r="Q434" s="46"/>
      <c r="R434" s="46"/>
    </row>
    <row r="435" spans="2:18" s="18" customFormat="1" ht="16.5" customHeight="1">
      <c r="B435" s="10">
        <f>IF(C435="","",COUNTA($C$2:C435))</f>
        <v>434</v>
      </c>
      <c r="C435" s="44" t="s">
        <v>586</v>
      </c>
      <c r="D435" s="42" t="s">
        <v>243</v>
      </c>
      <c r="E435" s="18" t="s">
        <v>618</v>
      </c>
      <c r="F435" s="18" t="s">
        <v>614</v>
      </c>
      <c r="G435" s="18" t="s">
        <v>611</v>
      </c>
      <c r="H435" s="12">
        <v>7532400</v>
      </c>
      <c r="I435" s="18">
        <f t="shared" ca="1" si="27"/>
        <v>10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619</v>
      </c>
      <c r="F436" s="18" t="s">
        <v>615</v>
      </c>
      <c r="G436" s="18" t="s">
        <v>612</v>
      </c>
      <c r="H436" s="12">
        <v>70476400</v>
      </c>
      <c r="I436" s="18">
        <f t="shared" ca="1" si="27"/>
        <v>10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620</v>
      </c>
      <c r="F437" s="18" t="s">
        <v>616</v>
      </c>
      <c r="G437" s="18" t="s">
        <v>611</v>
      </c>
      <c r="H437" s="12">
        <v>7287600</v>
      </c>
      <c r="I437" s="18">
        <f t="shared" ca="1" si="27"/>
        <v>10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621</v>
      </c>
      <c r="F438" s="18" t="s">
        <v>617</v>
      </c>
      <c r="G438" s="18" t="s">
        <v>613</v>
      </c>
      <c r="H438" s="12">
        <v>4080000</v>
      </c>
      <c r="I438" s="18">
        <f t="shared" ca="1" si="27"/>
        <v>10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ht="16.5" hidden="1" customHeight="1">
      <c r="B439" s="10">
        <f>IF(C439="","",COUNTA($C$2:C439))</f>
        <v>438</v>
      </c>
      <c r="C439" s="44">
        <v>46126</v>
      </c>
      <c r="D439" s="42" t="s">
        <v>639</v>
      </c>
      <c r="E439" s="23" t="s">
        <v>579</v>
      </c>
      <c r="F439" s="23" t="s">
        <v>626</v>
      </c>
      <c r="G439" s="18" t="s">
        <v>642</v>
      </c>
      <c r="H439" s="4">
        <v>13317700</v>
      </c>
      <c r="I439" s="18">
        <f t="shared" ca="1" si="27"/>
        <v>10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640</v>
      </c>
      <c r="D440" s="42" t="s">
        <v>639</v>
      </c>
      <c r="E440" s="23" t="s">
        <v>585</v>
      </c>
      <c r="F440" s="23" t="s">
        <v>627</v>
      </c>
      <c r="G440" s="18" t="s">
        <v>642</v>
      </c>
      <c r="H440" s="4">
        <v>4826000</v>
      </c>
      <c r="I440" s="18">
        <f t="shared" ca="1" si="27"/>
        <v>9</v>
      </c>
      <c r="J440" s="13" t="str">
        <f t="shared" ca="1" si="29"/>
        <v>정상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249</v>
      </c>
      <c r="F441" s="23" t="s">
        <v>628</v>
      </c>
      <c r="G441" s="18" t="s">
        <v>642</v>
      </c>
      <c r="H441" s="4">
        <v>266400</v>
      </c>
      <c r="I441" s="18">
        <f t="shared" ca="1" si="27"/>
        <v>9</v>
      </c>
      <c r="J441" s="13" t="str">
        <f t="shared" ca="1" si="29"/>
        <v>정상</v>
      </c>
      <c r="K441" s="44">
        <v>46173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463</v>
      </c>
      <c r="F442" s="23" t="s">
        <v>625</v>
      </c>
      <c r="G442" s="18" t="s">
        <v>642</v>
      </c>
      <c r="H442" s="4">
        <v>1013300</v>
      </c>
      <c r="I442" s="18">
        <f t="shared" ca="1" si="27"/>
        <v>9</v>
      </c>
      <c r="J442" s="13" t="str">
        <f t="shared" ca="1" si="29"/>
        <v>정상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81</v>
      </c>
      <c r="F443" s="23" t="s">
        <v>629</v>
      </c>
      <c r="G443" s="18" t="s">
        <v>642</v>
      </c>
      <c r="H443" s="4">
        <v>449400</v>
      </c>
      <c r="I443" s="18">
        <f t="shared" ref="I443:I506" ca="1" si="30">IF(C443="","",IF(L443="",TODAY()-C443,L443-C443))</f>
        <v>9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208</v>
      </c>
      <c r="F444" s="23" t="s">
        <v>630</v>
      </c>
      <c r="G444" s="18" t="s">
        <v>642</v>
      </c>
      <c r="H444" s="4">
        <v>-7260000</v>
      </c>
      <c r="I444" s="18">
        <f t="shared" ca="1" si="30"/>
        <v>9</v>
      </c>
      <c r="J444" s="13" t="str">
        <f t="shared" ca="1" si="29"/>
        <v>정상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209</v>
      </c>
      <c r="F445" s="23" t="s">
        <v>631</v>
      </c>
      <c r="G445" s="18" t="s">
        <v>642</v>
      </c>
      <c r="H445" s="4">
        <v>10770000</v>
      </c>
      <c r="I445" s="18">
        <f t="shared" ca="1" si="30"/>
        <v>9</v>
      </c>
      <c r="J445" s="13" t="str">
        <f t="shared" ca="1" si="29"/>
        <v>정상</v>
      </c>
      <c r="N445" s="10" t="s">
        <v>33</v>
      </c>
    </row>
    <row r="446" spans="2:18" ht="16.5" hidden="1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637</v>
      </c>
      <c r="F446" s="23" t="s">
        <v>632</v>
      </c>
      <c r="G446" s="18" t="s">
        <v>642</v>
      </c>
      <c r="H446" s="4">
        <v>46300</v>
      </c>
      <c r="I446" s="18">
        <f t="shared" ca="1" si="30"/>
        <v>9</v>
      </c>
      <c r="J446" s="13" t="str">
        <f t="shared" ca="1" si="29"/>
        <v>정상</v>
      </c>
      <c r="N446" s="10" t="s">
        <v>33</v>
      </c>
    </row>
    <row r="447" spans="2:18" ht="16.5" hidden="1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126</v>
      </c>
      <c r="F447" s="23" t="s">
        <v>633</v>
      </c>
      <c r="G447" s="18" t="s">
        <v>642</v>
      </c>
      <c r="H447" s="4">
        <v>11690000</v>
      </c>
      <c r="I447" s="18">
        <f t="shared" ca="1" si="30"/>
        <v>9</v>
      </c>
      <c r="J447" s="13" t="str">
        <f t="shared" ca="1" si="29"/>
        <v>정상</v>
      </c>
      <c r="N447" s="10" t="s">
        <v>33</v>
      </c>
    </row>
    <row r="448" spans="2:18" ht="16.5" hidden="1" customHeight="1">
      <c r="B448" s="10">
        <f>IF(C448="","",COUNTA($C$2:C448))</f>
        <v>447</v>
      </c>
      <c r="C448" s="30" t="s">
        <v>641</v>
      </c>
      <c r="D448" s="42" t="s">
        <v>639</v>
      </c>
      <c r="E448" s="23" t="s">
        <v>638</v>
      </c>
      <c r="F448" s="23" t="s">
        <v>634</v>
      </c>
      <c r="G448" s="18" t="s">
        <v>642</v>
      </c>
      <c r="H448" s="4">
        <v>2000200</v>
      </c>
      <c r="I448" s="18">
        <f t="shared" ca="1" si="30"/>
        <v>0</v>
      </c>
      <c r="J448" s="13" t="str">
        <f t="shared" ca="1" si="29"/>
        <v>정상</v>
      </c>
      <c r="L448" s="44">
        <v>46128</v>
      </c>
      <c r="N448" s="10" t="s">
        <v>33</v>
      </c>
    </row>
    <row r="449" spans="2:18" ht="16.5" hidden="1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434</v>
      </c>
      <c r="F449" s="23" t="s">
        <v>635</v>
      </c>
      <c r="G449" s="18" t="s">
        <v>642</v>
      </c>
      <c r="H449" s="4">
        <v>8651000</v>
      </c>
      <c r="I449" s="18">
        <f t="shared" ca="1" si="30"/>
        <v>8</v>
      </c>
      <c r="J449" s="13" t="str">
        <f t="shared" ca="1" si="29"/>
        <v>정상</v>
      </c>
      <c r="N449" s="10" t="s">
        <v>33</v>
      </c>
    </row>
    <row r="450" spans="2:18" ht="16.5" hidden="1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249</v>
      </c>
      <c r="F450" s="23" t="s">
        <v>628</v>
      </c>
      <c r="G450" s="18" t="s">
        <v>642</v>
      </c>
      <c r="H450" s="4">
        <v>2110000</v>
      </c>
      <c r="I450" s="18">
        <f t="shared" ca="1" si="30"/>
        <v>8</v>
      </c>
      <c r="J450" s="13" t="str">
        <f t="shared" ca="1" si="29"/>
        <v>정상</v>
      </c>
      <c r="K450" s="44">
        <v>46173</v>
      </c>
      <c r="N450" s="10" t="s">
        <v>33</v>
      </c>
    </row>
    <row r="451" spans="2:18" ht="16.5" hidden="1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</v>
      </c>
      <c r="F451" s="23" t="s">
        <v>636</v>
      </c>
      <c r="G451" s="18" t="s">
        <v>642</v>
      </c>
      <c r="H451" s="4">
        <v>1006400</v>
      </c>
      <c r="I451" s="18">
        <f t="shared" ca="1" si="30"/>
        <v>8</v>
      </c>
      <c r="J451" s="13" t="str">
        <f t="shared" ca="1" si="29"/>
        <v>정상</v>
      </c>
      <c r="N451" s="10" t="s">
        <v>33</v>
      </c>
    </row>
    <row r="452" spans="2:18" s="18" customFormat="1" ht="16.5" customHeight="1">
      <c r="B452" s="10">
        <f>IF(C452="","",COUNTA($C$2:C452))</f>
        <v>451</v>
      </c>
      <c r="C452" s="30" t="s">
        <v>643</v>
      </c>
      <c r="D452" s="42" t="s">
        <v>644</v>
      </c>
      <c r="E452" s="48" t="s">
        <v>648</v>
      </c>
      <c r="F452" s="48" t="s">
        <v>647</v>
      </c>
      <c r="G452" s="18" t="s">
        <v>646</v>
      </c>
      <c r="H452" s="12">
        <v>65224000</v>
      </c>
      <c r="I452" s="18">
        <f t="shared" ca="1" si="30"/>
        <v>7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customHeight="1">
      <c r="B453" s="10">
        <f>IF(C453="","",COUNTA($C$2:C453))</f>
        <v>452</v>
      </c>
      <c r="C453" s="30">
        <v>46129</v>
      </c>
      <c r="D453" s="42" t="s">
        <v>644</v>
      </c>
      <c r="E453" s="18" t="s">
        <v>519</v>
      </c>
      <c r="F453" s="18" t="s">
        <v>645</v>
      </c>
      <c r="G453" s="47" t="s">
        <v>227</v>
      </c>
      <c r="H453" s="12">
        <v>104823750</v>
      </c>
      <c r="I453" s="18">
        <f t="shared" ca="1" si="30"/>
        <v>7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643</v>
      </c>
      <c r="D454" s="42" t="s">
        <v>239</v>
      </c>
      <c r="E454" s="23" t="s">
        <v>206</v>
      </c>
      <c r="F454" s="18" t="s">
        <v>557</v>
      </c>
      <c r="G454" s="47" t="s">
        <v>666</v>
      </c>
      <c r="H454" s="12">
        <v>700000</v>
      </c>
      <c r="I454" s="18">
        <f t="shared" ca="1" si="30"/>
        <v>0</v>
      </c>
      <c r="J454" s="13" t="str">
        <f t="shared" ca="1" si="29"/>
        <v>정상</v>
      </c>
      <c r="K454" s="44"/>
      <c r="L454" s="44">
        <v>46129</v>
      </c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579</v>
      </c>
      <c r="F455" s="18" t="s">
        <v>590</v>
      </c>
      <c r="G455" s="47" t="s">
        <v>666</v>
      </c>
      <c r="H455" s="12">
        <v>12079800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218</v>
      </c>
      <c r="F456" s="18" t="s">
        <v>649</v>
      </c>
      <c r="G456" s="47" t="s">
        <v>666</v>
      </c>
      <c r="H456" s="12">
        <v>167600</v>
      </c>
      <c r="I456" s="18">
        <f t="shared" ca="1" si="30"/>
        <v>7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662</v>
      </c>
      <c r="F457" s="18" t="s">
        <v>211</v>
      </c>
      <c r="G457" s="47" t="s">
        <v>666</v>
      </c>
      <c r="H457" s="12">
        <v>233200</v>
      </c>
      <c r="I457" s="18">
        <f t="shared" ca="1" si="30"/>
        <v>7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126</v>
      </c>
      <c r="F458" s="18" t="s">
        <v>479</v>
      </c>
      <c r="G458" s="47" t="s">
        <v>666</v>
      </c>
      <c r="H458" s="12">
        <v>1969000</v>
      </c>
      <c r="I458" s="18">
        <f t="shared" ca="1" si="30"/>
        <v>7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664</v>
      </c>
      <c r="D459" s="42" t="s">
        <v>239</v>
      </c>
      <c r="E459" s="23" t="s">
        <v>366</v>
      </c>
      <c r="F459" s="18" t="s">
        <v>480</v>
      </c>
      <c r="G459" s="47" t="s">
        <v>666</v>
      </c>
      <c r="H459" s="12">
        <v>5047800</v>
      </c>
      <c r="I459" s="18">
        <f t="shared" ca="1" si="30"/>
        <v>4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209</v>
      </c>
      <c r="F460" s="18" t="s">
        <v>650</v>
      </c>
      <c r="G460" s="47" t="s">
        <v>666</v>
      </c>
      <c r="H460" s="12">
        <v>56594600</v>
      </c>
      <c r="I460" s="18">
        <f t="shared" ca="1" si="30"/>
        <v>4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651</v>
      </c>
      <c r="G461" s="47" t="s">
        <v>666</v>
      </c>
      <c r="H461" s="12">
        <v>-1277000</v>
      </c>
      <c r="I461" s="18">
        <f t="shared" ca="1" si="30"/>
        <v>4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128</v>
      </c>
      <c r="F462" s="18" t="s">
        <v>652</v>
      </c>
      <c r="G462" s="47" t="s">
        <v>666</v>
      </c>
      <c r="H462" s="12">
        <v>2242500</v>
      </c>
      <c r="I462" s="18">
        <f t="shared" ca="1" si="30"/>
        <v>4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461</v>
      </c>
      <c r="F463" s="18" t="s">
        <v>653</v>
      </c>
      <c r="G463" s="47" t="s">
        <v>666</v>
      </c>
      <c r="H463" s="12">
        <v>2107200</v>
      </c>
      <c r="I463" s="18">
        <f t="shared" ca="1" si="30"/>
        <v>4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128</v>
      </c>
      <c r="F464" s="18" t="s">
        <v>654</v>
      </c>
      <c r="G464" s="47" t="s">
        <v>666</v>
      </c>
      <c r="H464" s="12">
        <v>10709900</v>
      </c>
      <c r="I464" s="18">
        <f t="shared" ca="1" si="30"/>
        <v>4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663</v>
      </c>
      <c r="F465" s="18" t="s">
        <v>655</v>
      </c>
      <c r="G465" s="47" t="s">
        <v>666</v>
      </c>
      <c r="H465" s="12">
        <v>8250000</v>
      </c>
      <c r="I465" s="18">
        <f t="shared" ca="1" si="30"/>
        <v>0</v>
      </c>
      <c r="J465" s="13" t="str">
        <f t="shared" ca="1" si="29"/>
        <v>정상</v>
      </c>
      <c r="K465" s="44"/>
      <c r="L465" s="44">
        <v>46132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83</v>
      </c>
      <c r="F466" s="18" t="s">
        <v>493</v>
      </c>
      <c r="G466" s="47" t="s">
        <v>666</v>
      </c>
      <c r="H466" s="12">
        <v>7032000</v>
      </c>
      <c r="I466" s="18">
        <f t="shared" ca="1" si="30"/>
        <v>4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110</v>
      </c>
      <c r="F467" s="18" t="s">
        <v>656</v>
      </c>
      <c r="G467" s="47" t="s">
        <v>666</v>
      </c>
      <c r="H467" s="12">
        <v>20070100</v>
      </c>
      <c r="I467" s="18">
        <f t="shared" ca="1" si="30"/>
        <v>4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553</v>
      </c>
      <c r="G468" s="47" t="s">
        <v>666</v>
      </c>
      <c r="H468" s="12">
        <v>25734800</v>
      </c>
      <c r="I468" s="18">
        <f t="shared" ca="1" si="30"/>
        <v>4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665</v>
      </c>
      <c r="D469" s="42" t="s">
        <v>239</v>
      </c>
      <c r="E469" s="23" t="s">
        <v>585</v>
      </c>
      <c r="F469" s="18" t="s">
        <v>657</v>
      </c>
      <c r="G469" s="47" t="s">
        <v>666</v>
      </c>
      <c r="H469" s="12">
        <v>15595200</v>
      </c>
      <c r="I469" s="18">
        <f t="shared" ca="1" si="30"/>
        <v>3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126</v>
      </c>
      <c r="F470" s="18" t="s">
        <v>484</v>
      </c>
      <c r="G470" s="47" t="s">
        <v>666</v>
      </c>
      <c r="H470" s="12">
        <v>484000</v>
      </c>
      <c r="I470" s="18">
        <f t="shared" ca="1" si="30"/>
        <v>3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hidden="1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105</v>
      </c>
      <c r="F471" s="18" t="s">
        <v>658</v>
      </c>
      <c r="G471" s="47" t="s">
        <v>666</v>
      </c>
      <c r="H471" s="12">
        <v>972200</v>
      </c>
      <c r="I471" s="18">
        <f t="shared" ca="1" si="30"/>
        <v>3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hidden="1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579</v>
      </c>
      <c r="F472" s="18" t="s">
        <v>659</v>
      </c>
      <c r="G472" s="47" t="s">
        <v>666</v>
      </c>
      <c r="H472" s="12">
        <v>498600</v>
      </c>
      <c r="I472" s="18">
        <f t="shared" ca="1" si="30"/>
        <v>0</v>
      </c>
      <c r="J472" s="13" t="str">
        <f t="shared" ca="1" si="29"/>
        <v>정상</v>
      </c>
      <c r="K472" s="44"/>
      <c r="L472" s="44">
        <v>46133</v>
      </c>
      <c r="M472" s="42"/>
      <c r="N472" s="10" t="s">
        <v>33</v>
      </c>
      <c r="Q472" s="46"/>
      <c r="R472" s="46"/>
    </row>
    <row r="473" spans="2:18" s="18" customFormat="1" ht="16.5" hidden="1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209</v>
      </c>
      <c r="F473" s="18" t="s">
        <v>650</v>
      </c>
      <c r="G473" s="47" t="s">
        <v>666</v>
      </c>
      <c r="H473" s="12">
        <v>18524900</v>
      </c>
      <c r="I473" s="18">
        <f t="shared" ca="1" si="30"/>
        <v>3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hidden="1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207</v>
      </c>
      <c r="F474" s="18" t="s">
        <v>660</v>
      </c>
      <c r="G474" s="47" t="s">
        <v>666</v>
      </c>
      <c r="H474" s="12">
        <v>3547500</v>
      </c>
      <c r="I474" s="18">
        <f t="shared" ca="1" si="30"/>
        <v>3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hidden="1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663</v>
      </c>
      <c r="F475" s="18" t="s">
        <v>661</v>
      </c>
      <c r="G475" s="47" t="s">
        <v>666</v>
      </c>
      <c r="H475" s="12">
        <v>5362500</v>
      </c>
      <c r="I475" s="18">
        <f t="shared" ca="1" si="30"/>
        <v>0</v>
      </c>
      <c r="J475" s="13" t="str">
        <f t="shared" ref="J475:J521" ca="1" si="31">IF(I475="","",
 IF(G475="선급금",
   IF(I475&lt;=20,"정상",IF(I475&lt;=90,"관리","장기미수")),
 IF(G475="자재",
   IF(I475&lt;=40,"정상",IF(I475&lt;=90,"관리","장기미수")),
   IF(I475&lt;=30,"정상",IF(I475&lt;=90,"관리","장기미수"))
  )
 )
)</f>
        <v>정상</v>
      </c>
      <c r="K475" s="44"/>
      <c r="L475" s="44">
        <v>46133</v>
      </c>
      <c r="M475" s="42"/>
      <c r="N475" s="10" t="s">
        <v>33</v>
      </c>
      <c r="Q475" s="46"/>
      <c r="R475" s="46"/>
    </row>
    <row r="476" spans="2:18" s="18" customFormat="1" ht="16.5" hidden="1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221</v>
      </c>
      <c r="F476" s="18" t="s">
        <v>216</v>
      </c>
      <c r="G476" s="47" t="s">
        <v>666</v>
      </c>
      <c r="H476" s="12">
        <v>4472000</v>
      </c>
      <c r="I476" s="18">
        <f t="shared" ca="1" si="30"/>
        <v>3</v>
      </c>
      <c r="J476" s="13" t="str">
        <f t="shared" ca="1" si="31"/>
        <v>정상</v>
      </c>
      <c r="K476" s="44"/>
      <c r="L476" s="44"/>
      <c r="M476" s="42"/>
      <c r="N476" s="10" t="s">
        <v>33</v>
      </c>
      <c r="Q476" s="46"/>
      <c r="R476" s="46"/>
    </row>
    <row r="477" spans="2:18" s="42" customFormat="1" ht="16.5" customHeight="1">
      <c r="B477" s="10">
        <f>IF(C477="","",COUNTA($C$2:C477))</f>
        <v>476</v>
      </c>
      <c r="C477" s="44" t="s">
        <v>643</v>
      </c>
      <c r="D477" s="42" t="s">
        <v>670</v>
      </c>
      <c r="E477" s="43" t="s">
        <v>669</v>
      </c>
      <c r="F477" s="43" t="s">
        <v>667</v>
      </c>
      <c r="G477" s="43" t="s">
        <v>668</v>
      </c>
      <c r="H477" s="49">
        <v>14255200</v>
      </c>
      <c r="I477" s="18">
        <f t="shared" ca="1" si="30"/>
        <v>7</v>
      </c>
      <c r="J477" s="13" t="str">
        <f t="shared" ca="1" si="31"/>
        <v>정상</v>
      </c>
      <c r="K477" s="44"/>
      <c r="L477" s="44"/>
      <c r="N477" s="10" t="s">
        <v>33</v>
      </c>
      <c r="Q477" s="44"/>
      <c r="R477" s="44"/>
    </row>
    <row r="478" spans="2:18" ht="16.5" customHeight="1">
      <c r="B478" s="10">
        <f>IF(C478="","",COUNTA($C$2:C478))</f>
        <v>477</v>
      </c>
      <c r="C478" s="44">
        <v>46132</v>
      </c>
      <c r="D478" s="42" t="s">
        <v>670</v>
      </c>
      <c r="E478" s="50" t="s">
        <v>672</v>
      </c>
      <c r="F478" s="47" t="s">
        <v>671</v>
      </c>
      <c r="G478" s="47" t="s">
        <v>673</v>
      </c>
      <c r="H478" s="4">
        <v>35447600</v>
      </c>
      <c r="I478" s="18">
        <f t="shared" ca="1" si="30"/>
        <v>4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665</v>
      </c>
      <c r="D479" s="51" t="s">
        <v>680</v>
      </c>
      <c r="E479" s="23" t="s">
        <v>674</v>
      </c>
      <c r="F479" s="23" t="s">
        <v>675</v>
      </c>
      <c r="G479" s="47" t="s">
        <v>679</v>
      </c>
      <c r="H479" s="4">
        <v>900000</v>
      </c>
      <c r="I479" s="18">
        <f t="shared" ca="1" si="30"/>
        <v>0</v>
      </c>
      <c r="J479" s="13" t="str">
        <f t="shared" ca="1" si="31"/>
        <v>정상</v>
      </c>
      <c r="L479" s="44">
        <v>46133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463</v>
      </c>
      <c r="F480" s="23" t="s">
        <v>676</v>
      </c>
      <c r="G480" s="47" t="s">
        <v>679</v>
      </c>
      <c r="H480" s="4">
        <v>300800</v>
      </c>
      <c r="I480" s="18">
        <f t="shared" ca="1" si="30"/>
        <v>3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578</v>
      </c>
      <c r="F481" s="23" t="s">
        <v>589</v>
      </c>
      <c r="G481" s="47" t="s">
        <v>679</v>
      </c>
      <c r="H481" s="4">
        <v>4882500</v>
      </c>
      <c r="I481" s="18">
        <f t="shared" ca="1" si="30"/>
        <v>3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463</v>
      </c>
      <c r="F482" s="23" t="s">
        <v>677</v>
      </c>
      <c r="G482" s="47" t="s">
        <v>679</v>
      </c>
      <c r="H482" s="4">
        <v>717500</v>
      </c>
      <c r="I482" s="18">
        <f t="shared" ca="1" si="30"/>
        <v>3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126</v>
      </c>
      <c r="F483" s="23" t="s">
        <v>485</v>
      </c>
      <c r="G483" s="47" t="s">
        <v>679</v>
      </c>
      <c r="H483" s="4">
        <v>1836000</v>
      </c>
      <c r="I483" s="18">
        <f t="shared" ca="1" si="30"/>
        <v>3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39</v>
      </c>
      <c r="F484" s="23" t="s">
        <v>678</v>
      </c>
      <c r="G484" s="47" t="s">
        <v>679</v>
      </c>
      <c r="H484" s="4">
        <v>109200</v>
      </c>
      <c r="I484" s="18">
        <f t="shared" ca="1" si="30"/>
        <v>3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665</v>
      </c>
      <c r="E485" s="18" t="s">
        <v>682</v>
      </c>
      <c r="F485" s="18" t="s">
        <v>681</v>
      </c>
      <c r="G485" s="18" t="s">
        <v>684</v>
      </c>
      <c r="H485" s="4">
        <v>15432000</v>
      </c>
      <c r="I485" s="18">
        <f t="shared" ca="1" si="30"/>
        <v>3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44" t="s">
        <v>665</v>
      </c>
      <c r="D486" s="51" t="s">
        <v>685</v>
      </c>
      <c r="E486" s="50" t="s">
        <v>686</v>
      </c>
      <c r="F486" s="50" t="s">
        <v>687</v>
      </c>
      <c r="G486" s="47" t="s">
        <v>688</v>
      </c>
      <c r="H486" s="4">
        <v>-916000</v>
      </c>
      <c r="I486" s="18">
        <f t="shared" ca="1" si="30"/>
        <v>3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713</v>
      </c>
      <c r="D487" s="51" t="s">
        <v>716</v>
      </c>
      <c r="E487" s="23" t="s">
        <v>709</v>
      </c>
      <c r="F487" s="23" t="s">
        <v>690</v>
      </c>
      <c r="G487" s="47" t="s">
        <v>715</v>
      </c>
      <c r="H487" s="25">
        <v>76300</v>
      </c>
      <c r="I487" s="18">
        <f t="shared" ca="1" si="30"/>
        <v>2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713</v>
      </c>
      <c r="D488" s="51" t="s">
        <v>716</v>
      </c>
      <c r="E488" s="23" t="s">
        <v>221</v>
      </c>
      <c r="F488" s="23" t="s">
        <v>216</v>
      </c>
      <c r="G488" s="47" t="s">
        <v>715</v>
      </c>
      <c r="H488" s="25">
        <v>1710000</v>
      </c>
      <c r="I488" s="18">
        <f t="shared" ca="1" si="30"/>
        <v>2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713</v>
      </c>
      <c r="D489" s="51" t="s">
        <v>716</v>
      </c>
      <c r="E489" s="23" t="s">
        <v>249</v>
      </c>
      <c r="F489" s="23" t="s">
        <v>536</v>
      </c>
      <c r="G489" s="47" t="s">
        <v>715</v>
      </c>
      <c r="H489" s="25">
        <v>1710000</v>
      </c>
      <c r="I489" s="18">
        <f t="shared" ca="1" si="30"/>
        <v>2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713</v>
      </c>
      <c r="D490" s="51" t="s">
        <v>716</v>
      </c>
      <c r="E490" s="23" t="s">
        <v>128</v>
      </c>
      <c r="F490" s="23" t="s">
        <v>553</v>
      </c>
      <c r="G490" s="47" t="s">
        <v>715</v>
      </c>
      <c r="H490" s="25">
        <v>1555000</v>
      </c>
      <c r="I490" s="18">
        <f t="shared" ca="1" si="30"/>
        <v>2</v>
      </c>
      <c r="J490" s="13" t="str">
        <f t="shared" ca="1" si="31"/>
        <v>정상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713</v>
      </c>
      <c r="D491" s="51" t="s">
        <v>716</v>
      </c>
      <c r="E491" s="23" t="s">
        <v>434</v>
      </c>
      <c r="F491" s="23" t="s">
        <v>489</v>
      </c>
      <c r="G491" s="47" t="s">
        <v>715</v>
      </c>
      <c r="H491" s="25">
        <v>5776000</v>
      </c>
      <c r="I491" s="18">
        <f t="shared" ca="1" si="30"/>
        <v>2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713</v>
      </c>
      <c r="D492" s="51" t="s">
        <v>716</v>
      </c>
      <c r="E492" s="23" t="s">
        <v>710</v>
      </c>
      <c r="F492" s="23" t="s">
        <v>691</v>
      </c>
      <c r="G492" s="47" t="s">
        <v>715</v>
      </c>
      <c r="H492" s="25">
        <v>612800</v>
      </c>
      <c r="I492" s="18">
        <f t="shared" ca="1" si="30"/>
        <v>2</v>
      </c>
      <c r="J492" s="13" t="str">
        <f t="shared" ca="1" si="31"/>
        <v>정상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713</v>
      </c>
      <c r="D493" s="51" t="s">
        <v>716</v>
      </c>
      <c r="E493" s="23" t="s">
        <v>366</v>
      </c>
      <c r="F493" s="23" t="s">
        <v>480</v>
      </c>
      <c r="G493" s="47" t="s">
        <v>715</v>
      </c>
      <c r="H493" s="25">
        <v>1411400</v>
      </c>
      <c r="I493" s="18">
        <f t="shared" ca="1" si="30"/>
        <v>2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713</v>
      </c>
      <c r="D494" s="51" t="s">
        <v>716</v>
      </c>
      <c r="E494" s="23" t="s">
        <v>218</v>
      </c>
      <c r="F494" s="23" t="s">
        <v>692</v>
      </c>
      <c r="G494" s="47" t="s">
        <v>715</v>
      </c>
      <c r="H494" s="25">
        <v>1005000</v>
      </c>
      <c r="I494" s="18">
        <f t="shared" ca="1" si="30"/>
        <v>2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713</v>
      </c>
      <c r="D495" s="51" t="s">
        <v>716</v>
      </c>
      <c r="E495" s="23" t="s">
        <v>126</v>
      </c>
      <c r="F495" s="23" t="s">
        <v>693</v>
      </c>
      <c r="G495" s="47" t="s">
        <v>715</v>
      </c>
      <c r="H495" s="25">
        <v>11000000</v>
      </c>
      <c r="I495" s="18">
        <f t="shared" ca="1" si="30"/>
        <v>2</v>
      </c>
      <c r="J495" s="13" t="str">
        <f t="shared" ca="1" si="31"/>
        <v>정상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713</v>
      </c>
      <c r="D496" s="51" t="s">
        <v>716</v>
      </c>
      <c r="E496" s="23" t="s">
        <v>434</v>
      </c>
      <c r="F496" s="23" t="s">
        <v>492</v>
      </c>
      <c r="G496" s="47" t="s">
        <v>715</v>
      </c>
      <c r="H496" s="25">
        <v>10922300</v>
      </c>
      <c r="I496" s="18">
        <f t="shared" ca="1" si="30"/>
        <v>2</v>
      </c>
      <c r="J496" s="13" t="str">
        <f t="shared" ca="1" si="31"/>
        <v>정상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713</v>
      </c>
      <c r="D497" s="51" t="s">
        <v>716</v>
      </c>
      <c r="E497" s="23" t="s">
        <v>207</v>
      </c>
      <c r="F497" s="23" t="s">
        <v>694</v>
      </c>
      <c r="G497" s="47" t="s">
        <v>715</v>
      </c>
      <c r="H497" s="25">
        <v>6292500</v>
      </c>
      <c r="I497" s="18">
        <f t="shared" ca="1" si="30"/>
        <v>2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713</v>
      </c>
      <c r="D498" s="51" t="s">
        <v>716</v>
      </c>
      <c r="E498" s="23" t="s">
        <v>221</v>
      </c>
      <c r="F498" s="23" t="s">
        <v>216</v>
      </c>
      <c r="G498" s="47" t="s">
        <v>715</v>
      </c>
      <c r="H498" s="25">
        <v>591200</v>
      </c>
      <c r="I498" s="18">
        <f t="shared" ca="1" si="30"/>
        <v>2</v>
      </c>
      <c r="J498" s="13" t="str">
        <f t="shared" ca="1" si="31"/>
        <v>정상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713</v>
      </c>
      <c r="D499" s="51" t="s">
        <v>716</v>
      </c>
      <c r="E499" s="23" t="s">
        <v>711</v>
      </c>
      <c r="F499" s="23" t="s">
        <v>596</v>
      </c>
      <c r="G499" s="47" t="s">
        <v>715</v>
      </c>
      <c r="H499" s="25">
        <v>2142500</v>
      </c>
      <c r="I499" s="18">
        <f t="shared" ca="1" si="30"/>
        <v>2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714</v>
      </c>
      <c r="D500" s="51" t="s">
        <v>716</v>
      </c>
      <c r="E500" s="23" t="s">
        <v>83</v>
      </c>
      <c r="F500" s="23" t="s">
        <v>695</v>
      </c>
      <c r="G500" s="47" t="s">
        <v>715</v>
      </c>
      <c r="H500" s="25">
        <v>2561000</v>
      </c>
      <c r="I500" s="18">
        <f t="shared" ca="1" si="30"/>
        <v>1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714</v>
      </c>
      <c r="D501" s="51" t="s">
        <v>716</v>
      </c>
      <c r="E501" s="23" t="s">
        <v>122</v>
      </c>
      <c r="F501" s="23" t="s">
        <v>696</v>
      </c>
      <c r="G501" s="47" t="s">
        <v>715</v>
      </c>
      <c r="H501" s="25">
        <v>15465500</v>
      </c>
      <c r="I501" s="18">
        <f t="shared" ca="1" si="30"/>
        <v>1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714</v>
      </c>
      <c r="D502" s="51" t="s">
        <v>716</v>
      </c>
      <c r="E502" s="23" t="s">
        <v>195</v>
      </c>
      <c r="F502" s="23" t="s">
        <v>697</v>
      </c>
      <c r="G502" s="47" t="s">
        <v>715</v>
      </c>
      <c r="H502" s="25">
        <v>7350000</v>
      </c>
      <c r="I502" s="18">
        <f t="shared" ca="1" si="30"/>
        <v>1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714</v>
      </c>
      <c r="D503" s="51" t="s">
        <v>716</v>
      </c>
      <c r="E503" s="23" t="s">
        <v>17</v>
      </c>
      <c r="F503" s="23" t="s">
        <v>698</v>
      </c>
      <c r="G503" s="47" t="s">
        <v>715</v>
      </c>
      <c r="H503" s="25">
        <v>4767200</v>
      </c>
      <c r="I503" s="18">
        <f t="shared" ca="1" si="30"/>
        <v>1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714</v>
      </c>
      <c r="D504" s="51" t="s">
        <v>716</v>
      </c>
      <c r="E504" s="23" t="s">
        <v>100</v>
      </c>
      <c r="F504" s="23" t="s">
        <v>699</v>
      </c>
      <c r="G504" s="47" t="s">
        <v>715</v>
      </c>
      <c r="H504" s="25">
        <v>392500</v>
      </c>
      <c r="I504" s="18">
        <f t="shared" ca="1" si="30"/>
        <v>1</v>
      </c>
      <c r="J504" s="13" t="str">
        <f t="shared" ca="1" si="31"/>
        <v>정상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714</v>
      </c>
      <c r="D505" s="51" t="s">
        <v>716</v>
      </c>
      <c r="E505" s="23" t="s">
        <v>712</v>
      </c>
      <c r="F505" s="23" t="s">
        <v>700</v>
      </c>
      <c r="G505" s="47" t="s">
        <v>715</v>
      </c>
      <c r="H505" s="25">
        <v>896000</v>
      </c>
      <c r="I505" s="18">
        <f t="shared" ca="1" si="30"/>
        <v>1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714</v>
      </c>
      <c r="D506" s="51" t="s">
        <v>716</v>
      </c>
      <c r="E506" s="23" t="s">
        <v>375</v>
      </c>
      <c r="F506" s="23" t="s">
        <v>500</v>
      </c>
      <c r="G506" s="47" t="s">
        <v>715</v>
      </c>
      <c r="H506" s="25">
        <v>6565000</v>
      </c>
      <c r="I506" s="18">
        <f t="shared" ca="1" si="30"/>
        <v>1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714</v>
      </c>
      <c r="D507" s="51" t="s">
        <v>716</v>
      </c>
      <c r="E507" s="23" t="s">
        <v>126</v>
      </c>
      <c r="F507" s="23" t="s">
        <v>485</v>
      </c>
      <c r="G507" s="47" t="s">
        <v>715</v>
      </c>
      <c r="H507" s="25">
        <v>585000</v>
      </c>
      <c r="I507" s="18">
        <f t="shared" ref="I507:I521" ca="1" si="32">IF(C507="","",IF(L507="",TODAY()-C507,L507-C507))</f>
        <v>1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714</v>
      </c>
      <c r="D508" s="51" t="s">
        <v>716</v>
      </c>
      <c r="E508" s="23" t="s">
        <v>249</v>
      </c>
      <c r="F508" s="23" t="s">
        <v>428</v>
      </c>
      <c r="G508" s="47" t="s">
        <v>715</v>
      </c>
      <c r="H508" s="25">
        <v>10737500</v>
      </c>
      <c r="I508" s="18">
        <f t="shared" ca="1" si="32"/>
        <v>1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714</v>
      </c>
      <c r="D509" s="51" t="s">
        <v>716</v>
      </c>
      <c r="E509" s="23" t="s">
        <v>221</v>
      </c>
      <c r="F509" s="23" t="s">
        <v>216</v>
      </c>
      <c r="G509" s="47" t="s">
        <v>715</v>
      </c>
      <c r="H509" s="25">
        <v>16640000</v>
      </c>
      <c r="I509" s="18">
        <f t="shared" ca="1" si="32"/>
        <v>1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714</v>
      </c>
      <c r="D510" s="51" t="s">
        <v>716</v>
      </c>
      <c r="E510" s="23" t="s">
        <v>98</v>
      </c>
      <c r="F510" s="23" t="s">
        <v>701</v>
      </c>
      <c r="G510" s="47" t="s">
        <v>715</v>
      </c>
      <c r="H510" s="25">
        <v>137300</v>
      </c>
      <c r="I510" s="18">
        <f t="shared" ca="1" si="32"/>
        <v>1</v>
      </c>
      <c r="J510" s="13" t="str">
        <f t="shared" ca="1" si="31"/>
        <v>정상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714</v>
      </c>
      <c r="D511" s="51" t="s">
        <v>716</v>
      </c>
      <c r="E511" s="23" t="s">
        <v>579</v>
      </c>
      <c r="F511" s="23" t="s">
        <v>702</v>
      </c>
      <c r="G511" s="47" t="s">
        <v>715</v>
      </c>
      <c r="H511" s="25">
        <v>1160100</v>
      </c>
      <c r="I511" s="18">
        <f t="shared" ca="1" si="32"/>
        <v>1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 t="s">
        <v>714</v>
      </c>
      <c r="D512" s="51" t="s">
        <v>716</v>
      </c>
      <c r="E512" s="23" t="s">
        <v>218</v>
      </c>
      <c r="F512" s="23" t="s">
        <v>703</v>
      </c>
      <c r="G512" s="47" t="s">
        <v>715</v>
      </c>
      <c r="H512" s="25">
        <v>500000</v>
      </c>
      <c r="I512" s="18">
        <f t="shared" ca="1" si="32"/>
        <v>1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 t="s">
        <v>714</v>
      </c>
      <c r="D513" s="51" t="s">
        <v>716</v>
      </c>
      <c r="E513" s="23" t="s">
        <v>434</v>
      </c>
      <c r="F513" s="23" t="s">
        <v>704</v>
      </c>
      <c r="G513" s="47" t="s">
        <v>715</v>
      </c>
      <c r="H513" s="25">
        <v>1592000</v>
      </c>
      <c r="I513" s="18">
        <f t="shared" ca="1" si="32"/>
        <v>1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 t="s">
        <v>714</v>
      </c>
      <c r="D514" s="51" t="s">
        <v>716</v>
      </c>
      <c r="E514" s="23" t="s">
        <v>120</v>
      </c>
      <c r="F514" s="23" t="s">
        <v>705</v>
      </c>
      <c r="G514" s="47" t="s">
        <v>715</v>
      </c>
      <c r="H514" s="25">
        <v>7681500</v>
      </c>
      <c r="I514" s="18">
        <f t="shared" ca="1" si="32"/>
        <v>1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714</v>
      </c>
      <c r="D515" s="51" t="s">
        <v>716</v>
      </c>
      <c r="E515" s="23" t="s">
        <v>39</v>
      </c>
      <c r="F515" s="23" t="s">
        <v>706</v>
      </c>
      <c r="G515" s="47" t="s">
        <v>715</v>
      </c>
      <c r="H515" s="25">
        <v>3597000</v>
      </c>
      <c r="I515" s="18">
        <f t="shared" ca="1" si="32"/>
        <v>1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714</v>
      </c>
      <c r="D516" s="51" t="s">
        <v>716</v>
      </c>
      <c r="E516" s="23" t="s">
        <v>126</v>
      </c>
      <c r="F516" s="23" t="s">
        <v>707</v>
      </c>
      <c r="G516" s="47" t="s">
        <v>715</v>
      </c>
      <c r="H516" s="25">
        <v>1515000</v>
      </c>
      <c r="I516" s="18">
        <f t="shared" ca="1" si="32"/>
        <v>1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714</v>
      </c>
      <c r="D517" s="51" t="s">
        <v>716</v>
      </c>
      <c r="E517" s="23" t="s">
        <v>711</v>
      </c>
      <c r="F517" s="23" t="s">
        <v>596</v>
      </c>
      <c r="G517" s="47" t="s">
        <v>715</v>
      </c>
      <c r="H517" s="25">
        <v>2122500</v>
      </c>
      <c r="I517" s="18">
        <f t="shared" ca="1" si="32"/>
        <v>1</v>
      </c>
      <c r="J517" s="13" t="str">
        <f t="shared" ca="1" si="31"/>
        <v>정상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714</v>
      </c>
      <c r="D518" s="51" t="s">
        <v>716</v>
      </c>
      <c r="E518" s="23" t="s">
        <v>662</v>
      </c>
      <c r="F518" s="23" t="s">
        <v>708</v>
      </c>
      <c r="G518" s="47" t="s">
        <v>715</v>
      </c>
      <c r="H518" s="25">
        <v>4190000</v>
      </c>
      <c r="I518" s="18">
        <f t="shared" ca="1" si="32"/>
        <v>1</v>
      </c>
      <c r="J518" s="13" t="str">
        <f t="shared" ca="1" si="31"/>
        <v>정상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>
        <v>46134</v>
      </c>
      <c r="D519" s="51" t="s">
        <v>719</v>
      </c>
      <c r="E519" s="48" t="s">
        <v>718</v>
      </c>
      <c r="F519" s="48" t="s">
        <v>717</v>
      </c>
      <c r="G519" s="47" t="s">
        <v>720</v>
      </c>
      <c r="H519" s="4">
        <v>972000</v>
      </c>
      <c r="I519" s="18">
        <f t="shared" ca="1" si="32"/>
        <v>2</v>
      </c>
      <c r="J519" s="13" t="str">
        <f t="shared" ca="1" si="31"/>
        <v>정상</v>
      </c>
      <c r="N519" s="10" t="s">
        <v>33</v>
      </c>
    </row>
    <row r="520" spans="2:14" ht="16.5" customHeight="1">
      <c r="B520" s="10">
        <f>IF(C520="","",COUNTA($C$2:C520))</f>
        <v>519</v>
      </c>
      <c r="C520" s="30">
        <v>46134</v>
      </c>
      <c r="D520" s="51" t="s">
        <v>721</v>
      </c>
      <c r="E520" s="48" t="s">
        <v>724</v>
      </c>
      <c r="F520" s="48" t="s">
        <v>726</v>
      </c>
      <c r="G520" s="47" t="s">
        <v>722</v>
      </c>
      <c r="H520" s="4">
        <v>10730000</v>
      </c>
      <c r="I520" s="18">
        <f t="shared" ca="1" si="32"/>
        <v>2</v>
      </c>
      <c r="J520" s="13" t="str">
        <f t="shared" ca="1" si="31"/>
        <v>정상</v>
      </c>
      <c r="N520" s="10" t="s">
        <v>33</v>
      </c>
    </row>
    <row r="521" spans="2:14" ht="16.5" customHeight="1">
      <c r="B521" s="10">
        <f>IF(C521="","",COUNTA($C$2:C521))</f>
        <v>520</v>
      </c>
      <c r="C521" s="30">
        <v>46134</v>
      </c>
      <c r="D521" s="51" t="s">
        <v>721</v>
      </c>
      <c r="E521" s="48" t="s">
        <v>725</v>
      </c>
      <c r="F521" s="48" t="s">
        <v>727</v>
      </c>
      <c r="G521" s="47" t="s">
        <v>723</v>
      </c>
      <c r="H521" s="4">
        <v>9423400</v>
      </c>
      <c r="I521" s="18">
        <f t="shared" ca="1" si="32"/>
        <v>2</v>
      </c>
      <c r="J521" s="13" t="str">
        <f t="shared" ca="1" si="31"/>
        <v>정상</v>
      </c>
      <c r="N521" s="10" t="s">
        <v>33</v>
      </c>
    </row>
  </sheetData>
  <autoFilter ref="A1:S521">
    <filterColumn colId="3">
      <filters>
        <filter val="A"/>
      </filters>
    </filterColumn>
  </autoFilter>
  <phoneticPr fontId="5" type="noConversion"/>
  <conditionalFormatting sqref="E3 F57:F60 E37">
    <cfRule type="expression" dxfId="109" priority="140">
      <formula>$J3="잔금"</formula>
    </cfRule>
  </conditionalFormatting>
  <conditionalFormatting sqref="E8">
    <cfRule type="expression" dxfId="108" priority="139">
      <formula>$J8="잔금"</formula>
    </cfRule>
  </conditionalFormatting>
  <conditionalFormatting sqref="E4">
    <cfRule type="expression" dxfId="107" priority="138">
      <formula>$J4="잔금"</formula>
    </cfRule>
  </conditionalFormatting>
  <conditionalFormatting sqref="E9">
    <cfRule type="expression" dxfId="106" priority="137">
      <formula>$J9="잔금"</formula>
    </cfRule>
  </conditionalFormatting>
  <conditionalFormatting sqref="E41">
    <cfRule type="expression" dxfId="105" priority="132">
      <formula>$J41="잔금"</formula>
    </cfRule>
  </conditionalFormatting>
  <conditionalFormatting sqref="E98:E99 E186:F192 H186:H192 F113 C186:C192">
    <cfRule type="expression" dxfId="104" priority="122">
      <formula>$J98="잔금"</formula>
    </cfRule>
  </conditionalFormatting>
  <conditionalFormatting sqref="F98:F99">
    <cfRule type="expression" dxfId="103" priority="121">
      <formula>$J98="잔금"</formula>
    </cfRule>
  </conditionalFormatting>
  <conditionalFormatting sqref="F104:F105">
    <cfRule type="expression" dxfId="102" priority="119">
      <formula>$J104="잔금"</formula>
    </cfRule>
  </conditionalFormatting>
  <conditionalFormatting sqref="H104:H105">
    <cfRule type="expression" dxfId="101" priority="118">
      <formula>$J104="잔금"</formula>
    </cfRule>
  </conditionalFormatting>
  <conditionalFormatting sqref="E106:E108">
    <cfRule type="expression" dxfId="100" priority="117">
      <formula>$J106="잔금"</formula>
    </cfRule>
  </conditionalFormatting>
  <conditionalFormatting sqref="F106:F108">
    <cfRule type="expression" dxfId="99" priority="116">
      <formula>$J106="잔금"</formula>
    </cfRule>
  </conditionalFormatting>
  <conditionalFormatting sqref="H106:H108">
    <cfRule type="expression" dxfId="98" priority="115">
      <formula>$J106="잔금"</formula>
    </cfRule>
  </conditionalFormatting>
  <conditionalFormatting sqref="E110">
    <cfRule type="expression" dxfId="97" priority="114">
      <formula>$J110="잔금"</formula>
    </cfRule>
  </conditionalFormatting>
  <conditionalFormatting sqref="F110">
    <cfRule type="expression" dxfId="96" priority="113">
      <formula>$J110="잔금"</formula>
    </cfRule>
  </conditionalFormatting>
  <conditionalFormatting sqref="E111:E113">
    <cfRule type="expression" dxfId="95" priority="112">
      <formula>$J111="잔금"</formula>
    </cfRule>
  </conditionalFormatting>
  <conditionalFormatting sqref="F111">
    <cfRule type="expression" dxfId="94" priority="111">
      <formula>$J111="잔금"</formula>
    </cfRule>
  </conditionalFormatting>
  <conditionalFormatting sqref="F112">
    <cfRule type="expression" dxfId="93" priority="110">
      <formula>$J112="잔금"</formula>
    </cfRule>
  </conditionalFormatting>
  <conditionalFormatting sqref="H111:H113">
    <cfRule type="expression" dxfId="92" priority="109">
      <formula>$J111="잔금"</formula>
    </cfRule>
  </conditionalFormatting>
  <conditionalFormatting sqref="C111:C113">
    <cfRule type="expression" dxfId="91" priority="108">
      <formula>$J111="잔금"</formula>
    </cfRule>
  </conditionalFormatting>
  <conditionalFormatting sqref="E117">
    <cfRule type="expression" dxfId="90" priority="107">
      <formula>$J117="잔금"</formula>
    </cfRule>
  </conditionalFormatting>
  <conditionalFormatting sqref="F117">
    <cfRule type="expression" dxfId="89" priority="106">
      <formula>$J117="잔금"</formula>
    </cfRule>
  </conditionalFormatting>
  <conditionalFormatting sqref="F142:F149">
    <cfRule type="expression" dxfId="88" priority="105">
      <formula>$J142="잔금"</formula>
    </cfRule>
  </conditionalFormatting>
  <conditionalFormatting sqref="E142:E149">
    <cfRule type="expression" dxfId="87" priority="104">
      <formula>$J142="잔금"</formula>
    </cfRule>
  </conditionalFormatting>
  <conditionalFormatting sqref="H142:H149">
    <cfRule type="expression" dxfId="86" priority="103">
      <formula>$J142="잔금"</formula>
    </cfRule>
  </conditionalFormatting>
  <conditionalFormatting sqref="E151:E157">
    <cfRule type="expression" dxfId="85" priority="101">
      <formula>$J151="잔금"</formula>
    </cfRule>
  </conditionalFormatting>
  <conditionalFormatting sqref="F151:F157">
    <cfRule type="expression" dxfId="84" priority="100">
      <formula>$J151="잔금"</formula>
    </cfRule>
  </conditionalFormatting>
  <conditionalFormatting sqref="C151:C157">
    <cfRule type="expression" dxfId="83" priority="99">
      <formula>$J151="잔금"</formula>
    </cfRule>
  </conditionalFormatting>
  <conditionalFormatting sqref="H151:H157">
    <cfRule type="expression" dxfId="82" priority="98">
      <formula>$J151="잔금"</formula>
    </cfRule>
  </conditionalFormatting>
  <conditionalFormatting sqref="C158">
    <cfRule type="expression" dxfId="81" priority="97">
      <formula>$I158="잔금"</formula>
    </cfRule>
  </conditionalFormatting>
  <conditionalFormatting sqref="F159:F162">
    <cfRule type="expression" dxfId="80" priority="96">
      <formula>$J159="잔금"</formula>
    </cfRule>
  </conditionalFormatting>
  <conditionalFormatting sqref="E159:E162">
    <cfRule type="expression" dxfId="79" priority="95">
      <formula>$J159="잔금"</formula>
    </cfRule>
  </conditionalFormatting>
  <conditionalFormatting sqref="C159:C165">
    <cfRule type="expression" dxfId="78" priority="94">
      <formula>$J159="잔금"</formula>
    </cfRule>
  </conditionalFormatting>
  <conditionalFormatting sqref="H159:H162">
    <cfRule type="expression" dxfId="77" priority="93">
      <formula>$J159="잔금"</formula>
    </cfRule>
  </conditionalFormatting>
  <conditionalFormatting sqref="F166:F178">
    <cfRule type="expression" dxfId="76" priority="92">
      <formula>$J166="잔금"</formula>
    </cfRule>
  </conditionalFormatting>
  <conditionalFormatting sqref="F179:F185">
    <cfRule type="expression" dxfId="75" priority="91">
      <formula>$J179="잔금"</formula>
    </cfRule>
  </conditionalFormatting>
  <conditionalFormatting sqref="E166:E178">
    <cfRule type="expression" dxfId="74" priority="90">
      <formula>$J166="잔금"</formula>
    </cfRule>
  </conditionalFormatting>
  <conditionalFormatting sqref="E179:E185">
    <cfRule type="expression" dxfId="73" priority="89">
      <formula>$J179="잔금"</formula>
    </cfRule>
  </conditionalFormatting>
  <conditionalFormatting sqref="C179:C185">
    <cfRule type="expression" dxfId="72" priority="87">
      <formula>$J179="잔금"</formula>
    </cfRule>
  </conditionalFormatting>
  <conditionalFormatting sqref="H166:H178">
    <cfRule type="expression" dxfId="71" priority="86">
      <formula>$J166="잔금"</formula>
    </cfRule>
  </conditionalFormatting>
  <conditionalFormatting sqref="H179:H185">
    <cfRule type="expression" dxfId="70" priority="85">
      <formula>$J179="잔금"</formula>
    </cfRule>
  </conditionalFormatting>
  <conditionalFormatting sqref="F194:F200">
    <cfRule type="expression" dxfId="69" priority="80">
      <formula>$J194="잔금"</formula>
    </cfRule>
  </conditionalFormatting>
  <conditionalFormatting sqref="E194:E200">
    <cfRule type="expression" dxfId="68" priority="79">
      <formula>$J194="잔금"</formula>
    </cfRule>
  </conditionalFormatting>
  <conditionalFormatting sqref="C194:C201">
    <cfRule type="expression" dxfId="67" priority="78">
      <formula>$J194="잔금"</formula>
    </cfRule>
  </conditionalFormatting>
  <conditionalFormatting sqref="H194:H200">
    <cfRule type="expression" dxfId="66" priority="77">
      <formula>$J194="잔금"</formula>
    </cfRule>
  </conditionalFormatting>
  <conditionalFormatting sqref="C202:C215">
    <cfRule type="expression" dxfId="65" priority="76">
      <formula>$J202="잔금"</formula>
    </cfRule>
  </conditionalFormatting>
  <conditionalFormatting sqref="F202:F215">
    <cfRule type="expression" dxfId="64" priority="75">
      <formula>$J202="잔금"</formula>
    </cfRule>
  </conditionalFormatting>
  <conditionalFormatting sqref="H202:H215">
    <cfRule type="expression" dxfId="63" priority="74">
      <formula>$J202="잔금"</formula>
    </cfRule>
  </conditionalFormatting>
  <conditionalFormatting sqref="E202:E216">
    <cfRule type="expression" dxfId="62" priority="73">
      <formula>$J202="잔금"</formula>
    </cfRule>
  </conditionalFormatting>
  <conditionalFormatting sqref="C216">
    <cfRule type="expression" dxfId="61" priority="72">
      <formula>$I216="잔금"</formula>
    </cfRule>
  </conditionalFormatting>
  <conditionalFormatting sqref="H216">
    <cfRule type="expression" dxfId="60" priority="67">
      <formula>$I216="잔금"</formula>
    </cfRule>
  </conditionalFormatting>
  <conditionalFormatting sqref="C217">
    <cfRule type="expression" dxfId="59" priority="66">
      <formula>$I217="잔금"</formula>
    </cfRule>
  </conditionalFormatting>
  <conditionalFormatting sqref="C218">
    <cfRule type="expression" dxfId="58" priority="65">
      <formula>$I218="잔금"</formula>
    </cfRule>
  </conditionalFormatting>
  <conditionalFormatting sqref="C219">
    <cfRule type="expression" dxfId="57" priority="64">
      <formula>$I219="잔금"</formula>
    </cfRule>
  </conditionalFormatting>
  <conditionalFormatting sqref="F220:F229">
    <cfRule type="expression" dxfId="56" priority="63">
      <formula>$J220="잔금"</formula>
    </cfRule>
  </conditionalFormatting>
  <conditionalFormatting sqref="F230:F243">
    <cfRule type="expression" dxfId="55" priority="62">
      <formula>$J230="잔금"</formula>
    </cfRule>
  </conditionalFormatting>
  <conditionalFormatting sqref="E220:E229">
    <cfRule type="expression" dxfId="54" priority="61">
      <formula>$J220="잔금"</formula>
    </cfRule>
  </conditionalFormatting>
  <conditionalFormatting sqref="E230:E243">
    <cfRule type="expression" dxfId="53" priority="60">
      <formula>$J230="잔금"</formula>
    </cfRule>
  </conditionalFormatting>
  <conditionalFormatting sqref="H220:H229">
    <cfRule type="expression" dxfId="52" priority="59">
      <formula>$J220="잔금"</formula>
    </cfRule>
  </conditionalFormatting>
  <conditionalFormatting sqref="H230:H243">
    <cfRule type="expression" dxfId="51" priority="58">
      <formula>$J230="잔금"</formula>
    </cfRule>
  </conditionalFormatting>
  <conditionalFormatting sqref="C245">
    <cfRule type="expression" dxfId="50" priority="57">
      <formula>$I245="잔금"</formula>
    </cfRule>
  </conditionalFormatting>
  <conditionalFormatting sqref="C246">
    <cfRule type="expression" dxfId="49" priority="56">
      <formula>$I246="잔금"</formula>
    </cfRule>
  </conditionalFormatting>
  <conditionalFormatting sqref="C247">
    <cfRule type="expression" dxfId="48" priority="55">
      <formula>$I247="잔금"</formula>
    </cfRule>
  </conditionalFormatting>
  <conditionalFormatting sqref="F248:F252">
    <cfRule type="expression" dxfId="47" priority="54">
      <formula>$J248="잔금"</formula>
    </cfRule>
  </conditionalFormatting>
  <conditionalFormatting sqref="E248:E252">
    <cfRule type="expression" dxfId="46" priority="53">
      <formula>$J248="잔금"</formula>
    </cfRule>
  </conditionalFormatting>
  <conditionalFormatting sqref="C248:C252">
    <cfRule type="expression" dxfId="45" priority="52">
      <formula>$J248="잔금"</formula>
    </cfRule>
  </conditionalFormatting>
  <conditionalFormatting sqref="H248:H252">
    <cfRule type="expression" dxfId="44" priority="51">
      <formula>$J248="잔금"</formula>
    </cfRule>
  </conditionalFormatting>
  <conditionalFormatting sqref="C253:C256">
    <cfRule type="expression" dxfId="43" priority="50">
      <formula>$I253="잔금"</formula>
    </cfRule>
  </conditionalFormatting>
  <conditionalFormatting sqref="F257:F266">
    <cfRule type="expression" dxfId="42" priority="49">
      <formula>$J257="잔금"</formula>
    </cfRule>
  </conditionalFormatting>
  <conditionalFormatting sqref="F267:F275">
    <cfRule type="expression" dxfId="41" priority="48">
      <formula>$J267="잔금"</formula>
    </cfRule>
  </conditionalFormatting>
  <conditionalFormatting sqref="C115">
    <cfRule type="expression" dxfId="40" priority="42">
      <formula>$J115="잔금"</formula>
    </cfRule>
  </conditionalFormatting>
  <conditionalFormatting sqref="C114">
    <cfRule type="expression" dxfId="39" priority="43">
      <formula>$J114="잔금"</formula>
    </cfRule>
  </conditionalFormatting>
  <conditionalFormatting sqref="C166">
    <cfRule type="expression" dxfId="38" priority="41">
      <formula>$J166="잔금"</formula>
    </cfRule>
  </conditionalFormatting>
  <conditionalFormatting sqref="C167">
    <cfRule type="expression" dxfId="37" priority="40">
      <formula>$J167="잔금"</formula>
    </cfRule>
  </conditionalFormatting>
  <conditionalFormatting sqref="C168">
    <cfRule type="expression" dxfId="36" priority="39">
      <formula>$J168="잔금"</formula>
    </cfRule>
  </conditionalFormatting>
  <conditionalFormatting sqref="C169">
    <cfRule type="expression" dxfId="35" priority="38">
      <formula>$J169="잔금"</formula>
    </cfRule>
  </conditionalFormatting>
  <conditionalFormatting sqref="C170">
    <cfRule type="expression" dxfId="34" priority="37">
      <formula>$J170="잔금"</formula>
    </cfRule>
  </conditionalFormatting>
  <conditionalFormatting sqref="C171">
    <cfRule type="expression" dxfId="33" priority="36">
      <formula>$J171="잔금"</formula>
    </cfRule>
  </conditionalFormatting>
  <conditionalFormatting sqref="C172">
    <cfRule type="expression" dxfId="32" priority="35">
      <formula>$J172="잔금"</formula>
    </cfRule>
  </conditionalFormatting>
  <conditionalFormatting sqref="C173">
    <cfRule type="expression" dxfId="31" priority="34">
      <formula>$J173="잔금"</formula>
    </cfRule>
  </conditionalFormatting>
  <conditionalFormatting sqref="C174">
    <cfRule type="expression" dxfId="30" priority="32">
      <formula>$J174="잔금"</formula>
    </cfRule>
  </conditionalFormatting>
  <conditionalFormatting sqref="C175">
    <cfRule type="expression" dxfId="29" priority="31">
      <formula>$J175="잔금"</formula>
    </cfRule>
  </conditionalFormatting>
  <conditionalFormatting sqref="C176">
    <cfRule type="expression" dxfId="28" priority="30">
      <formula>$J176="잔금"</formula>
    </cfRule>
  </conditionalFormatting>
  <conditionalFormatting sqref="C177">
    <cfRule type="expression" dxfId="27" priority="29">
      <formula>$J177="잔금"</formula>
    </cfRule>
  </conditionalFormatting>
  <conditionalFormatting sqref="C178">
    <cfRule type="expression" dxfId="26" priority="28">
      <formula>$J178="잔금"</formula>
    </cfRule>
  </conditionalFormatting>
  <conditionalFormatting sqref="H308:H309">
    <cfRule type="expression" dxfId="25" priority="22">
      <formula>$J308="잔금"</formula>
    </cfRule>
  </conditionalFormatting>
  <conditionalFormatting sqref="F289:F302">
    <cfRule type="expression" dxfId="24" priority="27">
      <formula>$J289="잔금"</formula>
    </cfRule>
  </conditionalFormatting>
  <conditionalFormatting sqref="F303:F307">
    <cfRule type="expression" dxfId="23" priority="26">
      <formula>$J303="잔금"</formula>
    </cfRule>
  </conditionalFormatting>
  <conditionalFormatting sqref="F308:F309">
    <cfRule type="expression" dxfId="22" priority="25">
      <formula>$J308="잔금"</formula>
    </cfRule>
  </conditionalFormatting>
  <conditionalFormatting sqref="H289:H302">
    <cfRule type="expression" dxfId="21" priority="24">
      <formula>$J289="잔금"</formula>
    </cfRule>
  </conditionalFormatting>
  <conditionalFormatting sqref="H303:H307">
    <cfRule type="expression" dxfId="20" priority="23">
      <formula>$J303="잔금"</formula>
    </cfRule>
  </conditionalFormatting>
  <conditionalFormatting sqref="H312:H353">
    <cfRule type="expression" dxfId="19" priority="21">
      <formula>$J312="잔금"</formula>
    </cfRule>
  </conditionalFormatting>
  <conditionalFormatting sqref="C402:C420">
    <cfRule type="expression" dxfId="18" priority="20">
      <formula>$J402="잔금"</formula>
    </cfRule>
  </conditionalFormatting>
  <conditionalFormatting sqref="F439">
    <cfRule type="expression" dxfId="17" priority="18">
      <formula>$J439="잔금"</formula>
    </cfRule>
  </conditionalFormatting>
  <conditionalFormatting sqref="F440:F447">
    <cfRule type="expression" dxfId="16" priority="17">
      <formula>$J440="잔금"</formula>
    </cfRule>
  </conditionalFormatting>
  <conditionalFormatting sqref="F448:F452">
    <cfRule type="expression" dxfId="15" priority="16">
      <formula>$J448="잔금"</formula>
    </cfRule>
  </conditionalFormatting>
  <conditionalFormatting sqref="E439">
    <cfRule type="expression" dxfId="14" priority="15">
      <formula>$J439="잔금"</formula>
    </cfRule>
  </conditionalFormatting>
  <conditionalFormatting sqref="E440:E447">
    <cfRule type="expression" dxfId="13" priority="14">
      <formula>$J440="잔금"</formula>
    </cfRule>
  </conditionalFormatting>
  <conditionalFormatting sqref="E448:E452">
    <cfRule type="expression" dxfId="12" priority="13">
      <formula>$J448="잔금"</formula>
    </cfRule>
  </conditionalFormatting>
  <conditionalFormatting sqref="C440:C447">
    <cfRule type="expression" dxfId="11" priority="12">
      <formula>$J440="잔금"</formula>
    </cfRule>
  </conditionalFormatting>
  <conditionalFormatting sqref="C448:C453">
    <cfRule type="expression" dxfId="10" priority="11">
      <formula>$J448="잔금"</formula>
    </cfRule>
  </conditionalFormatting>
  <conditionalFormatting sqref="E454:E476 E478">
    <cfRule type="expression" dxfId="9" priority="10">
      <formula>$J454="잔금"</formula>
    </cfRule>
  </conditionalFormatting>
  <conditionalFormatting sqref="C454:C476">
    <cfRule type="expression" dxfId="8" priority="9">
      <formula>$J454="잔금"</formula>
    </cfRule>
  </conditionalFormatting>
  <conditionalFormatting sqref="E479:E484 E486">
    <cfRule type="expression" dxfId="7" priority="8">
      <formula>$J479="잔금"</formula>
    </cfRule>
  </conditionalFormatting>
  <conditionalFormatting sqref="F479:F484 F486">
    <cfRule type="expression" dxfId="6" priority="7">
      <formula>$J479="잔금"</formula>
    </cfRule>
  </conditionalFormatting>
  <conditionalFormatting sqref="C479:C484">
    <cfRule type="expression" dxfId="5" priority="6">
      <formula>$J479="잔금"</formula>
    </cfRule>
  </conditionalFormatting>
  <conditionalFormatting sqref="C485">
    <cfRule type="expression" dxfId="4" priority="5">
      <formula>$J485="잔금"</formula>
    </cfRule>
  </conditionalFormatting>
  <conditionalFormatting sqref="F487:F521">
    <cfRule type="expression" dxfId="3" priority="4">
      <formula>$J487="잔금"</formula>
    </cfRule>
  </conditionalFormatting>
  <conditionalFormatting sqref="E487:E521">
    <cfRule type="expression" dxfId="2" priority="3">
      <formula>$J487="잔금"</formula>
    </cfRule>
  </conditionalFormatting>
  <conditionalFormatting sqref="C487:C521">
    <cfRule type="expression" dxfId="1" priority="2">
      <formula>$J487="잔금"</formula>
    </cfRule>
  </conditionalFormatting>
  <conditionalFormatting sqref="H487:H518">
    <cfRule type="expression" dxfId="0" priority="1">
      <formula>$J487="잔금"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21">
      <formula1>"Y,N"</formula1>
    </dataValidation>
    <dataValidation type="list" allowBlank="1" sqref="D2:D43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2026-04-24T08:55:37Z</dcterms:modified>
</cp:coreProperties>
</file>