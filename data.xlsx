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<sst xmlns="http://schemas.openxmlformats.org/spreadsheetml/2006/main" count="1857" uniqueCount="531">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</sst>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55" activePane="bottomRight" state="frozen"/>
      <selection pane="topRight"/>
      <selection pane="bottomLeft"/>
      <selection pane="bottomRight" activeCell="F170" sqref="F170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204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530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437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471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89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81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75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57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56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437</v>
      </c>
      <c r="H100" s="4">
        <v>16130000</v>
      </c>
      <c r="I100" s="6">
        <f t="shared" ca="1" si="10"/>
        <v>92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55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55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54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437</v>
      </c>
      <c r="H109" s="28">
        <v>11000000</v>
      </c>
      <c r="I109" s="6">
        <f t="shared" ca="1" si="10"/>
        <v>53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39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39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39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35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35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35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35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35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419</v>
      </c>
      <c r="F139" s="38" t="s">
        <v>418</v>
      </c>
      <c r="G139" s="6" t="s">
        <v>420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33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33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33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33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33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33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33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33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32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32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29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29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29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27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28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28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28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28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28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28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28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28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27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27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27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27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27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26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26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26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26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26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26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25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25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25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25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25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21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21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21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21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21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21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21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21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21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21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21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21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21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20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20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20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20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20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20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20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19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19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19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19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19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19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19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19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19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19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19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18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18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18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18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18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18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15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15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14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398</v>
      </c>
      <c r="G258" s="6" t="s">
        <v>417</v>
      </c>
      <c r="H258" s="4">
        <v>4290000</v>
      </c>
      <c r="I258" s="6">
        <f t="shared" ca="1" si="20"/>
        <v>15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395</v>
      </c>
      <c r="F259" s="23" t="s">
        <v>399</v>
      </c>
      <c r="G259" s="6" t="s">
        <v>417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400</v>
      </c>
      <c r="G260" s="6" t="s">
        <v>417</v>
      </c>
      <c r="H260" s="4">
        <v>465000</v>
      </c>
      <c r="I260" s="6">
        <f t="shared" ca="1" si="20"/>
        <v>15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401</v>
      </c>
      <c r="G261" s="6" t="s">
        <v>417</v>
      </c>
      <c r="H261" s="4">
        <v>5765500</v>
      </c>
      <c r="I261" s="6">
        <f t="shared" ca="1" si="20"/>
        <v>15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402</v>
      </c>
      <c r="G262" s="6" t="s">
        <v>417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403</v>
      </c>
      <c r="G263" s="6" t="s">
        <v>417</v>
      </c>
      <c r="H263" s="4">
        <v>1866000</v>
      </c>
      <c r="I263" s="6">
        <f t="shared" ca="1" si="20"/>
        <v>15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404</v>
      </c>
      <c r="G264" s="6" t="s">
        <v>417</v>
      </c>
      <c r="H264" s="4">
        <v>798500</v>
      </c>
      <c r="I264" s="6">
        <f t="shared" ca="1" si="20"/>
        <v>15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396</v>
      </c>
      <c r="F265" s="23" t="s">
        <v>405</v>
      </c>
      <c r="G265" s="6" t="s">
        <v>417</v>
      </c>
      <c r="H265" s="4">
        <v>5442500</v>
      </c>
      <c r="I265" s="6">
        <f t="shared" ca="1" si="20"/>
        <v>15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406</v>
      </c>
      <c r="G266" s="6" t="s">
        <v>417</v>
      </c>
      <c r="H266" s="4">
        <v>2969500</v>
      </c>
      <c r="I266" s="6">
        <f t="shared" ca="1" si="20"/>
        <v>15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407</v>
      </c>
      <c r="G267" s="6" t="s">
        <v>417</v>
      </c>
      <c r="H267" s="4">
        <v>10451300</v>
      </c>
      <c r="I267" s="6">
        <f t="shared" ca="1" si="20"/>
        <v>15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408</v>
      </c>
      <c r="G268" s="6" t="s">
        <v>417</v>
      </c>
      <c r="H268" s="4">
        <v>2250000</v>
      </c>
      <c r="I268" s="6">
        <f t="shared" ca="1" si="20"/>
        <v>15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417</v>
      </c>
      <c r="H269" s="4">
        <v>2711000</v>
      </c>
      <c r="I269" s="6">
        <f t="shared" ca="1" si="20"/>
        <v>14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410</v>
      </c>
      <c r="G270" s="6" t="s">
        <v>417</v>
      </c>
      <c r="H270" s="4">
        <v>10539000</v>
      </c>
      <c r="I270" s="6">
        <f t="shared" ca="1" si="20"/>
        <v>14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397</v>
      </c>
      <c r="F271" s="23" t="s">
        <v>411</v>
      </c>
      <c r="G271" s="6" t="s">
        <v>417</v>
      </c>
      <c r="H271" s="4">
        <v>1021000</v>
      </c>
      <c r="I271" s="6">
        <f t="shared" ca="1" si="20"/>
        <v>14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412</v>
      </c>
      <c r="G272" s="6" t="s">
        <v>417</v>
      </c>
      <c r="H272" s="4">
        <v>427800</v>
      </c>
      <c r="I272" s="6">
        <f t="shared" ca="1" si="20"/>
        <v>14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413</v>
      </c>
      <c r="G273" s="6" t="s">
        <v>417</v>
      </c>
      <c r="H273" s="4">
        <v>1180000</v>
      </c>
      <c r="I273" s="6">
        <f t="shared" ca="1" si="20"/>
        <v>14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414</v>
      </c>
      <c r="G274" s="6" t="s">
        <v>417</v>
      </c>
      <c r="H274" s="4">
        <v>4520000</v>
      </c>
      <c r="I274" s="6">
        <f t="shared" ca="1" si="20"/>
        <v>14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415</v>
      </c>
      <c r="G275" s="6" t="s">
        <v>417</v>
      </c>
      <c r="H275" s="4">
        <v>157000</v>
      </c>
      <c r="I275" s="6">
        <f t="shared" ca="1" si="20"/>
        <v>14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416</v>
      </c>
      <c r="G276" s="6" t="s">
        <v>417</v>
      </c>
      <c r="H276" s="4">
        <v>2380000</v>
      </c>
      <c r="I276" s="6">
        <f t="shared" ca="1" si="20"/>
        <v>14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422</v>
      </c>
      <c r="F277" s="6" t="s">
        <v>421</v>
      </c>
      <c r="G277" s="6" t="s">
        <v>423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424</v>
      </c>
      <c r="F278" s="6" t="s">
        <v>425</v>
      </c>
      <c r="G278" s="6" t="s">
        <v>423</v>
      </c>
      <c r="H278" s="4">
        <v>2878800</v>
      </c>
      <c r="I278" s="6">
        <f t="shared" ca="1" si="20"/>
        <v>12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436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426</v>
      </c>
      <c r="G280" s="6" t="s">
        <v>436</v>
      </c>
      <c r="H280" s="4">
        <v>4748300</v>
      </c>
      <c r="I280" s="6">
        <f t="shared" ca="1" si="20"/>
        <v>13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427</v>
      </c>
      <c r="G281" s="6" t="s">
        <v>436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428</v>
      </c>
      <c r="G282" s="6" t="s">
        <v>436</v>
      </c>
      <c r="H282" s="4">
        <v>1414500</v>
      </c>
      <c r="I282" s="6">
        <f t="shared" ca="1" si="20"/>
        <v>13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429</v>
      </c>
      <c r="G283" s="6" t="s">
        <v>436</v>
      </c>
      <c r="H283" s="4">
        <v>936000</v>
      </c>
      <c r="I283" s="6">
        <f t="shared" ca="1" si="20"/>
        <v>13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436</v>
      </c>
      <c r="H284" s="4">
        <v>8336500</v>
      </c>
      <c r="I284" s="6">
        <f t="shared" ca="1" si="20"/>
        <v>13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431</v>
      </c>
      <c r="G285" s="6" t="s">
        <v>436</v>
      </c>
      <c r="H285" s="4">
        <v>555000</v>
      </c>
      <c r="I285" s="6">
        <f t="shared" ca="1" si="20"/>
        <v>13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432</v>
      </c>
      <c r="G286" s="6" t="s">
        <v>436</v>
      </c>
      <c r="H286" s="4">
        <v>508400</v>
      </c>
      <c r="I286" s="6">
        <f t="shared" ca="1" si="20"/>
        <v>13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435</v>
      </c>
      <c r="F287" s="6" t="s">
        <v>433</v>
      </c>
      <c r="G287" s="6" t="s">
        <v>436</v>
      </c>
      <c r="H287" s="4">
        <v>6771000</v>
      </c>
      <c r="I287" s="6">
        <f t="shared" ca="1" si="20"/>
        <v>13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434</v>
      </c>
      <c r="G288" s="6" t="s">
        <v>436</v>
      </c>
      <c r="H288" s="4">
        <v>2997000</v>
      </c>
      <c r="I288" s="6">
        <f t="shared" ca="1" si="20"/>
        <v>13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438</v>
      </c>
      <c r="E289" s="6" t="s">
        <v>234</v>
      </c>
      <c r="F289" s="6" t="s">
        <v>232</v>
      </c>
      <c r="G289" s="6" t="s">
        <v>439</v>
      </c>
      <c r="H289" s="4">
        <v>30186600</v>
      </c>
      <c r="I289" s="6">
        <f t="shared" ca="1" si="20"/>
        <v>13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465</v>
      </c>
      <c r="D290" s="10" t="str">
        <f t="shared" si="22"/>
        <v>B</v>
      </c>
      <c r="E290" s="6" t="s">
        <v>219</v>
      </c>
      <c r="F290" s="23" t="s">
        <v>440</v>
      </c>
      <c r="G290" s="6" t="s">
        <v>459</v>
      </c>
      <c r="H290" s="25">
        <v>111000</v>
      </c>
      <c r="I290" s="6">
        <f t="shared" ca="1" si="20"/>
        <v>12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465</v>
      </c>
      <c r="D291" s="10" t="str">
        <f t="shared" si="22"/>
        <v>B</v>
      </c>
      <c r="E291" s="6" t="s">
        <v>221</v>
      </c>
      <c r="F291" s="23" t="s">
        <v>441</v>
      </c>
      <c r="G291" s="6" t="s">
        <v>459</v>
      </c>
      <c r="H291" s="25">
        <v>1135000</v>
      </c>
      <c r="I291" s="6">
        <f t="shared" ca="1" si="20"/>
        <v>12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465</v>
      </c>
      <c r="D292" s="10" t="str">
        <f t="shared" si="22"/>
        <v>B</v>
      </c>
      <c r="E292" s="6" t="s">
        <v>249</v>
      </c>
      <c r="F292" s="23" t="s">
        <v>442</v>
      </c>
      <c r="G292" s="6" t="s">
        <v>459</v>
      </c>
      <c r="H292" s="25">
        <v>14380000</v>
      </c>
      <c r="I292" s="6">
        <f t="shared" ca="1" si="20"/>
        <v>12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465</v>
      </c>
      <c r="D293" s="10" t="str">
        <f t="shared" si="22"/>
        <v>B</v>
      </c>
      <c r="E293" s="6" t="s">
        <v>221</v>
      </c>
      <c r="F293" s="23" t="s">
        <v>441</v>
      </c>
      <c r="G293" s="6" t="s">
        <v>459</v>
      </c>
      <c r="H293" s="25">
        <v>4895400</v>
      </c>
      <c r="I293" s="6">
        <f t="shared" ca="1" si="20"/>
        <v>12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465</v>
      </c>
      <c r="D294" s="10" t="str">
        <f t="shared" si="22"/>
        <v>B</v>
      </c>
      <c r="E294" s="6" t="s">
        <v>209</v>
      </c>
      <c r="F294" s="23" t="s">
        <v>443</v>
      </c>
      <c r="G294" s="6" t="s">
        <v>459</v>
      </c>
      <c r="H294" s="25">
        <v>5473000</v>
      </c>
      <c r="I294" s="6">
        <f t="shared" ca="1" si="20"/>
        <v>12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465</v>
      </c>
      <c r="D295" s="10" t="str">
        <f t="shared" si="22"/>
        <v>B</v>
      </c>
      <c r="E295" s="6" t="s">
        <v>24</v>
      </c>
      <c r="F295" s="23" t="s">
        <v>444</v>
      </c>
      <c r="G295" s="6" t="s">
        <v>459</v>
      </c>
      <c r="H295" s="25">
        <v>52914000</v>
      </c>
      <c r="I295" s="6">
        <f t="shared" ca="1" si="20"/>
        <v>12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465</v>
      </c>
      <c r="D296" s="10" t="str">
        <f t="shared" si="22"/>
        <v>B</v>
      </c>
      <c r="E296" s="6" t="s">
        <v>69</v>
      </c>
      <c r="F296" s="23" t="s">
        <v>445</v>
      </c>
      <c r="G296" s="6" t="s">
        <v>459</v>
      </c>
      <c r="H296" s="25">
        <v>427500</v>
      </c>
      <c r="I296" s="6">
        <f t="shared" ca="1" si="20"/>
        <v>12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465</v>
      </c>
      <c r="D297" s="10" t="str">
        <f t="shared" si="22"/>
        <v>B</v>
      </c>
      <c r="E297" s="6" t="s">
        <v>195</v>
      </c>
      <c r="F297" s="23" t="s">
        <v>446</v>
      </c>
      <c r="G297" s="6" t="s">
        <v>459</v>
      </c>
      <c r="H297" s="25">
        <v>5032500</v>
      </c>
      <c r="I297" s="6">
        <f t="shared" ca="1" si="20"/>
        <v>12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465</v>
      </c>
      <c r="D298" s="10" t="str">
        <f t="shared" si="22"/>
        <v>B</v>
      </c>
      <c r="E298" s="6" t="s">
        <v>56</v>
      </c>
      <c r="F298" s="23" t="s">
        <v>447</v>
      </c>
      <c r="G298" s="6" t="s">
        <v>459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465</v>
      </c>
      <c r="D299" s="10" t="str">
        <f t="shared" si="22"/>
        <v>B</v>
      </c>
      <c r="E299" s="6" t="s">
        <v>460</v>
      </c>
      <c r="F299" s="23" t="s">
        <v>448</v>
      </c>
      <c r="G299" s="6" t="s">
        <v>459</v>
      </c>
      <c r="H299" s="25">
        <v>2884600</v>
      </c>
      <c r="I299" s="6">
        <f t="shared" ca="1" si="20"/>
        <v>12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465</v>
      </c>
      <c r="D300" s="10" t="str">
        <f t="shared" si="22"/>
        <v>B</v>
      </c>
      <c r="E300" s="6" t="s">
        <v>98</v>
      </c>
      <c r="F300" s="23" t="s">
        <v>449</v>
      </c>
      <c r="G300" s="6" t="s">
        <v>459</v>
      </c>
      <c r="H300" s="25">
        <v>180000</v>
      </c>
      <c r="I300" s="6">
        <f t="shared" ca="1" si="20"/>
        <v>12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465</v>
      </c>
      <c r="D301" s="10" t="str">
        <f t="shared" si="22"/>
        <v>B</v>
      </c>
      <c r="E301" s="6" t="s">
        <v>126</v>
      </c>
      <c r="F301" s="23" t="s">
        <v>450</v>
      </c>
      <c r="G301" s="6" t="s">
        <v>459</v>
      </c>
      <c r="H301" s="25">
        <v>24591000</v>
      </c>
      <c r="I301" s="6">
        <f t="shared" ca="1" si="20"/>
        <v>12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465</v>
      </c>
      <c r="D302" s="10" t="str">
        <f t="shared" si="22"/>
        <v>B</v>
      </c>
      <c r="E302" s="6" t="s">
        <v>208</v>
      </c>
      <c r="F302" s="23" t="s">
        <v>451</v>
      </c>
      <c r="G302" s="6" t="s">
        <v>459</v>
      </c>
      <c r="H302" s="25">
        <v>3390000</v>
      </c>
      <c r="I302" s="6">
        <f t="shared" ca="1" si="20"/>
        <v>12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222</v>
      </c>
      <c r="F303" s="23" t="s">
        <v>452</v>
      </c>
      <c r="G303" s="6" t="s">
        <v>459</v>
      </c>
      <c r="H303" s="25">
        <v>4637500</v>
      </c>
      <c r="I303" s="6">
        <f t="shared" ca="1" si="20"/>
        <v>12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466</v>
      </c>
      <c r="D304" s="10" t="str">
        <f t="shared" si="22"/>
        <v>B</v>
      </c>
      <c r="E304" s="6" t="s">
        <v>81</v>
      </c>
      <c r="F304" s="23" t="s">
        <v>453</v>
      </c>
      <c r="G304" s="6" t="s">
        <v>459</v>
      </c>
      <c r="H304" s="25">
        <v>121500</v>
      </c>
      <c r="I304" s="6">
        <f t="shared" ca="1" si="20"/>
        <v>11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466</v>
      </c>
      <c r="D305" s="10" t="str">
        <f t="shared" si="22"/>
        <v>B</v>
      </c>
      <c r="E305" s="6" t="s">
        <v>461</v>
      </c>
      <c r="F305" s="23" t="s">
        <v>454</v>
      </c>
      <c r="G305" s="6" t="s">
        <v>459</v>
      </c>
      <c r="H305" s="25">
        <v>13647200</v>
      </c>
      <c r="I305" s="6">
        <f t="shared" ca="1" si="20"/>
        <v>11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466</v>
      </c>
      <c r="D306" s="10" t="str">
        <f t="shared" si="22"/>
        <v>B</v>
      </c>
      <c r="E306" s="6" t="s">
        <v>108</v>
      </c>
      <c r="F306" s="23" t="s">
        <v>455</v>
      </c>
      <c r="G306" s="6" t="s">
        <v>459</v>
      </c>
      <c r="H306" s="25">
        <v>1810000</v>
      </c>
      <c r="I306" s="6">
        <f t="shared" ca="1" si="20"/>
        <v>11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466</v>
      </c>
      <c r="D307" s="10" t="str">
        <f t="shared" si="22"/>
        <v>B</v>
      </c>
      <c r="E307" s="6" t="s">
        <v>108</v>
      </c>
      <c r="F307" s="23" t="s">
        <v>455</v>
      </c>
      <c r="G307" s="6" t="s">
        <v>459</v>
      </c>
      <c r="H307" s="25">
        <v>33000000</v>
      </c>
      <c r="I307" s="6">
        <f t="shared" ca="1" si="20"/>
        <v>11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 t="shared" si="22"/>
        <v>B</v>
      </c>
      <c r="E308" s="6" t="s">
        <v>462</v>
      </c>
      <c r="F308" s="23" t="s">
        <v>456</v>
      </c>
      <c r="G308" s="6" t="s">
        <v>459</v>
      </c>
      <c r="H308" s="25">
        <v>548000</v>
      </c>
      <c r="I308" s="6">
        <f t="shared" ca="1" si="20"/>
        <v>11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467</v>
      </c>
      <c r="D309" s="10" t="str">
        <f>IF(G310="","",IF(OR(G310="선급금",G310="중도금",G310="잔금"),"A",IF(G310="자재","B",IF(G310="특허료","C",""))))</f>
        <v>B</v>
      </c>
      <c r="E309" s="6" t="s">
        <v>463</v>
      </c>
      <c r="F309" s="23" t="s">
        <v>457</v>
      </c>
      <c r="G309" s="6" t="s">
        <v>459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467</v>
      </c>
      <c r="D310" s="10" t="s">
        <v>178</v>
      </c>
      <c r="E310" s="6" t="s">
        <v>464</v>
      </c>
      <c r="F310" s="23" t="s">
        <v>458</v>
      </c>
      <c r="G310" s="6" t="s">
        <v>459</v>
      </c>
      <c r="H310" s="25">
        <v>35839300</v>
      </c>
      <c r="I310" s="6">
        <f t="shared" ca="1" si="20"/>
        <v>8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470</v>
      </c>
      <c r="F311" s="6" t="s">
        <v>468</v>
      </c>
      <c r="G311" s="6" t="s">
        <v>469</v>
      </c>
      <c r="H311" s="4">
        <v>109031200</v>
      </c>
      <c r="I311" s="6">
        <f t="shared" ca="1" si="20"/>
        <v>8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510</v>
      </c>
      <c r="D312" s="10" t="s">
        <v>178</v>
      </c>
      <c r="E312" s="6" t="s">
        <v>504</v>
      </c>
      <c r="F312" s="6" t="s">
        <v>472</v>
      </c>
      <c r="G312" s="6" t="s">
        <v>513</v>
      </c>
      <c r="H312" s="25">
        <v>380000</v>
      </c>
      <c r="I312" s="6">
        <f t="shared" ca="1" si="20"/>
        <v>5</v>
      </c>
      <c r="J312" s="13" t="str">
        <f t="shared" ca="1" si="23"/>
        <v>정상</v>
      </c>
      <c r="K312" s="11"/>
      <c r="L312" s="11"/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511</v>
      </c>
      <c r="D313" s="10" t="s">
        <v>178</v>
      </c>
      <c r="E313" s="6" t="s">
        <v>126</v>
      </c>
      <c r="F313" s="6" t="s">
        <v>473</v>
      </c>
      <c r="G313" s="6" t="s">
        <v>513</v>
      </c>
      <c r="H313" s="25">
        <v>1182500</v>
      </c>
      <c r="I313" s="6">
        <f t="shared" ca="1" si="20"/>
        <v>4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511</v>
      </c>
      <c r="D314" s="10" t="s">
        <v>178</v>
      </c>
      <c r="E314" s="6" t="s">
        <v>505</v>
      </c>
      <c r="F314" s="6" t="s">
        <v>474</v>
      </c>
      <c r="G314" s="6" t="s">
        <v>513</v>
      </c>
      <c r="H314" s="25">
        <v>4300000</v>
      </c>
      <c r="I314" s="6">
        <f t="shared" ca="1" si="20"/>
        <v>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511</v>
      </c>
      <c r="D315" s="10" t="s">
        <v>178</v>
      </c>
      <c r="E315" s="6" t="s">
        <v>506</v>
      </c>
      <c r="F315" s="6" t="s">
        <v>475</v>
      </c>
      <c r="G315" s="6" t="s">
        <v>513</v>
      </c>
      <c r="H315" s="25">
        <v>550950</v>
      </c>
      <c r="I315" s="6">
        <f t="shared" ca="1" si="20"/>
        <v>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511</v>
      </c>
      <c r="D316" s="10" t="s">
        <v>178</v>
      </c>
      <c r="E316" s="6" t="s">
        <v>507</v>
      </c>
      <c r="F316" s="6" t="s">
        <v>476</v>
      </c>
      <c r="G316" s="6" t="s">
        <v>513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511</v>
      </c>
      <c r="D317" s="10" t="s">
        <v>178</v>
      </c>
      <c r="E317" s="6" t="s">
        <v>128</v>
      </c>
      <c r="F317" s="6" t="s">
        <v>477</v>
      </c>
      <c r="G317" s="6" t="s">
        <v>513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511</v>
      </c>
      <c r="D318" s="10" t="s">
        <v>178</v>
      </c>
      <c r="E318" s="6" t="s">
        <v>396</v>
      </c>
      <c r="F318" s="6" t="s">
        <v>478</v>
      </c>
      <c r="G318" s="6" t="s">
        <v>513</v>
      </c>
      <c r="H318" s="25">
        <v>18900000</v>
      </c>
      <c r="I318" s="6">
        <f t="shared" ref="I318:I381" ca="1" si="24">IF(C318="","",IF(L318="",TODAY()-C318,L318-C318))</f>
        <v>4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511</v>
      </c>
      <c r="D319" s="10" t="s">
        <v>178</v>
      </c>
      <c r="E319" s="6" t="s">
        <v>100</v>
      </c>
      <c r="F319" s="6" t="s">
        <v>479</v>
      </c>
      <c r="G319" s="6" t="s">
        <v>513</v>
      </c>
      <c r="H319" s="25">
        <v>1478000</v>
      </c>
      <c r="I319" s="6">
        <f t="shared" ca="1" si="24"/>
        <v>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511</v>
      </c>
      <c r="D320" s="10" t="s">
        <v>178</v>
      </c>
      <c r="E320" s="6" t="s">
        <v>24</v>
      </c>
      <c r="F320" s="6" t="s">
        <v>434</v>
      </c>
      <c r="G320" s="6" t="s">
        <v>513</v>
      </c>
      <c r="H320" s="25">
        <v>2261000</v>
      </c>
      <c r="I320" s="6">
        <f t="shared" ca="1" si="24"/>
        <v>4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511</v>
      </c>
      <c r="D321" s="10" t="s">
        <v>178</v>
      </c>
      <c r="E321" s="6" t="s">
        <v>24</v>
      </c>
      <c r="F321" s="6" t="s">
        <v>434</v>
      </c>
      <c r="G321" s="6" t="s">
        <v>513</v>
      </c>
      <c r="H321" s="25">
        <v>5104500</v>
      </c>
      <c r="I321" s="6">
        <f t="shared" ca="1" si="24"/>
        <v>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511</v>
      </c>
      <c r="D322" s="10" t="s">
        <v>178</v>
      </c>
      <c r="E322" s="6" t="s">
        <v>126</v>
      </c>
      <c r="F322" s="6" t="s">
        <v>480</v>
      </c>
      <c r="G322" s="6" t="s">
        <v>513</v>
      </c>
      <c r="H322" s="25">
        <v>1575000</v>
      </c>
      <c r="I322" s="6">
        <f t="shared" ca="1" si="24"/>
        <v>4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511</v>
      </c>
      <c r="D323" s="10" t="s">
        <v>178</v>
      </c>
      <c r="E323" s="6" t="s">
        <v>366</v>
      </c>
      <c r="F323" s="6" t="s">
        <v>481</v>
      </c>
      <c r="G323" s="6" t="s">
        <v>513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511</v>
      </c>
      <c r="D324" s="10" t="s">
        <v>178</v>
      </c>
      <c r="E324" s="6" t="s">
        <v>207</v>
      </c>
      <c r="F324" s="6" t="s">
        <v>482</v>
      </c>
      <c r="G324" s="6" t="s">
        <v>513</v>
      </c>
      <c r="H324" s="25">
        <v>156900</v>
      </c>
      <c r="I324" s="6">
        <f t="shared" ca="1" si="24"/>
        <v>4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511</v>
      </c>
      <c r="D325" s="10" t="s">
        <v>178</v>
      </c>
      <c r="E325" s="6" t="s">
        <v>39</v>
      </c>
      <c r="F325" s="6" t="s">
        <v>483</v>
      </c>
      <c r="G325" s="6" t="s">
        <v>513</v>
      </c>
      <c r="H325" s="25">
        <v>2137500</v>
      </c>
      <c r="I325" s="6">
        <f t="shared" ca="1" si="24"/>
        <v>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511</v>
      </c>
      <c r="D326" s="10" t="s">
        <v>178</v>
      </c>
      <c r="E326" s="6" t="s">
        <v>110</v>
      </c>
      <c r="F326" s="6" t="s">
        <v>484</v>
      </c>
      <c r="G326" s="6" t="s">
        <v>513</v>
      </c>
      <c r="H326" s="25">
        <v>1469400</v>
      </c>
      <c r="I326" s="6">
        <f t="shared" ca="1" si="24"/>
        <v>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511</v>
      </c>
      <c r="D327" s="10" t="s">
        <v>178</v>
      </c>
      <c r="E327" s="6" t="s">
        <v>126</v>
      </c>
      <c r="F327" s="6" t="s">
        <v>480</v>
      </c>
      <c r="G327" s="6" t="s">
        <v>513</v>
      </c>
      <c r="H327" s="25">
        <v>24591000</v>
      </c>
      <c r="I327" s="6">
        <f t="shared" ca="1" si="24"/>
        <v>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511</v>
      </c>
      <c r="D328" s="10" t="s">
        <v>178</v>
      </c>
      <c r="E328" s="6" t="s">
        <v>126</v>
      </c>
      <c r="F328" s="6" t="s">
        <v>485</v>
      </c>
      <c r="G328" s="6" t="s">
        <v>513</v>
      </c>
      <c r="H328" s="25">
        <v>4770000</v>
      </c>
      <c r="I328" s="6">
        <f t="shared" ca="1" si="24"/>
        <v>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511</v>
      </c>
      <c r="D329" s="10" t="s">
        <v>178</v>
      </c>
      <c r="E329" s="6" t="s">
        <v>126</v>
      </c>
      <c r="F329" s="6" t="s">
        <v>486</v>
      </c>
      <c r="G329" s="6" t="s">
        <v>513</v>
      </c>
      <c r="H329" s="25">
        <v>5661500</v>
      </c>
      <c r="I329" s="6">
        <f t="shared" ca="1" si="24"/>
        <v>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511</v>
      </c>
      <c r="D330" s="10" t="s">
        <v>178</v>
      </c>
      <c r="E330" s="6" t="s">
        <v>100</v>
      </c>
      <c r="F330" s="6" t="s">
        <v>479</v>
      </c>
      <c r="G330" s="6" t="s">
        <v>513</v>
      </c>
      <c r="H330" s="25">
        <v>1700000</v>
      </c>
      <c r="I330" s="6">
        <f t="shared" ca="1" si="24"/>
        <v>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511</v>
      </c>
      <c r="D331" s="10" t="s">
        <v>178</v>
      </c>
      <c r="E331" s="6" t="s">
        <v>195</v>
      </c>
      <c r="F331" s="6" t="s">
        <v>487</v>
      </c>
      <c r="G331" s="6" t="s">
        <v>513</v>
      </c>
      <c r="H331" s="25">
        <v>5060000</v>
      </c>
      <c r="I331" s="6">
        <f t="shared" ca="1" si="24"/>
        <v>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511</v>
      </c>
      <c r="D332" s="10" t="s">
        <v>178</v>
      </c>
      <c r="E332" s="6" t="s">
        <v>163</v>
      </c>
      <c r="F332" s="6" t="s">
        <v>488</v>
      </c>
      <c r="G332" s="6" t="s">
        <v>513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511</v>
      </c>
      <c r="D333" s="10" t="s">
        <v>178</v>
      </c>
      <c r="E333" s="6" t="s">
        <v>316</v>
      </c>
      <c r="F333" s="6" t="s">
        <v>489</v>
      </c>
      <c r="G333" s="6" t="s">
        <v>513</v>
      </c>
      <c r="H333" s="25">
        <v>585000</v>
      </c>
      <c r="I333" s="6">
        <f t="shared" ca="1" si="24"/>
        <v>4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511</v>
      </c>
      <c r="D334" s="10" t="s">
        <v>178</v>
      </c>
      <c r="E334" s="6" t="s">
        <v>435</v>
      </c>
      <c r="F334" s="6" t="s">
        <v>490</v>
      </c>
      <c r="G334" s="6" t="s">
        <v>513</v>
      </c>
      <c r="H334" s="25">
        <v>33428500</v>
      </c>
      <c r="I334" s="6">
        <f t="shared" ca="1" si="24"/>
        <v>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512</v>
      </c>
      <c r="D335" s="10" t="s">
        <v>178</v>
      </c>
      <c r="E335" s="6" t="s">
        <v>462</v>
      </c>
      <c r="F335" s="6" t="s">
        <v>491</v>
      </c>
      <c r="G335" s="6" t="s">
        <v>513</v>
      </c>
      <c r="H335" s="25">
        <v>835000</v>
      </c>
      <c r="I335" s="6">
        <f t="shared" ca="1" si="24"/>
        <v>1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512</v>
      </c>
      <c r="D336" s="10" t="s">
        <v>178</v>
      </c>
      <c r="E336" s="6" t="s">
        <v>508</v>
      </c>
      <c r="F336" s="6" t="s">
        <v>492</v>
      </c>
      <c r="G336" s="6" t="s">
        <v>513</v>
      </c>
      <c r="H336" s="25">
        <v>1295800</v>
      </c>
      <c r="I336" s="6">
        <f t="shared" ca="1" si="24"/>
        <v>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512</v>
      </c>
      <c r="D337" s="10" t="s">
        <v>178</v>
      </c>
      <c r="E337" s="6" t="s">
        <v>126</v>
      </c>
      <c r="F337" s="6" t="s">
        <v>486</v>
      </c>
      <c r="G337" s="6" t="s">
        <v>513</v>
      </c>
      <c r="H337" s="25">
        <v>3180000</v>
      </c>
      <c r="I337" s="6">
        <f t="shared" ca="1" si="24"/>
        <v>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512</v>
      </c>
      <c r="D338" s="10" t="s">
        <v>178</v>
      </c>
      <c r="E338" s="6" t="s">
        <v>435</v>
      </c>
      <c r="F338" s="6" t="s">
        <v>493</v>
      </c>
      <c r="G338" s="6" t="s">
        <v>513</v>
      </c>
      <c r="H338" s="25">
        <v>40027000</v>
      </c>
      <c r="I338" s="6">
        <f t="shared" ca="1" si="24"/>
        <v>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512</v>
      </c>
      <c r="D339" s="10" t="s">
        <v>178</v>
      </c>
      <c r="E339" s="6" t="s">
        <v>83</v>
      </c>
      <c r="F339" s="6" t="s">
        <v>494</v>
      </c>
      <c r="G339" s="6" t="s">
        <v>513</v>
      </c>
      <c r="H339" s="25">
        <v>63450600</v>
      </c>
      <c r="I339" s="6">
        <f t="shared" ca="1" si="24"/>
        <v>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512</v>
      </c>
      <c r="D340" s="10" t="s">
        <v>178</v>
      </c>
      <c r="E340" s="6" t="s">
        <v>220</v>
      </c>
      <c r="F340" s="6" t="s">
        <v>215</v>
      </c>
      <c r="G340" s="6" t="s">
        <v>513</v>
      </c>
      <c r="H340" s="25">
        <v>3060000</v>
      </c>
      <c r="I340" s="6">
        <f t="shared" ca="1" si="24"/>
        <v>1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512</v>
      </c>
      <c r="D341" s="10" t="s">
        <v>178</v>
      </c>
      <c r="E341" s="6" t="s">
        <v>195</v>
      </c>
      <c r="F341" s="6" t="s">
        <v>487</v>
      </c>
      <c r="G341" s="6" t="s">
        <v>513</v>
      </c>
      <c r="H341" s="25">
        <v>310800</v>
      </c>
      <c r="I341" s="6">
        <f t="shared" ca="1" si="24"/>
        <v>1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512</v>
      </c>
      <c r="D342" s="10" t="s">
        <v>178</v>
      </c>
      <c r="E342" s="6" t="s">
        <v>30</v>
      </c>
      <c r="F342" s="6" t="s">
        <v>495</v>
      </c>
      <c r="G342" s="6" t="s">
        <v>513</v>
      </c>
      <c r="H342" s="25">
        <v>381000</v>
      </c>
      <c r="I342" s="6">
        <f t="shared" ca="1" si="24"/>
        <v>1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512</v>
      </c>
      <c r="D343" s="10" t="s">
        <v>178</v>
      </c>
      <c r="E343" s="6" t="s">
        <v>509</v>
      </c>
      <c r="F343" s="6" t="s">
        <v>496</v>
      </c>
      <c r="G343" s="6" t="s">
        <v>513</v>
      </c>
      <c r="H343" s="25">
        <v>295000</v>
      </c>
      <c r="I343" s="6">
        <f t="shared" ca="1" si="24"/>
        <v>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512</v>
      </c>
      <c r="D344" s="10" t="s">
        <v>178</v>
      </c>
      <c r="E344" s="6" t="s">
        <v>207</v>
      </c>
      <c r="F344" s="6" t="s">
        <v>497</v>
      </c>
      <c r="G344" s="6" t="s">
        <v>513</v>
      </c>
      <c r="H344" s="25">
        <v>5664000</v>
      </c>
      <c r="I344" s="6">
        <f t="shared" ca="1" si="24"/>
        <v>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512</v>
      </c>
      <c r="D345" s="10" t="s">
        <v>178</v>
      </c>
      <c r="E345" s="6" t="s">
        <v>17</v>
      </c>
      <c r="F345" s="6" t="s">
        <v>498</v>
      </c>
      <c r="G345" s="6" t="s">
        <v>513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512</v>
      </c>
      <c r="D346" s="10" t="s">
        <v>178</v>
      </c>
      <c r="E346" s="6" t="s">
        <v>24</v>
      </c>
      <c r="F346" s="6" t="s">
        <v>107</v>
      </c>
      <c r="G346" s="6" t="s">
        <v>513</v>
      </c>
      <c r="H346" s="25">
        <v>4160000</v>
      </c>
      <c r="I346" s="6">
        <f t="shared" ca="1" si="24"/>
        <v>1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512</v>
      </c>
      <c r="D347" s="10" t="s">
        <v>178</v>
      </c>
      <c r="E347" s="6" t="s">
        <v>26</v>
      </c>
      <c r="F347" s="6" t="s">
        <v>499</v>
      </c>
      <c r="G347" s="6" t="s">
        <v>513</v>
      </c>
      <c r="H347" s="25">
        <v>1460000</v>
      </c>
      <c r="I347" s="6">
        <f t="shared" ca="1" si="24"/>
        <v>1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512</v>
      </c>
      <c r="D348" s="10" t="s">
        <v>178</v>
      </c>
      <c r="E348" s="6" t="s">
        <v>26</v>
      </c>
      <c r="F348" s="6" t="s">
        <v>500</v>
      </c>
      <c r="G348" s="6" t="s">
        <v>513</v>
      </c>
      <c r="H348" s="25">
        <v>720000</v>
      </c>
      <c r="I348" s="6">
        <f t="shared" ca="1" si="24"/>
        <v>1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512</v>
      </c>
      <c r="D349" s="10" t="s">
        <v>178</v>
      </c>
      <c r="E349" s="6" t="s">
        <v>375</v>
      </c>
      <c r="F349" s="6" t="s">
        <v>501</v>
      </c>
      <c r="G349" s="6" t="s">
        <v>513</v>
      </c>
      <c r="H349" s="25">
        <v>3380000</v>
      </c>
      <c r="I349" s="6">
        <f t="shared" ca="1" si="24"/>
        <v>1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512</v>
      </c>
      <c r="D350" s="10" t="s">
        <v>178</v>
      </c>
      <c r="E350" s="6" t="s">
        <v>126</v>
      </c>
      <c r="F350" s="6" t="s">
        <v>502</v>
      </c>
      <c r="G350" s="6" t="s">
        <v>513</v>
      </c>
      <c r="H350" s="25">
        <v>1230000</v>
      </c>
      <c r="I350" s="6">
        <f t="shared" ca="1" si="24"/>
        <v>1</v>
      </c>
      <c r="J350" s="13" t="str">
        <f t="shared" ref="J350:J36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512</v>
      </c>
      <c r="D351" s="10" t="s">
        <v>178</v>
      </c>
      <c r="E351" s="6" t="s">
        <v>100</v>
      </c>
      <c r="F351" s="6" t="s">
        <v>479</v>
      </c>
      <c r="G351" s="6" t="s">
        <v>513</v>
      </c>
      <c r="H351" s="25">
        <v>2378500</v>
      </c>
      <c r="I351" s="6">
        <f t="shared" ca="1" si="24"/>
        <v>1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512</v>
      </c>
      <c r="D352" s="10" t="s">
        <v>178</v>
      </c>
      <c r="E352" s="6" t="s">
        <v>435</v>
      </c>
      <c r="F352" s="6" t="s">
        <v>493</v>
      </c>
      <c r="G352" s="6" t="s">
        <v>513</v>
      </c>
      <c r="H352" s="25">
        <v>957000</v>
      </c>
      <c r="I352" s="6">
        <f t="shared" ca="1" si="24"/>
        <v>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512</v>
      </c>
      <c r="D353" s="10" t="s">
        <v>178</v>
      </c>
      <c r="E353" s="6" t="s">
        <v>56</v>
      </c>
      <c r="F353" s="6" t="s">
        <v>503</v>
      </c>
      <c r="G353" s="6" t="s">
        <v>513</v>
      </c>
      <c r="H353" s="25">
        <v>2975000</v>
      </c>
      <c r="I353" s="6">
        <f t="shared" ca="1" si="24"/>
        <v>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514</v>
      </c>
      <c r="F354" s="6" t="s">
        <v>418</v>
      </c>
      <c r="G354" s="6" t="s">
        <v>515</v>
      </c>
      <c r="H354" s="4">
        <v>22230800</v>
      </c>
      <c r="I354" s="6">
        <f t="shared" ca="1" si="24"/>
        <v>4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516</v>
      </c>
      <c r="G355" s="6" t="s">
        <v>517</v>
      </c>
      <c r="H355" s="4">
        <v>26011000</v>
      </c>
      <c r="I355" s="6">
        <f t="shared" ca="1" si="24"/>
        <v>1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518</v>
      </c>
      <c r="H356" s="4">
        <v>22092800</v>
      </c>
      <c r="I356" s="6">
        <f t="shared" ca="1" si="24"/>
        <v>6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519</v>
      </c>
      <c r="H357" s="4">
        <v>10316800</v>
      </c>
      <c r="I357" s="6">
        <f t="shared" ca="1" si="24"/>
        <v>1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520</v>
      </c>
      <c r="F358" s="6" t="s">
        <v>272</v>
      </c>
      <c r="G358" s="6" t="s">
        <v>521</v>
      </c>
      <c r="H358" s="4">
        <v>39444000</v>
      </c>
      <c r="I358" s="6">
        <f t="shared" ca="1" si="24"/>
        <v>4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522</v>
      </c>
      <c r="F359" s="6" t="s">
        <v>340</v>
      </c>
      <c r="G359" s="6" t="s">
        <v>521</v>
      </c>
      <c r="H359" s="4">
        <v>36998800</v>
      </c>
      <c r="I359" s="6">
        <f t="shared" ca="1" si="24"/>
        <v>4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521</v>
      </c>
      <c r="H360" s="4">
        <v>18059200</v>
      </c>
      <c r="I360" s="6">
        <f t="shared" ca="1" si="24"/>
        <v>4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521</v>
      </c>
      <c r="H361" s="4">
        <v>12968800</v>
      </c>
      <c r="I361" s="6">
        <f t="shared" ca="1" si="24"/>
        <v>6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422</v>
      </c>
      <c r="F362" s="6" t="s">
        <v>421</v>
      </c>
      <c r="G362" s="6" t="s">
        <v>521</v>
      </c>
      <c r="H362" s="4">
        <v>16160000</v>
      </c>
      <c r="I362" s="6">
        <f t="shared" ca="1" si="24"/>
        <v>5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424</v>
      </c>
      <c r="F363" s="6" t="s">
        <v>425</v>
      </c>
      <c r="G363" s="6" t="s">
        <v>521</v>
      </c>
      <c r="H363" s="4">
        <v>5757600</v>
      </c>
      <c r="I363" s="6">
        <f t="shared" ca="1" si="24"/>
        <v>1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523</v>
      </c>
      <c r="G364" s="6" t="s">
        <v>524</v>
      </c>
      <c r="H364" s="4">
        <v>17723800</v>
      </c>
      <c r="I364" s="6">
        <f t="shared" ca="1" si="24"/>
        <v>6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525</v>
      </c>
      <c r="G365" s="6" t="s">
        <v>524</v>
      </c>
      <c r="H365" s="4">
        <v>48448200</v>
      </c>
      <c r="I365" s="6">
        <f t="shared" ca="1" si="24"/>
        <v>6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526</v>
      </c>
      <c r="G366" s="6" t="s">
        <v>524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528</v>
      </c>
      <c r="F367" s="6" t="s">
        <v>527</v>
      </c>
      <c r="G367" s="6" t="s">
        <v>524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6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6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6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6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6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6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6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6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6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6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6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6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6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6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6"/>
        <v/>
      </c>
      <c r="H382" s="4"/>
      <c r="I382" s="6" t="str">
        <f t="shared" ref="I382:I405" ca="1" si="27">IF(C382="","",IF(L382="",TODAY()-C382,L382-C382))</f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6"/>
        <v/>
      </c>
      <c r="H383" s="4"/>
      <c r="I383" s="6" t="str">
        <f t="shared" ca="1" si="27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6"/>
        <v/>
      </c>
      <c r="H384" s="4"/>
      <c r="I384" s="6" t="str">
        <f t="shared" ca="1" si="27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6"/>
        <v/>
      </c>
      <c r="H385" s="4"/>
      <c r="I385" s="6" t="str">
        <f t="shared" ca="1" si="27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6"/>
        <v/>
      </c>
      <c r="H386" s="4"/>
      <c r="I386" s="6" t="str">
        <f t="shared" ca="1" si="27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6"/>
        <v/>
      </c>
      <c r="H387" s="4"/>
      <c r="I387" s="6" t="str">
        <f t="shared" ca="1" si="27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6"/>
        <v/>
      </c>
      <c r="H388" s="4"/>
      <c r="I388" s="6" t="str">
        <f t="shared" ca="1" si="27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6"/>
        <v/>
      </c>
      <c r="H389" s="4"/>
      <c r="I389" s="6" t="str">
        <f t="shared" ca="1" si="27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6"/>
        <v/>
      </c>
      <c r="H390" s="4"/>
      <c r="I390" s="6" t="str">
        <f t="shared" ca="1" si="27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6"/>
        <v/>
      </c>
      <c r="H391" s="4"/>
      <c r="I391" s="6" t="str">
        <f t="shared" ca="1" si="27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6"/>
        <v/>
      </c>
      <c r="H392" s="4"/>
      <c r="I392" s="6" t="str">
        <f t="shared" ca="1" si="27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6"/>
        <v/>
      </c>
      <c r="H393" s="4"/>
      <c r="I393" s="6" t="str">
        <f t="shared" ca="1" si="27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6"/>
        <v/>
      </c>
      <c r="H394" s="4"/>
      <c r="I394" s="6" t="str">
        <f t="shared" ca="1" si="27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8">IF(G395="","",IF(OR(G395="선급금",G395="중도금",G395="잔금"),"A",IF(G395="자재","B",IF(G395="특허료","C",""))))</f>
        <v/>
      </c>
      <c r="H395" s="4"/>
      <c r="I395" s="6" t="str">
        <f t="shared" ca="1" si="27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8"/>
        <v/>
      </c>
      <c r="H396" s="4"/>
      <c r="I396" s="6" t="str">
        <f t="shared" ca="1" si="27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8"/>
        <v/>
      </c>
      <c r="H397" s="4"/>
      <c r="I397" s="6" t="str">
        <f t="shared" ca="1" si="27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8"/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6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2026-04-07T06:16:20Z</dcterms:modified>
</cp:coreProperties>
</file>